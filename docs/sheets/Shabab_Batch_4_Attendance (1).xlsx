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Student Summary" sheetId="1" r:id="rId4"/>
    <sheet state="visible" name="Sheet1" sheetId="2" r:id="rId5"/>
    <sheet state="visible" name="👨‍🏫 Murabbi Summary" sheetId="3" r:id="rId6"/>
    <sheet state="visible" name="📊 Class Stats" sheetId="4" r:id="rId7"/>
    <sheet state="visible" name="Gulberg" sheetId="5" r:id="rId8"/>
    <sheet state="visible" name="Gulshan_Iqbal" sheetId="6" r:id="rId9"/>
    <sheet state="visible" name="Griffin" sheetId="7" r:id="rId10"/>
    <sheet state="visible" name="Johar_Town" sheetId="8" r:id="rId11"/>
    <sheet state="visible" name="Gulshan_Ravi" sheetId="9" r:id="rId12"/>
    <sheet state="visible" name="State_Life" sheetId="10" r:id="rId13"/>
    <sheet state="visible" name="⚙ OFF Weekends" sheetId="11" r:id="rId14"/>
    <sheet state="visible" name="📊 Mashawara Log" sheetId="12" r:id="rId15"/>
    <sheet state="visible" name="📖 Instructions" sheetId="13" r:id="rId16"/>
  </sheets>
  <definedNames/>
  <calcPr/>
  <extLst>
    <ext uri="GoogleSheetsCustomDataVersion2">
      <go:sheetsCustomData xmlns:go="http://customooxmlschemas.google.com/" r:id="rId17" roundtripDataChecksum="W1sbw/nJplyLB4NbDYb/pafrAiEknSVeW3RgoXy6Xm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58">
      <text>
        <t xml:space="preserve">Co-Curricular Event
======</t>
      </text>
    </comment>
    <comment authorId="0" ref="U83">
      <text>
        <t xml:space="preserve">======
ID#AAAB_IG-Xmo
Anonymous    (2026-07-04 02:40:19)
Father Talal se baat kr k btaen ga</t>
      </text>
    </comment>
    <comment authorId="0" ref="Y73">
      <text>
        <t xml:space="preserve">======
ID#AAACDQWxn1U
Muhammad Hanzala Touseef    (2026-07-18 01:25:58)
Not Home</t>
      </text>
    </comment>
    <comment authorId="0" ref="Z73">
      <text>
        <t xml:space="preserve">out of city
======</t>
      </text>
    </comment>
    <comment authorId="0" ref="AA73">
      <text>
        <t xml:space="preserve">======
ID#AAACD9ftwJU
Anonymous    (2026-07-25 13:15:55)
Out of station</t>
      </text>
    </comment>
    <comment authorId="0" ref="AB73">
      <text>
        <t xml:space="preserve">======
ID#AAACD7DI7ho
Muhammad Hanzala Touseef    (2026-07-26 01:54:55)
Out of Station</t>
      </text>
    </comment>
    <comment authorId="0" ref="B111">
      <text>
        <t xml:space="preserve">======
ID#AAAB_JM4-IA
Umar Shabab    (2026-07-05 02:05:46)
Madrassa</t>
      </text>
    </comment>
    <comment authorId="0" ref="U98">
      <text>
        <t xml:space="preserve">======
ID#AAAB_IG-Xk0
Anonymous    (2026-07-04 02:25:10)
Inko lagt ha inki age k lehaz se activities low level ke hen lekin inky father inko push karen ga aane k liye</t>
      </text>
    </comment>
    <comment authorId="0" ref="Y69">
      <text>
        <t xml:space="preserve">======
ID#AAACDQWxn1Y
Muhammad Hanzala Touseef    (2026-07-18 01:25:58)
Conveyance with Zain</t>
      </text>
    </comment>
    <comment authorId="0" ref="U65">
      <text>
        <t xml:space="preserve">======
ID#AAAB_IG-Xmk
Anonymous    (2026-07-04 02:35:08)
Gaon gya huwa ha</t>
      </text>
    </comment>
    <comment authorId="0" ref="Z69">
      <text>
        <t xml:space="preserve">Conveyance with Zain 
======</t>
      </text>
    </comment>
    <comment authorId="0" ref="AA69">
      <text>
        <t xml:space="preserve">======
ID#AAACD9ftwJQ
Anonymous    (2026-07-25 13:15:24)
Conveyance with Zain</t>
      </text>
    </comment>
    <comment authorId="0" ref="Y67">
      <text>
        <t xml:space="preserve">======
ID#AAACDQWxn1M
Muhammad Hanzala Touseef    (2026-07-18 01:25:57)
Out of Station</t>
      </text>
    </comment>
    <comment authorId="0" ref="Z67">
      <text>
        <t xml:space="preserve">Out of Station
======</t>
      </text>
    </comment>
    <comment authorId="0" ref="B43">
      <text>
        <t xml:space="preserve">======
ID#AAAB_JM4-H8
Umar Shabab    (2026-07-05 02:05:14)
Madrassa</t>
      </text>
    </comment>
    <comment authorId="0" ref="AA67">
      <text>
        <t xml:space="preserve">======
ID#AAACD9ftwJI
Anonymous    (2026-07-25 13:13:34)
Conveyance with Zain</t>
      </text>
    </comment>
    <comment authorId="0" ref="U28">
      <text>
        <t xml:space="preserve">======
ID#AAAB_IG-XlU
Anonymous    (2026-07-04 02:28:48)
Didn't pick the call</t>
      </text>
    </comment>
    <comment authorId="0" ref="Y63">
      <text>
        <t xml:space="preserve">======
ID#AAACDQWxn1c
Muhammad Hanzala Touseef    (2026-07-18 01:25:59)
Out of Station</t>
      </text>
    </comment>
    <comment authorId="0" ref="B72">
      <text>
        <t xml:space="preserve">======
ID#AAAB_JvNUCw
Anonymous    (2026-07-05 04:49:50)
Madrassa</t>
      </text>
    </comment>
    <comment authorId="0" ref="Z63">
      <text>
        <t xml:space="preserve">Out of Station 
======</t>
      </text>
    </comment>
    <comment authorId="0" ref="AA63">
      <text>
        <t xml:space="preserve">======
ID#AAACD9ftwJE
Anonymous    (2026-07-25 13:12:55)
Sick leave</t>
      </text>
    </comment>
    <comment authorId="0" ref="U57">
      <text>
        <t xml:space="preserve">======
ID#AAAB_IG-Xlg
Anonymous    (2026-07-04 02:31:44)
Didn't pick the call</t>
      </text>
    </comment>
    <comment authorId="0" ref="U41">
      <text>
        <t xml:space="preserve">======
ID#AAAB_IG-XlM
Anonymous    (2026-07-04 02:26:59)
Knee injury</t>
      </text>
    </comment>
    <comment authorId="0" ref="B114">
      <text>
        <t xml:space="preserve">======
ID#AAAB_JM4-II
Umar Shabab    (2026-07-05 02:05:54)
Madrassa</t>
      </text>
    </comment>
    <comment authorId="0" ref="Y72">
      <text>
        <t xml:space="preserve">======
ID#AAACDQWxn1Q
Muhammad Hanzala Touseef    (2026-07-18 01:25:58)
Conveyance with Nauman</t>
      </text>
    </comment>
    <comment authorId="0" ref="Z72">
      <text>
        <t xml:space="preserve">Conveyance with Nauman 
======</t>
      </text>
    </comment>
    <comment authorId="0" ref="Y70">
      <text>
        <t xml:space="preserve">======
ID#AAACDQWxn1g
Muhammad Hanzala Touseef    (2026-07-18 01:26:00)
Conveyance with Zain</t>
      </text>
    </comment>
    <comment authorId="0" ref="Z70">
      <text>
        <t xml:space="preserve">Conveyance with Zain 
======</t>
      </text>
    </comment>
    <comment authorId="0" ref="AA70">
      <text>
        <t xml:space="preserve">======
ID#AAACD9ftwJM
Anonymous    (2026-07-25 13:15:13)
Conveyance with Zain</t>
      </text>
    </comment>
    <comment authorId="0" ref="U64">
      <text>
        <t xml:space="preserve">======
ID#AAAB_IG-Xmg
Anonymous    (2026-07-04 02:33:52)
Didn't pick the call</t>
      </text>
    </comment>
    <comment authorId="0" ref="U93">
      <text>
        <t xml:space="preserve">======
ID#AAAB_IG-Xmw
Anonymous    (2026-07-04 02:43:04)
Accident huwa ha</t>
      </text>
    </comment>
    <comment authorId="0" ref="B73">
      <text>
        <t xml:space="preserve">======
ID#AAAB_JM4-IM
Umar Shabab    (2026-07-05 02:06:14)
Madrassa</t>
      </text>
    </comment>
    <comment authorId="0" ref="U91">
      <text>
        <t xml:space="preserve">======
ID#AAAB_IG-Xms
Anonymous    (2026-07-04 02:41:45)
Didn't pick the call</t>
      </text>
    </comment>
    <comment authorId="0" ref="AB62">
      <text>
        <t xml:space="preserve">======
ID#AAACD7DI7h4
Muhammad Hanzala Touseef    (2026-07-26 02:00:20)
House shifting</t>
      </text>
    </comment>
    <comment authorId="0" ref="Y58">
      <text>
        <t xml:space="preserve">Co-Curricular Event
======</t>
      </text>
    </comment>
    <comment authorId="0" ref="U54">
      <text>
        <t xml:space="preserve">======
ID#AAAB_IG-Xlc
Anonymous    (2026-07-04 02:30:52)
Didn't pick the call</t>
      </text>
    </comment>
  </commentList>
  <extLst>
    <ext uri="GoogleSheetsCustomDataVersion2">
      <go:sheetsCustomData xmlns:go="http://customooxmlschemas.google.com/" r:id="rId1" roundtripDataSignature="AMtx7mhvSR9QrK3wA+TayAvhrf3ZgT9D3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81">
      <text>
        <t xml:space="preserve">======
ID#AAAB-naopSs
Muhammad Danish Qureshi    (2026-06-27 02:26:52)
امتحانات</t>
      </text>
    </comment>
    <comment authorId="0" ref="T81">
      <text>
        <t xml:space="preserve">======
ID#AAAB-naopRs
Muhammad Danish Qureshi    (2026-06-27 02:26:40)
امتحانات</t>
      </text>
    </comment>
  </commentList>
  <extLst>
    <ext uri="GoogleSheetsCustomDataVersion2">
      <go:sheetsCustomData xmlns:go="http://customooxmlschemas.google.com/" r:id="rId1" roundtripDataSignature="AMtx7mhxOqQN2TMyxUmV1Wb9jVB4raUR+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4">
      <text>
        <t xml:space="preserve">======
ID#AAAB-qZbpz0
Mohammad Haris    (2026-06-29 11:03:52)
Joined Army training, so he can't continue</t>
      </text>
    </comment>
    <comment authorId="0" ref="B31">
      <text>
        <t xml:space="preserve">======
ID#AAAB-qZbpzs
Mohammad Haris    (2026-06-29 11:01:34)
Will join Valecia</t>
      </text>
    </comment>
    <comment authorId="0" ref="B59">
      <text>
        <t xml:space="preserve">======
ID#AAAB-qZbpzw
Mohammad Haris    (2026-06-29 11:03:22)
Will join Valencia</t>
      </text>
    </comment>
  </commentList>
  <extLst>
    <ext uri="GoogleSheetsCustomDataVersion2">
      <go:sheetsCustomData xmlns:go="http://customooxmlschemas.google.com/" r:id="rId1" roundtripDataSignature="AMtx7mjqRshXeg/cAk76DQUh9QzvLU3Z9w=="/>
    </ext>
  </extLst>
</comments>
</file>

<file path=xl/sharedStrings.xml><?xml version="1.0" encoding="utf-8"?>
<sst xmlns="http://schemas.openxmlformats.org/spreadsheetml/2006/main" count="9301" uniqueCount="978">
  <si>
    <t>📋  SHABAB BATCH 4 – STUDENT SUMMARY  |  All Parks  |  2026-2027</t>
  </si>
  <si>
    <t>👨‍🏫  MURABBIS – PARK-WISE SUMMARY  |  Batch 4  |  2026-2027</t>
  </si>
  <si>
    <t>📊  SHABAB BATCH 4 – CLASS-WISE STATISTICS  |  Students Only  |  2026-2027</t>
  </si>
  <si>
    <t>#</t>
  </si>
  <si>
    <t>Park</t>
  </si>
  <si>
    <t>Group</t>
  </si>
  <si>
    <t>Name</t>
  </si>
  <si>
    <t>Phone</t>
  </si>
  <si>
    <t>📞</t>
  </si>
  <si>
    <t>💬</t>
  </si>
  <si>
    <t>Live data — naam likhne pe automatically appear ho jaayega</t>
  </si>
  <si>
    <t>📱Own</t>
  </si>
  <si>
    <t>Age</t>
  </si>
  <si>
    <t>Grade</t>
  </si>
  <si>
    <t>% Haazri</t>
  </si>
  <si>
    <t>P Count</t>
  </si>
  <si>
    <t>📋 GULBERG PARK  |  SHABAB BATCH 4  |  2026-2027</t>
  </si>
  <si>
    <t>Murabbi Naam</t>
  </si>
  <si>
    <t>Gulberg</t>
  </si>
  <si>
    <t>Total P</t>
  </si>
  <si>
    <t>Gulshan Iqbal</t>
  </si>
  <si>
    <t>Total A</t>
  </si>
  <si>
    <t>Group 1</t>
  </si>
  <si>
    <t>Griffin</t>
  </si>
  <si>
    <t>Johar Town</t>
  </si>
  <si>
    <t>Total L</t>
  </si>
  <si>
    <t>Gulshan Ravi</t>
  </si>
  <si>
    <t>Classes</t>
  </si>
  <si>
    <t>Status</t>
  </si>
  <si>
    <t>Park: Gulberg  |  Batch 4  |  Classes: C1–C74  |  May 2026 – Jan 2027</t>
  </si>
  <si>
    <t>State Life</t>
  </si>
  <si>
    <t>🌍 TOTAL (All Parks)</t>
  </si>
  <si>
    <t>Date</t>
  </si>
  <si>
    <t>Day</t>
  </si>
  <si>
    <t>P</t>
  </si>
  <si>
    <t>A</t>
  </si>
  <si>
    <t>L</t>
  </si>
  <si>
    <t>Late</t>
  </si>
  <si>
    <t>%</t>
  </si>
  <si>
    <t>📞Call</t>
  </si>
  <si>
    <t>💬WA</t>
  </si>
  <si>
    <t>Grade/Role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</si>
  <si>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</si>
  <si>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</si>
  <si>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</si>
  <si>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</si>
  <si>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</si>
  <si>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</si>
  <si>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</si>
  <si>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</si>
  <si>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</si>
  <si>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</si>
  <si>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</si>
  <si>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</si>
  <si>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</si>
  <si>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</si>
  <si>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</si>
  <si>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</si>
  <si>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</si>
  <si>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</si>
  <si>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</si>
  <si>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</si>
  <si>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</si>
  <si>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</si>
  <si>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</si>
  <si>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</si>
  <si>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</si>
  <si>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</si>
  <si>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</si>
  <si>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</si>
  <si>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</si>
  <si>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</si>
  <si>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</si>
  <si>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</si>
  <si>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23 May 2026</t>
  </si>
  <si>
    <t>C33</t>
  </si>
  <si>
    <t>Saturday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</si>
  <si>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</si>
  <si>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</si>
  <si>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</si>
  <si>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</si>
  <si>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</si>
  <si>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</si>
  <si>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</si>
  <si>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</si>
  <si>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</si>
  <si>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</si>
  <si>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</si>
  <si>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</si>
  <si>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</si>
  <si>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</si>
  <si>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</si>
  <si>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</si>
  <si>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</si>
  <si>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</si>
  <si>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</si>
  <si>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</si>
  <si>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</si>
  <si>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</si>
  <si>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</si>
  <si>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</si>
  <si>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</si>
  <si>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</si>
  <si>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</si>
  <si>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</si>
  <si>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</si>
  <si>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</si>
  <si>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</si>
  <si>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</si>
  <si>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</si>
  <si>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</si>
  <si>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</si>
  <si>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</si>
  <si>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</si>
  <si>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</si>
  <si>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</si>
  <si>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</si>
  <si>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</si>
  <si>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23/05</t>
  </si>
  <si>
    <t>24/05</t>
  </si>
  <si>
    <t>30/05</t>
  </si>
  <si>
    <t>31/05</t>
  </si>
  <si>
    <t>06/06</t>
  </si>
  <si>
    <t>07/06</t>
  </si>
  <si>
    <t>13/06</t>
  </si>
  <si>
    <t>14/06</t>
  </si>
  <si>
    <t>20/06</t>
  </si>
  <si>
    <t>21/06</t>
  </si>
  <si>
    <t>27/06</t>
  </si>
  <si>
    <t>28/06</t>
  </si>
  <si>
    <t>04/07</t>
  </si>
  <si>
    <t>05/07</t>
  </si>
  <si>
    <t>11/07</t>
  </si>
  <si>
    <t>12/07</t>
  </si>
  <si>
    <t>18/07</t>
  </si>
  <si>
    <t>19/07</t>
  </si>
  <si>
    <t>25/07</t>
  </si>
  <si>
    <t>26/07</t>
  </si>
  <si>
    <t>01/08</t>
  </si>
  <si>
    <t>02/08</t>
  </si>
  <si>
    <t>08/08</t>
  </si>
  <si>
    <t>09/08</t>
  </si>
  <si>
    <t>15/08</t>
  </si>
  <si>
    <t>16/08</t>
  </si>
  <si>
    <t>22/08</t>
  </si>
  <si>
    <t>23/08</t>
  </si>
  <si>
    <t>29/08</t>
  </si>
  <si>
    <t>30/08</t>
  </si>
  <si>
    <t>05/09</t>
  </si>
  <si>
    <t>06/09</t>
  </si>
  <si>
    <t>12/09</t>
  </si>
  <si>
    <t>13/09</t>
  </si>
  <si>
    <t>19/09</t>
  </si>
  <si>
    <t>20/09</t>
  </si>
  <si>
    <t>26/09</t>
  </si>
  <si>
    <t>27/09</t>
  </si>
  <si>
    <t>03/10</t>
  </si>
  <si>
    <t>04/10</t>
  </si>
  <si>
    <t>10/10</t>
  </si>
  <si>
    <t>11/10</t>
  </si>
  <si>
    <t>17/10</t>
  </si>
  <si>
    <t>18/10</t>
  </si>
  <si>
    <t>24/10</t>
  </si>
  <si>
    <t>25/10</t>
  </si>
  <si>
    <t>31/10</t>
  </si>
  <si>
    <t>01/11</t>
  </si>
  <si>
    <t>07/11</t>
  </si>
  <si>
    <t>08/11</t>
  </si>
  <si>
    <t>14/11</t>
  </si>
  <si>
    <t>15/11</t>
  </si>
  <si>
    <t>21/11</t>
  </si>
  <si>
    <t>22/11</t>
  </si>
  <si>
    <t>28/11</t>
  </si>
  <si>
    <t>29/11</t>
  </si>
  <si>
    <t>05/12</t>
  </si>
  <si>
    <t>06/12</t>
  </si>
  <si>
    <t>12/12</t>
  </si>
  <si>
    <t>13/12</t>
  </si>
  <si>
    <t>19/12</t>
  </si>
  <si>
    <t>20/12</t>
  </si>
  <si>
    <t>26/12</t>
  </si>
  <si>
    <t>27/12</t>
  </si>
  <si>
    <t>02/01</t>
  </si>
  <si>
    <t>03/01</t>
  </si>
  <si>
    <t>09/01</t>
  </si>
  <si>
    <t>10/01</t>
  </si>
  <si>
    <t>16/01</t>
  </si>
  <si>
    <t>17/01</t>
  </si>
  <si>
    <t>23/01</t>
  </si>
  <si>
    <t>24/01</t>
  </si>
  <si>
    <t>30/01</t>
  </si>
  <si>
    <t>31/01</t>
  </si>
  <si>
    <t>🏅  PARK LEAD  🏅</t>
  </si>
  <si>
    <t>Umar Rohail</t>
  </si>
  <si>
    <t>+923051801847</t>
  </si>
  <si>
    <t>Park Lead</t>
  </si>
  <si>
    <t>Present</t>
  </si>
  <si>
    <t>OFF</t>
  </si>
  <si>
    <t>Leave</t>
  </si>
  <si>
    <t>24 May 2026</t>
  </si>
  <si>
    <t>Sunday</t>
  </si>
  <si>
    <t>30 May 2026</t>
  </si>
  <si>
    <t>31 May 2026</t>
  </si>
  <si>
    <t>Group 2</t>
  </si>
  <si>
    <t>◆  MURABBIS  ◆</t>
  </si>
  <si>
    <t>Hasnain Zafar</t>
  </si>
  <si>
    <t>'+923060221997</t>
  </si>
  <si>
    <t>Murabbi &amp; Tadreeb Muawin</t>
  </si>
  <si>
    <t>06 Jun 2026</t>
  </si>
  <si>
    <t>07 Jun 2026</t>
  </si>
  <si>
    <t>Hanzala Tauseef</t>
  </si>
  <si>
    <t>'+923047178171</t>
  </si>
  <si>
    <t>Murabbi &amp; Tadreeb Lead</t>
  </si>
  <si>
    <t>13 Jun 2026</t>
  </si>
  <si>
    <t>14 Jun 2026</t>
  </si>
  <si>
    <t>Ikram Meer</t>
  </si>
  <si>
    <t>'+923364543324</t>
  </si>
  <si>
    <t>Murabbi &amp; Skills Lead</t>
  </si>
  <si>
    <t>20 Jun 2026</t>
  </si>
  <si>
    <t>Group 3</t>
  </si>
  <si>
    <t>Imran Amin</t>
  </si>
  <si>
    <t>'+923294368993</t>
  </si>
  <si>
    <t>Sports Lead &amp; Muawin G12</t>
  </si>
  <si>
    <t>Absent</t>
  </si>
  <si>
    <t>21 Jun 2026</t>
  </si>
  <si>
    <t>Hammad Raza</t>
  </si>
  <si>
    <t>'+923220774124</t>
  </si>
  <si>
    <t>Sports Muawin &amp; Muawin G13</t>
  </si>
  <si>
    <t>27 Jun 2026</t>
  </si>
  <si>
    <t>Basit Ahsan</t>
  </si>
  <si>
    <t>'+923226720331</t>
  </si>
  <si>
    <t>Park Admin &amp; Muawin G13</t>
  </si>
  <si>
    <t>28 Jun 2026</t>
  </si>
  <si>
    <t>Abdul Kabeer</t>
  </si>
  <si>
    <t>'+923244190830</t>
  </si>
  <si>
    <t>Media Lead &amp; Muawin G11</t>
  </si>
  <si>
    <t>04 Jul 2026</t>
  </si>
  <si>
    <t>05 Jul 2026</t>
  </si>
  <si>
    <t>Abdul Rehman Munir</t>
  </si>
  <si>
    <t>'+923080114534</t>
  </si>
  <si>
    <t>Skills Muawin &amp; Sports Officer &amp; Muawin G12</t>
  </si>
  <si>
    <t>11 Jul 2026</t>
  </si>
  <si>
    <t>Haseeb Ahmad</t>
  </si>
  <si>
    <t>'+923114322095</t>
  </si>
  <si>
    <t>Sports Officer &amp; Muawin G11</t>
  </si>
  <si>
    <t>12 Jul 2026</t>
  </si>
  <si>
    <t>18 Jul 2026</t>
  </si>
  <si>
    <t>Abu Hurairah</t>
  </si>
  <si>
    <t>19 Jul 2026</t>
  </si>
  <si>
    <t>25 Jul 2026</t>
  </si>
  <si>
    <t>Abdullah Saif</t>
  </si>
  <si>
    <t>'+923104362545</t>
  </si>
  <si>
    <t>Sports Officer</t>
  </si>
  <si>
    <t>26 Jul 2026</t>
  </si>
  <si>
    <t>01 Aug 2026</t>
  </si>
  <si>
    <t>Ameer Hamza</t>
  </si>
  <si>
    <t>+92 324 7197841</t>
  </si>
  <si>
    <t>02 Aug 2026</t>
  </si>
  <si>
    <t>Alman</t>
  </si>
  <si>
    <t>+92 314 7364357</t>
  </si>
  <si>
    <t>08 Aug 2026</t>
  </si>
  <si>
    <t>09 Aug 2026</t>
  </si>
  <si>
    <t>15 Aug 2026</t>
  </si>
  <si>
    <t>Suhaib</t>
  </si>
  <si>
    <t>16 Aug 2026</t>
  </si>
  <si>
    <t>22 Aug 2026</t>
  </si>
  <si>
    <t>Nauman Imtiaz</t>
  </si>
  <si>
    <t>+92 333 4115355</t>
  </si>
  <si>
    <t>Murabbi</t>
  </si>
  <si>
    <t>23 Aug 2026</t>
  </si>
  <si>
    <t>29 Aug 2026</t>
  </si>
  <si>
    <t>Group 1   |   Murabbi: Ikram</t>
  </si>
  <si>
    <t>Muhammad  Umair</t>
  </si>
  <si>
    <t>'+923274088002</t>
  </si>
  <si>
    <t>30 Aug 2026</t>
  </si>
  <si>
    <t>13.0</t>
  </si>
  <si>
    <t>05 Sep 2026</t>
  </si>
  <si>
    <t>📋 GULSHAN IQBAL PARK  |  SHABAB BATCH 4  |  2026-2027</t>
  </si>
  <si>
    <t>Park: Gulshan Iqbal  |  Batch 4  |  Classes: C1–C74  |  May 2026 – Jan 2027</t>
  </si>
  <si>
    <t>06 Sep 2026</t>
  </si>
  <si>
    <t>Muhammad Ahmad</t>
  </si>
  <si>
    <t>Amir latif</t>
  </si>
  <si>
    <t>'+923008084342</t>
  </si>
  <si>
    <t>12 Sep 2026</t>
  </si>
  <si>
    <t>13 Sep 2026</t>
  </si>
  <si>
    <t>Muhammad Umar</t>
  </si>
  <si>
    <t>19 Sep 2026</t>
  </si>
  <si>
    <t>Danish Qureshi</t>
  </si>
  <si>
    <t>20 Sep 2026</t>
  </si>
  <si>
    <t>Muhammad Shoaib</t>
  </si>
  <si>
    <t>Sat Off</t>
  </si>
  <si>
    <t>26 Sep 2026</t>
  </si>
  <si>
    <t>Faizan Ibrahim</t>
  </si>
  <si>
    <t>M Abdullah Qureshi</t>
  </si>
  <si>
    <t>14.0</t>
  </si>
  <si>
    <t>9th</t>
  </si>
  <si>
    <t>Dropout</t>
  </si>
  <si>
    <t>27 Sep 2026</t>
  </si>
  <si>
    <t>M.Moosa</t>
  </si>
  <si>
    <t>10th</t>
  </si>
  <si>
    <t>03 Oct 2026</t>
  </si>
  <si>
    <t>Hamza Mehmood</t>
  </si>
  <si>
    <t>04 Oct 2026</t>
  </si>
  <si>
    <t>Muhammad Abdullah Ahmad</t>
  </si>
  <si>
    <t>10 Oct 2026</t>
  </si>
  <si>
    <t>Muhammad Hunain</t>
  </si>
  <si>
    <t>MUHAMMAD YOUSUF</t>
  </si>
  <si>
    <t>11 Oct 2026</t>
  </si>
  <si>
    <t>17 Oct 2026</t>
  </si>
  <si>
    <t>Muhammad Huzaifa saif</t>
  </si>
  <si>
    <t>'+923234977806</t>
  </si>
  <si>
    <t>Fayez</t>
  </si>
  <si>
    <t>18 Oct 2026</t>
  </si>
  <si>
    <t>24 Oct 2026</t>
  </si>
  <si>
    <t>Muhammad Yusha</t>
  </si>
  <si>
    <t>'+923334649728</t>
  </si>
  <si>
    <t>Muhammad Mateen</t>
  </si>
  <si>
    <t>25 Oct 2026</t>
  </si>
  <si>
    <t>Muaz Zakariya Majid</t>
  </si>
  <si>
    <t>'+923334349783</t>
  </si>
  <si>
    <t>Hafiz</t>
  </si>
  <si>
    <t>31 Oct 2026</t>
  </si>
  <si>
    <t>Faheem Badar</t>
  </si>
  <si>
    <t>Muhammad Shaheer Shamsi</t>
  </si>
  <si>
    <t>'+923004188623</t>
  </si>
  <si>
    <t>01 Nov 2026</t>
  </si>
  <si>
    <t>07 Nov 2026</t>
  </si>
  <si>
    <t>Muhammad Musab</t>
  </si>
  <si>
    <t>Muhammad Umer Karamat</t>
  </si>
  <si>
    <t>'+923214688055</t>
  </si>
  <si>
    <t>O Level</t>
  </si>
  <si>
    <t>08 Nov 2026</t>
  </si>
  <si>
    <t>Muhammad Hammad</t>
  </si>
  <si>
    <t>Muhammad Abdullah Zulqarnain</t>
  </si>
  <si>
    <t>'+923004164178</t>
  </si>
  <si>
    <t>14 Nov 2026</t>
  </si>
  <si>
    <t>15 Nov 2026</t>
  </si>
  <si>
    <t>Haseeb Hussain</t>
  </si>
  <si>
    <t>'+923125843326</t>
  </si>
  <si>
    <t>16.0</t>
  </si>
  <si>
    <t>21 Nov 2026</t>
  </si>
  <si>
    <t>22 Nov 2026</t>
  </si>
  <si>
    <t>Muhammad Mustafa Umar</t>
  </si>
  <si>
    <t>'+923334346602</t>
  </si>
  <si>
    <t>12.0</t>
  </si>
  <si>
    <t>Hifz &amp; 6th</t>
  </si>
  <si>
    <t>Muhammad Bakir Ali</t>
  </si>
  <si>
    <t>28 Nov 2026</t>
  </si>
  <si>
    <t>N/A</t>
  </si>
  <si>
    <t>Abdul Moiz Shahid</t>
  </si>
  <si>
    <t>29 Nov 2026</t>
  </si>
  <si>
    <t>Group 1   |   Murabbi: Hamza Mehmood</t>
  </si>
  <si>
    <t>Muhammad Sarim</t>
  </si>
  <si>
    <t>'+923298162676</t>
  </si>
  <si>
    <t>05 Dec 2026</t>
  </si>
  <si>
    <t xml:space="preserve">Arham                                                  </t>
  </si>
  <si>
    <t>06 Dec 2026</t>
  </si>
  <si>
    <t>Muhammad Arham khan</t>
  </si>
  <si>
    <t>12 Dec 2026</t>
  </si>
  <si>
    <t>13 Dec 2026</t>
  </si>
  <si>
    <t>Muhammad Usama</t>
  </si>
  <si>
    <t>+923171852200</t>
  </si>
  <si>
    <t>Mohammed Anas Faisal</t>
  </si>
  <si>
    <t>'+923494571867</t>
  </si>
  <si>
    <t>19 Dec 2026</t>
  </si>
  <si>
    <t>20 Dec 2026</t>
  </si>
  <si>
    <t>Muhammad Mohid</t>
  </si>
  <si>
    <t>26 Dec 2026</t>
  </si>
  <si>
    <t>27 Dec 2026</t>
  </si>
  <si>
    <t>Ameed Bin Wasif</t>
  </si>
  <si>
    <t>02 Jan 2027</t>
  </si>
  <si>
    <t>03 Jan 2027</t>
  </si>
  <si>
    <t>Asadullah</t>
  </si>
  <si>
    <t>09 Jan 2027</t>
  </si>
  <si>
    <t>10 Jan 2027</t>
  </si>
  <si>
    <t>📋 GRIFFIN PARK  |  SHABAB BATCH 4  |  2026-2027</t>
  </si>
  <si>
    <t>Park: Griffin  |  Batch 4  |  Classes: C1–C74  |  May 2026 – Jan 2027</t>
  </si>
  <si>
    <t>Group 2   |   Murabbi: Hanzala Tauseef</t>
  </si>
  <si>
    <t>Muhammad Humayl Ali</t>
  </si>
  <si>
    <t>'+923008492494</t>
  </si>
  <si>
    <t>16 Jan 2027</t>
  </si>
  <si>
    <t>15.0</t>
  </si>
  <si>
    <t>Talha Tayyab</t>
  </si>
  <si>
    <t>Mohsin iqbal</t>
  </si>
  <si>
    <t>17 Jan 2027</t>
  </si>
  <si>
    <t>Maaz Tahir</t>
  </si>
  <si>
    <t>'+923090809644</t>
  </si>
  <si>
    <t>23 Jan 2027</t>
  </si>
  <si>
    <t>M. Awais Zafar</t>
  </si>
  <si>
    <t>'+923114333457</t>
  </si>
  <si>
    <t>Fahad bhai</t>
  </si>
  <si>
    <t>Yahya Asif</t>
  </si>
  <si>
    <t>'+923211400713</t>
  </si>
  <si>
    <t>24 Jan 2027</t>
  </si>
  <si>
    <t>Muhammad Abdullah</t>
  </si>
  <si>
    <t>30 Jan 2027</t>
  </si>
  <si>
    <t>'+923274963532</t>
  </si>
  <si>
    <t>Ans Ramzan</t>
  </si>
  <si>
    <t>'+923285865741</t>
  </si>
  <si>
    <t>Bilal bhai</t>
  </si>
  <si>
    <t>31 Jan 2027</t>
  </si>
  <si>
    <t>M. Ali Nasir</t>
  </si>
  <si>
    <t>'+923214151591</t>
  </si>
  <si>
    <t>Abdullah</t>
  </si>
  <si>
    <t>M.wahaj Ahmed</t>
  </si>
  <si>
    <t>'+923215845260</t>
  </si>
  <si>
    <t>Talha Afridi Bhai</t>
  </si>
  <si>
    <t>Abdur Rehman Yahya</t>
  </si>
  <si>
    <t>'+923259753363</t>
  </si>
  <si>
    <t>11th</t>
  </si>
  <si>
    <t>Abdul Rehman</t>
  </si>
  <si>
    <t>Zawar hussain</t>
  </si>
  <si>
    <t>'+923230011678</t>
  </si>
  <si>
    <t>📋 JOHAR TOWN PARK  |  SHABAB BATCH 4  |  2026-2027</t>
  </si>
  <si>
    <t>Park: Johar Town  |  Batch 4  |  Classes: C1–C74  |  May 2026 – Jan 2027</t>
  </si>
  <si>
    <t>Hamza Muslim</t>
  </si>
  <si>
    <t>'+923288183734</t>
  </si>
  <si>
    <t>Mahad</t>
  </si>
  <si>
    <t>Muhammad Azaan</t>
  </si>
  <si>
    <t>'+923095376062</t>
  </si>
  <si>
    <t>17.0</t>
  </si>
  <si>
    <t>Haris Yousaf</t>
  </si>
  <si>
    <t>'+923201434509</t>
  </si>
  <si>
    <t>✓</t>
  </si>
  <si>
    <t>27.0</t>
  </si>
  <si>
    <t>Mohammad Zain Ghani</t>
  </si>
  <si>
    <t>'+923043337555</t>
  </si>
  <si>
    <t>Muhammad Samir</t>
  </si>
  <si>
    <t>Abdul Rehman Habibullah</t>
  </si>
  <si>
    <t>'+923154086895</t>
  </si>
  <si>
    <t>Group 1   |   Murabbi: Fahad bhai</t>
  </si>
  <si>
    <t>Ayan fakhar</t>
  </si>
  <si>
    <t>'+923224741468</t>
  </si>
  <si>
    <t>Hamza Badar</t>
  </si>
  <si>
    <t>'+923228498237</t>
  </si>
  <si>
    <t>20.0</t>
  </si>
  <si>
    <t>Hamza iqbal</t>
  </si>
  <si>
    <t>'+923096948498</t>
  </si>
  <si>
    <t>Ali Faizan</t>
  </si>
  <si>
    <t>'+923009492895</t>
  </si>
  <si>
    <t>Muhammad Zubair</t>
  </si>
  <si>
    <t>AbdulRehman Shahid</t>
  </si>
  <si>
    <t>'+923014824922</t>
  </si>
  <si>
    <t>Hassan Basil</t>
  </si>
  <si>
    <t>Muhammad Saad Ghani</t>
  </si>
  <si>
    <t>'+923331047726</t>
  </si>
  <si>
    <t>26.0</t>
  </si>
  <si>
    <t>Rashid Tahir</t>
  </si>
  <si>
    <t>'+923064747289</t>
  </si>
  <si>
    <t>Muhammad Roman</t>
  </si>
  <si>
    <t>Abdullah Rizwan</t>
  </si>
  <si>
    <t>'+923254419155</t>
  </si>
  <si>
    <t>Abdul Rehman Fareed</t>
  </si>
  <si>
    <t>'+923004762362</t>
  </si>
  <si>
    <t>Muhammad bin Haris</t>
  </si>
  <si>
    <t>Muhammad Rayan Jafar</t>
  </si>
  <si>
    <t>'+923204166328</t>
  </si>
  <si>
    <t>Musab Bin Umair</t>
  </si>
  <si>
    <t>'+923092693885</t>
  </si>
  <si>
    <t>—</t>
  </si>
  <si>
    <t>Asst. Murabbi</t>
  </si>
  <si>
    <t>Zaid bin Haris</t>
  </si>
  <si>
    <t>Sikandar Waheed</t>
  </si>
  <si>
    <t>'+923074105997</t>
  </si>
  <si>
    <t>Abdullah Saqib</t>
  </si>
  <si>
    <t>Muhammad Awais Waseem</t>
  </si>
  <si>
    <t>Usman Shahid</t>
  </si>
  <si>
    <t>Hashir</t>
  </si>
  <si>
    <t>Musa Farhan</t>
  </si>
  <si>
    <t>Kaleemullah Ayub Sabir</t>
  </si>
  <si>
    <t>'+923217053289</t>
  </si>
  <si>
    <t>Noman bin Saif</t>
  </si>
  <si>
    <t>Abuzar</t>
  </si>
  <si>
    <t>Ammar Ali Khan</t>
  </si>
  <si>
    <t>'+923004431979</t>
  </si>
  <si>
    <t>Muhammad Awais</t>
  </si>
  <si>
    <t>+923214551484</t>
  </si>
  <si>
    <t>Group 2   |   Murabbi: Faizan Ibrahim</t>
  </si>
  <si>
    <t>Abdullah Faisal</t>
  </si>
  <si>
    <t>Muhammad Maaz</t>
  </si>
  <si>
    <t>'+923244955450</t>
  </si>
  <si>
    <t>Abdul Rafay</t>
  </si>
  <si>
    <t>Muhammad Saad Mohsan</t>
  </si>
  <si>
    <t>'+923236306151</t>
  </si>
  <si>
    <t>Hunain Basharat</t>
  </si>
  <si>
    <t>Affan</t>
  </si>
  <si>
    <t>Muhammad Hassaan Javaid Naz</t>
  </si>
  <si>
    <t>'+923296904972</t>
  </si>
  <si>
    <t>Anas Ibrahim</t>
  </si>
  <si>
    <t>Umair Ahsan</t>
  </si>
  <si>
    <t>'+923377226655</t>
  </si>
  <si>
    <t>Habib Ur Rahman</t>
  </si>
  <si>
    <t>Abdul Rahman raza</t>
  </si>
  <si>
    <t>'+923351701638</t>
  </si>
  <si>
    <t>Group 3   |   Murabbi: Hasnain bhai</t>
  </si>
  <si>
    <t>Muhammad Talal</t>
  </si>
  <si>
    <t>'+923289779626</t>
  </si>
  <si>
    <t>Group 1   |   Murabbi: Hamza Badar</t>
  </si>
  <si>
    <t>Muhammad Bin Tayyab</t>
  </si>
  <si>
    <t>'+923091840981</t>
  </si>
  <si>
    <t>Muawiya</t>
  </si>
  <si>
    <t>12</t>
  </si>
  <si>
    <t>'+923004433014</t>
  </si>
  <si>
    <t>Muhammad faizan ali</t>
  </si>
  <si>
    <t>'+923092771817</t>
  </si>
  <si>
    <t>Ali zaka</t>
  </si>
  <si>
    <t>'+923176787922</t>
  </si>
  <si>
    <t>Abu Huraira</t>
  </si>
  <si>
    <t>Hafiz Huzaifa</t>
  </si>
  <si>
    <t>'+923347103608</t>
  </si>
  <si>
    <t>Muhammad Bilal</t>
  </si>
  <si>
    <t>'+923281988558</t>
  </si>
  <si>
    <t>Muhammad hashir azeem</t>
  </si>
  <si>
    <t>'+923342473881</t>
  </si>
  <si>
    <t>Home Schooling</t>
  </si>
  <si>
    <t>Shazil Ali</t>
  </si>
  <si>
    <t>'+923147585002</t>
  </si>
  <si>
    <t>20</t>
  </si>
  <si>
    <t>12th</t>
  </si>
  <si>
    <t>Razeen Ahmad</t>
  </si>
  <si>
    <t>'+923124755878</t>
  </si>
  <si>
    <t>Rizwan Khan</t>
  </si>
  <si>
    <t>A Level</t>
  </si>
  <si>
    <t>Muhammad Abdullah Maqbool</t>
  </si>
  <si>
    <t>'+923264147680</t>
  </si>
  <si>
    <t>19.0</t>
  </si>
  <si>
    <t>Abdul Hadi</t>
  </si>
  <si>
    <t>'+923158437450</t>
  </si>
  <si>
    <t>13</t>
  </si>
  <si>
    <t>Hussain Toufique</t>
  </si>
  <si>
    <t>'+923220140118</t>
  </si>
  <si>
    <t>Muhammad Musa Asif</t>
  </si>
  <si>
    <t>'+923201619511</t>
  </si>
  <si>
    <t>Imam Deen</t>
  </si>
  <si>
    <t>Muhammad Hamza</t>
  </si>
  <si>
    <t>'+923214176029</t>
  </si>
  <si>
    <t>25.0</t>
  </si>
  <si>
    <t>Hafiz Muhammad awais</t>
  </si>
  <si>
    <t>'+923214551484</t>
  </si>
  <si>
    <t>Yousaf Ahmad</t>
  </si>
  <si>
    <t>'+923044885267</t>
  </si>
  <si>
    <t>Abdul Sami</t>
  </si>
  <si>
    <t>'+923117408253</t>
  </si>
  <si>
    <t>Muhammad Abdul Rehman Khan</t>
  </si>
  <si>
    <t>Faizan Kashif</t>
  </si>
  <si>
    <t>Muhammad Aqib</t>
  </si>
  <si>
    <t>'+923214511345</t>
  </si>
  <si>
    <t>Saadat Bashir</t>
  </si>
  <si>
    <t>'+923264765502</t>
  </si>
  <si>
    <t>18</t>
  </si>
  <si>
    <t>Umar Abdullah</t>
  </si>
  <si>
    <t>'+923124369181</t>
  </si>
  <si>
    <t>Saifullah</t>
  </si>
  <si>
    <t>Hamza Nawaz</t>
  </si>
  <si>
    <t>Muhammad Abdul Aleem</t>
  </si>
  <si>
    <t>'+923365580951</t>
  </si>
  <si>
    <t>Muhammad Ahmad Naseem</t>
  </si>
  <si>
    <t>'+923334240081</t>
  </si>
  <si>
    <t>Ahmad Ali</t>
  </si>
  <si>
    <t>'+923267956998</t>
  </si>
  <si>
    <t>19</t>
  </si>
  <si>
    <t>Hunain Babar</t>
  </si>
  <si>
    <t>'+923268740002</t>
  </si>
  <si>
    <t>Muhammad Aariz azeem</t>
  </si>
  <si>
    <t>Saeed Ahmad</t>
  </si>
  <si>
    <t>'+923034490249</t>
  </si>
  <si>
    <t>Abu Huraira Khan</t>
  </si>
  <si>
    <t>Khizar Abbas</t>
  </si>
  <si>
    <t>'+923134638456</t>
  </si>
  <si>
    <t>Yousaf</t>
  </si>
  <si>
    <t>Muhammad ABDULLAH Tariq</t>
  </si>
  <si>
    <t>'+923224520292</t>
  </si>
  <si>
    <t>Muhammad Hassaan Ibrahim</t>
  </si>
  <si>
    <t>'+923434449824</t>
  </si>
  <si>
    <t>Group 2   |   Murabbi: Bilal bhai</t>
  </si>
  <si>
    <t>Ibrahim Umar</t>
  </si>
  <si>
    <t>Jamshaid Ali</t>
  </si>
  <si>
    <t>Riasat Ali</t>
  </si>
  <si>
    <t>Hamza Ali</t>
  </si>
  <si>
    <t>'+923242606606</t>
  </si>
  <si>
    <t>Rayyan Asif</t>
  </si>
  <si>
    <t xml:space="preserve">Muzamil                                              </t>
  </si>
  <si>
    <t>0324 9626002</t>
  </si>
  <si>
    <t>M.Hammad Khan</t>
  </si>
  <si>
    <t>14</t>
  </si>
  <si>
    <t>Aaliyan akram</t>
  </si>
  <si>
    <t>Hassaan ahmad</t>
  </si>
  <si>
    <t>'+923077082350</t>
  </si>
  <si>
    <t>Wasif Ali</t>
  </si>
  <si>
    <t>'+923274608533</t>
  </si>
  <si>
    <t>Muhammad Hassan</t>
  </si>
  <si>
    <t>'+923444169661</t>
  </si>
  <si>
    <t>Absent(</t>
  </si>
  <si>
    <t>'+923009477499</t>
  </si>
  <si>
    <t>6th</t>
  </si>
  <si>
    <t>Almaan Ahmad</t>
  </si>
  <si>
    <t>'+923134979000</t>
  </si>
  <si>
    <t>Anas Ammar</t>
  </si>
  <si>
    <t>'+923219411798</t>
  </si>
  <si>
    <t>Saad Ammar</t>
  </si>
  <si>
    <t>7th</t>
  </si>
  <si>
    <t>Muhammad Ahmad Yasir</t>
  </si>
  <si>
    <t>'+923464660785</t>
  </si>
  <si>
    <t xml:space="preserve">Absent </t>
  </si>
  <si>
    <t>Abdullah Amir</t>
  </si>
  <si>
    <t>Haris</t>
  </si>
  <si>
    <t>'+923324622325</t>
  </si>
  <si>
    <t xml:space="preserve">Interview on 14 June </t>
  </si>
  <si>
    <t>Muhammad Mair Aamir</t>
  </si>
  <si>
    <t>'+923354214181</t>
  </si>
  <si>
    <t>Muhammad Arij</t>
  </si>
  <si>
    <t>G13</t>
  </si>
  <si>
    <t xml:space="preserve">Musa Farhan </t>
  </si>
  <si>
    <t>G12</t>
  </si>
  <si>
    <t>Muhammad Khizer</t>
  </si>
  <si>
    <t>Musa Sufyan</t>
  </si>
  <si>
    <t>G14</t>
  </si>
  <si>
    <t>'+923218430026</t>
  </si>
  <si>
    <t>G11</t>
  </si>
  <si>
    <t>Hamza Labeeb</t>
  </si>
  <si>
    <t>Malik Muaaz</t>
  </si>
  <si>
    <t>'+923324260832</t>
  </si>
  <si>
    <t>Hammas</t>
  </si>
  <si>
    <t>+923498450410</t>
  </si>
  <si>
    <t>18.0</t>
  </si>
  <si>
    <t>Still not Interviewed but came on 20 June for class</t>
  </si>
  <si>
    <t>Noman (Madrassa)</t>
  </si>
  <si>
    <t>Ahmed</t>
  </si>
  <si>
    <t>+923214804329</t>
  </si>
  <si>
    <t>Abdullah Laiq</t>
  </si>
  <si>
    <t>'+923294427334</t>
  </si>
  <si>
    <t>Hafiz Muhammad Shabn</t>
  </si>
  <si>
    <t>Hafiz Abdul qadeer khan</t>
  </si>
  <si>
    <t>'+923202405244</t>
  </si>
  <si>
    <t>21.0</t>
  </si>
  <si>
    <t>Muhammad Rayan</t>
  </si>
  <si>
    <t>Azeem Shahzad</t>
  </si>
  <si>
    <t>'+923286959529</t>
  </si>
  <si>
    <t>22.0</t>
  </si>
  <si>
    <t>Yasir ali</t>
  </si>
  <si>
    <t>'+923068555569</t>
  </si>
  <si>
    <t>24.0</t>
  </si>
  <si>
    <t>Sayed Ezzam bin Rashid</t>
  </si>
  <si>
    <t>Abdullah Waseem</t>
  </si>
  <si>
    <t xml:space="preserve">Rohan Haroon </t>
  </si>
  <si>
    <t>Hassan Tahir</t>
  </si>
  <si>
    <t xml:space="preserve">Strength </t>
  </si>
  <si>
    <t>Qasim</t>
  </si>
  <si>
    <t>Hambal</t>
  </si>
  <si>
    <t>Waqas Arif</t>
  </si>
  <si>
    <t>Total Present</t>
  </si>
  <si>
    <t>Attendance Percentage</t>
  </si>
  <si>
    <t>Group 2   |   Murabbi: Hassan Basil</t>
  </si>
  <si>
    <t>'+923318444035</t>
  </si>
  <si>
    <t>15</t>
  </si>
  <si>
    <t>Taha Shahid</t>
  </si>
  <si>
    <t>Muhammad Musa Muzaffar</t>
  </si>
  <si>
    <t>'+923326660706</t>
  </si>
  <si>
    <t>Ayan Shahid</t>
  </si>
  <si>
    <t>Muhammad Anees Abbas</t>
  </si>
  <si>
    <t>'+923234658981</t>
  </si>
  <si>
    <t>16</t>
  </si>
  <si>
    <t>Muhammad Abdul Rafay</t>
  </si>
  <si>
    <t>'+923144685997</t>
  </si>
  <si>
    <t>Hafiz Hamza</t>
  </si>
  <si>
    <t>Muhammad Abdullah Faheem</t>
  </si>
  <si>
    <t>'+923146263358</t>
  </si>
  <si>
    <t>Umair</t>
  </si>
  <si>
    <t>Muhammad Ibrahim</t>
  </si>
  <si>
    <t>Hassan Ali Awan</t>
  </si>
  <si>
    <t>'+923320417060</t>
  </si>
  <si>
    <t>Aliyan</t>
  </si>
  <si>
    <t>'+923280645187</t>
  </si>
  <si>
    <t>Qasim Gondal</t>
  </si>
  <si>
    <t>'+923144988298</t>
  </si>
  <si>
    <t>Rizwan Ahmad</t>
  </si>
  <si>
    <t>'+923214472569</t>
  </si>
  <si>
    <t>17</t>
  </si>
  <si>
    <t>Group 3   |   Murabbi: Danish Qureshi</t>
  </si>
  <si>
    <t>Zayan Waris</t>
  </si>
  <si>
    <t>'+923080113307</t>
  </si>
  <si>
    <t>Ayaann Nazir</t>
  </si>
  <si>
    <t>'+923081519175</t>
  </si>
  <si>
    <t>Muhammad Noman</t>
  </si>
  <si>
    <t>'+923447892217</t>
  </si>
  <si>
    <t>Ali Gohar</t>
  </si>
  <si>
    <t>'+923324483853</t>
  </si>
  <si>
    <t>Muhammad Affan Faisal</t>
  </si>
  <si>
    <t>'+923165184937</t>
  </si>
  <si>
    <t>Abdul Ahad</t>
  </si>
  <si>
    <t>'+923211171908</t>
  </si>
  <si>
    <t>MUHAMMAD ZAIN UL ABIDEEN</t>
  </si>
  <si>
    <t>'+923219443047</t>
  </si>
  <si>
    <t>Abdul Ghiyass</t>
  </si>
  <si>
    <t>'+923269764360</t>
  </si>
  <si>
    <t>23</t>
  </si>
  <si>
    <t>M. Faizan</t>
  </si>
  <si>
    <t>'+923707299576</t>
  </si>
  <si>
    <t>M Subhani Bin Farhat</t>
  </si>
  <si>
    <t>'+923010059982</t>
  </si>
  <si>
    <t>📋 GULSHAN RAVI PARK  |  SHABAB BATCH 4  |  2026-2027</t>
  </si>
  <si>
    <t>Park: Gulshan Ravi  |  Batch 4  |  Classes: C1–C74  |  May 2026 – Jan 2027</t>
  </si>
  <si>
    <t>Muhammad Bin Khalil</t>
  </si>
  <si>
    <t>'+923249539733</t>
  </si>
  <si>
    <t>Talha nazim</t>
  </si>
  <si>
    <t>M Umar Adnan</t>
  </si>
  <si>
    <t>'+923377444226</t>
  </si>
  <si>
    <t>Ahmad Bin Khalil</t>
  </si>
  <si>
    <t>'+923275323954</t>
  </si>
  <si>
    <t>Muhammad Bin shahid</t>
  </si>
  <si>
    <t>Mustafa Hasan</t>
  </si>
  <si>
    <t>'+923214050200</t>
  </si>
  <si>
    <t>Abdurrafay</t>
  </si>
  <si>
    <t>'+923184568965</t>
  </si>
  <si>
    <t>'+923214804329</t>
  </si>
  <si>
    <t>Abdullah Tauseef</t>
  </si>
  <si>
    <t>'+923357360424</t>
  </si>
  <si>
    <t>Muhammad Basit</t>
  </si>
  <si>
    <t>+923334449539</t>
  </si>
  <si>
    <t>Ghulam nabi</t>
  </si>
  <si>
    <t>Muawin</t>
  </si>
  <si>
    <t>Ali Shehzad</t>
  </si>
  <si>
    <t>'+923294650213</t>
  </si>
  <si>
    <t>Abdullah Qasim</t>
  </si>
  <si>
    <t>Usarim</t>
  </si>
  <si>
    <t>Ibrahim Javed</t>
  </si>
  <si>
    <t>'+923068958894</t>
  </si>
  <si>
    <t>AbuBakr</t>
  </si>
  <si>
    <t>HAFIZ MUHAMMAD BIN SAJJAD</t>
  </si>
  <si>
    <t>'+923260341442</t>
  </si>
  <si>
    <t>Hafiz Ubaidullah Zahid</t>
  </si>
  <si>
    <t>Hafiz Abdul Hadi Zahid</t>
  </si>
  <si>
    <t>MUHAMMAD AHMAD</t>
  </si>
  <si>
    <t>'+923224991088</t>
  </si>
  <si>
    <t>Ayan</t>
  </si>
  <si>
    <t>Mahd</t>
  </si>
  <si>
    <t>Ismail Aslam</t>
  </si>
  <si>
    <t>'+923097421288</t>
  </si>
  <si>
    <t>Haris Ahmad</t>
  </si>
  <si>
    <t>'+923314919272</t>
  </si>
  <si>
    <t>Group 1   |   Murabbi: Muhammad Bin shahid</t>
  </si>
  <si>
    <t>Ubaid Fareed</t>
  </si>
  <si>
    <t>+92 333 6577 7111</t>
  </si>
  <si>
    <t>Muhammad Azeem Badar</t>
  </si>
  <si>
    <t>'+923156276757</t>
  </si>
  <si>
    <t>Mohsin Atif</t>
  </si>
  <si>
    <t>'+923265860712</t>
  </si>
  <si>
    <t>Abdullah Mehboob</t>
  </si>
  <si>
    <t>'+923260524089</t>
  </si>
  <si>
    <t>Huwaitib Hashim</t>
  </si>
  <si>
    <t>'+923044013905</t>
  </si>
  <si>
    <t>'+923004968577</t>
  </si>
  <si>
    <t>abdur rehman</t>
  </si>
  <si>
    <t>'+923096894834</t>
  </si>
  <si>
    <t>Mahad Awais</t>
  </si>
  <si>
    <t>'+923224555439</t>
  </si>
  <si>
    <t>hassan khurram</t>
  </si>
  <si>
    <t>'+923706851477</t>
  </si>
  <si>
    <t>Aliyan Malik</t>
  </si>
  <si>
    <t>'+923034197676</t>
  </si>
  <si>
    <t>Ubaadah</t>
  </si>
  <si>
    <t>'+923256577086</t>
  </si>
  <si>
    <t>📋 STATE LIFE PARK  |  SHABAB BATCH 4  |  2026-2027</t>
  </si>
  <si>
    <t>Park: State Life  |  Batch 4  |  Classes: C1–C74  |  May 2026 – Jan 2027</t>
  </si>
  <si>
    <t>Muhammad Ramzan</t>
  </si>
  <si>
    <t>'+923024296300</t>
  </si>
  <si>
    <t>Asad ullah Aslam</t>
  </si>
  <si>
    <t>'+923004175029</t>
  </si>
  <si>
    <t>Amir Ghauri</t>
  </si>
  <si>
    <t>Abdul Rahman</t>
  </si>
  <si>
    <t>Ibad ur rehman</t>
  </si>
  <si>
    <t>'+923334286082</t>
  </si>
  <si>
    <t>Sarim</t>
  </si>
  <si>
    <t>Hanzala Sarfaraz</t>
  </si>
  <si>
    <t>Hafiz Muhammad Alqamah</t>
  </si>
  <si>
    <t>'+923180141637</t>
  </si>
  <si>
    <t>Muhammad Shayan Faisal</t>
  </si>
  <si>
    <t>Molana Asakir</t>
  </si>
  <si>
    <t>hashir khurram</t>
  </si>
  <si>
    <t>'+923704755223</t>
  </si>
  <si>
    <t>Wahab Ahmad</t>
  </si>
  <si>
    <t>Faizan Ali</t>
  </si>
  <si>
    <t>Abdul Hannan</t>
  </si>
  <si>
    <t>Abdullah Imran</t>
  </si>
  <si>
    <t>Huzaifa Sarfaraz</t>
  </si>
  <si>
    <t>Zubair Ali</t>
  </si>
  <si>
    <t>Arham</t>
  </si>
  <si>
    <t>Farhan Sohail</t>
  </si>
  <si>
    <t>Kaab</t>
  </si>
  <si>
    <t>Abdullah Taimoor</t>
  </si>
  <si>
    <t xml:space="preserve">Group 1   |   Murabbi: </t>
  </si>
  <si>
    <t>Muhammad Umar Sajeel</t>
  </si>
  <si>
    <t>'+923315058119</t>
  </si>
  <si>
    <t>Dawood</t>
  </si>
  <si>
    <t>Ayan Nadeem</t>
  </si>
  <si>
    <t>+92 332 6717 2007.0</t>
  </si>
  <si>
    <t>Usman</t>
  </si>
  <si>
    <t>Hifz</t>
  </si>
  <si>
    <t>Arham tariq</t>
  </si>
  <si>
    <t>'+923088406064</t>
  </si>
  <si>
    <t>Muhammad Abad ullah</t>
  </si>
  <si>
    <t>'+923008450918</t>
  </si>
  <si>
    <t>Ibrahim Arshad</t>
  </si>
  <si>
    <t>Muhammad Fayyazuddin Yasir</t>
  </si>
  <si>
    <t>'+923215541555</t>
  </si>
  <si>
    <t>Muhammad bin Qasim</t>
  </si>
  <si>
    <t>Subhan</t>
  </si>
  <si>
    <t>Hafiz Muhammad muzammil</t>
  </si>
  <si>
    <t>'+923207199999</t>
  </si>
  <si>
    <t>Arman Tahir</t>
  </si>
  <si>
    <t>Maroof Ul Hassan</t>
  </si>
  <si>
    <t>'+923493443306</t>
  </si>
  <si>
    <t>Muhammad saad</t>
  </si>
  <si>
    <t>Muhammad Itzaz</t>
  </si>
  <si>
    <t>Group 2   |   Murabbi: Abdullah Tauseef</t>
  </si>
  <si>
    <t>Muhammed Waleed Khurram</t>
  </si>
  <si>
    <t>'+923204427521</t>
  </si>
  <si>
    <t>10 class</t>
  </si>
  <si>
    <t>Ali Ejaz</t>
  </si>
  <si>
    <t>'+923196432095</t>
  </si>
  <si>
    <t>husssain ahmed</t>
  </si>
  <si>
    <t>+92 032 1715 3566</t>
  </si>
  <si>
    <t>Ali Hassan Wasti</t>
  </si>
  <si>
    <t>'+923264782164</t>
  </si>
  <si>
    <t>Hafiz Hamza Javed</t>
  </si>
  <si>
    <t>'+923235105146</t>
  </si>
  <si>
    <t>23.0</t>
  </si>
  <si>
    <t>zulgurnain</t>
  </si>
  <si>
    <t>'+923004528117</t>
  </si>
  <si>
    <t>9th class</t>
  </si>
  <si>
    <t>M Hasnain Zahid (Sahil)</t>
  </si>
  <si>
    <t>umer iqbal</t>
  </si>
  <si>
    <t>'+923214677683</t>
  </si>
  <si>
    <t>Muhammad Hashir</t>
  </si>
  <si>
    <t>'+923004131342</t>
  </si>
  <si>
    <t>⚙  OFF WEEKENDS  |  D column mein OFF likhein → saray parks mein apply hoga</t>
  </si>
  <si>
    <t>← OFF likhein</t>
  </si>
  <si>
    <t>laique</t>
  </si>
  <si>
    <t>'+923264494835</t>
  </si>
  <si>
    <t>Hammad Ali</t>
  </si>
  <si>
    <t>'+923274462376</t>
  </si>
  <si>
    <t>Ali Hamza</t>
  </si>
  <si>
    <t>'+923096553885</t>
  </si>
  <si>
    <t>Hafiz Tayyab Rajpoot</t>
  </si>
  <si>
    <t>'+923346586624</t>
  </si>
  <si>
    <t>Anas</t>
  </si>
  <si>
    <t>bilal khalid</t>
  </si>
  <si>
    <t>'+923049560123</t>
  </si>
  <si>
    <t>📊  MURABBI MASHAWARA LOG  |  Shabab Batch 4  |  2026-2027</t>
  </si>
  <si>
    <t>Header mein date likhein (koi bhi din — Wed, Sat, Sun) → Attendance mark karein → ATT% auto aayegi</t>
  </si>
  <si>
    <t>Naam</t>
  </si>
  <si>
    <t>Role</t>
  </si>
  <si>
    <t>ATT%</t>
  </si>
  <si>
    <t>← Date 1</t>
  </si>
  <si>
    <t>← Date 2</t>
  </si>
  <si>
    <t>← Date 3</t>
  </si>
  <si>
    <t>← Date 4</t>
  </si>
  <si>
    <t>← Date 5</t>
  </si>
  <si>
    <t>← Date 6</t>
  </si>
  <si>
    <t>← Date 7</t>
  </si>
  <si>
    <t>← Date 8</t>
  </si>
  <si>
    <t>← Date 9</t>
  </si>
  <si>
    <t>← Date 10</t>
  </si>
  <si>
    <t>← Date 11</t>
  </si>
  <si>
    <t>← Date 12</t>
  </si>
  <si>
    <t>← Date 13</t>
  </si>
  <si>
    <t>← Date 14</t>
  </si>
  <si>
    <t>← Date 15</t>
  </si>
  <si>
    <t>← Date 16</t>
  </si>
  <si>
    <t>← Date 17</t>
  </si>
  <si>
    <t>← Date 18</t>
  </si>
  <si>
    <t>← Date 19</t>
  </si>
  <si>
    <t>← Date 20</t>
  </si>
  <si>
    <t>← Date 21</t>
  </si>
  <si>
    <t>← Date 22</t>
  </si>
  <si>
    <t>← Date 23</t>
  </si>
  <si>
    <t>← Date 24</t>
  </si>
  <si>
    <t>← Date 25</t>
  </si>
  <si>
    <t>← Date 26</t>
  </si>
  <si>
    <t>← Date 27</t>
  </si>
  <si>
    <t>← Date 28</t>
  </si>
  <si>
    <t>← Date 29</t>
  </si>
  <si>
    <t>← Date 30</t>
  </si>
  <si>
    <t>▶  Gulberg  —  12 Murabbis</t>
  </si>
  <si>
    <t>sufyan danish</t>
  </si>
  <si>
    <t>'+923354156858</t>
  </si>
  <si>
    <t xml:space="preserve">adil Ibrahim </t>
  </si>
  <si>
    <t>Sports Lead</t>
  </si>
  <si>
    <t>Sports Muawin</t>
  </si>
  <si>
    <t>Park Admin</t>
  </si>
  <si>
    <t>Media Lead</t>
  </si>
  <si>
    <t>Skills Muawin</t>
  </si>
  <si>
    <t>danish</t>
  </si>
  <si>
    <t>Saifullah Nadeem</t>
  </si>
  <si>
    <t>'+923066071569</t>
  </si>
  <si>
    <t>1st year</t>
  </si>
  <si>
    <t>▶  Gulshan Iqbal  —  7 Murabbis</t>
  </si>
  <si>
    <t>Abdul Rafey</t>
  </si>
  <si>
    <t>Ikrima Ibrahim</t>
  </si>
  <si>
    <t>'+923208420115</t>
  </si>
  <si>
    <t>10th class</t>
  </si>
  <si>
    <t>▶  Griffin  —  2 Murabbis</t>
  </si>
  <si>
    <t>▶  Johar Town  —  7 Murabbis</t>
  </si>
  <si>
    <t>'+923064429260</t>
  </si>
  <si>
    <t>▶  Gulshan Ravi  —  9 Murabbis</t>
  </si>
  <si>
    <t>Muhammad Bin Jibran</t>
  </si>
  <si>
    <t>'+923358470075</t>
  </si>
  <si>
    <t>A level</t>
  </si>
  <si>
    <t>▶  State Life  —  4 Murabbis</t>
  </si>
  <si>
    <t>Fayyah</t>
  </si>
  <si>
    <t>📊  TOTAL PRESENT (saray parks)</t>
  </si>
  <si>
    <t>Ali Haider</t>
  </si>
  <si>
    <t>'+923454033697</t>
  </si>
  <si>
    <t>M. Abdullah Tasneem</t>
  </si>
  <si>
    <t>Inam ul hassan</t>
  </si>
  <si>
    <t>📖  SHABAB BATCH 4 – GUIDE  |  Kaise Use Karein</t>
  </si>
  <si>
    <t>➕  NAYA STUDENT KAISE ADD KAREIN</t>
  </si>
  <si>
    <t>1</t>
  </si>
  <si>
    <t>Sahi park ki sheet kholein</t>
  </si>
  <si>
    <t>Tabs mein se apna park select karein</t>
  </si>
  <si>
    <t>2</t>
  </si>
  <si>
    <t>Sahi group dhundein</t>
  </si>
  <si>
    <t>Group ka green header dhundein — Group 1/2/3</t>
  </si>
  <si>
    <t>3</t>
  </si>
  <si>
    <t>Extra row mein naam likhein</t>
  </si>
  <si>
    <t>Har group ke neeche blank rows hain — seedha naam likhdein</t>
  </si>
  <si>
    <t>4</t>
  </si>
  <si>
    <t>Phone number add karein</t>
  </si>
  <si>
    <t>Pehle apostrophe likhein phir number: '+923001234567</t>
  </si>
  <si>
    <t>5</t>
  </si>
  <si>
    <t>Age aur Grade bharein</t>
  </si>
  <si>
    <t>Age: sirf number | Grade: 10th, O Level, Hafiz etc</t>
  </si>
  <si>
    <t>✅  ATTENDANCE KAISE MARK KAREIN</t>
  </si>
  <si>
    <t>Park sheet kholein</t>
  </si>
  <si>
    <t>Jo park ki class ho rahi ho us sheet pe jaein</t>
  </si>
  <si>
    <t>Sahi date ka column dhundein</t>
  </si>
  <si>
    <t>Row 3 mein C1,C2... | Row 4 mein dates</t>
  </si>
  <si>
    <t>Dropdown se select karein</t>
  </si>
  <si>
    <t>Present / Absent / Leave / Late / Sat Off / N/A / Dropout</t>
  </si>
  <si>
    <t>N/A kab use karein</t>
  </si>
  <si>
    <t>Jab bacha baad mein join kare aur uski purani classes ka data na ho — N/A select karein. Yeh % Haazri mein count nahi hoga</t>
  </si>
  <si>
    <t>🎨  ATTENDANCE COLORS</t>
  </si>
  <si>
    <t>🟢 Present</t>
  </si>
  <si>
    <t>Class mein aaya</t>
  </si>
  <si>
    <t>🔴 Absent</t>
  </si>
  <si>
    <t>Class mein nahi aaya</t>
  </si>
  <si>
    <t>🟡 Leave</t>
  </si>
  <si>
    <t>Leave pe tha</t>
  </si>
  <si>
    <t>🟠 Late</t>
  </si>
  <si>
    <t>Late aaya</t>
  </si>
  <si>
    <t>🟣 Sat Off</t>
  </si>
  <si>
    <t>Saturday ko nahi aa sakta</t>
  </si>
  <si>
    <t>⚫ Dropout</t>
  </si>
  <si>
    <t>Batch chor di</t>
  </si>
  <si>
    <t>⬜ N/A</t>
  </si>
  <si>
    <t>Baad mein join kiya — purani class ka data nahi</t>
  </si>
  <si>
    <t>⬜ OFF</t>
  </si>
  <si>
    <t>Us din class nahi thi</t>
  </si>
  <si>
    <t>📋  SHEETS KI LIST</t>
  </si>
  <si>
    <t>→</t>
  </si>
  <si>
    <t>📋 Student Summary</t>
  </si>
  <si>
    <t>Saray students ek jagah — live data</t>
  </si>
  <si>
    <t>👨‍🏫 Murabbi Summary</t>
  </si>
  <si>
    <t>Saray murabbis ki haazri aur status</t>
  </si>
  <si>
    <t>📊 Class Stats</t>
  </si>
  <si>
    <t>Har class ki Present/Absent/Late stats</t>
  </si>
  <si>
    <t>Gulberg / Gulshan_Iqbal etc</t>
  </si>
  <si>
    <t>Park-wise attendance sheets</t>
  </si>
  <si>
    <t>⚙ OFF Weekends</t>
  </si>
  <si>
    <t>D column mein OFF likhein → saray parks mein apply</t>
  </si>
  <si>
    <t>📖 Instructions</t>
  </si>
  <si>
    <t>Yeh sheet</t>
  </si>
  <si>
    <t xml:space="preserve">Nouman abid </t>
  </si>
  <si>
    <t>Sohban usman</t>
  </si>
  <si>
    <t>Zayan</t>
  </si>
  <si>
    <t xml:space="preserve">Abu baker </t>
  </si>
  <si>
    <t xml:space="preserve">Hasaan shakir </t>
  </si>
  <si>
    <t xml:space="preserve">Taha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</si>
</sst>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4">
    <font>
      <sz val="11.0"/>
      <color theme="1"/>
      <name val="Calibri"/>
      <scheme val="minor"/>
    </font>
    <font>
      <b/>
      <sz val="12.0"/>
      <color rgb="FFFFFFFF"/>
      <name val="Arial"/>
    </font>
    <font/>
    <font>
      <b/>
      <sz val="10.0"/>
      <color rgb="FFFFFFFF"/>
      <name val="Arial"/>
    </font>
    <font>
      <i/>
      <sz val="9.0"/>
      <color rgb="FFFFFFFF"/>
      <name val="Arial"/>
    </font>
    <font>
      <sz val="9.0"/>
      <color theme="1"/>
      <name val="Arial"/>
    </font>
    <font>
      <b/>
      <sz val="9.0"/>
      <color rgb="FF0D47A1"/>
      <name val="Arial"/>
    </font>
    <font>
      <i/>
      <sz val="8.0"/>
      <color rgb="FFFFFFFF"/>
      <name val="Arial"/>
    </font>
    <font>
      <b/>
      <u/>
      <sz val="9.0"/>
      <color rgb="FF1B5E20"/>
      <name val="Arial"/>
    </font>
    <font>
      <b/>
      <sz val="9.0"/>
      <color rgb="FF1B5E20"/>
      <name val="Arial"/>
    </font>
    <font>
      <u/>
      <sz val="9.0"/>
      <color rgb="FF0000FF"/>
      <name val="Arial"/>
    </font>
    <font>
      <b/>
      <sz val="8.0"/>
      <color rgb="FF1B5E20"/>
      <name val="Arial"/>
    </font>
    <font>
      <b/>
      <sz val="8.0"/>
      <color rgb="FFB71C1C"/>
      <name val="Arial"/>
    </font>
    <font>
      <b/>
      <sz val="8.0"/>
      <color rgb="FF5D4037"/>
      <name val="Arial"/>
    </font>
    <font>
      <b/>
      <sz val="8.0"/>
      <color rgb="FFE65100"/>
      <name val="Arial"/>
    </font>
    <font>
      <b/>
      <sz val="8.0"/>
      <color rgb="FF1A5C38"/>
      <name val="Arial"/>
    </font>
    <font>
      <sz val="11.0"/>
      <color theme="1"/>
      <name val="Calibri"/>
    </font>
    <font>
      <b/>
      <sz val="7.0"/>
      <color rgb="FFFFFFFF"/>
      <name val="Arial"/>
    </font>
    <font>
      <u/>
      <sz val="9.0"/>
      <color rgb="FF0000FF"/>
      <name val="Arial"/>
    </font>
    <font>
      <b/>
      <u/>
      <sz val="9.0"/>
      <color rgb="FF1B5E20"/>
      <name val="Arial"/>
    </font>
    <font>
      <b/>
      <sz val="9.0"/>
      <color theme="1"/>
      <name val="Arial"/>
    </font>
    <font>
      <b/>
      <u/>
      <sz val="9.0"/>
      <color rgb="FF1B5E20"/>
      <name val="Arial"/>
    </font>
    <font>
      <b/>
      <sz val="8.0"/>
      <color rgb="FFFFFFFF"/>
      <name val="Arial"/>
    </font>
    <font>
      <b/>
      <sz val="8.0"/>
      <color rgb="FF37474F"/>
      <name val="Arial"/>
    </font>
    <font>
      <b/>
      <sz val="9.0"/>
      <color rgb="FF000000"/>
      <name val="Arial"/>
    </font>
    <font>
      <b/>
      <sz val="8.0"/>
      <color rgb="FF000000"/>
      <name val="Arial"/>
    </font>
    <font>
      <b/>
      <sz val="9.0"/>
      <color rgb="FF1A5C38"/>
      <name val="Arial"/>
    </font>
    <font>
      <sz val="9.0"/>
      <color rgb="FF2E7D50"/>
      <name val="Arial"/>
    </font>
    <font>
      <sz val="9.0"/>
      <color rgb="FF0D47A1"/>
      <name val="Arial"/>
    </font>
    <font>
      <u/>
      <sz val="9.0"/>
      <color rgb="FF1B5E20"/>
      <name val="Arial"/>
    </font>
    <font>
      <u/>
      <sz val="9.0"/>
      <color theme="1"/>
      <name val="Arial"/>
    </font>
    <font>
      <sz val="9.0"/>
      <color rgb="FF1B5E20"/>
      <name val="Arial"/>
    </font>
    <font>
      <u/>
      <sz val="9.0"/>
      <color rgb="FF2E7D50"/>
      <name val="Arial"/>
    </font>
    <font>
      <b/>
      <u/>
      <sz val="9.0"/>
      <color rgb="FF1B5E20"/>
      <name val="Arial"/>
    </font>
    <font>
      <b/>
      <u/>
      <sz val="9.0"/>
      <color rgb="FF1B5E20"/>
      <name val="Arial"/>
    </font>
    <font>
      <b/>
      <sz val="11.0"/>
      <color rgb="FFFFFFFF"/>
      <name val="Arial"/>
    </font>
    <font>
      <sz val="9.0"/>
      <color rgb="FF9E9E9E"/>
      <name val="Arial"/>
    </font>
    <font>
      <b/>
      <u/>
      <sz val="9.0"/>
      <color rgb="FF1B5E20"/>
      <name val="Arial"/>
    </font>
    <font>
      <sz val="8.0"/>
      <color theme="1"/>
      <name val="Arial"/>
    </font>
    <font>
      <sz val="8.0"/>
      <color rgb="FF000000"/>
      <name val="Arial"/>
    </font>
    <font>
      <b/>
      <sz val="8.0"/>
      <color rgb="FF757575"/>
      <name val="Arial"/>
    </font>
    <font>
      <color rgb="FF000000"/>
      <name val="Arial"/>
    </font>
    <font>
      <b/>
      <sz val="10.0"/>
      <color rgb="FF000000"/>
      <name val="Arial"/>
    </font>
    <font>
      <i/>
      <sz val="8.0"/>
      <color rgb="FF9E9E9E"/>
      <name val="Arial"/>
    </font>
    <font>
      <b/>
      <sz val="13.0"/>
      <color rgb="FFFFFFFF"/>
      <name val="Arial"/>
    </font>
    <font>
      <b/>
      <sz val="9.0"/>
      <color rgb="FFFFFFFF"/>
      <name val="Arial"/>
    </font>
    <font>
      <i/>
      <sz val="8.0"/>
      <color rgb="FFB0BEC5"/>
      <name val="Arial"/>
    </font>
    <font>
      <color theme="1"/>
      <name val="Calibri"/>
      <scheme val="minor"/>
    </font>
    <font>
      <b/>
      <sz val="14.0"/>
      <color rgb="FFFFFFFF"/>
      <name val="Arial"/>
    </font>
    <font>
      <b/>
      <sz val="10.0"/>
      <color theme="1"/>
      <name val="Arial"/>
    </font>
    <font>
      <b/>
      <sz val="9.0"/>
      <color rgb="FF5D4037"/>
      <name val="Arial"/>
    </font>
    <font>
      <b/>
      <sz val="9.0"/>
      <color rgb="FF757575"/>
      <name val="Arial"/>
    </font>
    <font>
      <b/>
      <sz val="9.0"/>
      <color rgb="FF37474F"/>
      <name val="Arial"/>
    </font>
    <font>
      <b/>
      <sz val="11.0"/>
      <color rgb="FF1565C0"/>
      <name val="Arial"/>
    </font>
  </fonts>
  <fills count="47">
    <fill>
      <patternFill patternType="none"/>
    </fill>
    <fill>
      <patternFill patternType="lightGray"/>
    </fill>
    <fill>
      <patternFill patternType="solid">
        <fgColor rgb="FF1565C0"/>
        <bgColor rgb="FF1565C0"/>
      </patternFill>
    </fill>
    <fill>
      <patternFill patternType="solid">
        <fgColor rgb="FF1A5C38"/>
        <bgColor rgb="FF1A5C38"/>
      </patternFill>
    </fill>
    <fill>
      <patternFill patternType="solid">
        <fgColor rgb="FF2E7D50"/>
        <bgColor rgb="FF2E7D50"/>
      </patternFill>
    </fill>
    <fill>
      <patternFill patternType="solid">
        <fgColor rgb="FFFFFFFF"/>
        <bgColor rgb="FFFFFFFF"/>
      </patternFill>
    </fill>
    <fill>
      <patternFill patternType="solid">
        <fgColor rgb="FFE65100"/>
        <bgColor rgb="FFE65100"/>
      </patternFill>
    </fill>
    <fill>
      <patternFill patternType="solid">
        <fgColor rgb="FF6A1B9A"/>
        <bgColor rgb="FF6A1B9A"/>
      </patternFill>
    </fill>
    <fill>
      <patternFill patternType="solid">
        <fgColor rgb="FF37474F"/>
        <bgColor rgb="FF37474F"/>
      </patternFill>
    </fill>
    <fill>
      <patternFill patternType="solid">
        <fgColor rgb="FFBF360C"/>
        <bgColor rgb="FFBF360C"/>
      </patternFill>
    </fill>
    <fill>
      <patternFill patternType="solid">
        <fgColor rgb="FFF1FBF4"/>
        <bgColor rgb="FFF1FBF4"/>
      </patternFill>
    </fill>
    <fill>
      <patternFill patternType="solid">
        <fgColor rgb="FFC8E6C9"/>
        <bgColor rgb="FFC8E6C9"/>
      </patternFill>
    </fill>
    <fill>
      <patternFill patternType="solid">
        <fgColor rgb="FFF1FFF4"/>
        <bgColor rgb="FFF1FFF4"/>
      </patternFill>
    </fill>
    <fill>
      <patternFill patternType="solid">
        <fgColor rgb="FFFFF5F5"/>
        <bgColor rgb="FFFFF5F5"/>
      </patternFill>
    </fill>
    <fill>
      <patternFill patternType="solid">
        <fgColor rgb="FFFFFDE7"/>
        <bgColor rgb="FFFFFDE7"/>
      </patternFill>
    </fill>
    <fill>
      <patternFill patternType="solid">
        <fgColor rgb="FFFFF8F0"/>
        <bgColor rgb="FFFFF8F0"/>
      </patternFill>
    </fill>
    <fill>
      <patternFill patternType="solid">
        <fgColor rgb="FFDCEDC8"/>
        <bgColor rgb="FFDCEDC8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4CAF50"/>
        <bgColor rgb="FF4CAF50"/>
      </patternFill>
    </fill>
    <fill>
      <patternFill patternType="solid">
        <fgColor rgb="FFB0BEC5"/>
        <bgColor rgb="FFB0BEC5"/>
      </patternFill>
    </fill>
    <fill>
      <patternFill patternType="solid">
        <fgColor rgb="FFFF9800"/>
        <bgColor rgb="FFFF9800"/>
      </patternFill>
    </fill>
    <fill>
      <patternFill patternType="solid">
        <fgColor rgb="FFD3D3D3"/>
        <bgColor rgb="FFD3D3D3"/>
      </patternFill>
    </fill>
    <fill>
      <patternFill patternType="solid">
        <fgColor rgb="FFCFD8DC"/>
        <bgColor rgb="FFCFD8DC"/>
      </patternFill>
    </fill>
    <fill>
      <patternFill patternType="solid">
        <fgColor rgb="FFF0FFF4"/>
        <bgColor rgb="FFF0FFF4"/>
      </patternFill>
    </fill>
    <fill>
      <patternFill patternType="solid">
        <fgColor rgb="FFEEEEEE"/>
        <bgColor rgb="FFEEEEEE"/>
      </patternFill>
    </fill>
    <fill>
      <patternFill patternType="solid">
        <fgColor rgb="FFFFEB3B"/>
        <bgColor rgb="FFFFEB3B"/>
      </patternFill>
    </fill>
    <fill>
      <patternFill patternType="solid">
        <fgColor rgb="FFF44336"/>
        <bgColor rgb="FFF44336"/>
      </patternFill>
    </fill>
    <fill>
      <patternFill patternType="solid">
        <fgColor rgb="FF9C27B0"/>
        <bgColor rgb="FF9C27B0"/>
      </patternFill>
    </fill>
    <fill>
      <patternFill patternType="solid">
        <fgColor rgb="FF455A64"/>
        <bgColor rgb="FF455A64"/>
      </patternFill>
    </fill>
    <fill>
      <patternFill patternType="solid">
        <fgColor rgb="FFE0E0E0"/>
        <bgColor rgb="FFE0E0E0"/>
      </patternFill>
    </fill>
    <fill>
      <patternFill patternType="solid">
        <fgColor rgb="FFE3F2FD"/>
        <bgColor rgb="FFE3F2FD"/>
      </patternFill>
    </fill>
    <fill>
      <patternFill patternType="solid">
        <fgColor rgb="FFF5F5F5"/>
        <bgColor rgb="FFF5F5F5"/>
      </patternFill>
    </fill>
    <fill>
      <patternFill patternType="solid">
        <fgColor rgb="FF9E9E9E"/>
        <bgColor rgb="FF9E9E9E"/>
      </patternFill>
    </fill>
    <fill>
      <patternFill patternType="solid">
        <fgColor theme="6"/>
        <bgColor theme="6"/>
      </patternFill>
    </fill>
    <fill>
      <patternFill patternType="solid">
        <fgColor rgb="FF607D8B"/>
        <bgColor rgb="FF607D8B"/>
      </patternFill>
    </fill>
    <fill>
      <patternFill patternType="solid">
        <fgColor rgb="FFBBDEFB"/>
        <bgColor rgb="FFBBDEFB"/>
      </patternFill>
    </fill>
    <fill>
      <patternFill patternType="solid">
        <fgColor rgb="FFFFE0B2"/>
        <bgColor rgb="FFFFE0B2"/>
      </patternFill>
    </fill>
    <fill>
      <patternFill patternType="solid">
        <fgColor rgb="FFF3E5F5"/>
        <bgColor rgb="FFF3E5F5"/>
      </patternFill>
    </fill>
    <fill>
      <patternFill patternType="solid">
        <fgColor rgb="FFE1BEE7"/>
        <bgColor rgb="FFE1BEE7"/>
      </patternFill>
    </fill>
    <fill>
      <patternFill patternType="solid">
        <fgColor rgb="FF00695C"/>
        <bgColor rgb="FF00695C"/>
      </patternFill>
    </fill>
    <fill>
      <patternFill patternType="solid">
        <fgColor rgb="FFE0F2F1"/>
        <bgColor rgb="FFE0F2F1"/>
      </patternFill>
    </fill>
    <fill>
      <patternFill patternType="solid">
        <fgColor rgb="FFB2DFDB"/>
        <bgColor rgb="FFB2DFDB"/>
      </patternFill>
    </fill>
    <fill>
      <patternFill patternType="solid">
        <fgColor rgb="FFFCE4EC"/>
        <bgColor rgb="FFFCE4EC"/>
      </patternFill>
    </fill>
    <fill>
      <patternFill patternType="solid">
        <fgColor rgb="FFF8BBD9"/>
        <bgColor rgb="FFF8BBD9"/>
      </patternFill>
    </fill>
    <fill>
      <patternFill patternType="solid">
        <fgColor rgb="FFFFF8E1"/>
        <bgColor rgb="FFFFF8E1"/>
      </patternFill>
    </fill>
    <fill>
      <patternFill patternType="solid">
        <fgColor rgb="FFF8F8F8"/>
        <bgColor rgb="FFF8F8F8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2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1" fillId="4" fontId="4" numFmtId="0" xfId="0" applyAlignment="1" applyBorder="1" applyFill="1" applyFont="1">
      <alignment horizontal="left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1" fillId="6" fontId="3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ont="1">
      <alignment horizontal="left" shrinkToFit="0" vertical="center" wrapText="1"/>
    </xf>
    <xf borderId="1" fillId="7" fontId="3" numFmtId="0" xfId="0" applyAlignment="1" applyBorder="1" applyFill="1" applyFont="1">
      <alignment horizontal="center" shrinkToFit="0" vertical="center" wrapText="1"/>
    </xf>
    <xf borderId="4" fillId="5" fontId="5" numFmtId="49" xfId="0" applyAlignment="1" applyBorder="1" applyFont="1" applyNumberFormat="1">
      <alignment horizontal="left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  <xf borderId="1" fillId="9" fontId="3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ont="1">
      <alignment horizontal="center" shrinkToFit="0" vertical="center" wrapText="1"/>
    </xf>
    <xf borderId="1" fillId="4" fontId="7" numFmtId="0" xfId="0" applyAlignment="1" applyBorder="1" applyFont="1">
      <alignment horizontal="left" shrinkToFit="0" vertical="center" wrapText="1"/>
    </xf>
    <xf borderId="4" fillId="5" fontId="8" numFmtId="0" xfId="0" applyAlignment="1" applyBorder="1" applyFont="1">
      <alignment horizontal="center" shrinkToFit="0" vertical="center" wrapText="1"/>
    </xf>
    <xf borderId="4" fillId="10" fontId="5" numFmtId="0" xfId="0" applyAlignment="1" applyBorder="1" applyFill="1" applyFont="1">
      <alignment horizontal="center" shrinkToFit="0" vertical="center" wrapText="1"/>
    </xf>
    <xf borderId="4" fillId="11" fontId="5" numFmtId="0" xfId="0" applyAlignment="1" applyBorder="1" applyFill="1" applyFont="1">
      <alignment horizontal="center" shrinkToFit="0" vertical="center" wrapText="1"/>
    </xf>
    <xf borderId="4" fillId="10" fontId="5" numFmtId="0" xfId="0" applyAlignment="1" applyBorder="1" applyFont="1">
      <alignment horizontal="left" shrinkToFit="0" vertical="center" wrapText="1"/>
    </xf>
    <xf borderId="4" fillId="10" fontId="5" numFmtId="49" xfId="0" applyAlignment="1" applyBorder="1" applyFont="1" applyNumberFormat="1">
      <alignment horizontal="left" shrinkToFit="0" vertical="center" wrapText="1"/>
    </xf>
    <xf borderId="4" fillId="10" fontId="6" numFmtId="0" xfId="0" applyAlignment="1" applyBorder="1" applyFont="1">
      <alignment horizontal="center" shrinkToFit="0" vertical="center" wrapText="1"/>
    </xf>
    <xf borderId="4" fillId="11" fontId="5" numFmtId="0" xfId="0" applyAlignment="1" applyBorder="1" applyFont="1">
      <alignment horizontal="left" shrinkToFit="0" vertical="center" wrapText="1"/>
    </xf>
    <xf borderId="4" fillId="10" fontId="9" numFmtId="0" xfId="0" applyAlignment="1" applyBorder="1" applyFont="1">
      <alignment horizontal="center" shrinkToFit="0" vertical="center" wrapText="1"/>
    </xf>
    <xf borderId="4" fillId="11" fontId="5" numFmtId="49" xfId="0" applyAlignment="1" applyBorder="1" applyFont="1" applyNumberFormat="1">
      <alignment horizontal="center" shrinkToFit="0" vertical="center" wrapText="1"/>
    </xf>
    <xf borderId="4" fillId="5" fontId="9" numFmtId="0" xfId="0" applyAlignment="1" applyBorder="1" applyFont="1">
      <alignment horizontal="center" shrinkToFit="0" vertical="center" wrapText="1"/>
    </xf>
    <xf borderId="4" fillId="11" fontId="10" numFmtId="0" xfId="0" applyAlignment="1" applyBorder="1" applyFont="1">
      <alignment horizontal="center" shrinkToFit="0" vertical="center" wrapText="1"/>
    </xf>
    <xf borderId="4" fillId="12" fontId="11" numFmtId="0" xfId="0" applyAlignment="1" applyBorder="1" applyFill="1" applyFont="1">
      <alignment horizontal="center" shrinkToFit="0" vertical="center" wrapText="1"/>
    </xf>
    <xf borderId="4" fillId="13" fontId="12" numFmtId="0" xfId="0" applyAlignment="1" applyBorder="1" applyFill="1" applyFont="1">
      <alignment horizontal="center" shrinkToFit="0" vertical="center" wrapText="1"/>
    </xf>
    <xf borderId="4" fillId="14" fontId="13" numFmtId="0" xfId="0" applyAlignment="1" applyBorder="1" applyFill="1" applyFont="1">
      <alignment horizontal="center" shrinkToFit="0" vertical="center" wrapText="1"/>
    </xf>
    <xf borderId="4" fillId="15" fontId="14" numFmtId="0" xfId="0" applyAlignment="1" applyBorder="1" applyFill="1" applyFont="1">
      <alignment horizontal="center" shrinkToFit="0" vertical="center" wrapText="1"/>
    </xf>
    <xf borderId="4" fillId="16" fontId="5" numFmtId="0" xfId="0" applyAlignment="1" applyBorder="1" applyFill="1" applyFont="1">
      <alignment horizontal="center" shrinkToFit="0" vertical="center" wrapText="1"/>
    </xf>
    <xf borderId="4" fillId="16" fontId="5" numFmtId="0" xfId="0" applyAlignment="1" applyBorder="1" applyFont="1">
      <alignment horizontal="left" shrinkToFit="0" vertical="center" wrapText="1"/>
    </xf>
    <xf borderId="4" fillId="17" fontId="15" numFmtId="0" xfId="0" applyAlignment="1" applyBorder="1" applyFill="1" applyFont="1">
      <alignment horizontal="center" shrinkToFit="0" vertical="center" wrapText="1"/>
    </xf>
    <xf borderId="4" fillId="16" fontId="5" numFmtId="49" xfId="0" applyAlignment="1" applyBorder="1" applyFont="1" applyNumberFormat="1">
      <alignment horizontal="center" shrinkToFit="0" vertical="center" wrapText="1"/>
    </xf>
    <xf borderId="4" fillId="8" fontId="16" numFmtId="0" xfId="0" applyAlignment="1" applyBorder="1" applyFont="1">
      <alignment shrinkToFit="0" vertical="bottom" wrapText="0"/>
    </xf>
    <xf borderId="4" fillId="8" fontId="17" numFmtId="0" xfId="0" applyAlignment="1" applyBorder="1" applyFont="1">
      <alignment horizontal="center" shrinkToFit="0" vertical="center" wrapText="1"/>
    </xf>
    <xf borderId="4" fillId="16" fontId="18" numFmtId="0" xfId="0" applyAlignment="1" applyBorder="1" applyFont="1">
      <alignment horizontal="center" shrinkToFit="0" vertical="center" wrapText="1"/>
    </xf>
    <xf borderId="4" fillId="10" fontId="19" numFmtId="0" xfId="0" applyAlignment="1" applyBorder="1" applyFont="1">
      <alignment horizontal="center" shrinkToFit="0" vertical="center" wrapText="1"/>
    </xf>
    <xf borderId="4" fillId="18" fontId="20" numFmtId="0" xfId="0" applyAlignment="1" applyBorder="1" applyFill="1" applyFont="1">
      <alignment horizontal="center" shrinkToFit="0" vertical="center" wrapText="1"/>
    </xf>
    <xf borderId="4" fillId="18" fontId="5" numFmtId="0" xfId="0" applyAlignment="1" applyBorder="1" applyFont="1">
      <alignment horizontal="left" shrinkToFit="0" vertical="center" wrapText="1"/>
    </xf>
    <xf quotePrefix="1" borderId="4" fillId="18" fontId="5" numFmtId="49" xfId="0" applyAlignment="1" applyBorder="1" applyFont="1" applyNumberFormat="1">
      <alignment horizontal="left" readingOrder="0" shrinkToFit="0" vertical="center" wrapText="1"/>
    </xf>
    <xf borderId="4" fillId="18" fontId="6" numFmtId="0" xfId="0" applyAlignment="1" applyBorder="1" applyFont="1">
      <alignment horizontal="center" shrinkToFit="0" vertical="center" wrapText="1"/>
    </xf>
    <xf borderId="4" fillId="18" fontId="21" numFmtId="0" xfId="0" applyAlignment="1" applyBorder="1" applyFont="1">
      <alignment horizontal="center" shrinkToFit="0" vertical="center" wrapText="1"/>
    </xf>
    <xf borderId="4" fillId="18" fontId="5" numFmtId="0" xfId="0" applyAlignment="1" applyBorder="1" applyFont="1">
      <alignment horizontal="center" shrinkToFit="0" vertical="center" wrapText="1"/>
    </xf>
    <xf borderId="4" fillId="19" fontId="22" numFmtId="0" xfId="0" applyAlignment="1" applyBorder="1" applyFill="1" applyFont="1">
      <alignment horizontal="center" shrinkToFit="0" vertical="center" wrapText="0"/>
    </xf>
    <xf borderId="4" fillId="20" fontId="23" numFmtId="0" xfId="0" applyAlignment="1" applyBorder="1" applyFill="1" applyFont="1">
      <alignment horizontal="center" shrinkToFit="0" vertical="center" wrapText="0"/>
    </xf>
    <xf borderId="4" fillId="21" fontId="22" numFmtId="0" xfId="0" applyAlignment="1" applyBorder="1" applyFill="1" applyFont="1">
      <alignment horizontal="center" shrinkToFit="0" vertical="center" wrapText="0"/>
    </xf>
    <xf borderId="4" fillId="17" fontId="24" numFmtId="0" xfId="0" applyAlignment="1" applyBorder="1" applyFont="1">
      <alignment horizontal="center" shrinkToFit="0" vertical="center" wrapText="1"/>
    </xf>
    <xf borderId="4" fillId="22" fontId="25" numFmtId="0" xfId="0" applyAlignment="1" applyBorder="1" applyFill="1" applyFont="1">
      <alignment horizontal="center" readingOrder="0" shrinkToFit="0" vertical="center" wrapText="0"/>
    </xf>
    <xf borderId="4" fillId="23" fontId="25" numFmtId="0" xfId="0" applyAlignment="1" applyBorder="1" applyFill="1" applyFont="1">
      <alignment horizontal="center" readingOrder="0" shrinkToFit="0" vertical="center" wrapText="0"/>
    </xf>
    <xf borderId="4" fillId="22" fontId="25" numFmtId="0" xfId="0" applyAlignment="1" applyBorder="1" applyFont="1">
      <alignment horizontal="center" shrinkToFit="0" vertical="center" wrapText="0"/>
    </xf>
    <xf borderId="4" fillId="11" fontId="26" numFmtId="0" xfId="0" applyAlignment="1" applyBorder="1" applyFont="1">
      <alignment horizontal="center" shrinkToFit="0" vertical="center" wrapText="1"/>
    </xf>
    <xf borderId="4" fillId="23" fontId="25" numFmtId="0" xfId="0" applyAlignment="1" applyBorder="1" applyFont="1">
      <alignment horizontal="center" shrinkToFit="0" vertical="center" wrapText="0"/>
    </xf>
    <xf borderId="4" fillId="24" fontId="27" numFmtId="0" xfId="0" applyAlignment="1" applyBorder="1" applyFill="1" applyFont="1">
      <alignment horizontal="center" shrinkToFit="0" vertical="center" wrapText="1"/>
    </xf>
    <xf borderId="4" fillId="24" fontId="27" numFmtId="0" xfId="0" applyAlignment="1" applyBorder="1" applyFont="1">
      <alignment horizontal="left" shrinkToFit="0" vertical="center" wrapText="1"/>
    </xf>
    <xf borderId="4" fillId="24" fontId="27" numFmtId="49" xfId="0" applyAlignment="1" applyBorder="1" applyFont="1" applyNumberFormat="1">
      <alignment horizontal="center" shrinkToFit="0" vertical="center" wrapText="1"/>
    </xf>
    <xf borderId="4" fillId="24" fontId="28" numFmtId="0" xfId="0" applyAlignment="1" applyBorder="1" applyFont="1">
      <alignment horizontal="center" shrinkToFit="0" vertical="center" wrapText="1"/>
    </xf>
    <xf borderId="4" fillId="24" fontId="29" numFmtId="0" xfId="0" applyAlignment="1" applyBorder="1" applyFont="1">
      <alignment horizontal="center" shrinkToFit="0" vertical="center" wrapText="1"/>
    </xf>
    <xf borderId="4" fillId="16" fontId="30" numFmtId="0" xfId="0" applyAlignment="1" applyBorder="1" applyFont="1">
      <alignment horizontal="center" shrinkToFit="0" vertical="center" wrapText="1"/>
    </xf>
    <xf borderId="4" fillId="17" fontId="27" numFmtId="0" xfId="0" applyAlignment="1" applyBorder="1" applyFont="1">
      <alignment horizontal="center" shrinkToFit="0" vertical="center" wrapText="1"/>
    </xf>
    <xf borderId="4" fillId="24" fontId="31" numFmtId="0" xfId="0" applyAlignment="1" applyBorder="1" applyFont="1">
      <alignment horizontal="center" shrinkToFit="0" vertical="center" wrapText="1"/>
    </xf>
    <xf borderId="4" fillId="17" fontId="27" numFmtId="0" xfId="0" applyAlignment="1" applyBorder="1" applyFont="1">
      <alignment horizontal="left" shrinkToFit="0" vertical="center" wrapText="1"/>
    </xf>
    <xf borderId="4" fillId="17" fontId="32" numFmtId="0" xfId="0" applyAlignment="1" applyBorder="1" applyFont="1">
      <alignment horizontal="center" shrinkToFit="0" vertical="center" wrapText="1"/>
    </xf>
    <xf borderId="1" fillId="25" fontId="16" numFmtId="0" xfId="0" applyAlignment="1" applyBorder="1" applyFill="1" applyFont="1">
      <alignment shrinkToFit="0" vertical="bottom" wrapText="0"/>
    </xf>
    <xf borderId="4" fillId="11" fontId="20" numFmtId="0" xfId="0" applyAlignment="1" applyBorder="1" applyFont="1">
      <alignment horizontal="center" shrinkToFit="0" vertical="center" wrapText="1"/>
    </xf>
    <xf borderId="4" fillId="11" fontId="5" numFmtId="49" xfId="0" applyAlignment="1" applyBorder="1" applyFont="1" applyNumberFormat="1">
      <alignment horizontal="left" shrinkToFit="0" vertical="center" wrapText="1"/>
    </xf>
    <xf borderId="4" fillId="11" fontId="6" numFmtId="0" xfId="0" applyAlignment="1" applyBorder="1" applyFont="1">
      <alignment horizontal="center" shrinkToFit="0" vertical="center" wrapText="1"/>
    </xf>
    <xf borderId="4" fillId="11" fontId="33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shrinkToFit="0" vertical="bottom" wrapText="0"/>
    </xf>
    <xf borderId="4" fillId="16" fontId="20" numFmtId="0" xfId="0" applyAlignment="1" applyBorder="1" applyFont="1">
      <alignment horizontal="center" shrinkToFit="0" vertical="center" wrapText="1"/>
    </xf>
    <xf borderId="4" fillId="16" fontId="5" numFmtId="49" xfId="0" applyAlignment="1" applyBorder="1" applyFont="1" applyNumberFormat="1">
      <alignment horizontal="left" shrinkToFit="0" vertical="center" wrapText="1"/>
    </xf>
    <xf borderId="4" fillId="16" fontId="6" numFmtId="0" xfId="0" applyAlignment="1" applyBorder="1" applyFont="1">
      <alignment horizontal="center" shrinkToFit="0" vertical="center" wrapText="1"/>
    </xf>
    <xf borderId="4" fillId="16" fontId="34" numFmtId="0" xfId="0" applyAlignment="1" applyBorder="1" applyFont="1">
      <alignment horizontal="center" shrinkToFit="0" vertical="center" wrapText="1"/>
    </xf>
    <xf borderId="4" fillId="26" fontId="13" numFmtId="0" xfId="0" applyAlignment="1" applyBorder="1" applyFill="1" applyFont="1">
      <alignment horizontal="center" shrinkToFit="0" vertical="center" wrapText="0"/>
    </xf>
    <xf borderId="4" fillId="16" fontId="5" numFmtId="0" xfId="0" applyAlignment="1" applyBorder="1" applyFont="1">
      <alignment horizontal="center" readingOrder="0" shrinkToFit="0" vertical="center" wrapText="1"/>
    </xf>
    <xf borderId="4" fillId="27" fontId="22" numFmtId="0" xfId="0" applyAlignment="1" applyBorder="1" applyFill="1" applyFont="1">
      <alignment horizontal="center" shrinkToFit="0" vertical="center" wrapText="0"/>
    </xf>
    <xf borderId="4" fillId="16" fontId="9" numFmtId="0" xfId="0" applyAlignment="1" applyBorder="1" applyFont="1">
      <alignment horizontal="center" shrinkToFit="0" vertical="center" wrapText="1"/>
    </xf>
    <xf borderId="4" fillId="11" fontId="5" numFmtId="0" xfId="0" applyAlignment="1" applyBorder="1" applyFont="1">
      <alignment horizontal="center" readingOrder="0" shrinkToFit="0" vertical="center" wrapText="1"/>
    </xf>
    <xf quotePrefix="1" borderId="4" fillId="16" fontId="5" numFmtId="49" xfId="0" applyAlignment="1" applyBorder="1" applyFont="1" applyNumberFormat="1">
      <alignment horizontal="left" readingOrder="0" shrinkToFit="0" vertical="center" wrapText="1"/>
    </xf>
    <xf borderId="1" fillId="3" fontId="35" numFmtId="0" xfId="0" applyAlignment="1" applyBorder="1" applyFont="1">
      <alignment horizontal="center" shrinkToFit="0" vertical="center" wrapText="1"/>
    </xf>
    <xf borderId="4" fillId="17" fontId="36" numFmtId="0" xfId="0" applyAlignment="1" applyBorder="1" applyFont="1">
      <alignment horizontal="center" shrinkToFit="0" vertical="center" wrapText="1"/>
    </xf>
    <xf borderId="4" fillId="17" fontId="16" numFmtId="0" xfId="0" applyAlignment="1" applyBorder="1" applyFont="1">
      <alignment horizontal="left" readingOrder="0" shrinkToFit="0" vertical="center" wrapText="1"/>
    </xf>
    <xf quotePrefix="1" borderId="4" fillId="17" fontId="16" numFmtId="0" xfId="0" applyAlignment="1" applyBorder="1" applyFont="1">
      <alignment horizontal="left" readingOrder="0" shrinkToFit="0" vertical="center" wrapText="1"/>
    </xf>
    <xf borderId="4" fillId="17" fontId="6" numFmtId="0" xfId="0" applyAlignment="1" applyBorder="1" applyFont="1">
      <alignment horizontal="center" shrinkToFit="0" vertical="center" wrapText="1"/>
    </xf>
    <xf borderId="4" fillId="17" fontId="37" numFmtId="0" xfId="0" applyAlignment="1" applyBorder="1" applyFont="1">
      <alignment horizontal="center" shrinkToFit="0" vertical="center" wrapText="1"/>
    </xf>
    <xf borderId="4" fillId="17" fontId="16" numFmtId="0" xfId="0" applyAlignment="1" applyBorder="1" applyFont="1">
      <alignment horizontal="center" shrinkToFit="0" vertical="center" wrapText="1"/>
    </xf>
    <xf borderId="4" fillId="17" fontId="38" numFmtId="0" xfId="0" applyAlignment="1" applyBorder="1" applyFont="1">
      <alignment horizontal="center" shrinkToFit="0" vertical="center" wrapText="0"/>
    </xf>
    <xf borderId="4" fillId="17" fontId="38" numFmtId="0" xfId="0" applyAlignment="1" applyBorder="1" applyFont="1">
      <alignment horizontal="center" readingOrder="0" shrinkToFit="0" vertical="center" wrapText="0"/>
    </xf>
    <xf borderId="4" fillId="17" fontId="16" numFmtId="0" xfId="0" applyAlignment="1" applyBorder="1" applyFont="1">
      <alignment shrinkToFit="0" vertical="bottom" wrapText="0"/>
    </xf>
    <xf borderId="4" fillId="17" fontId="9" numFmtId="0" xfId="0" applyAlignment="1" applyBorder="1" applyFont="1">
      <alignment horizontal="center" shrinkToFit="0" vertical="center" wrapText="1"/>
    </xf>
    <xf borderId="4" fillId="17" fontId="16" numFmtId="0" xfId="0" applyAlignment="1" applyBorder="1" applyFont="1">
      <alignment horizontal="center" readingOrder="0" shrinkToFit="0" vertical="center" wrapText="1"/>
    </xf>
    <xf borderId="4" fillId="5" fontId="20" numFmtId="0" xfId="0" applyAlignment="1" applyBorder="1" applyFont="1">
      <alignment horizontal="center" shrinkToFit="0" vertical="center" wrapText="1"/>
    </xf>
    <xf borderId="4" fillId="10" fontId="20" numFmtId="0" xfId="0" applyAlignment="1" applyBorder="1" applyFont="1">
      <alignment horizontal="center" shrinkToFit="0" vertical="center" wrapText="1"/>
    </xf>
    <xf borderId="4" fillId="18" fontId="5" numFmtId="49" xfId="0" applyAlignment="1" applyBorder="1" applyFont="1" applyNumberFormat="1">
      <alignment horizontal="left" shrinkToFit="0" vertical="center" wrapText="1"/>
    </xf>
    <xf borderId="4" fillId="23" fontId="39" numFmtId="0" xfId="0" applyAlignment="1" applyBorder="1" applyFont="1">
      <alignment horizontal="center" readingOrder="0" shrinkToFit="0" vertical="center" wrapText="0"/>
    </xf>
    <xf borderId="4" fillId="11" fontId="9" numFmtId="0" xfId="0" applyAlignment="1" applyBorder="1" applyFont="1">
      <alignment horizontal="center" shrinkToFit="0" vertical="center" wrapText="1"/>
    </xf>
    <xf borderId="4" fillId="28" fontId="22" numFmtId="0" xfId="0" applyAlignment="1" applyBorder="1" applyFill="1" applyFont="1">
      <alignment horizontal="center" shrinkToFit="0" vertical="center" wrapText="0"/>
    </xf>
    <xf borderId="4" fillId="29" fontId="22" numFmtId="0" xfId="0" applyAlignment="1" applyBorder="1" applyFill="1" applyFont="1">
      <alignment horizontal="center" shrinkToFit="0" vertical="center" wrapText="0"/>
    </xf>
    <xf borderId="4" fillId="30" fontId="40" numFmtId="0" xfId="0" applyAlignment="1" applyBorder="1" applyFill="1" applyFont="1">
      <alignment horizontal="center" shrinkToFit="0" vertical="center" wrapText="0"/>
    </xf>
    <xf quotePrefix="1" borderId="4" fillId="10" fontId="5" numFmtId="49" xfId="0" applyAlignment="1" applyBorder="1" applyFont="1" applyNumberFormat="1">
      <alignment horizontal="left" shrinkToFit="0" vertical="center" wrapText="1"/>
    </xf>
    <xf borderId="4" fillId="10" fontId="5" numFmtId="0" xfId="0" applyAlignment="1" applyBorder="1" applyFont="1">
      <alignment horizontal="center" readingOrder="0" shrinkToFit="0" vertical="center" wrapText="1"/>
    </xf>
    <xf borderId="4" fillId="22" fontId="39" numFmtId="0" xfId="0" applyAlignment="1" applyBorder="1" applyFont="1">
      <alignment horizontal="center" readingOrder="0" shrinkToFit="0" vertical="center" wrapText="0"/>
    </xf>
    <xf borderId="1" fillId="31" fontId="20" numFmtId="0" xfId="0" applyAlignment="1" applyBorder="1" applyFill="1" applyFont="1">
      <alignment horizontal="center" shrinkToFit="0" vertical="center" wrapText="1"/>
    </xf>
    <xf borderId="4" fillId="24" fontId="36" numFmtId="0" xfId="0" applyAlignment="1" applyBorder="1" applyFont="1">
      <alignment horizontal="center" shrinkToFit="0" vertical="center" wrapText="1"/>
    </xf>
    <xf borderId="4" fillId="24" fontId="16" numFmtId="0" xfId="0" applyAlignment="1" applyBorder="1" applyFont="1">
      <alignment horizontal="center" shrinkToFit="0" vertical="center" wrapText="1"/>
    </xf>
    <xf borderId="4" fillId="24" fontId="6" numFmtId="0" xfId="0" applyAlignment="1" applyBorder="1" applyFont="1">
      <alignment horizontal="center" shrinkToFit="0" vertical="center" wrapText="1"/>
    </xf>
    <xf borderId="4" fillId="24" fontId="9" numFmtId="0" xfId="0" applyAlignment="1" applyBorder="1" applyFont="1">
      <alignment horizontal="center" shrinkToFit="0" vertical="center" wrapText="1"/>
    </xf>
    <xf borderId="4" fillId="24" fontId="38" numFmtId="0" xfId="0" applyAlignment="1" applyBorder="1" applyFont="1">
      <alignment horizontal="center" shrinkToFit="0" vertical="center" wrapText="0"/>
    </xf>
    <xf borderId="4" fillId="24" fontId="16" numFmtId="0" xfId="0" applyAlignment="1" applyBorder="1" applyFont="1">
      <alignment shrinkToFit="0" vertical="bottom" wrapText="0"/>
    </xf>
    <xf borderId="1" fillId="17" fontId="15" numFmtId="0" xfId="0" applyAlignment="1" applyBorder="1" applyFont="1">
      <alignment horizontal="left" shrinkToFit="0" vertical="center" wrapText="1"/>
    </xf>
    <xf borderId="1" fillId="32" fontId="16" numFmtId="0" xfId="0" applyAlignment="1" applyBorder="1" applyFill="1" applyFont="1">
      <alignment shrinkToFit="0" vertical="bottom" wrapText="0"/>
    </xf>
    <xf borderId="4" fillId="18" fontId="9" numFmtId="0" xfId="0" applyAlignment="1" applyBorder="1" applyFont="1">
      <alignment horizontal="center" shrinkToFit="0" vertical="center" wrapText="1"/>
    </xf>
    <xf borderId="4" fillId="29" fontId="22" numFmtId="0" xfId="0" applyAlignment="1" applyBorder="1" applyFont="1">
      <alignment horizontal="center" readingOrder="0" shrinkToFit="0" vertical="center" wrapText="0"/>
    </xf>
    <xf borderId="4" fillId="5" fontId="5" numFmtId="0" xfId="0" applyAlignment="1" applyBorder="1" applyFont="1">
      <alignment horizontal="left" readingOrder="0" shrinkToFit="0" vertical="center" wrapText="1"/>
    </xf>
    <xf quotePrefix="1" borderId="4" fillId="5" fontId="5" numFmtId="49" xfId="0" applyAlignment="1" applyBorder="1" applyFont="1" applyNumberFormat="1">
      <alignment horizontal="left" readingOrder="0" shrinkToFit="0" vertical="center" wrapText="1"/>
    </xf>
    <xf borderId="4" fillId="5" fontId="5" numFmtId="0" xfId="0" applyAlignment="1" applyBorder="1" applyFont="1">
      <alignment horizontal="center" readingOrder="0" shrinkToFit="0" vertical="center" wrapText="1"/>
    </xf>
    <xf borderId="4" fillId="24" fontId="16" numFmtId="0" xfId="0" applyAlignment="1" applyBorder="1" applyFont="1">
      <alignment horizontal="center" readingOrder="0" shrinkToFit="0" vertical="center" wrapText="1"/>
    </xf>
    <xf borderId="4" fillId="24" fontId="38" numFmtId="0" xfId="0" applyAlignment="1" applyBorder="1" applyFont="1">
      <alignment horizontal="center" readingOrder="0" shrinkToFit="0" vertical="center" wrapText="0"/>
    </xf>
    <xf borderId="4" fillId="26" fontId="13" numFmtId="0" xfId="0" applyAlignment="1" applyBorder="1" applyFont="1">
      <alignment horizontal="center" readingOrder="0" shrinkToFit="0" vertical="center" wrapText="0"/>
    </xf>
    <xf borderId="0" fillId="24" fontId="16" numFmtId="0" xfId="0" applyAlignment="1" applyFont="1">
      <alignment horizontal="center" readingOrder="0" shrinkToFit="0" vertical="center" wrapText="1"/>
    </xf>
    <xf borderId="0" fillId="24" fontId="16" numFmtId="0" xfId="0" applyAlignment="1" applyFont="1">
      <alignment horizontal="center" shrinkToFit="0" vertical="center" wrapText="1"/>
    </xf>
    <xf borderId="0" fillId="24" fontId="6" numFmtId="0" xfId="0" applyAlignment="1" applyFont="1">
      <alignment horizontal="center" shrinkToFit="0" vertical="center" wrapText="1"/>
    </xf>
    <xf borderId="0" fillId="24" fontId="9" numFmtId="0" xfId="0" applyAlignment="1" applyFont="1">
      <alignment horizontal="center" shrinkToFit="0" vertical="center" wrapText="1"/>
    </xf>
    <xf borderId="0" fillId="24" fontId="38" numFmtId="0" xfId="0" applyAlignment="1" applyFont="1">
      <alignment horizontal="center" shrinkToFit="0" vertical="center" wrapText="0"/>
    </xf>
    <xf borderId="0" fillId="24" fontId="38" numFmtId="0" xfId="0" applyAlignment="1" applyFont="1">
      <alignment horizontal="center" readingOrder="0" shrinkToFit="0" vertical="center" wrapText="0"/>
    </xf>
    <xf borderId="0" fillId="24" fontId="16" numFmtId="0" xfId="0" applyAlignment="1" applyFont="1">
      <alignment shrinkToFit="0" vertical="bottom" wrapText="0"/>
    </xf>
    <xf borderId="4" fillId="27" fontId="22" numFmtId="0" xfId="0" applyAlignment="1" applyBorder="1" applyFont="1">
      <alignment horizontal="center" readingOrder="0" shrinkToFit="0" vertical="center" wrapText="0"/>
    </xf>
    <xf borderId="0" fillId="0" fontId="16" numFmtId="0" xfId="0" applyAlignment="1" applyFont="1">
      <alignment horizontal="right" shrinkToFit="0" vertical="bottom" wrapText="0"/>
    </xf>
    <xf borderId="0" fillId="0" fontId="16" numFmtId="0" xfId="0" applyAlignment="1" applyFont="1">
      <alignment readingOrder="0" shrinkToFit="0" vertical="bottom" wrapText="0"/>
    </xf>
    <xf quotePrefix="1" borderId="4" fillId="10" fontId="5" numFmtId="49" xfId="0" applyAlignment="1" applyBorder="1" applyFont="1" applyNumberFormat="1">
      <alignment horizontal="left" readingOrder="0" shrinkToFit="0" vertical="center" wrapText="1"/>
    </xf>
    <xf borderId="5" fillId="17" fontId="15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33" fontId="41" numFmtId="0" xfId="0" applyAlignment="1" applyBorder="1" applyFill="1" applyFont="1">
      <alignment vertical="bottom"/>
    </xf>
    <xf borderId="9" fillId="0" fontId="2" numFmtId="0" xfId="0" applyBorder="1" applyFont="1"/>
    <xf borderId="10" fillId="0" fontId="2" numFmtId="0" xfId="0" applyBorder="1" applyFont="1"/>
    <xf borderId="0" fillId="33" fontId="42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left" shrinkToFit="0" vertical="center" wrapText="1"/>
    </xf>
    <xf borderId="8" fillId="27" fontId="41" numFmtId="0" xfId="0" applyAlignment="1" applyBorder="1" applyFont="1">
      <alignment vertical="bottom"/>
    </xf>
    <xf borderId="0" fillId="27" fontId="42" numFmtId="0" xfId="0" applyAlignment="1" applyFont="1">
      <alignment horizontal="left" readingOrder="0" shrinkToFit="0" vertical="center" wrapText="1"/>
    </xf>
    <xf borderId="4" fillId="24" fontId="16" numFmtId="0" xfId="0" applyAlignment="1" applyBorder="1" applyFont="1">
      <alignment horizontal="left" readingOrder="0" shrinkToFit="0" vertical="center" wrapText="1"/>
    </xf>
    <xf borderId="8" fillId="26" fontId="41" numFmtId="0" xfId="0" applyAlignment="1" applyBorder="1" applyFont="1">
      <alignment vertical="bottom"/>
    </xf>
    <xf borderId="0" fillId="26" fontId="42" numFmtId="0" xfId="0" applyAlignment="1" applyFont="1">
      <alignment horizontal="left" shrinkToFit="0" vertical="center" wrapText="1"/>
    </xf>
    <xf borderId="8" fillId="19" fontId="41" numFmtId="0" xfId="0" applyAlignment="1" applyBorder="1" applyFont="1">
      <alignment vertical="bottom"/>
    </xf>
    <xf borderId="0" fillId="19" fontId="42" numFmtId="0" xfId="0" applyAlignment="1" applyFont="1">
      <alignment horizontal="left" readingOrder="0" shrinkToFit="0" vertical="center" wrapText="1"/>
    </xf>
    <xf borderId="8" fillId="21" fontId="41" numFmtId="0" xfId="0" applyAlignment="1" applyBorder="1" applyFont="1">
      <alignment vertical="bottom"/>
    </xf>
    <xf borderId="0" fillId="21" fontId="42" numFmtId="0" xfId="0" applyAlignment="1" applyFont="1">
      <alignment horizontal="left" shrinkToFit="0" vertical="center" wrapText="1"/>
    </xf>
    <xf borderId="8" fillId="34" fontId="41" numFmtId="0" xfId="0" applyAlignment="1" applyBorder="1" applyFill="1" applyFont="1">
      <alignment vertical="bottom"/>
    </xf>
    <xf borderId="0" fillId="34" fontId="42" numFmtId="0" xfId="0" applyAlignment="1" applyFont="1">
      <alignment horizontal="left" shrinkToFit="0" vertical="center" wrapText="1"/>
    </xf>
    <xf borderId="8" fillId="24" fontId="41" numFmtId="0" xfId="0" applyAlignment="1" applyBorder="1" applyFont="1">
      <alignment readingOrder="0" vertical="bottom"/>
    </xf>
    <xf borderId="0" fillId="5" fontId="42" numFmtId="0" xfId="0" applyAlignment="1" applyFont="1">
      <alignment horizontal="left" readingOrder="0" shrinkToFit="0" vertical="center" wrapText="1"/>
    </xf>
    <xf borderId="11" fillId="32" fontId="16" numFmtId="0" xfId="0" applyAlignment="1" applyBorder="1" applyFont="1">
      <alignment shrinkToFit="0" vertical="bottom" wrapText="0"/>
    </xf>
    <xf borderId="12" fillId="0" fontId="2" numFmtId="0" xfId="0" applyBorder="1" applyFont="1"/>
    <xf borderId="13" fillId="0" fontId="2" numFmtId="0" xfId="0" applyBorder="1" applyFont="1"/>
    <xf borderId="4" fillId="24" fontId="5" numFmtId="0" xfId="0" applyAlignment="1" applyBorder="1" applyFont="1">
      <alignment horizontal="left" readingOrder="0" shrinkToFit="0" vertical="center" wrapText="1"/>
    </xf>
    <xf borderId="1" fillId="35" fontId="3" numFmtId="0" xfId="0" applyAlignment="1" applyBorder="1" applyFill="1" applyFont="1">
      <alignment horizontal="center" shrinkToFit="0" vertical="center" wrapText="1"/>
    </xf>
    <xf borderId="4" fillId="0" fontId="43" numFmtId="0" xfId="0" applyAlignment="1" applyBorder="1" applyFont="1">
      <alignment horizontal="left" shrinkToFit="0" vertical="center" wrapText="1"/>
    </xf>
    <xf borderId="4" fillId="31" fontId="5" numFmtId="0" xfId="0" applyAlignment="1" applyBorder="1" applyFont="1">
      <alignment horizontal="center" shrinkToFit="0" vertical="center" wrapText="1"/>
    </xf>
    <xf borderId="4" fillId="18" fontId="5" numFmtId="0" xfId="0" applyAlignment="1" applyBorder="1" applyFont="1">
      <alignment horizontal="center" readingOrder="0" shrinkToFit="0" vertical="center" wrapText="1"/>
    </xf>
    <xf borderId="1" fillId="3" fontId="44" numFmtId="0" xfId="0" applyAlignment="1" applyBorder="1" applyFont="1">
      <alignment horizontal="center" shrinkToFit="0" vertical="center" wrapText="0"/>
    </xf>
    <xf borderId="1" fillId="4" fontId="4" numFmtId="0" xfId="0" applyAlignment="1" applyBorder="1" applyFont="1">
      <alignment horizontal="left" shrinkToFit="0" vertical="center" wrapText="0"/>
    </xf>
    <xf borderId="4" fillId="2" fontId="45" numFmtId="0" xfId="0" applyAlignment="1" applyBorder="1" applyFont="1">
      <alignment horizontal="center" shrinkToFit="0" vertical="center" wrapText="0"/>
    </xf>
    <xf borderId="4" fillId="8" fontId="46" numFmtId="0" xfId="0" applyAlignment="1" applyBorder="1" applyFont="1">
      <alignment horizontal="center" shrinkToFit="0" vertical="center" wrapText="0"/>
    </xf>
    <xf borderId="1" fillId="3" fontId="3" numFmtId="0" xfId="0" applyAlignment="1" applyBorder="1" applyFont="1">
      <alignment horizontal="left" shrinkToFit="0" vertical="center" wrapText="0"/>
    </xf>
    <xf borderId="4" fillId="17" fontId="20" numFmtId="0" xfId="0" applyAlignment="1" applyBorder="1" applyFont="1">
      <alignment horizontal="left" shrinkToFit="0" vertical="center" wrapText="0"/>
    </xf>
    <xf borderId="4" fillId="17" fontId="5" numFmtId="0" xfId="0" applyAlignment="1" applyBorder="1" applyFont="1">
      <alignment horizontal="center" shrinkToFit="0" vertical="center" wrapText="0"/>
    </xf>
    <xf borderId="4" fillId="11" fontId="26" numFmtId="0" xfId="0" applyAlignment="1" applyBorder="1" applyFont="1">
      <alignment horizontal="center" shrinkToFit="0" vertical="center" wrapText="0"/>
    </xf>
    <xf borderId="4" fillId="25" fontId="16" numFmtId="0" xfId="0" applyAlignment="1" applyBorder="1" applyFont="1">
      <alignment shrinkToFit="0" vertical="bottom" wrapText="0"/>
    </xf>
    <xf borderId="4" fillId="17" fontId="20" numFmtId="0" xfId="0" applyAlignment="1" applyBorder="1" applyFont="1">
      <alignment horizontal="center" shrinkToFit="0" vertical="center" wrapText="0"/>
    </xf>
    <xf borderId="4" fillId="11" fontId="20" numFmtId="0" xfId="0" applyAlignment="1" applyBorder="1" applyFont="1">
      <alignment horizontal="left" shrinkToFit="0" vertical="center" wrapText="0"/>
    </xf>
    <xf borderId="4" fillId="11" fontId="5" numFmtId="0" xfId="0" applyAlignment="1" applyBorder="1" applyFont="1">
      <alignment horizontal="center" shrinkToFit="0" vertical="center" wrapText="0"/>
    </xf>
    <xf borderId="4" fillId="11" fontId="20" numFmtId="0" xfId="0" applyAlignment="1" applyBorder="1" applyFont="1">
      <alignment horizontal="center" shrinkToFit="0" vertical="center" wrapText="0"/>
    </xf>
    <xf borderId="0" fillId="0" fontId="47" numFmtId="0" xfId="0" applyFont="1"/>
    <xf borderId="1" fillId="2" fontId="3" numFmtId="0" xfId="0" applyAlignment="1" applyBorder="1" applyFont="1">
      <alignment horizontal="left" shrinkToFit="0" vertical="center" wrapText="0"/>
    </xf>
    <xf borderId="4" fillId="31" fontId="20" numFmtId="0" xfId="0" applyAlignment="1" applyBorder="1" applyFont="1">
      <alignment horizontal="left" shrinkToFit="0" vertical="center" wrapText="0"/>
    </xf>
    <xf borderId="4" fillId="31" fontId="5" numFmtId="0" xfId="0" applyAlignment="1" applyBorder="1" applyFont="1">
      <alignment horizontal="center" shrinkToFit="0" vertical="center" wrapText="0"/>
    </xf>
    <xf borderId="4" fillId="31" fontId="20" numFmtId="0" xfId="0" applyAlignment="1" applyBorder="1" applyFont="1">
      <alignment horizontal="center" shrinkToFit="0" vertical="center" wrapText="0"/>
    </xf>
    <xf borderId="4" fillId="36" fontId="20" numFmtId="0" xfId="0" applyAlignment="1" applyBorder="1" applyFill="1" applyFont="1">
      <alignment horizontal="left" shrinkToFit="0" vertical="center" wrapText="0"/>
    </xf>
    <xf borderId="4" fillId="36" fontId="5" numFmtId="0" xfId="0" applyAlignment="1" applyBorder="1" applyFont="1">
      <alignment horizontal="center" shrinkToFit="0" vertical="center" wrapText="0"/>
    </xf>
    <xf borderId="4" fillId="36" fontId="20" numFmtId="0" xfId="0" applyAlignment="1" applyBorder="1" applyFont="1">
      <alignment horizontal="center" shrinkToFit="0" vertical="center" wrapText="0"/>
    </xf>
    <xf borderId="1" fillId="6" fontId="3" numFmtId="0" xfId="0" applyAlignment="1" applyBorder="1" applyFont="1">
      <alignment horizontal="left" shrinkToFit="0" vertical="center" wrapText="0"/>
    </xf>
    <xf borderId="4" fillId="18" fontId="20" numFmtId="0" xfId="0" applyAlignment="1" applyBorder="1" applyFont="1">
      <alignment horizontal="left" shrinkToFit="0" vertical="center" wrapText="0"/>
    </xf>
    <xf borderId="4" fillId="18" fontId="5" numFmtId="0" xfId="0" applyAlignment="1" applyBorder="1" applyFont="1">
      <alignment horizontal="center" shrinkToFit="0" vertical="center" wrapText="0"/>
    </xf>
    <xf borderId="4" fillId="18" fontId="20" numFmtId="0" xfId="0" applyAlignment="1" applyBorder="1" applyFont="1">
      <alignment horizontal="center" shrinkToFit="0" vertical="center" wrapText="0"/>
    </xf>
    <xf borderId="4" fillId="37" fontId="20" numFmtId="0" xfId="0" applyAlignment="1" applyBorder="1" applyFill="1" applyFont="1">
      <alignment horizontal="left" shrinkToFit="0" vertical="center" wrapText="0"/>
    </xf>
    <xf borderId="4" fillId="37" fontId="5" numFmtId="0" xfId="0" applyAlignment="1" applyBorder="1" applyFont="1">
      <alignment horizontal="center" shrinkToFit="0" vertical="center" wrapText="0"/>
    </xf>
    <xf borderId="4" fillId="37" fontId="20" numFmtId="0" xfId="0" applyAlignment="1" applyBorder="1" applyFont="1">
      <alignment horizontal="center" shrinkToFit="0" vertical="center" wrapText="0"/>
    </xf>
    <xf borderId="1" fillId="7" fontId="3" numFmtId="0" xfId="0" applyAlignment="1" applyBorder="1" applyFont="1">
      <alignment horizontal="left" shrinkToFit="0" vertical="center" wrapText="0"/>
    </xf>
    <xf borderId="4" fillId="38" fontId="20" numFmtId="0" xfId="0" applyAlignment="1" applyBorder="1" applyFill="1" applyFont="1">
      <alignment horizontal="left" shrinkToFit="0" vertical="center" wrapText="0"/>
    </xf>
    <xf borderId="4" fillId="38" fontId="5" numFmtId="0" xfId="0" applyAlignment="1" applyBorder="1" applyFont="1">
      <alignment horizontal="center" shrinkToFit="0" vertical="center" wrapText="0"/>
    </xf>
    <xf borderId="4" fillId="38" fontId="20" numFmtId="0" xfId="0" applyAlignment="1" applyBorder="1" applyFont="1">
      <alignment horizontal="center" shrinkToFit="0" vertical="center" wrapText="0"/>
    </xf>
    <xf borderId="4" fillId="22" fontId="39" numFmtId="0" xfId="0" applyAlignment="1" applyBorder="1" applyFont="1">
      <alignment horizontal="center" shrinkToFit="0" vertical="center" wrapText="0"/>
    </xf>
    <xf borderId="4" fillId="23" fontId="39" numFmtId="0" xfId="0" applyAlignment="1" applyBorder="1" applyFont="1">
      <alignment horizontal="center" shrinkToFit="0" vertical="center" wrapText="0"/>
    </xf>
    <xf borderId="4" fillId="39" fontId="20" numFmtId="0" xfId="0" applyAlignment="1" applyBorder="1" applyFill="1" applyFont="1">
      <alignment horizontal="left" shrinkToFit="0" vertical="center" wrapText="0"/>
    </xf>
    <xf borderId="4" fillId="39" fontId="5" numFmtId="0" xfId="0" applyAlignment="1" applyBorder="1" applyFont="1">
      <alignment horizontal="center" shrinkToFit="0" vertical="center" wrapText="0"/>
    </xf>
    <xf borderId="4" fillId="39" fontId="20" numFmtId="0" xfId="0" applyAlignment="1" applyBorder="1" applyFont="1">
      <alignment horizontal="center" shrinkToFit="0" vertical="center" wrapText="0"/>
    </xf>
    <xf borderId="1" fillId="40" fontId="3" numFmtId="0" xfId="0" applyAlignment="1" applyBorder="1" applyFill="1" applyFont="1">
      <alignment horizontal="left" shrinkToFit="0" vertical="center" wrapText="0"/>
    </xf>
    <xf borderId="4" fillId="41" fontId="20" numFmtId="0" xfId="0" applyAlignment="1" applyBorder="1" applyFill="1" applyFont="1">
      <alignment horizontal="left" shrinkToFit="0" vertical="center" wrapText="0"/>
    </xf>
    <xf borderId="4" fillId="41" fontId="5" numFmtId="0" xfId="0" applyAlignment="1" applyBorder="1" applyFont="1">
      <alignment horizontal="center" shrinkToFit="0" vertical="center" wrapText="0"/>
    </xf>
    <xf borderId="4" fillId="22" fontId="39" numFmtId="0" xfId="0" applyAlignment="1" applyBorder="1" applyFont="1">
      <alignment horizontal="center" readingOrder="0" shrinkToFit="0" vertical="center" wrapText="0"/>
    </xf>
    <xf borderId="4" fillId="41" fontId="20" numFmtId="0" xfId="0" applyAlignment="1" applyBorder="1" applyFont="1">
      <alignment horizontal="center" shrinkToFit="0" vertical="center" wrapText="0"/>
    </xf>
    <xf borderId="4" fillId="42" fontId="20" numFmtId="0" xfId="0" applyAlignment="1" applyBorder="1" applyFill="1" applyFont="1">
      <alignment horizontal="left" shrinkToFit="0" vertical="center" wrapText="0"/>
    </xf>
    <xf borderId="4" fillId="42" fontId="5" numFmtId="0" xfId="0" applyAlignment="1" applyBorder="1" applyFont="1">
      <alignment horizontal="center" shrinkToFit="0" vertical="center" wrapText="0"/>
    </xf>
    <xf borderId="4" fillId="42" fontId="20" numFmtId="0" xfId="0" applyAlignment="1" applyBorder="1" applyFont="1">
      <alignment horizontal="center" shrinkToFit="0" vertical="center" wrapText="0"/>
    </xf>
    <xf borderId="1" fillId="9" fontId="3" numFmtId="0" xfId="0" applyAlignment="1" applyBorder="1" applyFont="1">
      <alignment horizontal="left" shrinkToFit="0" vertical="center" wrapText="0"/>
    </xf>
    <xf borderId="4" fillId="43" fontId="20" numFmtId="0" xfId="0" applyAlignment="1" applyBorder="1" applyFill="1" applyFont="1">
      <alignment horizontal="left" shrinkToFit="0" vertical="center" wrapText="0"/>
    </xf>
    <xf borderId="4" fillId="43" fontId="5" numFmtId="0" xfId="0" applyAlignment="1" applyBorder="1" applyFont="1">
      <alignment horizontal="center" shrinkToFit="0" vertical="center" wrapText="0"/>
    </xf>
    <xf borderId="4" fillId="43" fontId="20" numFmtId="0" xfId="0" applyAlignment="1" applyBorder="1" applyFont="1">
      <alignment horizontal="center" shrinkToFit="0" vertical="center" wrapText="0"/>
    </xf>
    <xf borderId="4" fillId="44" fontId="20" numFmtId="0" xfId="0" applyAlignment="1" applyBorder="1" applyFill="1" applyFont="1">
      <alignment horizontal="left" shrinkToFit="0" vertical="center" wrapText="0"/>
    </xf>
    <xf borderId="4" fillId="44" fontId="5" numFmtId="0" xfId="0" applyAlignment="1" applyBorder="1" applyFont="1">
      <alignment horizontal="center" shrinkToFit="0" vertical="center" wrapText="0"/>
    </xf>
    <xf borderId="4" fillId="44" fontId="20" numFmtId="0" xfId="0" applyAlignment="1" applyBorder="1" applyFont="1">
      <alignment horizontal="center" shrinkToFit="0" vertical="center" wrapText="0"/>
    </xf>
    <xf borderId="1" fillId="3" fontId="45" numFmtId="0" xfId="0" applyAlignment="1" applyBorder="1" applyFont="1">
      <alignment horizontal="left" shrinkToFit="0" vertical="center" wrapText="0"/>
    </xf>
    <xf borderId="4" fillId="3" fontId="45" numFmtId="0" xfId="0" applyAlignment="1" applyBorder="1" applyFont="1">
      <alignment horizontal="center" shrinkToFit="0" vertical="center" wrapText="0"/>
    </xf>
    <xf borderId="1" fillId="3" fontId="48" numFmtId="0" xfId="0" applyAlignment="1" applyBorder="1" applyFont="1">
      <alignment horizontal="center" shrinkToFit="0" vertical="center" wrapText="1"/>
    </xf>
    <xf borderId="1" fillId="6" fontId="35" numFmtId="0" xfId="0" applyAlignment="1" applyBorder="1" applyFont="1">
      <alignment horizontal="center" shrinkToFit="0" vertical="center" wrapText="1"/>
    </xf>
    <xf borderId="4" fillId="6" fontId="1" numFmtId="0" xfId="0" applyAlignment="1" applyBorder="1" applyFont="1">
      <alignment horizontal="center" shrinkToFit="0" vertical="center" wrapText="1"/>
    </xf>
    <xf borderId="4" fillId="45" fontId="49" numFmtId="0" xfId="0" applyAlignment="1" applyBorder="1" applyFill="1" applyFont="1">
      <alignment horizontal="left" shrinkToFit="0" vertical="center" wrapText="1"/>
    </xf>
    <xf borderId="4" fillId="14" fontId="5" numFmtId="0" xfId="0" applyAlignment="1" applyBorder="1" applyFont="1">
      <alignment horizontal="left" shrinkToFit="0" vertical="center" wrapText="1"/>
    </xf>
    <xf borderId="1" fillId="4" fontId="35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center" shrinkToFit="0" vertical="center" wrapText="1"/>
    </xf>
    <xf borderId="1" fillId="8" fontId="35" numFmtId="0" xfId="0" applyAlignment="1" applyBorder="1" applyFont="1">
      <alignment horizontal="center" shrinkToFit="0" vertical="center" wrapText="1"/>
    </xf>
    <xf borderId="4" fillId="19" fontId="45" numFmtId="0" xfId="0" applyAlignment="1" applyBorder="1" applyFont="1">
      <alignment horizontal="center" shrinkToFit="0" vertical="center" wrapText="1"/>
    </xf>
    <xf borderId="8" fillId="46" fontId="5" numFmtId="0" xfId="0" applyAlignment="1" applyBorder="1" applyFill="1" applyFont="1">
      <alignment horizontal="left" shrinkToFit="0" vertical="center" wrapText="1"/>
    </xf>
    <xf borderId="4" fillId="27" fontId="45" numFmtId="0" xfId="0" applyAlignment="1" applyBorder="1" applyFont="1">
      <alignment horizontal="center" shrinkToFit="0" vertical="center" wrapText="1"/>
    </xf>
    <xf borderId="8" fillId="5" fontId="5" numFmtId="0" xfId="0" applyAlignment="1" applyBorder="1" applyFont="1">
      <alignment horizontal="left" shrinkToFit="0" vertical="center" wrapText="1"/>
    </xf>
    <xf borderId="4" fillId="26" fontId="50" numFmtId="0" xfId="0" applyAlignment="1" applyBorder="1" applyFont="1">
      <alignment horizontal="center" shrinkToFit="0" vertical="center" wrapText="1"/>
    </xf>
    <xf borderId="4" fillId="21" fontId="45" numFmtId="0" xfId="0" applyAlignment="1" applyBorder="1" applyFont="1">
      <alignment horizontal="center" shrinkToFit="0" vertical="center" wrapText="1"/>
    </xf>
    <xf borderId="4" fillId="28" fontId="24" numFmtId="0" xfId="0" applyAlignment="1" applyBorder="1" applyFont="1">
      <alignment horizontal="center" shrinkToFit="0" vertical="center" wrapText="1"/>
    </xf>
    <xf borderId="4" fillId="29" fontId="45" numFmtId="0" xfId="0" applyAlignment="1" applyBorder="1" applyFont="1">
      <alignment horizontal="center" shrinkToFit="0" vertical="center" wrapText="1"/>
    </xf>
    <xf borderId="4" fillId="30" fontId="51" numFmtId="0" xfId="0" applyAlignment="1" applyBorder="1" applyFont="1">
      <alignment horizontal="center" shrinkToFit="0" vertical="center" wrapText="1"/>
    </xf>
    <xf borderId="4" fillId="20" fontId="52" numFmtId="0" xfId="0" applyAlignment="1" applyBorder="1" applyFont="1">
      <alignment horizontal="center" shrinkToFit="0" vertical="center" wrapText="1"/>
    </xf>
    <xf borderId="1" fillId="2" fontId="35" numFmtId="0" xfId="0" applyAlignment="1" applyBorder="1" applyFont="1">
      <alignment horizontal="center" shrinkToFit="0" vertical="center" wrapText="1"/>
    </xf>
    <xf borderId="4" fillId="46" fontId="53" numFmtId="0" xfId="0" applyAlignment="1" applyBorder="1" applyFont="1">
      <alignment horizontal="center" shrinkToFit="0" vertical="center" wrapText="1"/>
    </xf>
    <xf borderId="4" fillId="46" fontId="26" numFmtId="0" xfId="0" applyAlignment="1" applyBorder="1" applyFont="1">
      <alignment horizontal="left" shrinkToFit="0" vertical="center" wrapText="1"/>
    </xf>
    <xf borderId="4" fillId="46" fontId="5" numFmtId="0" xfId="0" applyAlignment="1" applyBorder="1" applyFont="1">
      <alignment horizontal="left" shrinkToFit="0" vertical="center" wrapText="1"/>
    </xf>
    <xf borderId="4" fillId="5" fontId="53" numFmtId="0" xfId="0" applyAlignment="1" applyBorder="1" applyFont="1">
      <alignment horizontal="center" shrinkToFit="0" vertical="center" wrapText="1"/>
    </xf>
    <xf borderId="4" fillId="5" fontId="2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12">
    <dxf>
      <font>
        <b/>
        <sz val="8.0"/>
        <color rgb="FFFFFFFF"/>
        <name val="Arial"/>
      </font>
      <fill>
        <patternFill patternType="solid">
          <fgColor rgb="FF4CAF50"/>
          <bgColor rgb="FF4CAF50"/>
        </patternFill>
      </fill>
      <border/>
    </dxf>
    <dxf>
      <font>
        <b/>
        <sz val="8.0"/>
        <color rgb="FFFFFFFF"/>
        <name val="Arial"/>
      </font>
      <fill>
        <patternFill patternType="solid">
          <fgColor rgb="FFF44336"/>
          <bgColor rgb="FFF44336"/>
        </patternFill>
      </fill>
      <border/>
    </dxf>
    <dxf>
      <font>
        <b/>
        <sz val="8.0"/>
        <color rgb="FF5D4037"/>
        <name val="Arial"/>
      </font>
      <fill>
        <patternFill patternType="solid">
          <fgColor rgb="FFFFEB3B"/>
          <bgColor rgb="FFFFEB3B"/>
        </patternFill>
      </fill>
      <border/>
    </dxf>
    <dxf>
      <font>
        <b/>
        <sz val="8.0"/>
        <color rgb="FFFFFFFF"/>
        <name val="Arial"/>
      </font>
      <fill>
        <patternFill patternType="solid">
          <fgColor rgb="FFFF9800"/>
          <bgColor rgb="FFFF9800"/>
        </patternFill>
      </fill>
      <border/>
    </dxf>
    <dxf>
      <font>
        <b/>
        <sz val="8.0"/>
        <color rgb="FFFFFFFF"/>
        <name val="Arial"/>
      </font>
      <fill>
        <patternFill patternType="solid">
          <fgColor rgb="FF9C27B0"/>
          <bgColor rgb="FF9C27B0"/>
        </patternFill>
      </fill>
      <border/>
    </dxf>
    <dxf>
      <font>
        <b/>
        <sz val="8.0"/>
        <color rgb="FF757575"/>
        <name val="Arial"/>
      </font>
      <fill>
        <patternFill patternType="solid">
          <fgColor rgb="FFE0E0E0"/>
          <bgColor rgb="FFE0E0E0"/>
        </patternFill>
      </fill>
      <border/>
    </dxf>
    <dxf>
      <font>
        <b/>
        <sz val="8.0"/>
        <color rgb="FFFFFFFF"/>
        <name val="Arial"/>
      </font>
      <fill>
        <patternFill patternType="solid">
          <fgColor rgb="FF455A64"/>
          <bgColor rgb="FF455A64"/>
        </patternFill>
      </fill>
      <border/>
    </dxf>
    <dxf>
      <font>
        <b/>
        <sz val="8.0"/>
        <color rgb="FF37474F"/>
        <name val="Arial"/>
      </font>
      <fill>
        <patternFill patternType="solid">
          <fgColor rgb="FFB0BEC5"/>
          <bgColor rgb="FFB0BEC5"/>
        </patternFill>
      </fill>
      <border/>
    </dxf>
    <dxf>
      <font>
        <b/>
        <sz val="9.0"/>
        <color rgb="FFFFFFFF"/>
        <name val="Arial"/>
      </font>
      <fill>
        <patternFill patternType="solid">
          <fgColor rgb="FF4CAF50"/>
          <bgColor rgb="FF4CAF50"/>
        </patternFill>
      </fill>
      <border/>
    </dxf>
    <dxf>
      <font>
        <b/>
        <sz val="9.0"/>
        <color rgb="FFFFFFFF"/>
        <name val="Arial"/>
      </font>
      <fill>
        <patternFill patternType="solid">
          <fgColor rgb="FFF44336"/>
          <bgColor rgb="FFF44336"/>
        </patternFill>
      </fill>
      <border/>
    </dxf>
    <dxf>
      <font>
        <b/>
        <sz val="9.0"/>
        <color rgb="FFFFFFFF"/>
        <name val="Arial"/>
      </font>
      <fill>
        <patternFill patternType="solid">
          <fgColor rgb="FFFF9800"/>
          <bgColor rgb="FFFF9800"/>
        </patternFill>
      </fill>
      <border/>
    </dxf>
    <dxf>
      <font>
        <b/>
        <sz val="9.0"/>
        <color rgb="FF5D4037"/>
        <name val="Arial"/>
      </font>
      <fill>
        <patternFill patternType="solid">
          <fgColor rgb="FFFFEB3B"/>
          <bgColor rgb="FFFFEB3B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3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14.0"/>
    <col customWidth="1" min="3" max="3" width="12.0"/>
    <col customWidth="1" min="4" max="4" width="26.0"/>
    <col customWidth="1" min="5" max="5" width="18.0"/>
    <col customWidth="1" min="6" max="6" width="8.0"/>
    <col customWidth="1" min="7" max="7" width="13.0"/>
    <col customWidth="1" min="8" max="8" width="6.0"/>
    <col customWidth="1" min="9" max="9" width="5.0"/>
    <col customWidth="1" min="10" max="10" width="10.0"/>
    <col customWidth="1" min="11" max="11" width="12.0"/>
    <col customWidth="1" min="12" max="12" width="9.0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9.5" customHeight="1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</row>
    <row r="3" ht="18.0" customHeight="1">
      <c r="A3" s="8" t="str">
        <f>"▶  Gulberg  ("&amp;SUMPRODUCT((LEN(D4:D76)&gt;0)*1)&amp;" students)"</f>
        <v>▶  Gulberg  (62 students)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</row>
    <row r="4" ht="16.5" customHeight="1">
      <c r="A4" s="10">
        <v>1.0</v>
      </c>
      <c r="B4" s="10" t="s">
        <v>18</v>
      </c>
      <c r="C4" s="10" t="s">
        <v>22</v>
      </c>
      <c r="D4" s="12" t="str">
        <f>Gulberg!B26</f>
        <v>Muhammad  Umair</v>
      </c>
      <c r="E4" s="14" t="str">
        <f>Gulberg!C26</f>
        <v>'+923274088002</v>
      </c>
      <c r="F4" s="17" t="str">
        <f>IF(Gulberg!C26&lt;&gt;"",HYPERLINK("tel:"&amp;SUBSTITUTE(SUBSTITUTE(Gulberg!C26,"+","+")," ",""),"📞"),"")</f>
        <v>📞</v>
      </c>
      <c r="G4" s="19" t="str">
        <f>IF(Gulberg!C26&lt;&gt;"",HYPERLINK("https://wa.me/"&amp;SUBSTITUTE(SUBSTITUTE(Gulberg!C26,"+","")," ",""),"💬"),"")</f>
        <v>💬</v>
      </c>
      <c r="H4" s="10" t="str">
        <f>Gulberg!F26</f>
        <v/>
      </c>
      <c r="I4" s="10" t="str">
        <f>Gulberg!G26</f>
        <v>13.0</v>
      </c>
      <c r="J4" s="10" t="str">
        <f>Gulberg!H26</f>
        <v/>
      </c>
      <c r="K4" s="10" t="str">
        <f>Gulberg!CH26</f>
        <v>100%</v>
      </c>
      <c r="L4" s="10">
        <f>Gulberg!CE26</f>
        <v>18</v>
      </c>
    </row>
    <row r="5" ht="16.5" customHeight="1">
      <c r="A5" s="20">
        <v>2.0</v>
      </c>
      <c r="B5" s="20" t="s">
        <v>18</v>
      </c>
      <c r="C5" s="20" t="s">
        <v>22</v>
      </c>
      <c r="D5" s="22" t="str">
        <f>Gulberg!B27</f>
        <v>Muhammad Ahmad</v>
      </c>
      <c r="E5" s="23" t="str">
        <f>Gulberg!C27</f>
        <v/>
      </c>
      <c r="F5" s="24" t="str">
        <f>IF(Gulberg!C27&lt;&gt;"",HYPERLINK("tel:"&amp;SUBSTITUTE(SUBSTITUTE(Gulberg!C27,"+","+")," ",""),"📞"),"")</f>
        <v/>
      </c>
      <c r="G5" s="26" t="str">
        <f>IF(Gulberg!C27&lt;&gt;"",HYPERLINK("https://wa.me/"&amp;SUBSTITUTE(SUBSTITUTE(Gulberg!C27,"+","")," ",""),"💬"),"")</f>
        <v/>
      </c>
      <c r="H5" s="20" t="str">
        <f>Gulberg!F27</f>
        <v/>
      </c>
      <c r="I5" s="20" t="str">
        <f>Gulberg!G27</f>
        <v>13.0</v>
      </c>
      <c r="J5" s="20" t="str">
        <f>Gulberg!H27</f>
        <v/>
      </c>
      <c r="K5" s="20" t="str">
        <f>Gulberg!CH27</f>
        <v>62%</v>
      </c>
      <c r="L5" s="20">
        <f>Gulberg!CE27</f>
        <v>8</v>
      </c>
    </row>
    <row r="6" ht="16.5" customHeight="1">
      <c r="A6" s="10">
        <v>3.0</v>
      </c>
      <c r="B6" s="10" t="s">
        <v>18</v>
      </c>
      <c r="C6" s="10" t="s">
        <v>22</v>
      </c>
      <c r="D6" s="12" t="str">
        <f>Gulberg!B28</f>
        <v>Muhammad Umar</v>
      </c>
      <c r="E6" s="14" t="str">
        <f>Gulberg!C28</f>
        <v/>
      </c>
      <c r="F6" s="17" t="str">
        <f>IF(Gulberg!C28&lt;&gt;"",HYPERLINK("tel:"&amp;SUBSTITUTE(SUBSTITUTE(Gulberg!C28,"+","+")," ",""),"📞"),"")</f>
        <v/>
      </c>
      <c r="G6" s="28" t="str">
        <f>IF(Gulberg!C28&lt;&gt;"",HYPERLINK("https://wa.me/"&amp;SUBSTITUTE(SUBSTITUTE(Gulberg!C28,"+","")," ",""),"💬"),"")</f>
        <v/>
      </c>
      <c r="H6" s="10" t="str">
        <f>Gulberg!F28</f>
        <v/>
      </c>
      <c r="I6" s="10" t="str">
        <f>Gulberg!G28</f>
        <v>13.0</v>
      </c>
      <c r="J6" s="10" t="str">
        <f>Gulberg!H28</f>
        <v/>
      </c>
      <c r="K6" s="10" t="str">
        <f>Gulberg!CH28</f>
        <v>80%</v>
      </c>
      <c r="L6" s="10">
        <f>Gulberg!CE28</f>
        <v>8</v>
      </c>
    </row>
    <row r="7" ht="16.5" customHeight="1">
      <c r="A7" s="20">
        <v>4.0</v>
      </c>
      <c r="B7" s="20" t="s">
        <v>18</v>
      </c>
      <c r="C7" s="20" t="s">
        <v>22</v>
      </c>
      <c r="D7" s="22" t="str">
        <f>Gulberg!B29</f>
        <v>Muhammad Shoaib</v>
      </c>
      <c r="E7" s="23" t="str">
        <f>Gulberg!C29</f>
        <v/>
      </c>
      <c r="F7" s="24" t="str">
        <f>IF(Gulberg!C29&lt;&gt;"",HYPERLINK("tel:"&amp;SUBSTITUTE(SUBSTITUTE(Gulberg!C29,"+","+")," ",""),"📞"),"")</f>
        <v/>
      </c>
      <c r="G7" s="26" t="str">
        <f>IF(Gulberg!C29&lt;&gt;"",HYPERLINK("https://wa.me/"&amp;SUBSTITUTE(SUBSTITUTE(Gulberg!C29,"+","")," ",""),"💬"),"")</f>
        <v/>
      </c>
      <c r="H7" s="20" t="str">
        <f>Gulberg!F29</f>
        <v/>
      </c>
      <c r="I7" s="20" t="str">
        <f>Gulberg!G29</f>
        <v>13.0</v>
      </c>
      <c r="J7" s="20" t="str">
        <f>Gulberg!H29</f>
        <v/>
      </c>
      <c r="K7" s="20" t="str">
        <f>Gulberg!CH29</f>
        <v>82%</v>
      </c>
      <c r="L7" s="20">
        <f>Gulberg!CE29</f>
        <v>9</v>
      </c>
    </row>
    <row r="8" ht="16.5" customHeight="1">
      <c r="A8" s="10">
        <v>5.0</v>
      </c>
      <c r="B8" s="10" t="s">
        <v>18</v>
      </c>
      <c r="C8" s="10" t="s">
        <v>22</v>
      </c>
      <c r="D8" s="12" t="str">
        <f>Gulberg!B30</f>
        <v>M Abdullah Qureshi</v>
      </c>
      <c r="E8" s="14" t="str">
        <f>Gulberg!C30</f>
        <v/>
      </c>
      <c r="F8" s="17" t="str">
        <f>IF(Gulberg!C30&lt;&gt;"",HYPERLINK("tel:"&amp;SUBSTITUTE(SUBSTITUTE(Gulberg!C30,"+","+")," ",""),"📞"),"")</f>
        <v/>
      </c>
      <c r="G8" s="28" t="str">
        <f>IF(Gulberg!C30&lt;&gt;"",HYPERLINK("https://wa.me/"&amp;SUBSTITUTE(SUBSTITUTE(Gulberg!C30,"+","")," ",""),"💬"),"")</f>
        <v/>
      </c>
      <c r="H8" s="10" t="str">
        <f>Gulberg!F30</f>
        <v/>
      </c>
      <c r="I8" s="10" t="str">
        <f>Gulberg!G30</f>
        <v>14.0</v>
      </c>
      <c r="J8" s="10" t="str">
        <f>Gulberg!H30</f>
        <v>9th</v>
      </c>
      <c r="K8" s="10" t="str">
        <f>Gulberg!CH30</f>
        <v>0%</v>
      </c>
      <c r="L8" s="10">
        <f>Gulberg!CE30</f>
        <v>0</v>
      </c>
    </row>
    <row r="9" ht="16.5" customHeight="1">
      <c r="A9" s="20">
        <v>6.0</v>
      </c>
      <c r="B9" s="20" t="s">
        <v>18</v>
      </c>
      <c r="C9" s="20" t="s">
        <v>22</v>
      </c>
      <c r="D9" s="22" t="str">
        <f>Gulberg!B31</f>
        <v>M.Moosa</v>
      </c>
      <c r="E9" s="23" t="str">
        <f>Gulberg!C31</f>
        <v/>
      </c>
      <c r="F9" s="24" t="str">
        <f>IF(Gulberg!C31&lt;&gt;"",HYPERLINK("tel:"&amp;SUBSTITUTE(SUBSTITUTE(Gulberg!C31,"+","+")," ",""),"📞"),"")</f>
        <v/>
      </c>
      <c r="G9" s="26" t="str">
        <f>IF(Gulberg!C31&lt;&gt;"",HYPERLINK("https://wa.me/"&amp;SUBSTITUTE(SUBSTITUTE(Gulberg!C31,"+","")," ",""),"💬"),"")</f>
        <v/>
      </c>
      <c r="H9" s="20" t="str">
        <f>Gulberg!F31</f>
        <v/>
      </c>
      <c r="I9" s="20" t="str">
        <f>Gulberg!G31</f>
        <v>14.0</v>
      </c>
      <c r="J9" s="20" t="str">
        <f>Gulberg!H31</f>
        <v>10th</v>
      </c>
      <c r="K9" s="20" t="str">
        <f>Gulberg!CH31</f>
        <v>100%</v>
      </c>
      <c r="L9" s="20">
        <f>Gulberg!CE31</f>
        <v>18</v>
      </c>
    </row>
    <row r="10" ht="16.5" customHeight="1">
      <c r="A10" s="10">
        <v>7.0</v>
      </c>
      <c r="B10" s="10" t="s">
        <v>18</v>
      </c>
      <c r="C10" s="10" t="s">
        <v>22</v>
      </c>
      <c r="D10" s="12" t="str">
        <f>Gulberg!B32</f>
        <v>Muhammad Abdullah Ahmad</v>
      </c>
      <c r="E10" s="14" t="str">
        <f>Gulberg!C32</f>
        <v/>
      </c>
      <c r="F10" s="17" t="str">
        <f>IF(Gulberg!C32&lt;&gt;"",HYPERLINK("tel:"&amp;SUBSTITUTE(SUBSTITUTE(Gulberg!C32,"+","+")," ",""),"📞"),"")</f>
        <v/>
      </c>
      <c r="G10" s="28" t="str">
        <f>IF(Gulberg!C32&lt;&gt;"",HYPERLINK("https://wa.me/"&amp;SUBSTITUTE(SUBSTITUTE(Gulberg!C32,"+","")," ",""),"💬"),"")</f>
        <v/>
      </c>
      <c r="H10" s="10" t="str">
        <f>Gulberg!F32</f>
        <v/>
      </c>
      <c r="I10" s="10" t="str">
        <f>Gulberg!G32</f>
        <v>14.0</v>
      </c>
      <c r="J10" s="10" t="str">
        <f>Gulberg!H32</f>
        <v/>
      </c>
      <c r="K10" s="10" t="str">
        <f>Gulberg!CH32</f>
        <v>65%</v>
      </c>
      <c r="L10" s="10">
        <f>Gulberg!CE32</f>
        <v>11</v>
      </c>
    </row>
    <row r="11" ht="16.5" customHeight="1">
      <c r="A11" s="20">
        <v>8.0</v>
      </c>
      <c r="B11" s="20" t="s">
        <v>18</v>
      </c>
      <c r="C11" s="20" t="s">
        <v>22</v>
      </c>
      <c r="D11" s="22" t="str">
        <f>Gulberg!B33</f>
        <v>MUHAMMAD YOUSUF</v>
      </c>
      <c r="E11" s="23" t="str">
        <f>Gulberg!C33</f>
        <v/>
      </c>
      <c r="F11" s="24" t="str">
        <f>IF(Gulberg!C33&lt;&gt;"",HYPERLINK("tel:"&amp;SUBSTITUTE(SUBSTITUTE(Gulberg!C33,"+","+")," ",""),"📞"),"")</f>
        <v/>
      </c>
      <c r="G11" s="26" t="str">
        <f>IF(Gulberg!C33&lt;&gt;"",HYPERLINK("https://wa.me/"&amp;SUBSTITUTE(SUBSTITUTE(Gulberg!C33,"+","")," ",""),"💬"),"")</f>
        <v/>
      </c>
      <c r="H11" s="20" t="str">
        <f>Gulberg!F33</f>
        <v/>
      </c>
      <c r="I11" s="20" t="str">
        <f>Gulberg!G33</f>
        <v>14.0</v>
      </c>
      <c r="J11" s="20" t="str">
        <f>Gulberg!H33</f>
        <v/>
      </c>
      <c r="K11" s="20" t="str">
        <f>Gulberg!CH33</f>
        <v>76%</v>
      </c>
      <c r="L11" s="20">
        <f>Gulberg!CE33</f>
        <v>13</v>
      </c>
    </row>
    <row r="12" ht="16.5" customHeight="1">
      <c r="A12" s="10">
        <v>9.0</v>
      </c>
      <c r="B12" s="10" t="s">
        <v>18</v>
      </c>
      <c r="C12" s="10" t="s">
        <v>22</v>
      </c>
      <c r="D12" s="12" t="str">
        <f>Gulberg!B34</f>
        <v>Muhammad Huzaifa saif</v>
      </c>
      <c r="E12" s="14" t="str">
        <f>Gulberg!C34</f>
        <v>'+923234977806</v>
      </c>
      <c r="F12" s="17" t="str">
        <f>IF(Gulberg!C34&lt;&gt;"",HYPERLINK("tel:"&amp;SUBSTITUTE(SUBSTITUTE(Gulberg!C34,"+","+")," ",""),"📞"),"")</f>
        <v>📞</v>
      </c>
      <c r="G12" s="19" t="str">
        <f>IF(Gulberg!C34&lt;&gt;"",HYPERLINK("https://wa.me/"&amp;SUBSTITUTE(SUBSTITUTE(Gulberg!C34,"+","")," ",""),"💬"),"")</f>
        <v>💬</v>
      </c>
      <c r="H12" s="10" t="str">
        <f>Gulberg!F34</f>
        <v/>
      </c>
      <c r="I12" s="10" t="str">
        <f>Gulberg!G34</f>
        <v>14.0</v>
      </c>
      <c r="J12" s="10" t="str">
        <f>Gulberg!H34</f>
        <v>9th</v>
      </c>
      <c r="K12" s="10" t="str">
        <f>Gulberg!CH34</f>
        <v>94%</v>
      </c>
      <c r="L12" s="10">
        <f>Gulberg!CE34</f>
        <v>16</v>
      </c>
    </row>
    <row r="13" ht="16.5" customHeight="1">
      <c r="A13" s="20">
        <v>10.0</v>
      </c>
      <c r="B13" s="20" t="s">
        <v>18</v>
      </c>
      <c r="C13" s="20" t="s">
        <v>22</v>
      </c>
      <c r="D13" s="22" t="str">
        <f>Gulberg!B35</f>
        <v>Muhammad Yusha</v>
      </c>
      <c r="E13" s="23" t="str">
        <f>Gulberg!C35</f>
        <v>'+923334649728</v>
      </c>
      <c r="F13" s="24" t="str">
        <f>IF(Gulberg!C35&lt;&gt;"",HYPERLINK("tel:"&amp;SUBSTITUTE(SUBSTITUTE(Gulberg!C35,"+","+")," ",""),"📞"),"")</f>
        <v>📞</v>
      </c>
      <c r="G13" s="41" t="str">
        <f>IF(Gulberg!C35&lt;&gt;"",HYPERLINK("https://wa.me/"&amp;SUBSTITUTE(SUBSTITUTE(Gulberg!C35,"+","")," ",""),"💬"),"")</f>
        <v>💬</v>
      </c>
      <c r="H13" s="20" t="str">
        <f>Gulberg!F35</f>
        <v/>
      </c>
      <c r="I13" s="20" t="str">
        <f>Gulberg!G35</f>
        <v>14.0</v>
      </c>
      <c r="J13" s="20" t="str">
        <f>Gulberg!H35</f>
        <v>10th</v>
      </c>
      <c r="K13" s="20" t="str">
        <f>Gulberg!CH35</f>
        <v>0%</v>
      </c>
      <c r="L13" s="20">
        <f>Gulberg!CE35</f>
        <v>0</v>
      </c>
    </row>
    <row r="14" ht="16.5" customHeight="1">
      <c r="A14" s="10">
        <v>11.0</v>
      </c>
      <c r="B14" s="10" t="s">
        <v>18</v>
      </c>
      <c r="C14" s="10" t="s">
        <v>22</v>
      </c>
      <c r="D14" s="12" t="str">
        <f>Gulberg!B36</f>
        <v>Muaz Zakariya Majid</v>
      </c>
      <c r="E14" s="14" t="str">
        <f>Gulberg!C36</f>
        <v>'+923334349783</v>
      </c>
      <c r="F14" s="17" t="str">
        <f>IF(Gulberg!C36&lt;&gt;"",HYPERLINK("tel:"&amp;SUBSTITUTE(SUBSTITUTE(Gulberg!C36,"+","+")," ",""),"📞"),"")</f>
        <v>📞</v>
      </c>
      <c r="G14" s="19" t="str">
        <f>IF(Gulberg!C36&lt;&gt;"",HYPERLINK("https://wa.me/"&amp;SUBSTITUTE(SUBSTITUTE(Gulberg!C36,"+","")," ",""),"💬"),"")</f>
        <v>💬</v>
      </c>
      <c r="H14" s="10" t="str">
        <f>Gulberg!F36</f>
        <v/>
      </c>
      <c r="I14" s="10" t="str">
        <f>Gulberg!G36</f>
        <v>14.0</v>
      </c>
      <c r="J14" s="10" t="str">
        <f>Gulberg!H36</f>
        <v>Hafiz</v>
      </c>
      <c r="K14" s="10" t="str">
        <f>Gulberg!CH36</f>
        <v>71%</v>
      </c>
      <c r="L14" s="10">
        <f>Gulberg!CE36</f>
        <v>10</v>
      </c>
    </row>
    <row r="15" ht="16.5" customHeight="1">
      <c r="A15" s="20">
        <v>12.0</v>
      </c>
      <c r="B15" s="20" t="s">
        <v>18</v>
      </c>
      <c r="C15" s="20" t="s">
        <v>22</v>
      </c>
      <c r="D15" s="22" t="str">
        <f>Gulberg!B37</f>
        <v>Muhammad Shaheer Shamsi</v>
      </c>
      <c r="E15" s="23" t="str">
        <f>Gulberg!C37</f>
        <v>'+923004188623</v>
      </c>
      <c r="F15" s="24" t="str">
        <f>IF(Gulberg!C37&lt;&gt;"",HYPERLINK("tel:"&amp;SUBSTITUTE(SUBSTITUTE(Gulberg!C37,"+","+")," ",""),"📞"),"")</f>
        <v>📞</v>
      </c>
      <c r="G15" s="41" t="str">
        <f>IF(Gulberg!C37&lt;&gt;"",HYPERLINK("https://wa.me/"&amp;SUBSTITUTE(SUBSTITUTE(Gulberg!C37,"+","")," ",""),"💬"),"")</f>
        <v>💬</v>
      </c>
      <c r="H15" s="20" t="str">
        <f>Gulberg!F37</f>
        <v/>
      </c>
      <c r="I15" s="20" t="str">
        <f>Gulberg!G37</f>
        <v>14.0</v>
      </c>
      <c r="J15" s="20" t="str">
        <f>Gulberg!H37</f>
        <v>9th</v>
      </c>
      <c r="K15" s="20" t="str">
        <f>Gulberg!CH37</f>
        <v>88%</v>
      </c>
      <c r="L15" s="20">
        <f>Gulberg!CE37</f>
        <v>15</v>
      </c>
    </row>
    <row r="16" ht="16.5" customHeight="1">
      <c r="A16" s="10">
        <v>13.0</v>
      </c>
      <c r="B16" s="10" t="s">
        <v>18</v>
      </c>
      <c r="C16" s="10" t="s">
        <v>22</v>
      </c>
      <c r="D16" s="12" t="str">
        <f>Gulberg!B38</f>
        <v>Muhammad Umer Karamat</v>
      </c>
      <c r="E16" s="14" t="str">
        <f>Gulberg!C38</f>
        <v>'+923214688055</v>
      </c>
      <c r="F16" s="17" t="str">
        <f>IF(Gulberg!C38&lt;&gt;"",HYPERLINK("tel:"&amp;SUBSTITUTE(SUBSTITUTE(Gulberg!C38,"+","+")," ",""),"📞"),"")</f>
        <v>📞</v>
      </c>
      <c r="G16" s="19" t="str">
        <f>IF(Gulberg!C38&lt;&gt;"",HYPERLINK("https://wa.me/"&amp;SUBSTITUTE(SUBSTITUTE(Gulberg!C38,"+","")," ",""),"💬"),"")</f>
        <v>💬</v>
      </c>
      <c r="H16" s="10" t="str">
        <f>Gulberg!F38</f>
        <v/>
      </c>
      <c r="I16" s="10" t="str">
        <f>Gulberg!G38</f>
        <v>14.0</v>
      </c>
      <c r="J16" s="10" t="str">
        <f>Gulberg!H38</f>
        <v>O Level</v>
      </c>
      <c r="K16" s="10" t="str">
        <f>Gulberg!CH38</f>
        <v>57%</v>
      </c>
      <c r="L16" s="10">
        <f>Gulberg!CE38</f>
        <v>4</v>
      </c>
    </row>
    <row r="17" ht="16.5" customHeight="1">
      <c r="A17" s="20">
        <v>14.0</v>
      </c>
      <c r="B17" s="20" t="s">
        <v>18</v>
      </c>
      <c r="C17" s="20" t="s">
        <v>22</v>
      </c>
      <c r="D17" s="22" t="str">
        <f>Gulberg!B39</f>
        <v>Muhammad Abdullah Zulqarnain</v>
      </c>
      <c r="E17" s="23" t="str">
        <f>Gulberg!C39</f>
        <v>'+923004164178</v>
      </c>
      <c r="F17" s="24" t="str">
        <f>IF(Gulberg!C39&lt;&gt;"",HYPERLINK("tel:"&amp;SUBSTITUTE(SUBSTITUTE(Gulberg!C39,"+","+")," ",""),"📞"),"")</f>
        <v>📞</v>
      </c>
      <c r="G17" s="41" t="str">
        <f>IF(Gulberg!C39&lt;&gt;"",HYPERLINK("https://wa.me/"&amp;SUBSTITUTE(SUBSTITUTE(Gulberg!C39,"+","")," ",""),"💬"),"")</f>
        <v>💬</v>
      </c>
      <c r="H17" s="20" t="str">
        <f>Gulberg!F39</f>
        <v/>
      </c>
      <c r="I17" s="20" t="str">
        <f>Gulberg!G39</f>
        <v>14.0</v>
      </c>
      <c r="J17" s="20" t="str">
        <f>Gulberg!H39</f>
        <v/>
      </c>
      <c r="K17" s="20" t="str">
        <f>Gulberg!CH39</f>
        <v>83%</v>
      </c>
      <c r="L17" s="20">
        <f>Gulberg!CE39</f>
        <v>15</v>
      </c>
    </row>
    <row r="18" ht="16.5" customHeight="1">
      <c r="A18" s="10">
        <v>15.0</v>
      </c>
      <c r="B18" s="10" t="s">
        <v>18</v>
      </c>
      <c r="C18" s="10" t="s">
        <v>22</v>
      </c>
      <c r="D18" s="12" t="str">
        <f>Gulberg!B40</f>
        <v>Haseeb Hussain</v>
      </c>
      <c r="E18" s="14" t="str">
        <f>Gulberg!C40</f>
        <v>'+923125843326</v>
      </c>
      <c r="F18" s="17" t="str">
        <f>IF(Gulberg!C40&lt;&gt;"",HYPERLINK("tel:"&amp;SUBSTITUTE(SUBSTITUTE(Gulberg!C40,"+","+")," ",""),"📞"),"")</f>
        <v>📞</v>
      </c>
      <c r="G18" s="19" t="str">
        <f>IF(Gulberg!C40&lt;&gt;"",HYPERLINK("https://wa.me/"&amp;SUBSTITUTE(SUBSTITUTE(Gulberg!C40,"+","")," ",""),"💬"),"")</f>
        <v>💬</v>
      </c>
      <c r="H18" s="10" t="str">
        <f>Gulberg!F40</f>
        <v/>
      </c>
      <c r="I18" s="10" t="str">
        <f>Gulberg!G40</f>
        <v>16.0</v>
      </c>
      <c r="J18" s="10" t="str">
        <f>Gulberg!H40</f>
        <v>10th</v>
      </c>
      <c r="K18" s="10" t="str">
        <f>Gulberg!CH40</f>
        <v>47%</v>
      </c>
      <c r="L18" s="10">
        <f>Gulberg!CE40</f>
        <v>7</v>
      </c>
    </row>
    <row r="19" ht="16.5" customHeight="1">
      <c r="A19" s="20">
        <v>16.0</v>
      </c>
      <c r="B19" s="20" t="s">
        <v>18</v>
      </c>
      <c r="C19" s="20" t="s">
        <v>22</v>
      </c>
      <c r="D19" s="22" t="str">
        <f>Gulberg!B41</f>
        <v>Muhammad Mustafa Umar</v>
      </c>
      <c r="E19" s="23" t="str">
        <f>Gulberg!C41</f>
        <v>'+923334346602</v>
      </c>
      <c r="F19" s="24" t="str">
        <f>IF(Gulberg!C41&lt;&gt;"",HYPERLINK("tel:"&amp;SUBSTITUTE(SUBSTITUTE(Gulberg!C41,"+","+")," ",""),"📞"),"")</f>
        <v>📞</v>
      </c>
      <c r="G19" s="41" t="str">
        <f>IF(Gulberg!C41&lt;&gt;"",HYPERLINK("https://wa.me/"&amp;SUBSTITUTE(SUBSTITUTE(Gulberg!C41,"+","")," ",""),"💬"),"")</f>
        <v>💬</v>
      </c>
      <c r="H19" s="20" t="str">
        <f>Gulberg!F41</f>
        <v/>
      </c>
      <c r="I19" s="20" t="str">
        <f>Gulberg!G41</f>
        <v>12.0</v>
      </c>
      <c r="J19" s="20" t="str">
        <f>Gulberg!H41</f>
        <v>Hifz &amp; 6th</v>
      </c>
      <c r="K19" s="20" t="str">
        <f>Gulberg!CH41</f>
        <v>17%</v>
      </c>
      <c r="L19" s="20">
        <f>Gulberg!CE41</f>
        <v>1</v>
      </c>
    </row>
    <row r="20" ht="16.5" customHeight="1">
      <c r="A20" s="10">
        <v>17.0</v>
      </c>
      <c r="B20" s="10" t="s">
        <v>18</v>
      </c>
      <c r="C20" s="10" t="s">
        <v>22</v>
      </c>
      <c r="D20" s="12" t="str">
        <f>Gulberg!B42</f>
        <v>Muhammad Bakir Ali</v>
      </c>
      <c r="E20" s="14" t="str">
        <f>Gulberg!C42</f>
        <v/>
      </c>
      <c r="F20" s="17" t="str">
        <f>IF(Gulberg!C42&lt;&gt;"",HYPERLINK("tel:"&amp;SUBSTITUTE(SUBSTITUTE(Gulberg!C42,"+","+")," ",""),"📞"),"")</f>
        <v/>
      </c>
      <c r="G20" s="28" t="str">
        <f>IF(Gulberg!C42&lt;&gt;"",HYPERLINK("https://wa.me/"&amp;SUBSTITUTE(SUBSTITUTE(Gulberg!C42,"+","")," ",""),"💬"),"")</f>
        <v/>
      </c>
      <c r="H20" s="10" t="str">
        <f>Gulberg!F42</f>
        <v/>
      </c>
      <c r="I20" s="10" t="str">
        <f>Gulberg!G42</f>
        <v/>
      </c>
      <c r="J20" s="10" t="str">
        <f>Gulberg!H42</f>
        <v/>
      </c>
      <c r="K20" s="10" t="str">
        <f>Gulberg!CH42</f>
        <v>11%</v>
      </c>
      <c r="L20" s="10">
        <f>Gulberg!CE42</f>
        <v>1</v>
      </c>
    </row>
    <row r="21" ht="16.5" customHeight="1">
      <c r="A21" s="20">
        <v>18.0</v>
      </c>
      <c r="B21" s="20" t="s">
        <v>18</v>
      </c>
      <c r="C21" s="20" t="s">
        <v>22</v>
      </c>
      <c r="D21" s="22" t="str">
        <f>Gulberg!B43</f>
        <v>Abdul Moiz Shahid</v>
      </c>
      <c r="E21" s="23" t="str">
        <f>Gulberg!C43</f>
        <v/>
      </c>
      <c r="F21" s="24" t="str">
        <f>IF(Gulberg!C43&lt;&gt;"",HYPERLINK("tel:"&amp;SUBSTITUTE(SUBSTITUTE(Gulberg!C43,"+","+")," ",""),"📞"),"")</f>
        <v/>
      </c>
      <c r="G21" s="26" t="str">
        <f>IF(Gulberg!C43&lt;&gt;"",HYPERLINK("https://wa.me/"&amp;SUBSTITUTE(SUBSTITUTE(Gulberg!C43,"+","")," ",""),"💬"),"")</f>
        <v/>
      </c>
      <c r="H21" s="20" t="str">
        <f>Gulberg!F43</f>
        <v/>
      </c>
      <c r="I21" s="20" t="str">
        <f>Gulberg!G43</f>
        <v/>
      </c>
      <c r="J21" s="20" t="str">
        <f>Gulberg!H43</f>
        <v/>
      </c>
      <c r="K21" s="20" t="str">
        <f>Gulberg!CH43</f>
        <v>44%</v>
      </c>
      <c r="L21" s="20">
        <f>Gulberg!CE43</f>
        <v>4</v>
      </c>
    </row>
    <row r="22" ht="16.5" customHeight="1">
      <c r="A22" s="57">
        <f>IF(Gulberg!B44&lt;&gt;"",SUMPRODUCT((LEN(D4:D21)&gt;0)*1)+1,"")</f>
        <v>19</v>
      </c>
      <c r="B22" s="57" t="str">
        <f>IF(Gulberg!B44&lt;&gt;"","Gulberg","")</f>
        <v>Gulberg</v>
      </c>
      <c r="C22" s="57" t="str">
        <f>IF(Gulberg!B44&lt;&gt;"","Group 1","")</f>
        <v>Group 1</v>
      </c>
      <c r="D22" s="58" t="str">
        <f>IF(Gulberg!B44&lt;&gt;"",Gulberg!B44,"")</f>
        <v>Arham                                                  </v>
      </c>
      <c r="E22" s="59" t="str">
        <f>IF(Gulberg!B44&lt;&gt;"",Gulberg!C44,"")</f>
        <v/>
      </c>
      <c r="F22" s="60" t="str">
        <f>IF(Gulberg!B44&lt;&gt;"",HYPERLINK("tel:"&amp;SUBSTITUTE(SUBSTITUTE(Gulberg!C44,"+","+")," ",""),"📞"),"")</f>
        <v>📞</v>
      </c>
      <c r="G22" s="61" t="str">
        <f>IF(Gulberg!B44&lt;&gt;"",HYPERLINK("https://wa.me/"&amp;SUBSTITUTE(SUBSTITUTE(Gulberg!C44,"+","")," ",""),"💬"),"")</f>
        <v>💬</v>
      </c>
      <c r="H22" s="57" t="str">
        <f>IF(Gulberg!B44&lt;&gt;"",Gulberg!F44,"")</f>
        <v/>
      </c>
      <c r="I22" s="57">
        <f>IF(Gulberg!B44&lt;&gt;"",Gulberg!G44,"")</f>
        <v>14</v>
      </c>
      <c r="J22" s="57" t="str">
        <f>IF(Gulberg!B44&lt;&gt;"",Gulberg!H44,"")</f>
        <v/>
      </c>
      <c r="K22" s="57" t="str">
        <f>IF(Gulberg!B44&lt;&gt;"",Gulberg!CH44,"")</f>
        <v>20%</v>
      </c>
      <c r="L22" s="57">
        <f>IF(Gulberg!B44&lt;&gt;"",Gulberg!CE44,"")</f>
        <v>1</v>
      </c>
    </row>
    <row r="23" ht="16.5" customHeight="1">
      <c r="A23" s="57">
        <f>IF(Gulberg!B45&lt;&gt;"",SUMPRODUCT((LEN(D4:D22)&gt;0)*1)+1,"")</f>
        <v>20</v>
      </c>
      <c r="B23" s="57" t="str">
        <f>IF(Gulberg!B45&lt;&gt;"","Gulberg","")</f>
        <v>Gulberg</v>
      </c>
      <c r="C23" s="57" t="str">
        <f>IF(Gulberg!B45&lt;&gt;"","Group 1","")</f>
        <v>Group 1</v>
      </c>
      <c r="D23" s="58" t="str">
        <f>IF(Gulberg!B45&lt;&gt;"",Gulberg!B45,"")</f>
        <v>Muhammad Usama</v>
      </c>
      <c r="E23" s="59" t="str">
        <f>IF(Gulberg!B45&lt;&gt;"",Gulberg!C45,"")</f>
        <v>+923171852200</v>
      </c>
      <c r="F23" s="60" t="str">
        <f>IF(Gulberg!B45&lt;&gt;"",HYPERLINK("tel:"&amp;SUBSTITUTE(SUBSTITUTE(Gulberg!C45,"+","+")," ",""),"📞"),"")</f>
        <v>📞</v>
      </c>
      <c r="G23" s="61" t="str">
        <f>IF(Gulberg!B45&lt;&gt;"",HYPERLINK("https://wa.me/"&amp;SUBSTITUTE(SUBSTITUTE(Gulberg!C45,"+","")," ",""),"💬"),"")</f>
        <v>💬</v>
      </c>
      <c r="H23" s="57" t="str">
        <f>IF(Gulberg!B45&lt;&gt;"",Gulberg!F45,"")</f>
        <v/>
      </c>
      <c r="I23" s="57">
        <f>IF(Gulberg!B45&lt;&gt;"",Gulberg!G45,"")</f>
        <v>14</v>
      </c>
      <c r="J23" s="57" t="str">
        <f>IF(Gulberg!B45&lt;&gt;"",Gulberg!H45,"")</f>
        <v/>
      </c>
      <c r="K23" s="57" t="str">
        <f>IF(Gulberg!B45&lt;&gt;"",Gulberg!CH45,"")</f>
        <v>100%</v>
      </c>
      <c r="L23" s="57">
        <f>IF(Gulberg!B45&lt;&gt;"",Gulberg!CE45,"")</f>
        <v>2</v>
      </c>
    </row>
    <row r="24" ht="16.5" customHeight="1">
      <c r="A24" s="57" t="str">
        <f>IF(Gulberg!B46&lt;&gt;"",SUMPRODUCT((LEN(D4:D23)&gt;0)*1)+1,"")</f>
        <v/>
      </c>
      <c r="B24" s="57" t="str">
        <f>IF(Gulberg!B46&lt;&gt;"","Gulberg","")</f>
        <v/>
      </c>
      <c r="C24" s="57" t="str">
        <f>IF(Gulberg!B46&lt;&gt;"","Group 1","")</f>
        <v/>
      </c>
      <c r="D24" s="58" t="str">
        <f>IF(Gulberg!B46&lt;&gt;"",Gulberg!B46,"")</f>
        <v/>
      </c>
      <c r="E24" s="57" t="str">
        <f>IF(Gulberg!B46&lt;&gt;"",Gulberg!C46,"")</f>
        <v/>
      </c>
      <c r="F24" s="60" t="str">
        <f>IF(Gulberg!B46&lt;&gt;"",HYPERLINK("tel:"&amp;SUBSTITUTE(SUBSTITUTE(Gulberg!C46,"+","+")," ",""),"📞"),"")</f>
        <v/>
      </c>
      <c r="G24" s="64" t="str">
        <f>IF(Gulberg!B46&lt;&gt;"",HYPERLINK("https://wa.me/"&amp;SUBSTITUTE(SUBSTITUTE(Gulberg!C46,"+","")," ",""),"💬"),"")</f>
        <v/>
      </c>
      <c r="H24" s="57" t="str">
        <f>IF(Gulberg!B46&lt;&gt;"",Gulberg!F46,"")</f>
        <v/>
      </c>
      <c r="I24" s="57" t="str">
        <f>IF(Gulberg!B46&lt;&gt;"",Gulberg!G46,"")</f>
        <v/>
      </c>
      <c r="J24" s="57" t="str">
        <f>IF(Gulberg!B46&lt;&gt;"",Gulberg!H46,"")</f>
        <v/>
      </c>
      <c r="K24" s="57" t="str">
        <f>IF(Gulberg!B46&lt;&gt;"",Gulberg!CH46,"")</f>
        <v/>
      </c>
      <c r="L24" s="57" t="str">
        <f>IF(Gulberg!B46&lt;&gt;"",Gulberg!CE46,"")</f>
        <v/>
      </c>
    </row>
    <row r="25" ht="16.5" customHeight="1">
      <c r="A25" s="57" t="str">
        <f>IF(Gulberg!B47&lt;&gt;"",SUMPRODUCT((LEN(D4:D24)&gt;0)*1)+1,"")</f>
        <v/>
      </c>
      <c r="B25" s="57" t="str">
        <f>IF(Gulberg!B47&lt;&gt;"","Gulberg","")</f>
        <v/>
      </c>
      <c r="C25" s="57" t="str">
        <f>IF(Gulberg!B47&lt;&gt;"","Group 1","")</f>
        <v/>
      </c>
      <c r="D25" s="58" t="str">
        <f>IF(Gulberg!B47&lt;&gt;"",Gulberg!B47,"")</f>
        <v/>
      </c>
      <c r="E25" s="57" t="str">
        <f>IF(Gulberg!B47&lt;&gt;"",Gulberg!C47,"")</f>
        <v/>
      </c>
      <c r="F25" s="60" t="str">
        <f>IF(Gulberg!B47&lt;&gt;"",HYPERLINK("tel:"&amp;SUBSTITUTE(SUBSTITUTE(Gulberg!C47,"+","+")," ",""),"📞"),"")</f>
        <v/>
      </c>
      <c r="G25" s="64" t="str">
        <f>IF(Gulberg!B47&lt;&gt;"",HYPERLINK("https://wa.me/"&amp;SUBSTITUTE(SUBSTITUTE(Gulberg!C47,"+","")," ",""),"💬"),"")</f>
        <v/>
      </c>
      <c r="H25" s="57" t="str">
        <f>IF(Gulberg!B47&lt;&gt;"",Gulberg!F47,"")</f>
        <v/>
      </c>
      <c r="I25" s="57" t="str">
        <f>IF(Gulberg!B47&lt;&gt;"",Gulberg!G47,"")</f>
        <v/>
      </c>
      <c r="J25" s="57" t="str">
        <f>IF(Gulberg!B47&lt;&gt;"",Gulberg!H47,"")</f>
        <v/>
      </c>
      <c r="K25" s="57" t="str">
        <f>IF(Gulberg!B47&lt;&gt;"",Gulberg!CH47,"")</f>
        <v/>
      </c>
      <c r="L25" s="57" t="str">
        <f>IF(Gulberg!B47&lt;&gt;"",Gulberg!CE47,"")</f>
        <v/>
      </c>
    </row>
    <row r="26" ht="16.5" customHeight="1">
      <c r="A26" s="57" t="str">
        <f>IF(Gulberg!B48&lt;&gt;"",SUMPRODUCT((LEN(D4:D25)&gt;0)*1)+1,"")</f>
        <v/>
      </c>
      <c r="B26" s="57" t="str">
        <f>IF(Gulberg!B48&lt;&gt;"","Gulberg","")</f>
        <v/>
      </c>
      <c r="C26" s="57" t="str">
        <f>IF(Gulberg!B48&lt;&gt;"","Group 1","")</f>
        <v/>
      </c>
      <c r="D26" s="58" t="str">
        <f>IF(Gulberg!B48&lt;&gt;"",Gulberg!B48,"")</f>
        <v/>
      </c>
      <c r="E26" s="57" t="str">
        <f>IF(Gulberg!B48&lt;&gt;"",Gulberg!C48,"")</f>
        <v/>
      </c>
      <c r="F26" s="60" t="str">
        <f>IF(Gulberg!B48&lt;&gt;"",HYPERLINK("tel:"&amp;SUBSTITUTE(SUBSTITUTE(Gulberg!C48,"+","+")," ",""),"📞"),"")</f>
        <v/>
      </c>
      <c r="G26" s="64" t="str">
        <f>IF(Gulberg!B48&lt;&gt;"",HYPERLINK("https://wa.me/"&amp;SUBSTITUTE(SUBSTITUTE(Gulberg!C48,"+","")," ",""),"💬"),"")</f>
        <v/>
      </c>
      <c r="H26" s="57" t="str">
        <f>IF(Gulberg!B48&lt;&gt;"",Gulberg!F48,"")</f>
        <v/>
      </c>
      <c r="I26" s="57" t="str">
        <f>IF(Gulberg!B48&lt;&gt;"",Gulberg!G48,"")</f>
        <v/>
      </c>
      <c r="J26" s="57" t="str">
        <f>IF(Gulberg!B48&lt;&gt;"",Gulberg!H48,"")</f>
        <v/>
      </c>
      <c r="K26" s="57" t="str">
        <f>IF(Gulberg!B48&lt;&gt;"",Gulberg!CH48,"")</f>
        <v/>
      </c>
      <c r="L26" s="57" t="str">
        <f>IF(Gulberg!B48&lt;&gt;"",Gulberg!CE48,"")</f>
        <v/>
      </c>
    </row>
    <row r="27" ht="16.5" customHeight="1">
      <c r="A27" s="10">
        <v>19.0</v>
      </c>
      <c r="B27" s="10" t="s">
        <v>18</v>
      </c>
      <c r="C27" s="10" t="s">
        <v>203</v>
      </c>
      <c r="D27" s="12" t="str">
        <f>Gulberg!B52</f>
        <v>Muhammad Humayl Ali</v>
      </c>
      <c r="E27" s="14" t="str">
        <f>Gulberg!C52</f>
        <v>'+923008492494</v>
      </c>
      <c r="F27" s="17" t="str">
        <f>IF(Gulberg!C52&lt;&gt;"",HYPERLINK("tel:"&amp;SUBSTITUTE(SUBSTITUTE(Gulberg!C52,"+","+")," ",""),"📞"),"")</f>
        <v>📞</v>
      </c>
      <c r="G27" s="19" t="str">
        <f>IF(Gulberg!C52&lt;&gt;"",HYPERLINK("https://wa.me/"&amp;SUBSTITUTE(SUBSTITUTE(Gulberg!C52,"+","")," ",""),"💬"),"")</f>
        <v>💬</v>
      </c>
      <c r="H27" s="10" t="str">
        <f>Gulberg!F52</f>
        <v/>
      </c>
      <c r="I27" s="10" t="str">
        <f>Gulberg!G52</f>
        <v>15.0</v>
      </c>
      <c r="J27" s="10" t="str">
        <f>Gulberg!H52</f>
        <v/>
      </c>
      <c r="K27" s="10" t="str">
        <f>Gulberg!CH52</f>
        <v>72%</v>
      </c>
      <c r="L27" s="10">
        <f>Gulberg!CE52</f>
        <v>13</v>
      </c>
    </row>
    <row r="28" ht="16.5" customHeight="1">
      <c r="A28" s="20">
        <v>20.0</v>
      </c>
      <c r="B28" s="20" t="s">
        <v>18</v>
      </c>
      <c r="C28" s="20" t="s">
        <v>203</v>
      </c>
      <c r="D28" s="22" t="str">
        <f>Gulberg!B53</f>
        <v>Maaz Tahir</v>
      </c>
      <c r="E28" s="23" t="str">
        <f>Gulberg!C53</f>
        <v>'+923090809644</v>
      </c>
      <c r="F28" s="24" t="str">
        <f>IF(Gulberg!C53&lt;&gt;"",HYPERLINK("tel:"&amp;SUBSTITUTE(SUBSTITUTE(Gulberg!C53,"+","+")," ",""),"📞"),"")</f>
        <v>📞</v>
      </c>
      <c r="G28" s="41" t="str">
        <f>IF(Gulberg!C53&lt;&gt;"",HYPERLINK("https://wa.me/"&amp;SUBSTITUTE(SUBSTITUTE(Gulberg!C53,"+","")," ",""),"💬"),"")</f>
        <v>💬</v>
      </c>
      <c r="H28" s="20" t="str">
        <f>Gulberg!F53</f>
        <v/>
      </c>
      <c r="I28" s="20" t="str">
        <f>Gulberg!G53</f>
        <v>15.0</v>
      </c>
      <c r="J28" s="20" t="str">
        <f>Gulberg!H53</f>
        <v>9th</v>
      </c>
      <c r="K28" s="20" t="str">
        <f>Gulberg!CH53</f>
        <v>78%</v>
      </c>
      <c r="L28" s="20">
        <f>Gulberg!CE53</f>
        <v>14</v>
      </c>
    </row>
    <row r="29" ht="16.5" customHeight="1">
      <c r="A29" s="10">
        <v>21.0</v>
      </c>
      <c r="B29" s="10" t="s">
        <v>18</v>
      </c>
      <c r="C29" s="10" t="s">
        <v>203</v>
      </c>
      <c r="D29" s="12" t="str">
        <f>Gulberg!B54</f>
        <v>M. Awais Zafar</v>
      </c>
      <c r="E29" s="14" t="str">
        <f>Gulberg!C54</f>
        <v>'+923114333457</v>
      </c>
      <c r="F29" s="17" t="str">
        <f>IF(Gulberg!C54&lt;&gt;"",HYPERLINK("tel:"&amp;SUBSTITUTE(SUBSTITUTE(Gulberg!C54,"+","+")," ",""),"📞"),"")</f>
        <v>📞</v>
      </c>
      <c r="G29" s="19" t="str">
        <f>IF(Gulberg!C54&lt;&gt;"",HYPERLINK("https://wa.me/"&amp;SUBSTITUTE(SUBSTITUTE(Gulberg!C54,"+","")," ",""),"💬"),"")</f>
        <v>💬</v>
      </c>
      <c r="H29" s="10" t="str">
        <f>Gulberg!F54</f>
        <v/>
      </c>
      <c r="I29" s="10" t="str">
        <f>Gulberg!G54</f>
        <v>16.0</v>
      </c>
      <c r="J29" s="10" t="str">
        <f>Gulberg!H54</f>
        <v>10th</v>
      </c>
      <c r="K29" s="10" t="str">
        <f>Gulberg!CH54</f>
        <v>78%</v>
      </c>
      <c r="L29" s="10">
        <f>Gulberg!CE54</f>
        <v>14</v>
      </c>
    </row>
    <row r="30" ht="16.5" customHeight="1">
      <c r="A30" s="20">
        <v>22.0</v>
      </c>
      <c r="B30" s="20" t="s">
        <v>18</v>
      </c>
      <c r="C30" s="20" t="s">
        <v>203</v>
      </c>
      <c r="D30" s="22" t="str">
        <f>Gulberg!B55</f>
        <v>Muhammad Abdullah</v>
      </c>
      <c r="E30" s="23" t="str">
        <f>Gulberg!C55</f>
        <v>'+923274963532</v>
      </c>
      <c r="F30" s="24" t="str">
        <f>IF(Gulberg!C55&lt;&gt;"",HYPERLINK("tel:"&amp;SUBSTITUTE(SUBSTITUTE(Gulberg!C55,"+","+")," ",""),"📞"),"")</f>
        <v>📞</v>
      </c>
      <c r="G30" s="41" t="str">
        <f>IF(Gulberg!C55&lt;&gt;"",HYPERLINK("https://wa.me/"&amp;SUBSTITUTE(SUBSTITUTE(Gulberg!C55,"+","")," ",""),"💬"),"")</f>
        <v>💬</v>
      </c>
      <c r="H30" s="20" t="str">
        <f>Gulberg!F55</f>
        <v/>
      </c>
      <c r="I30" s="20" t="str">
        <f>Gulberg!G55</f>
        <v>16.0</v>
      </c>
      <c r="J30" s="20" t="str">
        <f>Gulberg!H55</f>
        <v>10th</v>
      </c>
      <c r="K30" s="20" t="str">
        <f>Gulberg!CH55</f>
        <v>0%</v>
      </c>
      <c r="L30" s="20">
        <f>Gulberg!CE55</f>
        <v>0</v>
      </c>
    </row>
    <row r="31" ht="16.5" customHeight="1">
      <c r="A31" s="10">
        <v>23.0</v>
      </c>
      <c r="B31" s="10" t="s">
        <v>18</v>
      </c>
      <c r="C31" s="10" t="s">
        <v>203</v>
      </c>
      <c r="D31" s="12" t="str">
        <f>Gulberg!B56</f>
        <v>Ans Ramzan</v>
      </c>
      <c r="E31" s="14" t="str">
        <f>Gulberg!C56</f>
        <v>'+923285865741</v>
      </c>
      <c r="F31" s="17" t="str">
        <f>IF(Gulberg!C56&lt;&gt;"",HYPERLINK("tel:"&amp;SUBSTITUTE(SUBSTITUTE(Gulberg!C56,"+","+")," ",""),"📞"),"")</f>
        <v>📞</v>
      </c>
      <c r="G31" s="19" t="str">
        <f>IF(Gulberg!C56&lt;&gt;"",HYPERLINK("https://wa.me/"&amp;SUBSTITUTE(SUBSTITUTE(Gulberg!C56,"+","")," ",""),"💬"),"")</f>
        <v>💬</v>
      </c>
      <c r="H31" s="10" t="str">
        <f>Gulberg!F56</f>
        <v/>
      </c>
      <c r="I31" s="10" t="str">
        <f>Gulberg!G56</f>
        <v>16.0</v>
      </c>
      <c r="J31" s="10" t="str">
        <f>Gulberg!H56</f>
        <v/>
      </c>
      <c r="K31" s="10" t="str">
        <f>Gulberg!CH56</f>
        <v>0%</v>
      </c>
      <c r="L31" s="10">
        <f>Gulberg!CE56</f>
        <v>0</v>
      </c>
    </row>
    <row r="32" ht="16.5" customHeight="1">
      <c r="A32" s="20">
        <v>24.0</v>
      </c>
      <c r="B32" s="20" t="s">
        <v>18</v>
      </c>
      <c r="C32" s="20" t="s">
        <v>203</v>
      </c>
      <c r="D32" s="22" t="str">
        <f>Gulberg!B57</f>
        <v>M. Ali Nasir</v>
      </c>
      <c r="E32" s="23" t="str">
        <f>Gulberg!C57</f>
        <v>'+923214151591</v>
      </c>
      <c r="F32" s="24" t="str">
        <f>IF(Gulberg!C57&lt;&gt;"",HYPERLINK("tel:"&amp;SUBSTITUTE(SUBSTITUTE(Gulberg!C57,"+","+")," ",""),"📞"),"")</f>
        <v>📞</v>
      </c>
      <c r="G32" s="41" t="str">
        <f>IF(Gulberg!C57&lt;&gt;"",HYPERLINK("https://wa.me/"&amp;SUBSTITUTE(SUBSTITUTE(Gulberg!C57,"+","")," ",""),"💬"),"")</f>
        <v>💬</v>
      </c>
      <c r="H32" s="20" t="str">
        <f>Gulberg!F57</f>
        <v/>
      </c>
      <c r="I32" s="20" t="str">
        <f>Gulberg!G57</f>
        <v>16.0</v>
      </c>
      <c r="J32" s="20" t="str">
        <f>Gulberg!H57</f>
        <v>O Level</v>
      </c>
      <c r="K32" s="20" t="str">
        <f>Gulberg!CH57</f>
        <v>28%</v>
      </c>
      <c r="L32" s="20">
        <f>Gulberg!CE57</f>
        <v>5</v>
      </c>
    </row>
    <row r="33" ht="16.5" customHeight="1">
      <c r="A33" s="10">
        <v>25.0</v>
      </c>
      <c r="B33" s="10" t="s">
        <v>18</v>
      </c>
      <c r="C33" s="10" t="s">
        <v>203</v>
      </c>
      <c r="D33" s="12" t="str">
        <f>Gulberg!B58</f>
        <v>M.wahaj Ahmed</v>
      </c>
      <c r="E33" s="14" t="str">
        <f>Gulberg!C58</f>
        <v>'+923215845260</v>
      </c>
      <c r="F33" s="17" t="str">
        <f>IF(Gulberg!C58&lt;&gt;"",HYPERLINK("tel:"&amp;SUBSTITUTE(SUBSTITUTE(Gulberg!C58,"+","+")," ",""),"📞"),"")</f>
        <v>📞</v>
      </c>
      <c r="G33" s="19" t="str">
        <f>IF(Gulberg!C58&lt;&gt;"",HYPERLINK("https://wa.me/"&amp;SUBSTITUTE(SUBSTITUTE(Gulberg!C58,"+","")," ",""),"💬"),"")</f>
        <v>💬</v>
      </c>
      <c r="H33" s="10" t="str">
        <f>Gulberg!F58</f>
        <v/>
      </c>
      <c r="I33" s="10" t="str">
        <f>Gulberg!G58</f>
        <v>16.0</v>
      </c>
      <c r="J33" s="10" t="str">
        <f>Gulberg!H58</f>
        <v>10th</v>
      </c>
      <c r="K33" s="10" t="str">
        <f>Gulberg!CH58</f>
        <v>100%</v>
      </c>
      <c r="L33" s="10">
        <f>Gulberg!CE58</f>
        <v>15</v>
      </c>
    </row>
    <row r="34" ht="16.5" customHeight="1">
      <c r="A34" s="20">
        <v>26.0</v>
      </c>
      <c r="B34" s="20" t="s">
        <v>18</v>
      </c>
      <c r="C34" s="20" t="s">
        <v>203</v>
      </c>
      <c r="D34" s="22" t="str">
        <f>Gulberg!B59</f>
        <v>Abdur Rehman Yahya</v>
      </c>
      <c r="E34" s="23" t="str">
        <f>Gulberg!C59</f>
        <v>'+923259753363</v>
      </c>
      <c r="F34" s="24" t="str">
        <f>IF(Gulberg!C59&lt;&gt;"",HYPERLINK("tel:"&amp;SUBSTITUTE(SUBSTITUTE(Gulberg!C59,"+","+")," ",""),"📞"),"")</f>
        <v>📞</v>
      </c>
      <c r="G34" s="41" t="str">
        <f>IF(Gulberg!C59&lt;&gt;"",HYPERLINK("https://wa.me/"&amp;SUBSTITUTE(SUBSTITUTE(Gulberg!C59,"+","")," ",""),"💬"),"")</f>
        <v>💬</v>
      </c>
      <c r="H34" s="20" t="str">
        <f>Gulberg!F59</f>
        <v/>
      </c>
      <c r="I34" s="20" t="str">
        <f>Gulberg!G59</f>
        <v>16.0</v>
      </c>
      <c r="J34" s="20" t="str">
        <f>Gulberg!H59</f>
        <v>11th</v>
      </c>
      <c r="K34" s="20" t="str">
        <f>Gulberg!CH59</f>
        <v>77%</v>
      </c>
      <c r="L34" s="20">
        <f>Gulberg!CE59</f>
        <v>10</v>
      </c>
    </row>
    <row r="35" ht="16.5" customHeight="1">
      <c r="A35" s="10">
        <v>27.0</v>
      </c>
      <c r="B35" s="10" t="s">
        <v>18</v>
      </c>
      <c r="C35" s="10" t="s">
        <v>203</v>
      </c>
      <c r="D35" s="12" t="str">
        <f>Gulberg!B60</f>
        <v>Zawar hussain</v>
      </c>
      <c r="E35" s="14" t="str">
        <f>Gulberg!C60</f>
        <v>'+923230011678</v>
      </c>
      <c r="F35" s="17" t="str">
        <f>IF(Gulberg!C60&lt;&gt;"",HYPERLINK("tel:"&amp;SUBSTITUTE(SUBSTITUTE(Gulberg!C60,"+","+")," ",""),"📞"),"")</f>
        <v>📞</v>
      </c>
      <c r="G35" s="19" t="str">
        <f>IF(Gulberg!C60&lt;&gt;"",HYPERLINK("https://wa.me/"&amp;SUBSTITUTE(SUBSTITUTE(Gulberg!C60,"+","")," ",""),"💬"),"")</f>
        <v>💬</v>
      </c>
      <c r="H35" s="10" t="str">
        <f>Gulberg!F60</f>
        <v/>
      </c>
      <c r="I35" s="10" t="str">
        <f>Gulberg!G60</f>
        <v>16.0</v>
      </c>
      <c r="J35" s="10" t="str">
        <f>Gulberg!H60</f>
        <v/>
      </c>
      <c r="K35" s="10" t="str">
        <f>Gulberg!CH60</f>
        <v>56%</v>
      </c>
      <c r="L35" s="10">
        <f>Gulberg!CE60</f>
        <v>9</v>
      </c>
    </row>
    <row r="36" ht="16.5" customHeight="1">
      <c r="A36" s="20">
        <v>28.0</v>
      </c>
      <c r="B36" s="20" t="s">
        <v>18</v>
      </c>
      <c r="C36" s="20" t="s">
        <v>203</v>
      </c>
      <c r="D36" s="22" t="str">
        <f>Gulberg!B61</f>
        <v>Hamza Muslim</v>
      </c>
      <c r="E36" s="23" t="str">
        <f>Gulberg!C61</f>
        <v>'+923288183734</v>
      </c>
      <c r="F36" s="24" t="str">
        <f>IF(Gulberg!C61&lt;&gt;"",HYPERLINK("tel:"&amp;SUBSTITUTE(SUBSTITUTE(Gulberg!C61,"+","+")," ",""),"📞"),"")</f>
        <v>📞</v>
      </c>
      <c r="G36" s="41" t="str">
        <f>IF(Gulberg!C61&lt;&gt;"",HYPERLINK("https://wa.me/"&amp;SUBSTITUTE(SUBSTITUTE(Gulberg!C61,"+","")," ",""),"💬"),"")</f>
        <v>💬</v>
      </c>
      <c r="H36" s="20" t="str">
        <f>Gulberg!F61</f>
        <v/>
      </c>
      <c r="I36" s="20" t="str">
        <f>Gulberg!G61</f>
        <v>16.0</v>
      </c>
      <c r="J36" s="20" t="str">
        <f>Gulberg!H61</f>
        <v/>
      </c>
      <c r="K36" s="20" t="str">
        <f>Gulberg!CH61</f>
        <v>53%</v>
      </c>
      <c r="L36" s="20">
        <f>Gulberg!CE61</f>
        <v>8</v>
      </c>
    </row>
    <row r="37" ht="16.5" customHeight="1">
      <c r="A37" s="10">
        <v>29.0</v>
      </c>
      <c r="B37" s="10" t="s">
        <v>18</v>
      </c>
      <c r="C37" s="10" t="s">
        <v>203</v>
      </c>
      <c r="D37" s="12" t="str">
        <f>Gulberg!B62</f>
        <v>Muhammad Azaan</v>
      </c>
      <c r="E37" s="14" t="str">
        <f>Gulberg!C62</f>
        <v>'+923095376062</v>
      </c>
      <c r="F37" s="17" t="str">
        <f>IF(Gulberg!C62&lt;&gt;"",HYPERLINK("tel:"&amp;SUBSTITUTE(SUBSTITUTE(Gulberg!C62,"+","+")," ",""),"📞"),"")</f>
        <v>📞</v>
      </c>
      <c r="G37" s="19" t="str">
        <f>IF(Gulberg!C62&lt;&gt;"",HYPERLINK("https://wa.me/"&amp;SUBSTITUTE(SUBSTITUTE(Gulberg!C62,"+","")," ",""),"💬"),"")</f>
        <v>💬</v>
      </c>
      <c r="H37" s="10" t="str">
        <f>Gulberg!F62</f>
        <v/>
      </c>
      <c r="I37" s="10" t="str">
        <f>Gulberg!G62</f>
        <v>17.0</v>
      </c>
      <c r="J37" s="10" t="str">
        <f>Gulberg!H62</f>
        <v/>
      </c>
      <c r="K37" s="10" t="str">
        <f>Gulberg!CH62</f>
        <v>22%</v>
      </c>
      <c r="L37" s="10">
        <f>Gulberg!CE62</f>
        <v>2</v>
      </c>
    </row>
    <row r="38" ht="16.5" customHeight="1">
      <c r="A38" s="20">
        <v>30.0</v>
      </c>
      <c r="B38" s="20" t="s">
        <v>18</v>
      </c>
      <c r="C38" s="20" t="s">
        <v>203</v>
      </c>
      <c r="D38" s="22" t="str">
        <f>Gulberg!B63</f>
        <v>Mohammad Zain Ghani</v>
      </c>
      <c r="E38" s="23" t="str">
        <f>Gulberg!C63</f>
        <v>'+923043337555</v>
      </c>
      <c r="F38" s="24" t="str">
        <f>IF(Gulberg!C63&lt;&gt;"",HYPERLINK("tel:"&amp;SUBSTITUTE(SUBSTITUTE(Gulberg!C63,"+","+")," ",""),"📞"),"")</f>
        <v>📞</v>
      </c>
      <c r="G38" s="41" t="str">
        <f>IF(Gulberg!C63&lt;&gt;"",HYPERLINK("https://wa.me/"&amp;SUBSTITUTE(SUBSTITUTE(Gulberg!C63,"+","")," ",""),"💬"),"")</f>
        <v>💬</v>
      </c>
      <c r="H38" s="20" t="str">
        <f>Gulberg!F63</f>
        <v/>
      </c>
      <c r="I38" s="20" t="str">
        <f>Gulberg!G63</f>
        <v>16.0</v>
      </c>
      <c r="J38" s="20" t="str">
        <f>Gulberg!H63</f>
        <v/>
      </c>
      <c r="K38" s="20" t="str">
        <f>Gulberg!CH63</f>
        <v>80%</v>
      </c>
      <c r="L38" s="20">
        <f>Gulberg!CE63</f>
        <v>12</v>
      </c>
    </row>
    <row r="39" ht="16.5" customHeight="1">
      <c r="A39" s="10">
        <v>31.0</v>
      </c>
      <c r="B39" s="10" t="s">
        <v>18</v>
      </c>
      <c r="C39" s="10" t="s">
        <v>203</v>
      </c>
      <c r="D39" s="12" t="str">
        <f>Gulberg!B64</f>
        <v>Abdul Rehman Habibullah</v>
      </c>
      <c r="E39" s="14" t="str">
        <f>Gulberg!C64</f>
        <v>'+923154086895</v>
      </c>
      <c r="F39" s="17" t="str">
        <f>IF(Gulberg!C64&lt;&gt;"",HYPERLINK("tel:"&amp;SUBSTITUTE(SUBSTITUTE(Gulberg!C64,"+","+")," ",""),"📞"),"")</f>
        <v>📞</v>
      </c>
      <c r="G39" s="19" t="str">
        <f>IF(Gulberg!C64&lt;&gt;"",HYPERLINK("https://wa.me/"&amp;SUBSTITUTE(SUBSTITUTE(Gulberg!C64,"+","")," ",""),"💬"),"")</f>
        <v>💬</v>
      </c>
      <c r="H39" s="10" t="str">
        <f>Gulberg!F64</f>
        <v/>
      </c>
      <c r="I39" s="10" t="str">
        <f>Gulberg!G64</f>
        <v>16.0</v>
      </c>
      <c r="J39" s="10" t="str">
        <f>Gulberg!H64</f>
        <v/>
      </c>
      <c r="K39" s="10" t="str">
        <f>Gulberg!CH64</f>
        <v>33%</v>
      </c>
      <c r="L39" s="10">
        <f>Gulberg!CE64</f>
        <v>6</v>
      </c>
    </row>
    <row r="40" ht="16.5" customHeight="1">
      <c r="A40" s="20">
        <v>32.0</v>
      </c>
      <c r="B40" s="20" t="s">
        <v>18</v>
      </c>
      <c r="C40" s="20" t="s">
        <v>203</v>
      </c>
      <c r="D40" s="22" t="str">
        <f>Gulberg!B65</f>
        <v>Hamza iqbal</v>
      </c>
      <c r="E40" s="23" t="str">
        <f>Gulberg!C65</f>
        <v>'+923096948498</v>
      </c>
      <c r="F40" s="24" t="str">
        <f>IF(Gulberg!C65&lt;&gt;"",HYPERLINK("tel:"&amp;SUBSTITUTE(SUBSTITUTE(Gulberg!C65,"+","+")," ",""),"📞"),"")</f>
        <v>📞</v>
      </c>
      <c r="G40" s="41" t="str">
        <f>IF(Gulberg!C65&lt;&gt;"",HYPERLINK("https://wa.me/"&amp;SUBSTITUTE(SUBSTITUTE(Gulberg!C65,"+","")," ",""),"💬"),"")</f>
        <v>💬</v>
      </c>
      <c r="H40" s="20" t="str">
        <f>Gulberg!F65</f>
        <v/>
      </c>
      <c r="I40" s="20" t="str">
        <f>Gulberg!G65</f>
        <v>17.0</v>
      </c>
      <c r="J40" s="20" t="str">
        <f>Gulberg!H65</f>
        <v/>
      </c>
      <c r="K40" s="20" t="str">
        <f>Gulberg!CH65</f>
        <v>22%</v>
      </c>
      <c r="L40" s="20">
        <f>Gulberg!CE65</f>
        <v>2</v>
      </c>
    </row>
    <row r="41" ht="16.5" customHeight="1">
      <c r="A41" s="10">
        <v>33.0</v>
      </c>
      <c r="B41" s="10" t="s">
        <v>18</v>
      </c>
      <c r="C41" s="10" t="s">
        <v>203</v>
      </c>
      <c r="D41" s="12" t="str">
        <f>Gulberg!B66</f>
        <v>Muhammad Zubair</v>
      </c>
      <c r="E41" s="14" t="str">
        <f>Gulberg!C66</f>
        <v>'+923274088002</v>
      </c>
      <c r="F41" s="17" t="str">
        <f>IF(Gulberg!C66&lt;&gt;"",HYPERLINK("tel:"&amp;SUBSTITUTE(SUBSTITUTE(Gulberg!C66,"+","+")," ",""),"📞"),"")</f>
        <v>📞</v>
      </c>
      <c r="G41" s="19" t="str">
        <f>IF(Gulberg!C66&lt;&gt;"",HYPERLINK("https://wa.me/"&amp;SUBSTITUTE(SUBSTITUTE(Gulberg!C66,"+","")," ",""),"💬"),"")</f>
        <v>💬</v>
      </c>
      <c r="H41" s="10" t="str">
        <f>Gulberg!F66</f>
        <v/>
      </c>
      <c r="I41" s="10" t="str">
        <f>Gulberg!G66</f>
        <v>17.0</v>
      </c>
      <c r="J41" s="10" t="str">
        <f>Gulberg!H66</f>
        <v/>
      </c>
      <c r="K41" s="10" t="str">
        <f>Gulberg!CH66</f>
        <v>100%</v>
      </c>
      <c r="L41" s="10">
        <f>Gulberg!CE66</f>
        <v>18</v>
      </c>
    </row>
    <row r="42" ht="16.5" customHeight="1">
      <c r="A42" s="20">
        <v>34.0</v>
      </c>
      <c r="B42" s="20" t="s">
        <v>18</v>
      </c>
      <c r="C42" s="20" t="s">
        <v>203</v>
      </c>
      <c r="D42" s="22" t="str">
        <f>Gulberg!B67</f>
        <v>Muhammad Saad Ghani</v>
      </c>
      <c r="E42" s="23" t="str">
        <f>Gulberg!C67</f>
        <v>'+923043337555</v>
      </c>
      <c r="F42" s="24" t="str">
        <f>IF(Gulberg!C67&lt;&gt;"",HYPERLINK("tel:"&amp;SUBSTITUTE(SUBSTITUTE(Gulberg!C67,"+","+")," ",""),"📞"),"")</f>
        <v>📞</v>
      </c>
      <c r="G42" s="41" t="str">
        <f>IF(Gulberg!C67&lt;&gt;"",HYPERLINK("https://wa.me/"&amp;SUBSTITUTE(SUBSTITUTE(Gulberg!C67,"+","")," ",""),"💬"),"")</f>
        <v>💬</v>
      </c>
      <c r="H42" s="20" t="str">
        <f>Gulberg!F67</f>
        <v/>
      </c>
      <c r="I42" s="20" t="str">
        <f>Gulberg!G67</f>
        <v>14.0</v>
      </c>
      <c r="J42" s="20" t="str">
        <f>Gulberg!H67</f>
        <v/>
      </c>
      <c r="K42" s="20" t="str">
        <f>Gulberg!CH67</f>
        <v>50%</v>
      </c>
      <c r="L42" s="20">
        <f>Gulberg!CE67</f>
        <v>6</v>
      </c>
    </row>
    <row r="43" ht="16.5" customHeight="1">
      <c r="A43" s="10">
        <v>35.0</v>
      </c>
      <c r="B43" s="10" t="s">
        <v>18</v>
      </c>
      <c r="C43" s="10" t="s">
        <v>203</v>
      </c>
      <c r="D43" s="12" t="str">
        <f>Gulberg!B68</f>
        <v>Muhammad Roman</v>
      </c>
      <c r="E43" s="14" t="str">
        <f>Gulberg!C68</f>
        <v/>
      </c>
      <c r="F43" s="17" t="str">
        <f>IF(Gulberg!C68&lt;&gt;"",HYPERLINK("tel:"&amp;SUBSTITUTE(SUBSTITUTE(Gulberg!C68,"+","+")," ",""),"📞"),"")</f>
        <v/>
      </c>
      <c r="G43" s="28" t="str">
        <f>IF(Gulberg!C68&lt;&gt;"",HYPERLINK("https://wa.me/"&amp;SUBSTITUTE(SUBSTITUTE(Gulberg!C68,"+","")," ",""),"💬"),"")</f>
        <v/>
      </c>
      <c r="H43" s="10" t="str">
        <f>Gulberg!F68</f>
        <v/>
      </c>
      <c r="I43" s="10" t="str">
        <f>Gulberg!G68</f>
        <v/>
      </c>
      <c r="J43" s="10" t="str">
        <f>Gulberg!H68</f>
        <v/>
      </c>
      <c r="K43" s="10" t="str">
        <f>Gulberg!CH68</f>
        <v>67%</v>
      </c>
      <c r="L43" s="10">
        <f>Gulberg!CE68</f>
        <v>8</v>
      </c>
    </row>
    <row r="44" ht="16.5" customHeight="1">
      <c r="A44" s="20">
        <v>36.0</v>
      </c>
      <c r="B44" s="20" t="s">
        <v>18</v>
      </c>
      <c r="C44" s="20" t="s">
        <v>203</v>
      </c>
      <c r="D44" s="22" t="str">
        <f>Gulberg!B69</f>
        <v>Muhammad bin Haris</v>
      </c>
      <c r="E44" s="23" t="str">
        <f>Gulberg!C69</f>
        <v/>
      </c>
      <c r="F44" s="24" t="str">
        <f>IF(Gulberg!C69&lt;&gt;"",HYPERLINK("tel:"&amp;SUBSTITUTE(SUBSTITUTE(Gulberg!C69,"+","+")," ",""),"📞"),"")</f>
        <v/>
      </c>
      <c r="G44" s="26" t="str">
        <f>IF(Gulberg!C69&lt;&gt;"",HYPERLINK("https://wa.me/"&amp;SUBSTITUTE(SUBSTITUTE(Gulberg!C69,"+","")," ",""),"💬"),"")</f>
        <v/>
      </c>
      <c r="H44" s="20" t="str">
        <f>Gulberg!F69</f>
        <v/>
      </c>
      <c r="I44" s="20" t="str">
        <f>Gulberg!G69</f>
        <v/>
      </c>
      <c r="J44" s="20" t="str">
        <f>Gulberg!H69</f>
        <v/>
      </c>
      <c r="K44" s="20" t="str">
        <f>Gulberg!CH69</f>
        <v>67%</v>
      </c>
      <c r="L44" s="20">
        <f>Gulberg!CE69</f>
        <v>4</v>
      </c>
    </row>
    <row r="45" ht="16.5" customHeight="1">
      <c r="A45" s="10">
        <v>37.0</v>
      </c>
      <c r="B45" s="10" t="s">
        <v>18</v>
      </c>
      <c r="C45" s="10" t="s">
        <v>203</v>
      </c>
      <c r="D45" s="12" t="str">
        <f>Gulberg!B70</f>
        <v>Zaid bin Haris</v>
      </c>
      <c r="E45" s="14" t="str">
        <f>Gulberg!C70</f>
        <v/>
      </c>
      <c r="F45" s="17" t="str">
        <f>IF(Gulberg!C70&lt;&gt;"",HYPERLINK("tel:"&amp;SUBSTITUTE(SUBSTITUTE(Gulberg!C70,"+","+")," ",""),"📞"),"")</f>
        <v/>
      </c>
      <c r="G45" s="28" t="str">
        <f>IF(Gulberg!C70&lt;&gt;"",HYPERLINK("https://wa.me/"&amp;SUBSTITUTE(SUBSTITUTE(Gulberg!C70,"+","")," ",""),"💬"),"")</f>
        <v/>
      </c>
      <c r="H45" s="10" t="str">
        <f>Gulberg!F70</f>
        <v/>
      </c>
      <c r="I45" s="10" t="str">
        <f>Gulberg!G70</f>
        <v/>
      </c>
      <c r="J45" s="10" t="str">
        <f>Gulberg!H70</f>
        <v/>
      </c>
      <c r="K45" s="10" t="str">
        <f>Gulberg!CH70</f>
        <v>67%</v>
      </c>
      <c r="L45" s="10">
        <f>Gulberg!CE70</f>
        <v>4</v>
      </c>
    </row>
    <row r="46" ht="16.5" customHeight="1">
      <c r="A46" s="20">
        <v>38.0</v>
      </c>
      <c r="B46" s="20" t="s">
        <v>18</v>
      </c>
      <c r="C46" s="20" t="s">
        <v>203</v>
      </c>
      <c r="D46" s="22" t="str">
        <f>Gulberg!B71</f>
        <v>Muhammad Awais Waseem</v>
      </c>
      <c r="E46" s="23" t="str">
        <f>Gulberg!C71</f>
        <v/>
      </c>
      <c r="F46" s="24" t="str">
        <f>IF(Gulberg!C71&lt;&gt;"",HYPERLINK("tel:"&amp;SUBSTITUTE(SUBSTITUTE(Gulberg!C71,"+","+")," ",""),"📞"),"")</f>
        <v/>
      </c>
      <c r="G46" s="26" t="str">
        <f>IF(Gulberg!C71&lt;&gt;"",HYPERLINK("https://wa.me/"&amp;SUBSTITUTE(SUBSTITUTE(Gulberg!C71,"+","")," ",""),"💬"),"")</f>
        <v/>
      </c>
      <c r="H46" s="20" t="str">
        <f>Gulberg!F71</f>
        <v/>
      </c>
      <c r="I46" s="20" t="str">
        <f>Gulberg!G71</f>
        <v/>
      </c>
      <c r="J46" s="20" t="str">
        <f>Gulberg!H71</f>
        <v/>
      </c>
      <c r="K46" s="20" t="str">
        <f>Gulberg!CH71</f>
        <v>40%</v>
      </c>
      <c r="L46" s="20">
        <f>Gulberg!CE71</f>
        <v>4</v>
      </c>
    </row>
    <row r="47" ht="16.5" customHeight="1">
      <c r="A47" s="10">
        <v>39.0</v>
      </c>
      <c r="B47" s="10" t="s">
        <v>18</v>
      </c>
      <c r="C47" s="10" t="s">
        <v>203</v>
      </c>
      <c r="D47" s="12" t="str">
        <f>Gulberg!B72</f>
        <v>Musa Farhan</v>
      </c>
      <c r="E47" s="14" t="str">
        <f>Gulberg!C72</f>
        <v/>
      </c>
      <c r="F47" s="17" t="str">
        <f>IF(Gulberg!C72&lt;&gt;"",HYPERLINK("tel:"&amp;SUBSTITUTE(SUBSTITUTE(Gulberg!C72,"+","+")," ",""),"📞"),"")</f>
        <v/>
      </c>
      <c r="G47" s="28" t="str">
        <f>IF(Gulberg!C72&lt;&gt;"",HYPERLINK("https://wa.me/"&amp;SUBSTITUTE(SUBSTITUTE(Gulberg!C72,"+","")," ",""),"💬"),"")</f>
        <v/>
      </c>
      <c r="H47" s="10" t="str">
        <f>Gulberg!F72</f>
        <v/>
      </c>
      <c r="I47" s="10" t="str">
        <f>Gulberg!G72</f>
        <v/>
      </c>
      <c r="J47" s="10" t="str">
        <f>Gulberg!H72</f>
        <v/>
      </c>
      <c r="K47" s="10" t="str">
        <f>Gulberg!CH72</f>
        <v>40%</v>
      </c>
      <c r="L47" s="10">
        <f>Gulberg!CE72</f>
        <v>2</v>
      </c>
    </row>
    <row r="48" ht="16.5" customHeight="1">
      <c r="A48" s="20">
        <v>40.0</v>
      </c>
      <c r="B48" s="20" t="s">
        <v>18</v>
      </c>
      <c r="C48" s="20" t="s">
        <v>203</v>
      </c>
      <c r="D48" s="22" t="str">
        <f>Gulberg!B73</f>
        <v>Noman bin Saif</v>
      </c>
      <c r="E48" s="23" t="str">
        <f>Gulberg!C73</f>
        <v/>
      </c>
      <c r="F48" s="24" t="str">
        <f>IF(Gulberg!C73&lt;&gt;"",HYPERLINK("tel:"&amp;SUBSTITUTE(SUBSTITUTE(Gulberg!C73,"+","+")," ",""),"📞"),"")</f>
        <v/>
      </c>
      <c r="G48" s="26" t="str">
        <f>IF(Gulberg!C73&lt;&gt;"",HYPERLINK("https://wa.me/"&amp;SUBSTITUTE(SUBSTITUTE(Gulberg!C73,"+","")," ",""),"💬"),"")</f>
        <v/>
      </c>
      <c r="H48" s="20" t="str">
        <f>Gulberg!F73</f>
        <v/>
      </c>
      <c r="I48" s="20" t="str">
        <f>Gulberg!G73</f>
        <v/>
      </c>
      <c r="J48" s="20" t="str">
        <f>Gulberg!H73</f>
        <v/>
      </c>
      <c r="K48" s="20" t="str">
        <f>Gulberg!CH73</f>
        <v>100%</v>
      </c>
      <c r="L48" s="20">
        <f>Gulberg!CE73</f>
        <v>3</v>
      </c>
    </row>
    <row r="49" ht="16.5" customHeight="1">
      <c r="A49" s="57">
        <f>IF(Gulberg!B74&lt;&gt;"",SUMPRODUCT((LEN(D4:D48)&gt;0)*1)+1,"")</f>
        <v>43</v>
      </c>
      <c r="B49" s="57" t="str">
        <f>IF(Gulberg!B74&lt;&gt;"","Gulberg","")</f>
        <v>Gulberg</v>
      </c>
      <c r="C49" s="57" t="str">
        <f>IF(Gulberg!B74&lt;&gt;"","Group 2","")</f>
        <v>Group 2</v>
      </c>
      <c r="D49" s="58" t="str">
        <f>IF(Gulberg!B74&lt;&gt;"",Gulberg!B74,"")</f>
        <v>Muhammad Awais</v>
      </c>
      <c r="E49" s="59" t="str">
        <f>IF(Gulberg!B74&lt;&gt;"",Gulberg!C74,"")</f>
        <v>+923214551484</v>
      </c>
      <c r="F49" s="60" t="str">
        <f>IF(Gulberg!B74&lt;&gt;"",HYPERLINK("tel:"&amp;SUBSTITUTE(SUBSTITUTE(Gulberg!C74,"+","+")," ",""),"📞"),"")</f>
        <v>📞</v>
      </c>
      <c r="G49" s="61" t="str">
        <f>IF(Gulberg!B74&lt;&gt;"",HYPERLINK("https://wa.me/"&amp;SUBSTITUTE(SUBSTITUTE(Gulberg!C74,"+","")," ",""),"💬"),"")</f>
        <v>💬</v>
      </c>
      <c r="H49" s="57" t="str">
        <f>IF(Gulberg!B74&lt;&gt;"",Gulberg!F74,"")</f>
        <v/>
      </c>
      <c r="I49" s="57">
        <f>IF(Gulberg!B74&lt;&gt;"",Gulberg!G74,"")</f>
        <v>16</v>
      </c>
      <c r="J49" s="57" t="str">
        <f>IF(Gulberg!B74&lt;&gt;"",Gulberg!H74,"")</f>
        <v/>
      </c>
      <c r="K49" s="57" t="str">
        <f>IF(Gulberg!B74&lt;&gt;"",Gulberg!CH74,"")</f>
        <v>100%</v>
      </c>
      <c r="L49" s="57">
        <f>IF(Gulberg!B74&lt;&gt;"",Gulberg!CE74,"")</f>
        <v>1</v>
      </c>
    </row>
    <row r="50" ht="16.5" customHeight="1">
      <c r="A50" s="57" t="str">
        <f>IF(Gulberg!B75&lt;&gt;"",SUMPRODUCT((LEN(D4:D49)&gt;0)*1)+1,"")</f>
        <v/>
      </c>
      <c r="B50" s="57" t="str">
        <f>IF(Gulberg!B75&lt;&gt;"","Gulberg","")</f>
        <v/>
      </c>
      <c r="C50" s="57" t="str">
        <f>IF(Gulberg!B75&lt;&gt;"","Group 2","")</f>
        <v/>
      </c>
      <c r="D50" s="58" t="str">
        <f>IF(Gulberg!B75&lt;&gt;"",Gulberg!B75,"")</f>
        <v/>
      </c>
      <c r="E50" s="57" t="str">
        <f>IF(Gulberg!B75&lt;&gt;"",Gulberg!C75,"")</f>
        <v/>
      </c>
      <c r="F50" s="60" t="str">
        <f>IF(Gulberg!B75&lt;&gt;"",HYPERLINK("tel:"&amp;SUBSTITUTE(SUBSTITUTE(Gulberg!C75,"+","+")," ",""),"📞"),"")</f>
        <v/>
      </c>
      <c r="G50" s="64" t="str">
        <f>IF(Gulberg!B75&lt;&gt;"",HYPERLINK("https://wa.me/"&amp;SUBSTITUTE(SUBSTITUTE(Gulberg!C75,"+","")," ",""),"💬"),"")</f>
        <v/>
      </c>
      <c r="H50" s="57" t="str">
        <f>IF(Gulberg!B75&lt;&gt;"",Gulberg!F75,"")</f>
        <v/>
      </c>
      <c r="I50" s="57" t="str">
        <f>IF(Gulberg!B75&lt;&gt;"",Gulberg!G75,"")</f>
        <v/>
      </c>
      <c r="J50" s="57" t="str">
        <f>IF(Gulberg!B75&lt;&gt;"",Gulberg!H75,"")</f>
        <v/>
      </c>
      <c r="K50" s="57" t="str">
        <f>IF(Gulberg!B75&lt;&gt;"",Gulberg!CH75,"")</f>
        <v/>
      </c>
      <c r="L50" s="57" t="str">
        <f>IF(Gulberg!B75&lt;&gt;"",Gulberg!CE75,"")</f>
        <v/>
      </c>
    </row>
    <row r="51" ht="16.5" customHeight="1">
      <c r="A51" s="57" t="str">
        <f>IF(Gulberg!B76&lt;&gt;"",SUMPRODUCT((LEN(D4:D50)&gt;0)*1)+1,"")</f>
        <v/>
      </c>
      <c r="B51" s="57" t="str">
        <f>IF(Gulberg!B76&lt;&gt;"","Gulberg","")</f>
        <v/>
      </c>
      <c r="C51" s="57" t="str">
        <f>IF(Gulberg!B76&lt;&gt;"","Group 2","")</f>
        <v/>
      </c>
      <c r="D51" s="58" t="str">
        <f>IF(Gulberg!B76&lt;&gt;"",Gulberg!B76,"")</f>
        <v/>
      </c>
      <c r="E51" s="57" t="str">
        <f>IF(Gulberg!B76&lt;&gt;"",Gulberg!C76,"")</f>
        <v/>
      </c>
      <c r="F51" s="60" t="str">
        <f>IF(Gulberg!B76&lt;&gt;"",HYPERLINK("tel:"&amp;SUBSTITUTE(SUBSTITUTE(Gulberg!C76,"+","+")," ",""),"📞"),"")</f>
        <v/>
      </c>
      <c r="G51" s="64" t="str">
        <f>IF(Gulberg!B76&lt;&gt;"",HYPERLINK("https://wa.me/"&amp;SUBSTITUTE(SUBSTITUTE(Gulberg!C76,"+","")," ",""),"💬"),"")</f>
        <v/>
      </c>
      <c r="H51" s="57" t="str">
        <f>IF(Gulberg!B76&lt;&gt;"",Gulberg!F76,"")</f>
        <v/>
      </c>
      <c r="I51" s="57" t="str">
        <f>IF(Gulberg!B76&lt;&gt;"",Gulberg!G76,"")</f>
        <v/>
      </c>
      <c r="J51" s="57" t="str">
        <f>IF(Gulberg!B76&lt;&gt;"",Gulberg!H76,"")</f>
        <v/>
      </c>
      <c r="K51" s="57" t="str">
        <f>IF(Gulberg!B76&lt;&gt;"",Gulberg!CH76,"")</f>
        <v/>
      </c>
      <c r="L51" s="57" t="str">
        <f>IF(Gulberg!B76&lt;&gt;"",Gulberg!CE76,"")</f>
        <v/>
      </c>
    </row>
    <row r="52" ht="16.5" customHeight="1">
      <c r="A52" s="57" t="str">
        <f>IF(Gulberg!B77&lt;&gt;"",SUMPRODUCT((LEN(D4:D51)&gt;0)*1)+1,"")</f>
        <v/>
      </c>
      <c r="B52" s="57" t="str">
        <f>IF(Gulberg!B77&lt;&gt;"","Gulberg","")</f>
        <v/>
      </c>
      <c r="C52" s="57" t="str">
        <f>IF(Gulberg!B77&lt;&gt;"","Group 2","")</f>
        <v/>
      </c>
      <c r="D52" s="58" t="str">
        <f>IF(Gulberg!B77&lt;&gt;"",Gulberg!B77,"")</f>
        <v/>
      </c>
      <c r="E52" s="57" t="str">
        <f>IF(Gulberg!B77&lt;&gt;"",Gulberg!C77,"")</f>
        <v/>
      </c>
      <c r="F52" s="60" t="str">
        <f>IF(Gulberg!B77&lt;&gt;"",HYPERLINK("tel:"&amp;SUBSTITUTE(SUBSTITUTE(Gulberg!C77,"+","+")," ",""),"📞"),"")</f>
        <v/>
      </c>
      <c r="G52" s="64" t="str">
        <f>IF(Gulberg!B77&lt;&gt;"",HYPERLINK("https://wa.me/"&amp;SUBSTITUTE(SUBSTITUTE(Gulberg!C77,"+","")," ",""),"💬"),"")</f>
        <v/>
      </c>
      <c r="H52" s="57" t="str">
        <f>IF(Gulberg!B77&lt;&gt;"",Gulberg!F77,"")</f>
        <v/>
      </c>
      <c r="I52" s="57" t="str">
        <f>IF(Gulberg!B77&lt;&gt;"",Gulberg!G77,"")</f>
        <v/>
      </c>
      <c r="J52" s="57" t="str">
        <f>IF(Gulberg!B77&lt;&gt;"",Gulberg!H77,"")</f>
        <v/>
      </c>
      <c r="K52" s="57" t="str">
        <f>IF(Gulberg!B77&lt;&gt;"",Gulberg!CH77,"")</f>
        <v/>
      </c>
      <c r="L52" s="57" t="str">
        <f>IF(Gulberg!B77&lt;&gt;"",Gulberg!CE77,"")</f>
        <v/>
      </c>
    </row>
    <row r="53" ht="16.5" customHeight="1">
      <c r="A53" s="57" t="str">
        <f>IF(Gulberg!B78&lt;&gt;"",SUMPRODUCT((LEN(D4:D52)&gt;0)*1)+1,"")</f>
        <v/>
      </c>
      <c r="B53" s="57" t="str">
        <f>IF(Gulberg!B78&lt;&gt;"","Gulberg","")</f>
        <v/>
      </c>
      <c r="C53" s="57" t="str">
        <f>IF(Gulberg!B78&lt;&gt;"","Group 2","")</f>
        <v/>
      </c>
      <c r="D53" s="58" t="str">
        <f>IF(Gulberg!B78&lt;&gt;"",Gulberg!B78,"")</f>
        <v/>
      </c>
      <c r="E53" s="57" t="str">
        <f>IF(Gulberg!B78&lt;&gt;"",Gulberg!C78,"")</f>
        <v/>
      </c>
      <c r="F53" s="60" t="str">
        <f>IF(Gulberg!B78&lt;&gt;"",HYPERLINK("tel:"&amp;SUBSTITUTE(SUBSTITUTE(Gulberg!C78,"+","+")," ",""),"📞"),"")</f>
        <v/>
      </c>
      <c r="G53" s="64" t="str">
        <f>IF(Gulberg!B78&lt;&gt;"",HYPERLINK("https://wa.me/"&amp;SUBSTITUTE(SUBSTITUTE(Gulberg!C78,"+","")," ",""),"💬"),"")</f>
        <v/>
      </c>
      <c r="H53" s="57" t="str">
        <f>IF(Gulberg!B78&lt;&gt;"",Gulberg!F78,"")</f>
        <v/>
      </c>
      <c r="I53" s="57" t="str">
        <f>IF(Gulberg!B78&lt;&gt;"",Gulberg!G78,"")</f>
        <v/>
      </c>
      <c r="J53" s="57" t="str">
        <f>IF(Gulberg!B78&lt;&gt;"",Gulberg!H78,"")</f>
        <v/>
      </c>
      <c r="K53" s="57" t="str">
        <f>IF(Gulberg!B78&lt;&gt;"",Gulberg!CH78,"")</f>
        <v/>
      </c>
      <c r="L53" s="57" t="str">
        <f>IF(Gulberg!B78&lt;&gt;"",Gulberg!CE78,"")</f>
        <v/>
      </c>
    </row>
    <row r="54" ht="16.5" customHeight="1">
      <c r="A54" s="10">
        <v>41.0</v>
      </c>
      <c r="B54" s="10" t="s">
        <v>18</v>
      </c>
      <c r="C54" s="10" t="s">
        <v>219</v>
      </c>
      <c r="D54" s="12" t="str">
        <f>Gulberg!B82</f>
        <v>Muhammad Talal</v>
      </c>
      <c r="E54" s="14" t="str">
        <f>Gulberg!C82</f>
        <v>'+923289779626</v>
      </c>
      <c r="F54" s="17" t="str">
        <f>IF(Gulberg!C82&lt;&gt;"",HYPERLINK("tel:"&amp;SUBSTITUTE(SUBSTITUTE(Gulberg!C82,"+","+")," ",""),"📞"),"")</f>
        <v>📞</v>
      </c>
      <c r="G54" s="19" t="str">
        <f>IF(Gulberg!C82&lt;&gt;"",HYPERLINK("https://wa.me/"&amp;SUBSTITUTE(SUBSTITUTE(Gulberg!C82,"+","")," ",""),"💬"),"")</f>
        <v>💬</v>
      </c>
      <c r="H54" s="10" t="str">
        <f>Gulberg!F82</f>
        <v/>
      </c>
      <c r="I54" s="10" t="str">
        <f>Gulberg!G82</f>
        <v>17.0</v>
      </c>
      <c r="J54" s="10" t="str">
        <f>Gulberg!H82</f>
        <v/>
      </c>
      <c r="K54" s="10" t="str">
        <f>Gulberg!CH82</f>
        <v>11%</v>
      </c>
      <c r="L54" s="10">
        <f>Gulberg!CE82</f>
        <v>1</v>
      </c>
    </row>
    <row r="55" ht="16.5" customHeight="1">
      <c r="A55" s="20">
        <v>42.0</v>
      </c>
      <c r="B55" s="20" t="s">
        <v>18</v>
      </c>
      <c r="C55" s="20" t="s">
        <v>219</v>
      </c>
      <c r="D55" s="22" t="str">
        <f>Gulberg!B83</f>
        <v>Muhammad Ahmad</v>
      </c>
      <c r="E55" s="23" t="str">
        <f>Gulberg!C83</f>
        <v>'+923004433014</v>
      </c>
      <c r="F55" s="24" t="str">
        <f>IF(Gulberg!C83&lt;&gt;"",HYPERLINK("tel:"&amp;SUBSTITUTE(SUBSTITUTE(Gulberg!C83,"+","+")," ",""),"📞"),"")</f>
        <v>📞</v>
      </c>
      <c r="G55" s="41" t="str">
        <f>IF(Gulberg!C83&lt;&gt;"",HYPERLINK("https://wa.me/"&amp;SUBSTITUTE(SUBSTITUTE(Gulberg!C83,"+","")," ",""),"💬"),"")</f>
        <v>💬</v>
      </c>
      <c r="H55" s="20" t="str">
        <f>Gulberg!F83</f>
        <v/>
      </c>
      <c r="I55" s="20" t="str">
        <f>Gulberg!G83</f>
        <v>17.0</v>
      </c>
      <c r="J55" s="20" t="str">
        <f>Gulberg!H83</f>
        <v/>
      </c>
      <c r="K55" s="20" t="str">
        <f>Gulberg!CH83</f>
        <v>8%</v>
      </c>
      <c r="L55" s="20">
        <f>Gulberg!CE83</f>
        <v>1</v>
      </c>
    </row>
    <row r="56" ht="16.5" customHeight="1">
      <c r="A56" s="10">
        <v>43.0</v>
      </c>
      <c r="B56" s="10" t="s">
        <v>18</v>
      </c>
      <c r="C56" s="10" t="s">
        <v>219</v>
      </c>
      <c r="D56" s="12" t="str">
        <f>Gulberg!B84</f>
        <v>Ali zaka</v>
      </c>
      <c r="E56" s="14" t="str">
        <f>Gulberg!C84</f>
        <v>'+923176787922</v>
      </c>
      <c r="F56" s="17" t="str">
        <f>IF(Gulberg!C84&lt;&gt;"",HYPERLINK("tel:"&amp;SUBSTITUTE(SUBSTITUTE(Gulberg!C84,"+","+")," ",""),"📞"),"")</f>
        <v>📞</v>
      </c>
      <c r="G56" s="19" t="str">
        <f>IF(Gulberg!C84&lt;&gt;"",HYPERLINK("https://wa.me/"&amp;SUBSTITUTE(SUBSTITUTE(Gulberg!C84,"+","")," ",""),"💬"),"")</f>
        <v>💬</v>
      </c>
      <c r="H56" s="10" t="str">
        <f>Gulberg!F84</f>
        <v/>
      </c>
      <c r="I56" s="10" t="str">
        <f>Gulberg!G84</f>
        <v>17.0</v>
      </c>
      <c r="J56" s="10" t="str">
        <f>Gulberg!H84</f>
        <v>10th</v>
      </c>
      <c r="K56" s="10" t="str">
        <f>Gulberg!CH84</f>
        <v>82%</v>
      </c>
      <c r="L56" s="10">
        <f>Gulberg!CE84</f>
        <v>14</v>
      </c>
    </row>
    <row r="57" ht="16.5" customHeight="1">
      <c r="A57" s="20">
        <v>44.0</v>
      </c>
      <c r="B57" s="20" t="s">
        <v>18</v>
      </c>
      <c r="C57" s="20" t="s">
        <v>219</v>
      </c>
      <c r="D57" s="22" t="str">
        <f>Gulberg!B85</f>
        <v>Hafiz Huzaifa</v>
      </c>
      <c r="E57" s="23" t="str">
        <f>Gulberg!C85</f>
        <v>'+923347103608</v>
      </c>
      <c r="F57" s="24" t="str">
        <f>IF(Gulberg!C85&lt;&gt;"",HYPERLINK("tel:"&amp;SUBSTITUTE(SUBSTITUTE(Gulberg!C85,"+","+")," ",""),"📞"),"")</f>
        <v>📞</v>
      </c>
      <c r="G57" s="41" t="str">
        <f>IF(Gulberg!C85&lt;&gt;"",HYPERLINK("https://wa.me/"&amp;SUBSTITUTE(SUBSTITUTE(Gulberg!C85,"+","")," ",""),"💬"),"")</f>
        <v>💬</v>
      </c>
      <c r="H57" s="20" t="str">
        <f>Gulberg!F85</f>
        <v/>
      </c>
      <c r="I57" s="20" t="str">
        <f>Gulberg!G85</f>
        <v>17.0</v>
      </c>
      <c r="J57" s="20" t="str">
        <f>Gulberg!H85</f>
        <v>10th</v>
      </c>
      <c r="K57" s="20" t="str">
        <f>Gulberg!CH85</f>
        <v>94%</v>
      </c>
      <c r="L57" s="20">
        <f>Gulberg!CE85</f>
        <v>15</v>
      </c>
    </row>
    <row r="58" ht="16.5" customHeight="1">
      <c r="A58" s="10">
        <v>45.0</v>
      </c>
      <c r="B58" s="10" t="s">
        <v>18</v>
      </c>
      <c r="C58" s="10" t="s">
        <v>219</v>
      </c>
      <c r="D58" s="12" t="str">
        <f>Gulberg!B86</f>
        <v>Shazil Ali</v>
      </c>
      <c r="E58" s="14" t="str">
        <f>Gulberg!C86</f>
        <v>'+923147585002</v>
      </c>
      <c r="F58" s="17" t="str">
        <f>IF(Gulberg!C86&lt;&gt;"",HYPERLINK("tel:"&amp;SUBSTITUTE(SUBSTITUTE(Gulberg!C86,"+","+")," ",""),"📞"),"")</f>
        <v>📞</v>
      </c>
      <c r="G58" s="19" t="str">
        <f>IF(Gulberg!C86&lt;&gt;"",HYPERLINK("https://wa.me/"&amp;SUBSTITUTE(SUBSTITUTE(Gulberg!C86,"+","")," ",""),"💬"),"")</f>
        <v>💬</v>
      </c>
      <c r="H58" s="10" t="str">
        <f>Gulberg!F86</f>
        <v/>
      </c>
      <c r="I58" s="10" t="str">
        <f>Gulberg!G86</f>
        <v>20</v>
      </c>
      <c r="J58" s="10" t="str">
        <f>Gulberg!H86</f>
        <v>12th</v>
      </c>
      <c r="K58" s="10" t="str">
        <f>Gulberg!CH86</f>
        <v>0%</v>
      </c>
      <c r="L58" s="10">
        <f>Gulberg!CE86</f>
        <v>0</v>
      </c>
    </row>
    <row r="59" ht="16.5" customHeight="1">
      <c r="A59" s="20">
        <v>46.0</v>
      </c>
      <c r="B59" s="20" t="s">
        <v>18</v>
      </c>
      <c r="C59" s="20" t="s">
        <v>219</v>
      </c>
      <c r="D59" s="22" t="str">
        <f>Gulberg!B87</f>
        <v>Muhammad Abdullah Maqbool</v>
      </c>
      <c r="E59" s="23" t="str">
        <f>Gulberg!C87</f>
        <v>'+923264147680</v>
      </c>
      <c r="F59" s="24" t="str">
        <f>IF(Gulberg!C87&lt;&gt;"",HYPERLINK("tel:"&amp;SUBSTITUTE(SUBSTITUTE(Gulberg!C87,"+","+")," ",""),"📞"),"")</f>
        <v>📞</v>
      </c>
      <c r="G59" s="41" t="str">
        <f>IF(Gulberg!C87&lt;&gt;"",HYPERLINK("https://wa.me/"&amp;SUBSTITUTE(SUBSTITUTE(Gulberg!C87,"+","")," ",""),"💬"),"")</f>
        <v>💬</v>
      </c>
      <c r="H59" s="20" t="str">
        <f>Gulberg!F87</f>
        <v/>
      </c>
      <c r="I59" s="20" t="str">
        <f>Gulberg!G87</f>
        <v>19.0</v>
      </c>
      <c r="J59" s="20" t="str">
        <f>Gulberg!H87</f>
        <v>O Level</v>
      </c>
      <c r="K59" s="20" t="str">
        <f>Gulberg!CH87</f>
        <v>81%</v>
      </c>
      <c r="L59" s="20">
        <f>Gulberg!CE87</f>
        <v>13</v>
      </c>
    </row>
    <row r="60" ht="16.5" customHeight="1">
      <c r="A60" s="10">
        <v>47.0</v>
      </c>
      <c r="B60" s="10" t="s">
        <v>18</v>
      </c>
      <c r="C60" s="10" t="s">
        <v>219</v>
      </c>
      <c r="D60" s="12" t="str">
        <f>Gulberg!B88</f>
        <v>Hussain Toufique</v>
      </c>
      <c r="E60" s="14" t="str">
        <f>Gulberg!C88</f>
        <v>'+923220140118</v>
      </c>
      <c r="F60" s="17" t="str">
        <f>IF(Gulberg!C88&lt;&gt;"",HYPERLINK("tel:"&amp;SUBSTITUTE(SUBSTITUTE(Gulberg!C88,"+","+")," ",""),"📞"),"")</f>
        <v>📞</v>
      </c>
      <c r="G60" s="19" t="str">
        <f>IF(Gulberg!C88&lt;&gt;"",HYPERLINK("https://wa.me/"&amp;SUBSTITUTE(SUBSTITUTE(Gulberg!C88,"+","")," ",""),"💬"),"")</f>
        <v>💬</v>
      </c>
      <c r="H60" s="10" t="str">
        <f>Gulberg!F88</f>
        <v/>
      </c>
      <c r="I60" s="10" t="str">
        <f>Gulberg!G88</f>
        <v>19.0</v>
      </c>
      <c r="J60" s="10" t="str">
        <f>Gulberg!H88</f>
        <v/>
      </c>
      <c r="K60" s="10" t="str">
        <f>Gulberg!CH88</f>
        <v>81%</v>
      </c>
      <c r="L60" s="10">
        <f>Gulberg!CE88</f>
        <v>13</v>
      </c>
    </row>
    <row r="61" ht="16.5" customHeight="1">
      <c r="A61" s="20">
        <v>48.0</v>
      </c>
      <c r="B61" s="20" t="s">
        <v>18</v>
      </c>
      <c r="C61" s="20" t="s">
        <v>219</v>
      </c>
      <c r="D61" s="22" t="str">
        <f>Gulberg!B89</f>
        <v>Muhammad Hamza</v>
      </c>
      <c r="E61" s="23" t="str">
        <f>Gulberg!C89</f>
        <v>'+923214176029</v>
      </c>
      <c r="F61" s="24" t="str">
        <f>IF(Gulberg!C89&lt;&gt;"",HYPERLINK("tel:"&amp;SUBSTITUTE(SUBSTITUTE(Gulberg!C89,"+","+")," ",""),"📞"),"")</f>
        <v>📞</v>
      </c>
      <c r="G61" s="41" t="str">
        <f>IF(Gulberg!C89&lt;&gt;"",HYPERLINK("https://wa.me/"&amp;SUBSTITUTE(SUBSTITUTE(Gulberg!C89,"+","")," ",""),"💬"),"")</f>
        <v>💬</v>
      </c>
      <c r="H61" s="20" t="str">
        <f>Gulberg!F89</f>
        <v/>
      </c>
      <c r="I61" s="20" t="str">
        <f>Gulberg!G89</f>
        <v>25.0</v>
      </c>
      <c r="J61" s="20" t="str">
        <f>Gulberg!H89</f>
        <v/>
      </c>
      <c r="K61" s="20" t="str">
        <f>Gulberg!CH89</f>
        <v>0%</v>
      </c>
      <c r="L61" s="20">
        <f>Gulberg!CE89</f>
        <v>0</v>
      </c>
    </row>
    <row r="62" ht="16.5" customHeight="1">
      <c r="A62" s="10">
        <v>49.0</v>
      </c>
      <c r="B62" s="10" t="s">
        <v>18</v>
      </c>
      <c r="C62" s="10" t="s">
        <v>219</v>
      </c>
      <c r="D62" s="12" t="str">
        <f>Gulberg!B90</f>
        <v>Hafiz Muhammad awais</v>
      </c>
      <c r="E62" s="14" t="str">
        <f>Gulberg!C90</f>
        <v>'+923214551484</v>
      </c>
      <c r="F62" s="17" t="str">
        <f>IF(Gulberg!C90&lt;&gt;"",HYPERLINK("tel:"&amp;SUBSTITUTE(SUBSTITUTE(Gulberg!C90,"+","+")," ",""),"📞"),"")</f>
        <v>📞</v>
      </c>
      <c r="G62" s="19" t="str">
        <f>IF(Gulberg!C90&lt;&gt;"",HYPERLINK("https://wa.me/"&amp;SUBSTITUTE(SUBSTITUTE(Gulberg!C90,"+","")," ",""),"💬"),"")</f>
        <v>💬</v>
      </c>
      <c r="H62" s="10" t="str">
        <f>Gulberg!F90</f>
        <v/>
      </c>
      <c r="I62" s="10" t="str">
        <f>Gulberg!G90</f>
        <v/>
      </c>
      <c r="J62" s="10" t="str">
        <f>Gulberg!H90</f>
        <v/>
      </c>
      <c r="K62" s="10" t="str">
        <f>Gulberg!CH90</f>
        <v>0%</v>
      </c>
      <c r="L62" s="10">
        <f>Gulberg!CE90</f>
        <v>0</v>
      </c>
    </row>
    <row r="63" ht="16.5" customHeight="1">
      <c r="A63" s="20">
        <v>50.0</v>
      </c>
      <c r="B63" s="20" t="s">
        <v>18</v>
      </c>
      <c r="C63" s="20" t="s">
        <v>219</v>
      </c>
      <c r="D63" s="22" t="str">
        <f>Gulberg!B91</f>
        <v>Yousaf Ahmad</v>
      </c>
      <c r="E63" s="23" t="str">
        <f>Gulberg!C91</f>
        <v>'+923044885267</v>
      </c>
      <c r="F63" s="24" t="str">
        <f>IF(Gulberg!C91&lt;&gt;"",HYPERLINK("tel:"&amp;SUBSTITUTE(SUBSTITUTE(Gulberg!C91,"+","+")," ",""),"📞"),"")</f>
        <v>📞</v>
      </c>
      <c r="G63" s="41" t="str">
        <f>IF(Gulberg!C91&lt;&gt;"",HYPERLINK("https://wa.me/"&amp;SUBSTITUTE(SUBSTITUTE(Gulberg!C91,"+","")," ",""),"💬"),"")</f>
        <v>💬</v>
      </c>
      <c r="H63" s="20" t="str">
        <f>Gulberg!F91</f>
        <v/>
      </c>
      <c r="I63" s="20" t="str">
        <f>Gulberg!G91</f>
        <v>20</v>
      </c>
      <c r="J63" s="20" t="str">
        <f>Gulberg!H91</f>
        <v/>
      </c>
      <c r="K63" s="20" t="str">
        <f>Gulberg!CH91</f>
        <v>59%</v>
      </c>
      <c r="L63" s="20">
        <f>Gulberg!CE91</f>
        <v>10</v>
      </c>
    </row>
    <row r="64" ht="16.5" customHeight="1">
      <c r="A64" s="10">
        <v>51.0</v>
      </c>
      <c r="B64" s="10" t="s">
        <v>18</v>
      </c>
      <c r="C64" s="10" t="s">
        <v>219</v>
      </c>
      <c r="D64" s="12" t="str">
        <f>Gulberg!B92</f>
        <v>Muhammad Aqib</v>
      </c>
      <c r="E64" s="14" t="str">
        <f>Gulberg!C92</f>
        <v>'+923214511345</v>
      </c>
      <c r="F64" s="17" t="str">
        <f>IF(Gulberg!C92&lt;&gt;"",HYPERLINK("tel:"&amp;SUBSTITUTE(SUBSTITUTE(Gulberg!C92,"+","+")," ",""),"📞"),"")</f>
        <v>📞</v>
      </c>
      <c r="G64" s="19" t="str">
        <f>IF(Gulberg!C92&lt;&gt;"",HYPERLINK("https://wa.me/"&amp;SUBSTITUTE(SUBSTITUTE(Gulberg!C92,"+","")," ",""),"💬"),"")</f>
        <v>💬</v>
      </c>
      <c r="H64" s="10" t="str">
        <f>Gulberg!F92</f>
        <v/>
      </c>
      <c r="I64" s="10" t="str">
        <f>Gulberg!G92</f>
        <v>20</v>
      </c>
      <c r="J64" s="10" t="str">
        <f>Gulberg!H92</f>
        <v/>
      </c>
      <c r="K64" s="10" t="str">
        <f>Gulberg!CH92</f>
        <v>94%</v>
      </c>
      <c r="L64" s="10">
        <f>Gulberg!CE92</f>
        <v>15</v>
      </c>
    </row>
    <row r="65" ht="16.5" customHeight="1">
      <c r="A65" s="20">
        <v>52.0</v>
      </c>
      <c r="B65" s="20" t="s">
        <v>18</v>
      </c>
      <c r="C65" s="20" t="s">
        <v>219</v>
      </c>
      <c r="D65" s="22" t="str">
        <f>Gulberg!B93</f>
        <v>Saadat Bashir</v>
      </c>
      <c r="E65" s="23" t="str">
        <f>Gulberg!C93</f>
        <v>'+923264765502</v>
      </c>
      <c r="F65" s="24" t="str">
        <f>IF(Gulberg!C93&lt;&gt;"",HYPERLINK("tel:"&amp;SUBSTITUTE(SUBSTITUTE(Gulberg!C93,"+","+")," ",""),"📞"),"")</f>
        <v>📞</v>
      </c>
      <c r="G65" s="41" t="str">
        <f>IF(Gulberg!C93&lt;&gt;"",HYPERLINK("https://wa.me/"&amp;SUBSTITUTE(SUBSTITUTE(Gulberg!C93,"+","")," ",""),"💬"),"")</f>
        <v>💬</v>
      </c>
      <c r="H65" s="20" t="str">
        <f>Gulberg!F93</f>
        <v/>
      </c>
      <c r="I65" s="20" t="str">
        <f>Gulberg!G93</f>
        <v>18</v>
      </c>
      <c r="J65" s="20" t="str">
        <f>Gulberg!H93</f>
        <v/>
      </c>
      <c r="K65" s="20" t="str">
        <f>Gulberg!CH93</f>
        <v>40%</v>
      </c>
      <c r="L65" s="20">
        <f>Gulberg!CE93</f>
        <v>6</v>
      </c>
    </row>
    <row r="66" ht="16.5" customHeight="1">
      <c r="A66" s="10">
        <v>53.0</v>
      </c>
      <c r="B66" s="10" t="s">
        <v>18</v>
      </c>
      <c r="C66" s="10" t="s">
        <v>219</v>
      </c>
      <c r="D66" s="12" t="str">
        <f>Gulberg!B94</f>
        <v>Muhammad Abdul Aleem</v>
      </c>
      <c r="E66" s="14" t="str">
        <f>Gulberg!C94</f>
        <v>'+923365580951</v>
      </c>
      <c r="F66" s="17" t="str">
        <f>IF(Gulberg!C94&lt;&gt;"",HYPERLINK("tel:"&amp;SUBSTITUTE(SUBSTITUTE(Gulberg!C94,"+","+")," ",""),"📞"),"")</f>
        <v>📞</v>
      </c>
      <c r="G66" s="19" t="str">
        <f>IF(Gulberg!C94&lt;&gt;"",HYPERLINK("https://wa.me/"&amp;SUBSTITUTE(SUBSTITUTE(Gulberg!C94,"+","")," ",""),"💬"),"")</f>
        <v>💬</v>
      </c>
      <c r="H66" s="10" t="str">
        <f>Gulberg!F94</f>
        <v/>
      </c>
      <c r="I66" s="10" t="str">
        <f>Gulberg!G94</f>
        <v>20</v>
      </c>
      <c r="J66" s="10" t="str">
        <f>Gulberg!H94</f>
        <v/>
      </c>
      <c r="K66" s="10" t="str">
        <f>Gulberg!CH94</f>
        <v>72%</v>
      </c>
      <c r="L66" s="10">
        <f>Gulberg!CE94</f>
        <v>13</v>
      </c>
    </row>
    <row r="67" ht="16.5" customHeight="1">
      <c r="A67" s="20">
        <v>54.0</v>
      </c>
      <c r="B67" s="20" t="s">
        <v>18</v>
      </c>
      <c r="C67" s="20" t="s">
        <v>219</v>
      </c>
      <c r="D67" s="22" t="str">
        <f>Gulberg!B95</f>
        <v>Abdul Rafay</v>
      </c>
      <c r="E67" s="23" t="str">
        <f>Gulberg!C95</f>
        <v>'+923267956998</v>
      </c>
      <c r="F67" s="24" t="str">
        <f>IF(Gulberg!C95&lt;&gt;"",HYPERLINK("tel:"&amp;SUBSTITUTE(SUBSTITUTE(Gulberg!C95,"+","+")," ",""),"📞"),"")</f>
        <v>📞</v>
      </c>
      <c r="G67" s="41" t="str">
        <f>IF(Gulberg!C95&lt;&gt;"",HYPERLINK("https://wa.me/"&amp;SUBSTITUTE(SUBSTITUTE(Gulberg!C95,"+","")," ",""),"💬"),"")</f>
        <v>💬</v>
      </c>
      <c r="H67" s="20" t="str">
        <f>Gulberg!F95</f>
        <v/>
      </c>
      <c r="I67" s="20" t="str">
        <f>Gulberg!G95</f>
        <v>19</v>
      </c>
      <c r="J67" s="20" t="str">
        <f>Gulberg!H95</f>
        <v/>
      </c>
      <c r="K67" s="20" t="str">
        <f>Gulberg!CH95</f>
        <v>50%</v>
      </c>
      <c r="L67" s="20">
        <f>Gulberg!CE95</f>
        <v>5</v>
      </c>
    </row>
    <row r="68" ht="16.5" customHeight="1">
      <c r="A68" s="10">
        <v>55.0</v>
      </c>
      <c r="B68" s="10" t="s">
        <v>18</v>
      </c>
      <c r="C68" s="10" t="s">
        <v>219</v>
      </c>
      <c r="D68" s="12" t="str">
        <f>Gulberg!B96</f>
        <v>Saeed Ahmad</v>
      </c>
      <c r="E68" s="14" t="str">
        <f>Gulberg!C96</f>
        <v>'+923034490249</v>
      </c>
      <c r="F68" s="17" t="str">
        <f>IF(Gulberg!C96&lt;&gt;"",HYPERLINK("tel:"&amp;SUBSTITUTE(SUBSTITUTE(Gulberg!C96,"+","+")," ",""),"📞"),"")</f>
        <v>📞</v>
      </c>
      <c r="G68" s="19" t="str">
        <f>IF(Gulberg!C96&lt;&gt;"",HYPERLINK("https://wa.me/"&amp;SUBSTITUTE(SUBSTITUTE(Gulberg!C96,"+","")," ",""),"💬"),"")</f>
        <v>💬</v>
      </c>
      <c r="H68" s="10" t="str">
        <f>Gulberg!F96</f>
        <v/>
      </c>
      <c r="I68" s="10" t="str">
        <f>Gulberg!G96</f>
        <v>19</v>
      </c>
      <c r="J68" s="10" t="str">
        <f>Gulberg!H96</f>
        <v/>
      </c>
      <c r="K68" s="10" t="str">
        <f>Gulberg!CH96</f>
        <v>0%</v>
      </c>
      <c r="L68" s="10">
        <f>Gulberg!CE96</f>
        <v>0</v>
      </c>
    </row>
    <row r="69" ht="16.5" customHeight="1">
      <c r="A69" s="20">
        <v>56.0</v>
      </c>
      <c r="B69" s="20" t="s">
        <v>18</v>
      </c>
      <c r="C69" s="20" t="s">
        <v>219</v>
      </c>
      <c r="D69" s="22" t="str">
        <f>Gulberg!B97</f>
        <v>Khizar Abbas</v>
      </c>
      <c r="E69" s="23" t="str">
        <f>Gulberg!C97</f>
        <v>'+923134638456</v>
      </c>
      <c r="F69" s="24" t="str">
        <f>IF(Gulberg!C97&lt;&gt;"",HYPERLINK("tel:"&amp;SUBSTITUTE(SUBSTITUTE(Gulberg!C97,"+","+")," ",""),"📞"),"")</f>
        <v>📞</v>
      </c>
      <c r="G69" s="41" t="str">
        <f>IF(Gulberg!C97&lt;&gt;"",HYPERLINK("https://wa.me/"&amp;SUBSTITUTE(SUBSTITUTE(Gulberg!C97,"+","")," ",""),"💬"),"")</f>
        <v>💬</v>
      </c>
      <c r="H69" s="20" t="str">
        <f>Gulberg!F97</f>
        <v/>
      </c>
      <c r="I69" s="20">
        <f>Gulberg!G97</f>
        <v>17</v>
      </c>
      <c r="J69" s="20" t="str">
        <f>Gulberg!H97</f>
        <v/>
      </c>
      <c r="K69" s="20" t="str">
        <f>Gulberg!CH97</f>
        <v>17%</v>
      </c>
      <c r="L69" s="20">
        <f>Gulberg!CE97</f>
        <v>1</v>
      </c>
    </row>
    <row r="70" ht="16.5" customHeight="1">
      <c r="A70" s="10">
        <v>57.0</v>
      </c>
      <c r="B70" s="10" t="s">
        <v>18</v>
      </c>
      <c r="C70" s="10" t="s">
        <v>219</v>
      </c>
      <c r="D70" s="12" t="str">
        <f>Gulberg!B98</f>
        <v>Ibrahim Umar</v>
      </c>
      <c r="E70" s="14" t="str">
        <f>Gulberg!C98</f>
        <v/>
      </c>
      <c r="F70" s="17" t="str">
        <f>IF(Gulberg!C98&lt;&gt;"",HYPERLINK("tel:"&amp;SUBSTITUTE(SUBSTITUTE(Gulberg!C98,"+","+")," ",""),"📞"),"")</f>
        <v/>
      </c>
      <c r="G70" s="28" t="str">
        <f>IF(Gulberg!C98&lt;&gt;"",HYPERLINK("https://wa.me/"&amp;SUBSTITUTE(SUBSTITUTE(Gulberg!C98,"+","")," ",""),"💬"),"")</f>
        <v/>
      </c>
      <c r="H70" s="10" t="str">
        <f>Gulberg!F98</f>
        <v/>
      </c>
      <c r="I70" s="10" t="str">
        <f>Gulberg!G98</f>
        <v/>
      </c>
      <c r="J70" s="10" t="str">
        <f>Gulberg!H98</f>
        <v/>
      </c>
      <c r="K70" s="10" t="str">
        <f>Gulberg!CH98</f>
        <v>20%</v>
      </c>
      <c r="L70" s="10">
        <f>Gulberg!CE98</f>
        <v>2</v>
      </c>
    </row>
    <row r="71" ht="16.5" customHeight="1">
      <c r="A71" s="20">
        <v>58.0</v>
      </c>
      <c r="B71" s="20" t="s">
        <v>18</v>
      </c>
      <c r="C71" s="20" t="s">
        <v>219</v>
      </c>
      <c r="D71" s="22" t="str">
        <f>Gulberg!B99</f>
        <v>Riasat Ali</v>
      </c>
      <c r="E71" s="23" t="str">
        <f>Gulberg!C99</f>
        <v/>
      </c>
      <c r="F71" s="24" t="str">
        <f>IF(Gulberg!C99&lt;&gt;"",HYPERLINK("tel:"&amp;SUBSTITUTE(SUBSTITUTE(Gulberg!C99,"+","+")," ",""),"📞"),"")</f>
        <v/>
      </c>
      <c r="G71" s="26" t="str">
        <f>IF(Gulberg!C99&lt;&gt;"",HYPERLINK("https://wa.me/"&amp;SUBSTITUTE(SUBSTITUTE(Gulberg!C99,"+","")," ",""),"💬"),"")</f>
        <v/>
      </c>
      <c r="H71" s="20" t="str">
        <f>Gulberg!F99</f>
        <v/>
      </c>
      <c r="I71" s="20" t="str">
        <f>Gulberg!G99</f>
        <v/>
      </c>
      <c r="J71" s="20" t="str">
        <f>Gulberg!H99</f>
        <v/>
      </c>
      <c r="K71" s="20" t="str">
        <f>Gulberg!CH99</f>
        <v>67%</v>
      </c>
      <c r="L71" s="20">
        <f>Gulberg!CE99</f>
        <v>8</v>
      </c>
    </row>
    <row r="72" ht="16.5" customHeight="1">
      <c r="A72" s="57">
        <f>IF(Gulberg!B100&lt;&gt;"",SUMPRODUCT((LEN(D4:D71)&gt;0)*1)+1,"")</f>
        <v>62</v>
      </c>
      <c r="B72" s="57" t="str">
        <f>IF(Gulberg!B100&lt;&gt;"","Gulberg","")</f>
        <v>Gulberg</v>
      </c>
      <c r="C72" s="57" t="str">
        <f>IF(Gulberg!B100&lt;&gt;"","Group 3","")</f>
        <v>Group 3</v>
      </c>
      <c r="D72" s="58" t="str">
        <f>IF(Gulberg!B100&lt;&gt;"",Gulberg!B100,"")</f>
        <v>Muzamil                                              </v>
      </c>
      <c r="E72" s="59" t="str">
        <f>IF(Gulberg!B100&lt;&gt;"",Gulberg!C100,"")</f>
        <v>0324 9626002</v>
      </c>
      <c r="F72" s="60" t="str">
        <f>IF(Gulberg!B100&lt;&gt;"",HYPERLINK("tel:"&amp;SUBSTITUTE(SUBSTITUTE(Gulberg!C100,"+","+")," ",""),"📞"),"")</f>
        <v>📞</v>
      </c>
      <c r="G72" s="61" t="str">
        <f>IF(Gulberg!B100&lt;&gt;"",HYPERLINK("https://wa.me/"&amp;SUBSTITUTE(SUBSTITUTE(Gulberg!C100,"+","")," ",""),"💬"),"")</f>
        <v>💬</v>
      </c>
      <c r="H72" s="57" t="str">
        <f>IF(Gulberg!B100&lt;&gt;"",Gulberg!F100,"")</f>
        <v/>
      </c>
      <c r="I72" s="57">
        <f>IF(Gulberg!B100&lt;&gt;"",Gulberg!G100,"")</f>
        <v>17</v>
      </c>
      <c r="J72" s="57" t="str">
        <f>IF(Gulberg!B100&lt;&gt;"",Gulberg!H100,"")</f>
        <v/>
      </c>
      <c r="K72" s="57" t="str">
        <f>IF(Gulberg!B100&lt;&gt;"",Gulberg!CH100,"")</f>
        <v>50%</v>
      </c>
      <c r="L72" s="57">
        <f>IF(Gulberg!B100&lt;&gt;"",Gulberg!CE100,"")</f>
        <v>2</v>
      </c>
    </row>
    <row r="73" ht="16.5" customHeight="1">
      <c r="A73" s="57" t="str">
        <f>IF(Gulberg!B101&lt;&gt;"",SUMPRODUCT((LEN(D4:D72)&gt;0)*1)+1,"")</f>
        <v/>
      </c>
      <c r="B73" s="57" t="str">
        <f>IF(Gulberg!B101&lt;&gt;"","Gulberg","")</f>
        <v/>
      </c>
      <c r="C73" s="57" t="str">
        <f>IF(Gulberg!B101&lt;&gt;"","Group 3","")</f>
        <v/>
      </c>
      <c r="D73" s="58" t="str">
        <f>IF(Gulberg!B101&lt;&gt;"",Gulberg!B101,"")</f>
        <v/>
      </c>
      <c r="E73" s="57" t="str">
        <f>IF(Gulberg!B101&lt;&gt;"",Gulberg!C101,"")</f>
        <v/>
      </c>
      <c r="F73" s="60" t="str">
        <f>IF(Gulberg!B101&lt;&gt;"",HYPERLINK("tel:"&amp;SUBSTITUTE(SUBSTITUTE(Gulberg!C101,"+","+")," ",""),"📞"),"")</f>
        <v/>
      </c>
      <c r="G73" s="64" t="str">
        <f>IF(Gulberg!B101&lt;&gt;"",HYPERLINK("https://wa.me/"&amp;SUBSTITUTE(SUBSTITUTE(Gulberg!C101,"+","")," ",""),"💬"),"")</f>
        <v/>
      </c>
      <c r="H73" s="57" t="str">
        <f>IF(Gulberg!B101&lt;&gt;"",Gulberg!F101,"")</f>
        <v/>
      </c>
      <c r="I73" s="57" t="str">
        <f>IF(Gulberg!B101&lt;&gt;"",Gulberg!G101,"")</f>
        <v/>
      </c>
      <c r="J73" s="57" t="str">
        <f>IF(Gulberg!B101&lt;&gt;"",Gulberg!H101,"")</f>
        <v/>
      </c>
      <c r="K73" s="57" t="str">
        <f>IF(Gulberg!B101&lt;&gt;"",Gulberg!CH101,"")</f>
        <v/>
      </c>
      <c r="L73" s="57" t="str">
        <f>IF(Gulberg!B101&lt;&gt;"",Gulberg!CE101,"")</f>
        <v/>
      </c>
    </row>
    <row r="74" ht="16.5" customHeight="1">
      <c r="A74" s="57" t="str">
        <f>IF(Gulberg!B102&lt;&gt;"",SUMPRODUCT((LEN(D4:D73)&gt;0)*1)+1,"")</f>
        <v/>
      </c>
      <c r="B74" s="57" t="str">
        <f>IF(Gulberg!B102&lt;&gt;"","Gulberg","")</f>
        <v/>
      </c>
      <c r="C74" s="57" t="str">
        <f>IF(Gulberg!B102&lt;&gt;"","Group 3","")</f>
        <v/>
      </c>
      <c r="D74" s="58" t="str">
        <f>IF(Gulberg!B102&lt;&gt;"",Gulberg!B102,"")</f>
        <v/>
      </c>
      <c r="E74" s="57" t="str">
        <f>IF(Gulberg!B102&lt;&gt;"",Gulberg!C102,"")</f>
        <v/>
      </c>
      <c r="F74" s="60" t="str">
        <f>IF(Gulberg!B102&lt;&gt;"",HYPERLINK("tel:"&amp;SUBSTITUTE(SUBSTITUTE(Gulberg!C102,"+","+")," ",""),"📞"),"")</f>
        <v/>
      </c>
      <c r="G74" s="64" t="str">
        <f>IF(Gulberg!B102&lt;&gt;"",HYPERLINK("https://wa.me/"&amp;SUBSTITUTE(SUBSTITUTE(Gulberg!C102,"+","")," ",""),"💬"),"")</f>
        <v/>
      </c>
      <c r="H74" s="57" t="str">
        <f>IF(Gulberg!B102&lt;&gt;"",Gulberg!F102,"")</f>
        <v/>
      </c>
      <c r="I74" s="57" t="str">
        <f>IF(Gulberg!B102&lt;&gt;"",Gulberg!G102,"")</f>
        <v/>
      </c>
      <c r="J74" s="57" t="str">
        <f>IF(Gulberg!B102&lt;&gt;"",Gulberg!H102,"")</f>
        <v/>
      </c>
      <c r="K74" s="57" t="str">
        <f>IF(Gulberg!B102&lt;&gt;"",Gulberg!CH102,"")</f>
        <v/>
      </c>
      <c r="L74" s="57" t="str">
        <f>IF(Gulberg!B102&lt;&gt;"",Gulberg!CE102,"")</f>
        <v/>
      </c>
    </row>
    <row r="75" ht="16.5" customHeight="1">
      <c r="A75" s="57" t="str">
        <f>IF(Gulberg!B103&lt;&gt;"",SUMPRODUCT((LEN(D4:D74)&gt;0)*1)+1,"")</f>
        <v/>
      </c>
      <c r="B75" s="57" t="str">
        <f>IF(Gulberg!B103&lt;&gt;"","Gulberg","")</f>
        <v/>
      </c>
      <c r="C75" s="57" t="str">
        <f>IF(Gulberg!B103&lt;&gt;"","Group 3","")</f>
        <v/>
      </c>
      <c r="D75" s="58" t="str">
        <f>IF(Gulberg!B103&lt;&gt;"",Gulberg!B103,"")</f>
        <v/>
      </c>
      <c r="E75" s="57" t="str">
        <f>IF(Gulberg!B103&lt;&gt;"",Gulberg!C103,"")</f>
        <v/>
      </c>
      <c r="F75" s="60" t="str">
        <f>IF(Gulberg!B103&lt;&gt;"",HYPERLINK("tel:"&amp;SUBSTITUTE(SUBSTITUTE(Gulberg!C103,"+","+")," ",""),"📞"),"")</f>
        <v/>
      </c>
      <c r="G75" s="64" t="str">
        <f>IF(Gulberg!B103&lt;&gt;"",HYPERLINK("https://wa.me/"&amp;SUBSTITUTE(SUBSTITUTE(Gulberg!C103,"+","")," ",""),"💬"),"")</f>
        <v/>
      </c>
      <c r="H75" s="57" t="str">
        <f>IF(Gulberg!B103&lt;&gt;"",Gulberg!F103,"")</f>
        <v/>
      </c>
      <c r="I75" s="57" t="str">
        <f>IF(Gulberg!B103&lt;&gt;"",Gulberg!G103,"")</f>
        <v/>
      </c>
      <c r="J75" s="57" t="str">
        <f>IF(Gulberg!B103&lt;&gt;"",Gulberg!H103,"")</f>
        <v/>
      </c>
      <c r="K75" s="57" t="str">
        <f>IF(Gulberg!B103&lt;&gt;"",Gulberg!CH103,"")</f>
        <v/>
      </c>
      <c r="L75" s="57" t="str">
        <f>IF(Gulberg!B103&lt;&gt;"",Gulberg!CE103,"")</f>
        <v/>
      </c>
    </row>
    <row r="76" ht="16.5" customHeight="1">
      <c r="A76" s="57" t="str">
        <f>IF(Gulberg!B104&lt;&gt;"",SUMPRODUCT((LEN(D4:D75)&gt;0)*1)+1,"")</f>
        <v/>
      </c>
      <c r="B76" s="57" t="str">
        <f>IF(Gulberg!B104&lt;&gt;"","Gulberg","")</f>
        <v/>
      </c>
      <c r="C76" s="57" t="str">
        <f>IF(Gulberg!B104&lt;&gt;"","Group 3","")</f>
        <v/>
      </c>
      <c r="D76" s="58" t="str">
        <f>IF(Gulberg!B104&lt;&gt;"",Gulberg!B104,"")</f>
        <v/>
      </c>
      <c r="E76" s="57" t="str">
        <f>IF(Gulberg!B104&lt;&gt;"",Gulberg!C104,"")</f>
        <v/>
      </c>
      <c r="F76" s="60" t="str">
        <f>IF(Gulberg!B104&lt;&gt;"",HYPERLINK("tel:"&amp;SUBSTITUTE(SUBSTITUTE(Gulberg!C104,"+","+")," ",""),"📞"),"")</f>
        <v/>
      </c>
      <c r="G76" s="64" t="str">
        <f>IF(Gulberg!B104&lt;&gt;"",HYPERLINK("https://wa.me/"&amp;SUBSTITUTE(SUBSTITUTE(Gulberg!C104,"+","")," ",""),"💬"),"")</f>
        <v/>
      </c>
      <c r="H76" s="57" t="str">
        <f>IF(Gulberg!B104&lt;&gt;"",Gulberg!F104,"")</f>
        <v/>
      </c>
      <c r="I76" s="57" t="str">
        <f>IF(Gulberg!B104&lt;&gt;"",Gulberg!G104,"")</f>
        <v/>
      </c>
      <c r="J76" s="57" t="str">
        <f>IF(Gulberg!B104&lt;&gt;"",Gulberg!H104,"")</f>
        <v/>
      </c>
      <c r="K76" s="57" t="str">
        <f>IF(Gulberg!B104&lt;&gt;"",Gulberg!CH104,"")</f>
        <v/>
      </c>
      <c r="L76" s="57" t="str">
        <f>IF(Gulberg!B104&lt;&gt;"",Gulberg!CE104,"")</f>
        <v/>
      </c>
    </row>
    <row r="77" ht="15.75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</row>
    <row r="78" ht="18.0" customHeight="1">
      <c r="A78" s="8" t="str">
        <f>"▶  Gulshan Iqbal  ("&amp;SUMPRODUCT((LEN(D79:D148)&gt;0)*1)&amp;" students)"</f>
        <v>▶  Gulshan Iqbal  (58 students)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3"/>
    </row>
    <row r="79" ht="16.5" customHeight="1">
      <c r="A79" s="10">
        <v>59.0</v>
      </c>
      <c r="B79" s="10" t="s">
        <v>20</v>
      </c>
      <c r="C79" s="10" t="s">
        <v>22</v>
      </c>
      <c r="D79" s="12" t="str">
        <f>Gulshan_Iqbal!B21</f>
        <v>Muhammad Sarim</v>
      </c>
      <c r="E79" s="14" t="str">
        <f>Gulshan_Iqbal!C21</f>
        <v>'+923298162676</v>
      </c>
      <c r="F79" s="17" t="str">
        <f>IF(Gulshan_Iqbal!C21&lt;&gt;"",HYPERLINK("tel:"&amp;SUBSTITUTE(SUBSTITUTE(Gulshan_Iqbal!C21,"+","+")," ",""),"📞"),"")</f>
        <v>📞</v>
      </c>
      <c r="G79" s="19" t="str">
        <f>IF(Gulshan_Iqbal!C21&lt;&gt;"",HYPERLINK("https://wa.me/"&amp;SUBSTITUTE(SUBSTITUTE(Gulshan_Iqbal!C21,"+","")," ",""),"💬"),"")</f>
        <v>💬</v>
      </c>
      <c r="H79" s="10" t="str">
        <f>Gulshan_Iqbal!F21</f>
        <v/>
      </c>
      <c r="I79" s="10" t="str">
        <f>Gulshan_Iqbal!G21</f>
        <v>13.0</v>
      </c>
      <c r="J79" s="10" t="str">
        <f>Gulshan_Iqbal!H21</f>
        <v/>
      </c>
      <c r="K79" s="10" t="str">
        <f>Gulshan_Iqbal!CH21</f>
        <v>28%</v>
      </c>
      <c r="L79" s="10">
        <f>Gulshan_Iqbal!CE21</f>
        <v>5</v>
      </c>
    </row>
    <row r="80" ht="16.5" customHeight="1">
      <c r="A80" s="20">
        <v>60.0</v>
      </c>
      <c r="B80" s="20" t="s">
        <v>20</v>
      </c>
      <c r="C80" s="20" t="s">
        <v>22</v>
      </c>
      <c r="D80" s="22" t="str">
        <f>Gulshan_Iqbal!B22</f>
        <v>Muhammad Arham khan</v>
      </c>
      <c r="E80" s="23" t="str">
        <f>Gulshan_Iqbal!C22</f>
        <v/>
      </c>
      <c r="F80" s="24" t="str">
        <f>IF(Gulshan_Iqbal!C22&lt;&gt;"",HYPERLINK("tel:"&amp;SUBSTITUTE(SUBSTITUTE(Gulshan_Iqbal!C22,"+","+")," ",""),"📞"),"")</f>
        <v/>
      </c>
      <c r="G80" s="26" t="str">
        <f>IF(Gulshan_Iqbal!C22&lt;&gt;"",HYPERLINK("https://wa.me/"&amp;SUBSTITUTE(SUBSTITUTE(Gulshan_Iqbal!C22,"+","")," ",""),"💬"),"")</f>
        <v/>
      </c>
      <c r="H80" s="20" t="str">
        <f>Gulshan_Iqbal!F22</f>
        <v/>
      </c>
      <c r="I80" s="20" t="str">
        <f>Gulshan_Iqbal!G22</f>
        <v>13.0</v>
      </c>
      <c r="J80" s="20" t="str">
        <f>Gulshan_Iqbal!H22</f>
        <v/>
      </c>
      <c r="K80" s="20" t="str">
        <f>Gulshan_Iqbal!CH22</f>
        <v>62%</v>
      </c>
      <c r="L80" s="20">
        <f>Gulshan_Iqbal!CE22</f>
        <v>8</v>
      </c>
    </row>
    <row r="81" ht="16.5" customHeight="1">
      <c r="A81" s="10">
        <v>61.0</v>
      </c>
      <c r="B81" s="10" t="s">
        <v>20</v>
      </c>
      <c r="C81" s="10" t="s">
        <v>22</v>
      </c>
      <c r="D81" s="12" t="str">
        <f>Gulshan_Iqbal!B23</f>
        <v>Mohammed Anas Faisal</v>
      </c>
      <c r="E81" s="14" t="str">
        <f>Gulshan_Iqbal!C23</f>
        <v>'+923494571867</v>
      </c>
      <c r="F81" s="17" t="str">
        <f>IF(Gulshan_Iqbal!C23&lt;&gt;"",HYPERLINK("tel:"&amp;SUBSTITUTE(SUBSTITUTE(Gulshan_Iqbal!C23,"+","+")," ",""),"📞"),"")</f>
        <v>📞</v>
      </c>
      <c r="G81" s="19" t="str">
        <f>IF(Gulshan_Iqbal!C23&lt;&gt;"",HYPERLINK("https://wa.me/"&amp;SUBSTITUTE(SUBSTITUTE(Gulshan_Iqbal!C23,"+","")," ",""),"💬"),"")</f>
        <v>💬</v>
      </c>
      <c r="H81" s="10" t="str">
        <f>Gulshan_Iqbal!F23</f>
        <v/>
      </c>
      <c r="I81" s="10" t="str">
        <f>Gulshan_Iqbal!G23</f>
        <v>14.0</v>
      </c>
      <c r="J81" s="10" t="str">
        <f>Gulshan_Iqbal!H23</f>
        <v>10th</v>
      </c>
      <c r="K81" s="10" t="str">
        <f>Gulshan_Iqbal!CH23</f>
        <v>69%</v>
      </c>
      <c r="L81" s="10">
        <f>Gulshan_Iqbal!CE23</f>
        <v>11</v>
      </c>
    </row>
    <row r="82" ht="16.5" customHeight="1">
      <c r="A82" s="20">
        <v>62.0</v>
      </c>
      <c r="B82" s="20" t="s">
        <v>20</v>
      </c>
      <c r="C82" s="20" t="s">
        <v>22</v>
      </c>
      <c r="D82" s="22" t="str">
        <f>Gulshan_Iqbal!B24</f>
        <v>Muhammad Mohid</v>
      </c>
      <c r="E82" s="23" t="str">
        <f>Gulshan_Iqbal!C24</f>
        <v/>
      </c>
      <c r="F82" s="24" t="str">
        <f>IF(Gulshan_Iqbal!C24&lt;&gt;"",HYPERLINK("tel:"&amp;SUBSTITUTE(SUBSTITUTE(Gulshan_Iqbal!C24,"+","+")," ",""),"📞"),"")</f>
        <v/>
      </c>
      <c r="G82" s="26" t="str">
        <f>IF(Gulshan_Iqbal!C24&lt;&gt;"",HYPERLINK("https://wa.me/"&amp;SUBSTITUTE(SUBSTITUTE(Gulshan_Iqbal!C24,"+","")," ",""),"💬"),"")</f>
        <v/>
      </c>
      <c r="H82" s="20" t="str">
        <f>Gulshan_Iqbal!F24</f>
        <v/>
      </c>
      <c r="I82" s="20" t="str">
        <f>Gulshan_Iqbal!G24</f>
        <v>14.0</v>
      </c>
      <c r="J82" s="20" t="str">
        <f>Gulshan_Iqbal!H24</f>
        <v/>
      </c>
      <c r="K82" s="20" t="str">
        <f>Gulshan_Iqbal!CH24</f>
        <v>31%</v>
      </c>
      <c r="L82" s="20">
        <f>Gulshan_Iqbal!CE24</f>
        <v>4</v>
      </c>
    </row>
    <row r="83" ht="16.5" customHeight="1">
      <c r="A83" s="10">
        <v>63.0</v>
      </c>
      <c r="B83" s="10" t="s">
        <v>20</v>
      </c>
      <c r="C83" s="10" t="s">
        <v>22</v>
      </c>
      <c r="D83" s="12" t="str">
        <f>Gulshan_Iqbal!B25</f>
        <v>Ameed Bin Wasif</v>
      </c>
      <c r="E83" s="14" t="str">
        <f>Gulshan_Iqbal!C25</f>
        <v/>
      </c>
      <c r="F83" s="17" t="str">
        <f>IF(Gulshan_Iqbal!C25&lt;&gt;"",HYPERLINK("tel:"&amp;SUBSTITUTE(SUBSTITUTE(Gulshan_Iqbal!C25,"+","+")," ",""),"📞"),"")</f>
        <v/>
      </c>
      <c r="G83" s="28" t="str">
        <f>IF(Gulshan_Iqbal!C25&lt;&gt;"",HYPERLINK("https://wa.me/"&amp;SUBSTITUTE(SUBSTITUTE(Gulshan_Iqbal!C25,"+","")," ",""),"💬"),"")</f>
        <v/>
      </c>
      <c r="H83" s="10" t="str">
        <f>Gulshan_Iqbal!F25</f>
        <v/>
      </c>
      <c r="I83" s="10" t="str">
        <f>Gulshan_Iqbal!G25</f>
        <v>14.0</v>
      </c>
      <c r="J83" s="10" t="str">
        <f>Gulshan_Iqbal!H25</f>
        <v/>
      </c>
      <c r="K83" s="10" t="str">
        <f>Gulshan_Iqbal!CH25</f>
        <v>100%</v>
      </c>
      <c r="L83" s="10">
        <f>Gulshan_Iqbal!CE25</f>
        <v>18</v>
      </c>
    </row>
    <row r="84" ht="16.5" customHeight="1">
      <c r="A84" s="20">
        <v>64.0</v>
      </c>
      <c r="B84" s="20" t="s">
        <v>20</v>
      </c>
      <c r="C84" s="20" t="s">
        <v>22</v>
      </c>
      <c r="D84" s="22" t="str">
        <f>Gulshan_Iqbal!B26</f>
        <v>Asadullah</v>
      </c>
      <c r="E84" s="23" t="str">
        <f>Gulshan_Iqbal!C26</f>
        <v/>
      </c>
      <c r="F84" s="24" t="str">
        <f>IF(Gulshan_Iqbal!C26&lt;&gt;"",HYPERLINK("tel:"&amp;SUBSTITUTE(SUBSTITUTE(Gulshan_Iqbal!C26,"+","+")," ",""),"📞"),"")</f>
        <v/>
      </c>
      <c r="G84" s="26" t="str">
        <f>IF(Gulshan_Iqbal!C26&lt;&gt;"",HYPERLINK("https://wa.me/"&amp;SUBSTITUTE(SUBSTITUTE(Gulshan_Iqbal!C26,"+","")," ",""),"💬"),"")</f>
        <v/>
      </c>
      <c r="H84" s="20" t="str">
        <f>Gulshan_Iqbal!F26</f>
        <v/>
      </c>
      <c r="I84" s="20" t="str">
        <f>Gulshan_Iqbal!G26</f>
        <v>14.0</v>
      </c>
      <c r="J84" s="20" t="str">
        <f>Gulshan_Iqbal!H26</f>
        <v/>
      </c>
      <c r="K84" s="20" t="str">
        <f>Gulshan_Iqbal!CH26</f>
        <v>56%</v>
      </c>
      <c r="L84" s="20">
        <f>Gulshan_Iqbal!CE26</f>
        <v>10</v>
      </c>
    </row>
    <row r="85" ht="16.5" customHeight="1">
      <c r="A85" s="10">
        <v>65.0</v>
      </c>
      <c r="B85" s="10" t="s">
        <v>20</v>
      </c>
      <c r="C85" s="10" t="s">
        <v>22</v>
      </c>
      <c r="D85" s="12" t="str">
        <f>Gulshan_Iqbal!B27</f>
        <v>Talha Tayyab</v>
      </c>
      <c r="E85" s="14" t="str">
        <f>Gulshan_Iqbal!C27</f>
        <v/>
      </c>
      <c r="F85" s="17" t="str">
        <f>IF(Gulshan_Iqbal!C27&lt;&gt;"",HYPERLINK("tel:"&amp;SUBSTITUTE(SUBSTITUTE(Gulshan_Iqbal!C27,"+","+")," ",""),"📞"),"")</f>
        <v/>
      </c>
      <c r="G85" s="28" t="str">
        <f>IF(Gulshan_Iqbal!C27&lt;&gt;"",HYPERLINK("https://wa.me/"&amp;SUBSTITUTE(SUBSTITUTE(Gulshan_Iqbal!C27,"+","")," ",""),"💬"),"")</f>
        <v/>
      </c>
      <c r="H85" s="10" t="str">
        <f>Gulshan_Iqbal!F27</f>
        <v/>
      </c>
      <c r="I85" s="10" t="str">
        <f>Gulshan_Iqbal!G27</f>
        <v>14.0</v>
      </c>
      <c r="J85" s="10" t="str">
        <f>Gulshan_Iqbal!H27</f>
        <v>9th</v>
      </c>
      <c r="K85" s="10" t="str">
        <f>Gulshan_Iqbal!CH27</f>
        <v>64%</v>
      </c>
      <c r="L85" s="10">
        <f>Gulshan_Iqbal!CE27</f>
        <v>7</v>
      </c>
    </row>
    <row r="86" ht="16.5" customHeight="1">
      <c r="A86" s="20">
        <v>66.0</v>
      </c>
      <c r="B86" s="20" t="s">
        <v>20</v>
      </c>
      <c r="C86" s="20" t="s">
        <v>22</v>
      </c>
      <c r="D86" s="22" t="str">
        <f>Gulshan_Iqbal!B28</f>
        <v>Yahya Asif</v>
      </c>
      <c r="E86" s="23" t="str">
        <f>Gulshan_Iqbal!C28</f>
        <v>'+923211400713</v>
      </c>
      <c r="F86" s="24" t="str">
        <f>IF(Gulshan_Iqbal!C28&lt;&gt;"",HYPERLINK("tel:"&amp;SUBSTITUTE(SUBSTITUTE(Gulshan_Iqbal!C28,"+","+")," ",""),"📞"),"")</f>
        <v>📞</v>
      </c>
      <c r="G86" s="41" t="str">
        <f>IF(Gulshan_Iqbal!C28&lt;&gt;"",HYPERLINK("https://wa.me/"&amp;SUBSTITUTE(SUBSTITUTE(Gulshan_Iqbal!C28,"+","")," ",""),"💬"),"")</f>
        <v>💬</v>
      </c>
      <c r="H86" s="20" t="str">
        <f>Gulshan_Iqbal!F28</f>
        <v/>
      </c>
      <c r="I86" s="20" t="str">
        <f>Gulshan_Iqbal!G28</f>
        <v>15.0</v>
      </c>
      <c r="J86" s="20" t="str">
        <f>Gulshan_Iqbal!H28</f>
        <v/>
      </c>
      <c r="K86" s="20" t="str">
        <f>Gulshan_Iqbal!CH28</f>
        <v>12%</v>
      </c>
      <c r="L86" s="20">
        <f>Gulshan_Iqbal!CE28</f>
        <v>2</v>
      </c>
    </row>
    <row r="87" ht="16.5" customHeight="1">
      <c r="A87" s="10">
        <v>67.0</v>
      </c>
      <c r="B87" s="10" t="s">
        <v>20</v>
      </c>
      <c r="C87" s="10" t="s">
        <v>22</v>
      </c>
      <c r="D87" s="12" t="str">
        <f>Gulshan_Iqbal!B29</f>
        <v>Abdullah</v>
      </c>
      <c r="E87" s="14" t="str">
        <f>Gulshan_Iqbal!C29</f>
        <v/>
      </c>
      <c r="F87" s="17" t="str">
        <f>IF(Gulshan_Iqbal!C29&lt;&gt;"",HYPERLINK("tel:"&amp;SUBSTITUTE(SUBSTITUTE(Gulshan_Iqbal!C29,"+","+")," ",""),"📞"),"")</f>
        <v/>
      </c>
      <c r="G87" s="28" t="str">
        <f>IF(Gulshan_Iqbal!C29&lt;&gt;"",HYPERLINK("https://wa.me/"&amp;SUBSTITUTE(SUBSTITUTE(Gulshan_Iqbal!C29,"+","")," ",""),"💬"),"")</f>
        <v/>
      </c>
      <c r="H87" s="10" t="str">
        <f>Gulshan_Iqbal!F29</f>
        <v/>
      </c>
      <c r="I87" s="10" t="str">
        <f>Gulshan_Iqbal!G29</f>
        <v>15.0</v>
      </c>
      <c r="J87" s="10" t="str">
        <f>Gulshan_Iqbal!H29</f>
        <v/>
      </c>
      <c r="K87" s="10" t="str">
        <f>Gulshan_Iqbal!CH29</f>
        <v>67%</v>
      </c>
      <c r="L87" s="10">
        <f>Gulshan_Iqbal!CE29</f>
        <v>8</v>
      </c>
    </row>
    <row r="88" ht="16.5" customHeight="1">
      <c r="A88" s="20">
        <v>68.0</v>
      </c>
      <c r="B88" s="20" t="s">
        <v>20</v>
      </c>
      <c r="C88" s="20" t="s">
        <v>22</v>
      </c>
      <c r="D88" s="22" t="str">
        <f>Gulshan_Iqbal!B30</f>
        <v>Abdul Rehman</v>
      </c>
      <c r="E88" s="23" t="str">
        <f>Gulshan_Iqbal!C30</f>
        <v/>
      </c>
      <c r="F88" s="24" t="str">
        <f>IF(Gulshan_Iqbal!C30&lt;&gt;"",HYPERLINK("tel:"&amp;SUBSTITUTE(SUBSTITUTE(Gulshan_Iqbal!C30,"+","+")," ",""),"📞"),"")</f>
        <v/>
      </c>
      <c r="G88" s="26" t="str">
        <f>IF(Gulshan_Iqbal!C30&lt;&gt;"",HYPERLINK("https://wa.me/"&amp;SUBSTITUTE(SUBSTITUTE(Gulshan_Iqbal!C30,"+","")," ",""),"💬"),"")</f>
        <v/>
      </c>
      <c r="H88" s="20" t="str">
        <f>Gulshan_Iqbal!F30</f>
        <v/>
      </c>
      <c r="I88" s="20" t="str">
        <f>Gulshan_Iqbal!G30</f>
        <v>15.0</v>
      </c>
      <c r="J88" s="20" t="str">
        <f>Gulshan_Iqbal!H30</f>
        <v/>
      </c>
      <c r="K88" s="20" t="str">
        <f>Gulshan_Iqbal!CH30</f>
        <v>31%</v>
      </c>
      <c r="L88" s="20">
        <f>Gulshan_Iqbal!CE30</f>
        <v>5</v>
      </c>
    </row>
    <row r="89" ht="16.5" customHeight="1">
      <c r="A89" s="10">
        <v>69.0</v>
      </c>
      <c r="B89" s="10" t="s">
        <v>20</v>
      </c>
      <c r="C89" s="10" t="s">
        <v>22</v>
      </c>
      <c r="D89" s="12" t="str">
        <f>Gulshan_Iqbal!B31</f>
        <v>Mahad</v>
      </c>
      <c r="E89" s="14" t="str">
        <f>Gulshan_Iqbal!C31</f>
        <v/>
      </c>
      <c r="F89" s="17" t="str">
        <f>IF(Gulshan_Iqbal!C31&lt;&gt;"",HYPERLINK("tel:"&amp;SUBSTITUTE(SUBSTITUTE(Gulshan_Iqbal!C31,"+","+")," ",""),"📞"),"")</f>
        <v/>
      </c>
      <c r="G89" s="28" t="str">
        <f>IF(Gulshan_Iqbal!C31&lt;&gt;"",HYPERLINK("https://wa.me/"&amp;SUBSTITUTE(SUBSTITUTE(Gulshan_Iqbal!C31,"+","")," ",""),"💬"),"")</f>
        <v/>
      </c>
      <c r="H89" s="10" t="str">
        <f>Gulshan_Iqbal!F31</f>
        <v/>
      </c>
      <c r="I89" s="10" t="str">
        <f>Gulshan_Iqbal!G31</f>
        <v/>
      </c>
      <c r="J89" s="10" t="str">
        <f>Gulshan_Iqbal!H31</f>
        <v/>
      </c>
      <c r="K89" s="10" t="str">
        <f>Gulshan_Iqbal!CH31</f>
        <v>25%</v>
      </c>
      <c r="L89" s="10">
        <f>Gulshan_Iqbal!CE31</f>
        <v>3</v>
      </c>
    </row>
    <row r="90" ht="16.5" customHeight="1">
      <c r="A90" s="20">
        <v>70.0</v>
      </c>
      <c r="B90" s="20" t="s">
        <v>20</v>
      </c>
      <c r="C90" s="20" t="s">
        <v>22</v>
      </c>
      <c r="D90" s="22" t="str">
        <f>Gulshan_Iqbal!B32</f>
        <v>Muhammad Samir</v>
      </c>
      <c r="E90" s="23" t="str">
        <f>Gulshan_Iqbal!C32</f>
        <v/>
      </c>
      <c r="F90" s="24" t="str">
        <f>IF(Gulshan_Iqbal!C32&lt;&gt;"",HYPERLINK("tel:"&amp;SUBSTITUTE(SUBSTITUTE(Gulshan_Iqbal!C32,"+","+")," ",""),"📞"),"")</f>
        <v/>
      </c>
      <c r="G90" s="26" t="str">
        <f>IF(Gulshan_Iqbal!C32&lt;&gt;"",HYPERLINK("https://wa.me/"&amp;SUBSTITUTE(SUBSTITUTE(Gulshan_Iqbal!C32,"+","")," ",""),"💬"),"")</f>
        <v/>
      </c>
      <c r="H90" s="20" t="str">
        <f>Gulshan_Iqbal!F32</f>
        <v/>
      </c>
      <c r="I90" s="20" t="str">
        <f>Gulshan_Iqbal!G32</f>
        <v/>
      </c>
      <c r="J90" s="20" t="str">
        <f>Gulshan_Iqbal!H32</f>
        <v/>
      </c>
      <c r="K90" s="20" t="str">
        <f>Gulshan_Iqbal!CH32</f>
        <v>69%</v>
      </c>
      <c r="L90" s="20">
        <f>Gulshan_Iqbal!CE32</f>
        <v>9</v>
      </c>
    </row>
    <row r="91" ht="16.5" customHeight="1">
      <c r="A91" s="10">
        <v>71.0</v>
      </c>
      <c r="B91" s="10" t="s">
        <v>20</v>
      </c>
      <c r="C91" s="10" t="s">
        <v>22</v>
      </c>
      <c r="D91" s="12" t="str">
        <f>Gulshan_Iqbal!B33</f>
        <v>Ali Faizan</v>
      </c>
      <c r="E91" s="14" t="str">
        <f>Gulshan_Iqbal!C33</f>
        <v>'+923009492895</v>
      </c>
      <c r="F91" s="17" t="str">
        <f>IF(Gulshan_Iqbal!C33&lt;&gt;"",HYPERLINK("tel:"&amp;SUBSTITUTE(SUBSTITUTE(Gulshan_Iqbal!C33,"+","+")," ",""),"📞"),"")</f>
        <v>📞</v>
      </c>
      <c r="G91" s="19" t="str">
        <f>IF(Gulshan_Iqbal!C33&lt;&gt;"",HYPERLINK("https://wa.me/"&amp;SUBSTITUTE(SUBSTITUTE(Gulshan_Iqbal!C33,"+","")," ",""),"💬"),"")</f>
        <v>💬</v>
      </c>
      <c r="H91" s="10" t="str">
        <f>Gulshan_Iqbal!F33</f>
        <v/>
      </c>
      <c r="I91" s="10" t="str">
        <f>Gulshan_Iqbal!G33</f>
        <v/>
      </c>
      <c r="J91" s="10" t="str">
        <f>Gulshan_Iqbal!H33</f>
        <v/>
      </c>
      <c r="K91" s="10" t="str">
        <f>Gulshan_Iqbal!CH33</f>
        <v>8%</v>
      </c>
      <c r="L91" s="10">
        <f>Gulshan_Iqbal!CE33</f>
        <v>1</v>
      </c>
    </row>
    <row r="92" ht="16.5" customHeight="1">
      <c r="A92" s="57" t="str">
        <f>IF(Gulshan_Iqbal!B34&lt;&gt;"",SUMPRODUCT((LEN(D79:D91)&gt;0)*1)+1,"")</f>
        <v/>
      </c>
      <c r="B92" s="57" t="str">
        <f>IF(Gulshan_Iqbal!B34&lt;&gt;"","Gulshan Iqbal","")</f>
        <v/>
      </c>
      <c r="C92" s="57" t="str">
        <f>IF(Gulshan_Iqbal!B34&lt;&gt;"","Group 1","")</f>
        <v/>
      </c>
      <c r="D92" s="58" t="str">
        <f>IF(Gulshan_Iqbal!B34&lt;&gt;"",Gulshan_Iqbal!B34,"")</f>
        <v/>
      </c>
      <c r="E92" s="57" t="str">
        <f>IF(Gulshan_Iqbal!B34&lt;&gt;"",Gulshan_Iqbal!C34,"")</f>
        <v/>
      </c>
      <c r="F92" s="60" t="str">
        <f>IF(Gulshan_Iqbal!B34&lt;&gt;"",HYPERLINK("tel:"&amp;SUBSTITUTE(SUBSTITUTE(Gulshan_Iqbal!C34,"+","+")," ",""),"📞"),"")</f>
        <v/>
      </c>
      <c r="G92" s="64" t="str">
        <f>IF(Gulshan_Iqbal!B34&lt;&gt;"",HYPERLINK("https://wa.me/"&amp;SUBSTITUTE(SUBSTITUTE(Gulshan_Iqbal!C34,"+","")," ",""),"💬"),"")</f>
        <v/>
      </c>
      <c r="H92" s="57" t="str">
        <f>IF(Gulshan_Iqbal!B34&lt;&gt;"",Gulshan_Iqbal!F34,"")</f>
        <v/>
      </c>
      <c r="I92" s="57" t="str">
        <f>IF(Gulshan_Iqbal!B34&lt;&gt;"",Gulshan_Iqbal!G34,"")</f>
        <v/>
      </c>
      <c r="J92" s="57" t="str">
        <f>IF(Gulshan_Iqbal!B34&lt;&gt;"",Gulshan_Iqbal!H34,"")</f>
        <v/>
      </c>
      <c r="K92" s="57" t="str">
        <f>IF(Gulshan_Iqbal!B34&lt;&gt;"",Gulshan_Iqbal!CH34,"")</f>
        <v/>
      </c>
      <c r="L92" s="57" t="str">
        <f>IF(Gulshan_Iqbal!B34&lt;&gt;"",Gulshan_Iqbal!CE34,"")</f>
        <v/>
      </c>
    </row>
    <row r="93" ht="16.5" customHeight="1">
      <c r="A93" s="57" t="str">
        <f>IF(Gulshan_Iqbal!B35&lt;&gt;"",SUMPRODUCT((LEN(D79:D92)&gt;0)*1)+1,"")</f>
        <v/>
      </c>
      <c r="B93" s="57" t="str">
        <f>IF(Gulshan_Iqbal!B35&lt;&gt;"","Gulshan Iqbal","")</f>
        <v/>
      </c>
      <c r="C93" s="57" t="str">
        <f>IF(Gulshan_Iqbal!B35&lt;&gt;"","Group 1","")</f>
        <v/>
      </c>
      <c r="D93" s="58" t="str">
        <f>IF(Gulshan_Iqbal!B35&lt;&gt;"",Gulshan_Iqbal!B35,"")</f>
        <v/>
      </c>
      <c r="E93" s="57" t="str">
        <f>IF(Gulshan_Iqbal!B35&lt;&gt;"",Gulshan_Iqbal!C35,"")</f>
        <v/>
      </c>
      <c r="F93" s="60" t="str">
        <f>IF(Gulshan_Iqbal!B35&lt;&gt;"",HYPERLINK("tel:"&amp;SUBSTITUTE(SUBSTITUTE(Gulshan_Iqbal!C35,"+","+")," ",""),"📞"),"")</f>
        <v/>
      </c>
      <c r="G93" s="64" t="str">
        <f>IF(Gulshan_Iqbal!B35&lt;&gt;"",HYPERLINK("https://wa.me/"&amp;SUBSTITUTE(SUBSTITUTE(Gulshan_Iqbal!C35,"+","")," ",""),"💬"),"")</f>
        <v/>
      </c>
      <c r="H93" s="57" t="str">
        <f>IF(Gulshan_Iqbal!B35&lt;&gt;"",Gulshan_Iqbal!F35,"")</f>
        <v/>
      </c>
      <c r="I93" s="57" t="str">
        <f>IF(Gulshan_Iqbal!B35&lt;&gt;"",Gulshan_Iqbal!G35,"")</f>
        <v/>
      </c>
      <c r="J93" s="57" t="str">
        <f>IF(Gulshan_Iqbal!B35&lt;&gt;"",Gulshan_Iqbal!H35,"")</f>
        <v/>
      </c>
      <c r="K93" s="57" t="str">
        <f>IF(Gulshan_Iqbal!B35&lt;&gt;"",Gulshan_Iqbal!CH35,"")</f>
        <v/>
      </c>
      <c r="L93" s="57" t="str">
        <f>IF(Gulshan_Iqbal!B35&lt;&gt;"",Gulshan_Iqbal!CE35,"")</f>
        <v/>
      </c>
    </row>
    <row r="94" ht="16.5" customHeight="1">
      <c r="A94" s="57" t="str">
        <f>IF(Gulshan_Iqbal!B36&lt;&gt;"",SUMPRODUCT((LEN(D79:D93)&gt;0)*1)+1,"")</f>
        <v/>
      </c>
      <c r="B94" s="57" t="str">
        <f>IF(Gulshan_Iqbal!B36&lt;&gt;"","Gulshan Iqbal","")</f>
        <v/>
      </c>
      <c r="C94" s="57" t="str">
        <f>IF(Gulshan_Iqbal!B36&lt;&gt;"","Group 1","")</f>
        <v/>
      </c>
      <c r="D94" s="58" t="str">
        <f>IF(Gulshan_Iqbal!B36&lt;&gt;"",Gulshan_Iqbal!B36,"")</f>
        <v/>
      </c>
      <c r="E94" s="57" t="str">
        <f>IF(Gulshan_Iqbal!B36&lt;&gt;"",Gulshan_Iqbal!C36,"")</f>
        <v/>
      </c>
      <c r="F94" s="60" t="str">
        <f>IF(Gulshan_Iqbal!B36&lt;&gt;"",HYPERLINK("tel:"&amp;SUBSTITUTE(SUBSTITUTE(Gulshan_Iqbal!C36,"+","+")," ",""),"📞"),"")</f>
        <v/>
      </c>
      <c r="G94" s="64" t="str">
        <f>IF(Gulshan_Iqbal!B36&lt;&gt;"",HYPERLINK("https://wa.me/"&amp;SUBSTITUTE(SUBSTITUTE(Gulshan_Iqbal!C36,"+","")," ",""),"💬"),"")</f>
        <v/>
      </c>
      <c r="H94" s="57" t="str">
        <f>IF(Gulshan_Iqbal!B36&lt;&gt;"",Gulshan_Iqbal!F36,"")</f>
        <v/>
      </c>
      <c r="I94" s="57" t="str">
        <f>IF(Gulshan_Iqbal!B36&lt;&gt;"",Gulshan_Iqbal!G36,"")</f>
        <v/>
      </c>
      <c r="J94" s="57" t="str">
        <f>IF(Gulshan_Iqbal!B36&lt;&gt;"",Gulshan_Iqbal!H36,"")</f>
        <v/>
      </c>
      <c r="K94" s="57" t="str">
        <f>IF(Gulshan_Iqbal!B36&lt;&gt;"",Gulshan_Iqbal!CH36,"")</f>
        <v/>
      </c>
      <c r="L94" s="57" t="str">
        <f>IF(Gulshan_Iqbal!B36&lt;&gt;"",Gulshan_Iqbal!CE36,"")</f>
        <v/>
      </c>
    </row>
    <row r="95" ht="16.5" customHeight="1">
      <c r="A95" s="57" t="str">
        <f>IF(Gulshan_Iqbal!B37&lt;&gt;"",SUMPRODUCT((LEN(D79:D94)&gt;0)*1)+1,"")</f>
        <v/>
      </c>
      <c r="B95" s="57" t="str">
        <f>IF(Gulshan_Iqbal!B37&lt;&gt;"","Gulshan Iqbal","")</f>
        <v/>
      </c>
      <c r="C95" s="57" t="str">
        <f>IF(Gulshan_Iqbal!B37&lt;&gt;"","Group 1","")</f>
        <v/>
      </c>
      <c r="D95" s="58" t="str">
        <f>IF(Gulshan_Iqbal!B37&lt;&gt;"",Gulshan_Iqbal!B37,"")</f>
        <v/>
      </c>
      <c r="E95" s="57" t="str">
        <f>IF(Gulshan_Iqbal!B37&lt;&gt;"",Gulshan_Iqbal!C37,"")</f>
        <v/>
      </c>
      <c r="F95" s="60" t="str">
        <f>IF(Gulshan_Iqbal!B37&lt;&gt;"",HYPERLINK("tel:"&amp;SUBSTITUTE(SUBSTITUTE(Gulshan_Iqbal!C37,"+","+")," ",""),"📞"),"")</f>
        <v/>
      </c>
      <c r="G95" s="64" t="str">
        <f>IF(Gulshan_Iqbal!B37&lt;&gt;"",HYPERLINK("https://wa.me/"&amp;SUBSTITUTE(SUBSTITUTE(Gulshan_Iqbal!C37,"+","")," ",""),"💬"),"")</f>
        <v/>
      </c>
      <c r="H95" s="57" t="str">
        <f>IF(Gulshan_Iqbal!B37&lt;&gt;"",Gulshan_Iqbal!F37,"")</f>
        <v/>
      </c>
      <c r="I95" s="57" t="str">
        <f>IF(Gulshan_Iqbal!B37&lt;&gt;"",Gulshan_Iqbal!G37,"")</f>
        <v/>
      </c>
      <c r="J95" s="57" t="str">
        <f>IF(Gulshan_Iqbal!B37&lt;&gt;"",Gulshan_Iqbal!H37,"")</f>
        <v/>
      </c>
      <c r="K95" s="57" t="str">
        <f>IF(Gulshan_Iqbal!B37&lt;&gt;"",Gulshan_Iqbal!CH37,"")</f>
        <v/>
      </c>
      <c r="L95" s="57" t="str">
        <f>IF(Gulshan_Iqbal!B37&lt;&gt;"",Gulshan_Iqbal!CE37,"")</f>
        <v/>
      </c>
    </row>
    <row r="96" ht="16.5" customHeight="1">
      <c r="A96" s="57" t="str">
        <f>IF(Gulshan_Iqbal!B38&lt;&gt;"",SUMPRODUCT((LEN(D79:D95)&gt;0)*1)+1,"")</f>
        <v/>
      </c>
      <c r="B96" s="57" t="str">
        <f>IF(Gulshan_Iqbal!B38&lt;&gt;"","Gulshan Iqbal","")</f>
        <v/>
      </c>
      <c r="C96" s="57" t="str">
        <f>IF(Gulshan_Iqbal!B38&lt;&gt;"","Group 1","")</f>
        <v/>
      </c>
      <c r="D96" s="58" t="str">
        <f>IF(Gulshan_Iqbal!B38&lt;&gt;"",Gulshan_Iqbal!B38,"")</f>
        <v/>
      </c>
      <c r="E96" s="57" t="str">
        <f>IF(Gulshan_Iqbal!B38&lt;&gt;"",Gulshan_Iqbal!C38,"")</f>
        <v/>
      </c>
      <c r="F96" s="60" t="str">
        <f>IF(Gulshan_Iqbal!B38&lt;&gt;"",HYPERLINK("tel:"&amp;SUBSTITUTE(SUBSTITUTE(Gulshan_Iqbal!C38,"+","+")," ",""),"📞"),"")</f>
        <v/>
      </c>
      <c r="G96" s="64" t="str">
        <f>IF(Gulshan_Iqbal!B38&lt;&gt;"",HYPERLINK("https://wa.me/"&amp;SUBSTITUTE(SUBSTITUTE(Gulshan_Iqbal!C38,"+","")," ",""),"💬"),"")</f>
        <v/>
      </c>
      <c r="H96" s="57" t="str">
        <f>IF(Gulshan_Iqbal!B38&lt;&gt;"",Gulshan_Iqbal!F38,"")</f>
        <v/>
      </c>
      <c r="I96" s="57" t="str">
        <f>IF(Gulshan_Iqbal!B38&lt;&gt;"",Gulshan_Iqbal!G38,"")</f>
        <v/>
      </c>
      <c r="J96" s="57" t="str">
        <f>IF(Gulshan_Iqbal!B38&lt;&gt;"",Gulshan_Iqbal!H38,"")</f>
        <v/>
      </c>
      <c r="K96" s="57" t="str">
        <f>IF(Gulshan_Iqbal!B38&lt;&gt;"",Gulshan_Iqbal!CH38,"")</f>
        <v/>
      </c>
      <c r="L96" s="57" t="str">
        <f>IF(Gulshan_Iqbal!B38&lt;&gt;"",Gulshan_Iqbal!CE38,"")</f>
        <v/>
      </c>
    </row>
    <row r="97" ht="16.5" customHeight="1">
      <c r="A97" s="20">
        <v>72.0</v>
      </c>
      <c r="B97" s="20" t="s">
        <v>20</v>
      </c>
      <c r="C97" s="20" t="s">
        <v>203</v>
      </c>
      <c r="D97" s="22" t="str">
        <f>Gulshan_Iqbal!B42</f>
        <v>Abdullah Faisal</v>
      </c>
      <c r="E97" s="23" t="str">
        <f>Gulshan_Iqbal!C42</f>
        <v/>
      </c>
      <c r="F97" s="24" t="str">
        <f>IF(Gulshan_Iqbal!C42&lt;&gt;"",HYPERLINK("tel:"&amp;SUBSTITUTE(SUBSTITUTE(Gulshan_Iqbal!C42,"+","+")," ",""),"📞"),"")</f>
        <v/>
      </c>
      <c r="G97" s="26" t="str">
        <f>IF(Gulshan_Iqbal!C42&lt;&gt;"",HYPERLINK("https://wa.me/"&amp;SUBSTITUTE(SUBSTITUTE(Gulshan_Iqbal!C42,"+","")," ",""),"💬"),"")</f>
        <v/>
      </c>
      <c r="H97" s="20" t="str">
        <f>Gulshan_Iqbal!F42</f>
        <v/>
      </c>
      <c r="I97" s="20" t="str">
        <f>Gulshan_Iqbal!G42</f>
        <v>16.0</v>
      </c>
      <c r="J97" s="20" t="str">
        <f>Gulshan_Iqbal!H42</f>
        <v>10th</v>
      </c>
      <c r="K97" s="20" t="str">
        <f>Gulshan_Iqbal!CH42</f>
        <v>72%</v>
      </c>
      <c r="L97" s="20">
        <f>Gulshan_Iqbal!CE42</f>
        <v>13</v>
      </c>
    </row>
    <row r="98" ht="16.5" customHeight="1">
      <c r="A98" s="10">
        <v>73.0</v>
      </c>
      <c r="B98" s="10" t="s">
        <v>20</v>
      </c>
      <c r="C98" s="10" t="s">
        <v>203</v>
      </c>
      <c r="D98" s="12" t="str">
        <f>Gulshan_Iqbal!B43</f>
        <v>Hunain Basharat</v>
      </c>
      <c r="E98" s="14" t="str">
        <f>Gulshan_Iqbal!C43</f>
        <v/>
      </c>
      <c r="F98" s="17" t="str">
        <f>IF(Gulshan_Iqbal!C43&lt;&gt;"",HYPERLINK("tel:"&amp;SUBSTITUTE(SUBSTITUTE(Gulshan_Iqbal!C43,"+","+")," ",""),"📞"),"")</f>
        <v/>
      </c>
      <c r="G98" s="28" t="str">
        <f>IF(Gulshan_Iqbal!C43&lt;&gt;"",HYPERLINK("https://wa.me/"&amp;SUBSTITUTE(SUBSTITUTE(Gulshan_Iqbal!C43,"+","")," ",""),"💬"),"")</f>
        <v/>
      </c>
      <c r="H98" s="10" t="str">
        <f>Gulshan_Iqbal!F43</f>
        <v/>
      </c>
      <c r="I98" s="10" t="str">
        <f>Gulshan_Iqbal!G43</f>
        <v>16.0</v>
      </c>
      <c r="J98" s="10" t="str">
        <f>Gulshan_Iqbal!H43</f>
        <v/>
      </c>
      <c r="K98" s="10" t="str">
        <f>Gulshan_Iqbal!CH43</f>
        <v>40%</v>
      </c>
      <c r="L98" s="10">
        <f>Gulshan_Iqbal!CE43</f>
        <v>6</v>
      </c>
    </row>
    <row r="99" ht="16.5" customHeight="1">
      <c r="A99" s="20">
        <v>74.0</v>
      </c>
      <c r="B99" s="20" t="s">
        <v>20</v>
      </c>
      <c r="C99" s="20" t="s">
        <v>203</v>
      </c>
      <c r="D99" s="22" t="str">
        <f>Gulshan_Iqbal!B44</f>
        <v>Umair Ahsan</v>
      </c>
      <c r="E99" s="23" t="str">
        <f>Gulshan_Iqbal!C44</f>
        <v>'+923377226655</v>
      </c>
      <c r="F99" s="24" t="str">
        <f>IF(Gulshan_Iqbal!C44&lt;&gt;"",HYPERLINK("tel:"&amp;SUBSTITUTE(SUBSTITUTE(Gulshan_Iqbal!C44,"+","+")," ",""),"📞"),"")</f>
        <v>📞</v>
      </c>
      <c r="G99" s="41" t="str">
        <f>IF(Gulshan_Iqbal!C44&lt;&gt;"",HYPERLINK("https://wa.me/"&amp;SUBSTITUTE(SUBSTITUTE(Gulshan_Iqbal!C44,"+","")," ",""),"💬"),"")</f>
        <v>💬</v>
      </c>
      <c r="H99" s="20" t="str">
        <f>Gulshan_Iqbal!F44</f>
        <v/>
      </c>
      <c r="I99" s="20" t="str">
        <f>Gulshan_Iqbal!G44</f>
        <v>16.0</v>
      </c>
      <c r="J99" s="20" t="str">
        <f>Gulshan_Iqbal!H44</f>
        <v>10th</v>
      </c>
      <c r="K99" s="20" t="str">
        <f>Gulshan_Iqbal!CH44</f>
        <v>0%</v>
      </c>
      <c r="L99" s="20">
        <f>Gulshan_Iqbal!CE44</f>
        <v>0</v>
      </c>
    </row>
    <row r="100" ht="16.5" customHeight="1">
      <c r="A100" s="10">
        <v>75.0</v>
      </c>
      <c r="B100" s="10" t="s">
        <v>20</v>
      </c>
      <c r="C100" s="10" t="s">
        <v>203</v>
      </c>
      <c r="D100" s="12" t="str">
        <f>Gulshan_Iqbal!B45</f>
        <v>Abdul Rahman raza</v>
      </c>
      <c r="E100" s="14" t="str">
        <f>Gulshan_Iqbal!C45</f>
        <v>'+923351701638</v>
      </c>
      <c r="F100" s="17" t="str">
        <f>IF(Gulshan_Iqbal!C45&lt;&gt;"",HYPERLINK("tel:"&amp;SUBSTITUTE(SUBSTITUTE(Gulshan_Iqbal!C45,"+","+")," ",""),"📞"),"")</f>
        <v>📞</v>
      </c>
      <c r="G100" s="19" t="str">
        <f>IF(Gulshan_Iqbal!C45&lt;&gt;"",HYPERLINK("https://wa.me/"&amp;SUBSTITUTE(SUBSTITUTE(Gulshan_Iqbal!C45,"+","")," ",""),"💬"),"")</f>
        <v>💬</v>
      </c>
      <c r="H100" s="10" t="str">
        <f>Gulshan_Iqbal!F45</f>
        <v/>
      </c>
      <c r="I100" s="10" t="str">
        <f>Gulshan_Iqbal!G45</f>
        <v>17.0</v>
      </c>
      <c r="J100" s="10" t="str">
        <f>Gulshan_Iqbal!H45</f>
        <v/>
      </c>
      <c r="K100" s="10" t="str">
        <f>Gulshan_Iqbal!CH45</f>
        <v>11%</v>
      </c>
      <c r="L100" s="10">
        <f>Gulshan_Iqbal!CE45</f>
        <v>2</v>
      </c>
    </row>
    <row r="101" ht="16.5" customHeight="1">
      <c r="A101" s="20">
        <v>76.0</v>
      </c>
      <c r="B101" s="20" t="s">
        <v>20</v>
      </c>
      <c r="C101" s="20" t="s">
        <v>203</v>
      </c>
      <c r="D101" s="22" t="str">
        <f>Gulshan_Iqbal!B46</f>
        <v>Muhammad faizan ali</v>
      </c>
      <c r="E101" s="23" t="str">
        <f>Gulshan_Iqbal!C46</f>
        <v>'+923092771817</v>
      </c>
      <c r="F101" s="24" t="str">
        <f>IF(Gulshan_Iqbal!C46&lt;&gt;"",HYPERLINK("tel:"&amp;SUBSTITUTE(SUBSTITUTE(Gulshan_Iqbal!C46,"+","+")," ",""),"📞"),"")</f>
        <v>📞</v>
      </c>
      <c r="G101" s="41" t="str">
        <f>IF(Gulshan_Iqbal!C46&lt;&gt;"",HYPERLINK("https://wa.me/"&amp;SUBSTITUTE(SUBSTITUTE(Gulshan_Iqbal!C46,"+","")," ",""),"💬"),"")</f>
        <v>💬</v>
      </c>
      <c r="H101" s="20" t="str">
        <f>Gulshan_Iqbal!F46</f>
        <v/>
      </c>
      <c r="I101" s="20" t="str">
        <f>Gulshan_Iqbal!G46</f>
        <v>17.0</v>
      </c>
      <c r="J101" s="20" t="str">
        <f>Gulshan_Iqbal!H46</f>
        <v/>
      </c>
      <c r="K101" s="20" t="str">
        <f>Gulshan_Iqbal!CH46</f>
        <v>8%</v>
      </c>
      <c r="L101" s="20">
        <f>Gulshan_Iqbal!CE46</f>
        <v>1</v>
      </c>
    </row>
    <row r="102" ht="16.5" customHeight="1">
      <c r="A102" s="10">
        <v>77.0</v>
      </c>
      <c r="B102" s="10" t="s">
        <v>20</v>
      </c>
      <c r="C102" s="10" t="s">
        <v>203</v>
      </c>
      <c r="D102" s="12" t="str">
        <f>Gulshan_Iqbal!B47</f>
        <v>Muhammad Bilal</v>
      </c>
      <c r="E102" s="14" t="str">
        <f>Gulshan_Iqbal!C47</f>
        <v>'+923281988558</v>
      </c>
      <c r="F102" s="17" t="str">
        <f>IF(Gulshan_Iqbal!C47&lt;&gt;"",HYPERLINK("tel:"&amp;SUBSTITUTE(SUBSTITUTE(Gulshan_Iqbal!C47,"+","+")," ",""),"📞"),"")</f>
        <v>📞</v>
      </c>
      <c r="G102" s="19" t="str">
        <f>IF(Gulshan_Iqbal!C47&lt;&gt;"",HYPERLINK("https://wa.me/"&amp;SUBSTITUTE(SUBSTITUTE(Gulshan_Iqbal!C47,"+","")," ",""),"💬"),"")</f>
        <v>💬</v>
      </c>
      <c r="H102" s="10" t="str">
        <f>Gulshan_Iqbal!F47</f>
        <v/>
      </c>
      <c r="I102" s="10" t="str">
        <f>Gulshan_Iqbal!G47</f>
        <v>17.0</v>
      </c>
      <c r="J102" s="10" t="str">
        <f>Gulshan_Iqbal!H47</f>
        <v>10th</v>
      </c>
      <c r="K102" s="10" t="str">
        <f>Gulshan_Iqbal!CH47</f>
        <v>25%</v>
      </c>
      <c r="L102" s="10">
        <f>Gulshan_Iqbal!CE47</f>
        <v>4</v>
      </c>
    </row>
    <row r="103" ht="16.5" customHeight="1">
      <c r="A103" s="20">
        <v>78.0</v>
      </c>
      <c r="B103" s="20" t="s">
        <v>20</v>
      </c>
      <c r="C103" s="20" t="s">
        <v>203</v>
      </c>
      <c r="D103" s="22" t="str">
        <f>Gulshan_Iqbal!B48</f>
        <v>Razeen Ahmad</v>
      </c>
      <c r="E103" s="23" t="str">
        <f>Gulshan_Iqbal!C48</f>
        <v>'+923124755878</v>
      </c>
      <c r="F103" s="24" t="str">
        <f>IF(Gulshan_Iqbal!C48&lt;&gt;"",HYPERLINK("tel:"&amp;SUBSTITUTE(SUBSTITUTE(Gulshan_Iqbal!C48,"+","+")," ",""),"📞"),"")</f>
        <v>📞</v>
      </c>
      <c r="G103" s="41" t="str">
        <f>IF(Gulshan_Iqbal!C48&lt;&gt;"",HYPERLINK("https://wa.me/"&amp;SUBSTITUTE(SUBSTITUTE(Gulshan_Iqbal!C48,"+","")," ",""),"💬"),"")</f>
        <v>💬</v>
      </c>
      <c r="H103" s="20" t="str">
        <f>Gulshan_Iqbal!F48</f>
        <v/>
      </c>
      <c r="I103" s="20" t="str">
        <f>Gulshan_Iqbal!G48</f>
        <v>17.0</v>
      </c>
      <c r="J103" s="20" t="str">
        <f>Gulshan_Iqbal!H48</f>
        <v>A Level</v>
      </c>
      <c r="K103" s="20" t="str">
        <f>Gulshan_Iqbal!CH48</f>
        <v>19%</v>
      </c>
      <c r="L103" s="20">
        <f>Gulshan_Iqbal!CE48</f>
        <v>3</v>
      </c>
    </row>
    <row r="104" ht="16.5" customHeight="1">
      <c r="A104" s="10">
        <v>79.0</v>
      </c>
      <c r="B104" s="10" t="s">
        <v>20</v>
      </c>
      <c r="C104" s="10" t="s">
        <v>203</v>
      </c>
      <c r="D104" s="12" t="str">
        <f>Gulshan_Iqbal!B49</f>
        <v>Muhammad Musa Asif</v>
      </c>
      <c r="E104" s="14" t="str">
        <f>Gulshan_Iqbal!C49</f>
        <v>'+923201619511</v>
      </c>
      <c r="F104" s="17" t="str">
        <f>IF(Gulshan_Iqbal!C49&lt;&gt;"",HYPERLINK("tel:"&amp;SUBSTITUTE(SUBSTITUTE(Gulshan_Iqbal!C49,"+","+")," ",""),"📞"),"")</f>
        <v>📞</v>
      </c>
      <c r="G104" s="19" t="str">
        <f>IF(Gulshan_Iqbal!C49&lt;&gt;"",HYPERLINK("https://wa.me/"&amp;SUBSTITUTE(SUBSTITUTE(Gulshan_Iqbal!C49,"+","")," ",""),"💬"),"")</f>
        <v>💬</v>
      </c>
      <c r="H104" s="10" t="str">
        <f>Gulshan_Iqbal!F49</f>
        <v/>
      </c>
      <c r="I104" s="10" t="str">
        <f>Gulshan_Iqbal!G49</f>
        <v>17.0</v>
      </c>
      <c r="J104" s="10" t="str">
        <f>Gulshan_Iqbal!H49</f>
        <v>A Level</v>
      </c>
      <c r="K104" s="10" t="str">
        <f>Gulshan_Iqbal!CH49</f>
        <v>11%</v>
      </c>
      <c r="L104" s="10">
        <f>Gulshan_Iqbal!CE49</f>
        <v>1</v>
      </c>
    </row>
    <row r="105" ht="16.5" customHeight="1">
      <c r="A105" s="20">
        <v>80.0</v>
      </c>
      <c r="B105" s="20" t="s">
        <v>20</v>
      </c>
      <c r="C105" s="20" t="s">
        <v>203</v>
      </c>
      <c r="D105" s="22" t="str">
        <f>Gulshan_Iqbal!B50</f>
        <v>Muhammad Abdul Rehman Khan</v>
      </c>
      <c r="E105" s="23" t="str">
        <f>Gulshan_Iqbal!C50</f>
        <v/>
      </c>
      <c r="F105" s="24" t="str">
        <f>IF(Gulshan_Iqbal!C50&lt;&gt;"",HYPERLINK("tel:"&amp;SUBSTITUTE(SUBSTITUTE(Gulshan_Iqbal!C50,"+","+")," ",""),"📞"),"")</f>
        <v/>
      </c>
      <c r="G105" s="26" t="str">
        <f>IF(Gulshan_Iqbal!C50&lt;&gt;"",HYPERLINK("https://wa.me/"&amp;SUBSTITUTE(SUBSTITUTE(Gulshan_Iqbal!C50,"+","")," ",""),"💬"),"")</f>
        <v/>
      </c>
      <c r="H105" s="20" t="str">
        <f>Gulshan_Iqbal!F50</f>
        <v/>
      </c>
      <c r="I105" s="20" t="str">
        <f>Gulshan_Iqbal!G50</f>
        <v>17.0</v>
      </c>
      <c r="J105" s="20" t="str">
        <f>Gulshan_Iqbal!H50</f>
        <v/>
      </c>
      <c r="K105" s="20" t="str">
        <f>Gulshan_Iqbal!CH50</f>
        <v>21%</v>
      </c>
      <c r="L105" s="20">
        <f>Gulshan_Iqbal!CE50</f>
        <v>3</v>
      </c>
    </row>
    <row r="106" ht="16.5" customHeight="1">
      <c r="A106" s="10">
        <v>81.0</v>
      </c>
      <c r="B106" s="10" t="s">
        <v>20</v>
      </c>
      <c r="C106" s="10" t="s">
        <v>203</v>
      </c>
      <c r="D106" s="12" t="str">
        <f>Gulshan_Iqbal!B51</f>
        <v>Saifullah</v>
      </c>
      <c r="E106" s="14" t="str">
        <f>Gulshan_Iqbal!C51</f>
        <v/>
      </c>
      <c r="F106" s="17" t="str">
        <f>IF(Gulshan_Iqbal!C51&lt;&gt;"",HYPERLINK("tel:"&amp;SUBSTITUTE(SUBSTITUTE(Gulshan_Iqbal!C51,"+","+")," ",""),"📞"),"")</f>
        <v/>
      </c>
      <c r="G106" s="28" t="str">
        <f>IF(Gulshan_Iqbal!C51&lt;&gt;"",HYPERLINK("https://wa.me/"&amp;SUBSTITUTE(SUBSTITUTE(Gulshan_Iqbal!C51,"+","")," ",""),"💬"),"")</f>
        <v/>
      </c>
      <c r="H106" s="10" t="str">
        <f>Gulshan_Iqbal!F51</f>
        <v/>
      </c>
      <c r="I106" s="10" t="str">
        <f>Gulshan_Iqbal!G51</f>
        <v>17.0</v>
      </c>
      <c r="J106" s="10" t="str">
        <f>Gulshan_Iqbal!H51</f>
        <v/>
      </c>
      <c r="K106" s="10" t="str">
        <f>Gulshan_Iqbal!CH51</f>
        <v>83%</v>
      </c>
      <c r="L106" s="10">
        <f>Gulshan_Iqbal!CE51</f>
        <v>15</v>
      </c>
    </row>
    <row r="107" ht="16.5" customHeight="1">
      <c r="A107" s="20">
        <v>82.0</v>
      </c>
      <c r="B107" s="20" t="s">
        <v>20</v>
      </c>
      <c r="C107" s="20" t="s">
        <v>203</v>
      </c>
      <c r="D107" s="22" t="str">
        <f>Gulshan_Iqbal!B52</f>
        <v>Hunain Babar</v>
      </c>
      <c r="E107" s="23" t="str">
        <f>Gulshan_Iqbal!C52</f>
        <v>'+923268740002</v>
      </c>
      <c r="F107" s="24" t="str">
        <f>IF(Gulshan_Iqbal!C52&lt;&gt;"",HYPERLINK("tel:"&amp;SUBSTITUTE(SUBSTITUTE(Gulshan_Iqbal!C52,"+","+")," ",""),"📞"),"")</f>
        <v>📞</v>
      </c>
      <c r="G107" s="41" t="str">
        <f>IF(Gulshan_Iqbal!C52&lt;&gt;"",HYPERLINK("https://wa.me/"&amp;SUBSTITUTE(SUBSTITUTE(Gulshan_Iqbal!C52,"+","")," ",""),"💬"),"")</f>
        <v>💬</v>
      </c>
      <c r="H107" s="20" t="str">
        <f>Gulshan_Iqbal!F52</f>
        <v/>
      </c>
      <c r="I107" s="20" t="str">
        <f>Gulshan_Iqbal!G52</f>
        <v>17.0</v>
      </c>
      <c r="J107" s="20" t="str">
        <f>Gulshan_Iqbal!H52</f>
        <v/>
      </c>
      <c r="K107" s="20" t="str">
        <f>Gulshan_Iqbal!CH52</f>
        <v>81%</v>
      </c>
      <c r="L107" s="20">
        <f>Gulshan_Iqbal!CE52</f>
        <v>13</v>
      </c>
    </row>
    <row r="108" ht="16.5" customHeight="1">
      <c r="A108" s="10">
        <v>83.0</v>
      </c>
      <c r="B108" s="10" t="s">
        <v>20</v>
      </c>
      <c r="C108" s="10" t="s">
        <v>203</v>
      </c>
      <c r="D108" s="12" t="str">
        <f>Gulshan_Iqbal!B53</f>
        <v>Muhammad Hassaan Ibrahim</v>
      </c>
      <c r="E108" s="14" t="str">
        <f>Gulshan_Iqbal!C53</f>
        <v>'+923434449824</v>
      </c>
      <c r="F108" s="17" t="str">
        <f>IF(Gulshan_Iqbal!C53&lt;&gt;"",HYPERLINK("tel:"&amp;SUBSTITUTE(SUBSTITUTE(Gulshan_Iqbal!C53,"+","+")," ",""),"📞"),"")</f>
        <v>📞</v>
      </c>
      <c r="G108" s="19" t="str">
        <f>IF(Gulshan_Iqbal!C53&lt;&gt;"",HYPERLINK("https://wa.me/"&amp;SUBSTITUTE(SUBSTITUTE(Gulshan_Iqbal!C53,"+","")," ",""),"💬"),"")</f>
        <v>💬</v>
      </c>
      <c r="H108" s="10" t="str">
        <f>Gulshan_Iqbal!F53</f>
        <v/>
      </c>
      <c r="I108" s="10" t="str">
        <f>Gulshan_Iqbal!G53</f>
        <v>17.0</v>
      </c>
      <c r="J108" s="10" t="str">
        <f>Gulshan_Iqbal!H53</f>
        <v/>
      </c>
      <c r="K108" s="10" t="str">
        <f>Gulshan_Iqbal!CH53</f>
        <v>46%</v>
      </c>
      <c r="L108" s="10">
        <f>Gulshan_Iqbal!CE53</f>
        <v>6</v>
      </c>
    </row>
    <row r="109" ht="16.5" customHeight="1">
      <c r="A109" s="20">
        <v>84.0</v>
      </c>
      <c r="B109" s="20" t="s">
        <v>20</v>
      </c>
      <c r="C109" s="20" t="s">
        <v>203</v>
      </c>
      <c r="D109" s="22" t="str">
        <f>Gulshan_Iqbal!B54</f>
        <v>Rayyan Asif</v>
      </c>
      <c r="E109" s="23" t="str">
        <f>Gulshan_Iqbal!C54</f>
        <v/>
      </c>
      <c r="F109" s="24" t="str">
        <f>IF(Gulshan_Iqbal!C54&lt;&gt;"",HYPERLINK("tel:"&amp;SUBSTITUTE(SUBSTITUTE(Gulshan_Iqbal!C54,"+","+")," ",""),"📞"),"")</f>
        <v/>
      </c>
      <c r="G109" s="26" t="str">
        <f>IF(Gulshan_Iqbal!C54&lt;&gt;"",HYPERLINK("https://wa.me/"&amp;SUBSTITUTE(SUBSTITUTE(Gulshan_Iqbal!C54,"+","")," ",""),"💬"),"")</f>
        <v/>
      </c>
      <c r="H109" s="20" t="str">
        <f>Gulshan_Iqbal!F54</f>
        <v/>
      </c>
      <c r="I109" s="20" t="str">
        <f>Gulshan_Iqbal!G54</f>
        <v/>
      </c>
      <c r="J109" s="20" t="str">
        <f>Gulshan_Iqbal!H54</f>
        <v/>
      </c>
      <c r="K109" s="20" t="str">
        <f>Gulshan_Iqbal!CH54</f>
        <v>72%</v>
      </c>
      <c r="L109" s="20">
        <f>Gulshan_Iqbal!CE54</f>
        <v>13</v>
      </c>
    </row>
    <row r="110" ht="16.5" customHeight="1">
      <c r="A110" s="10">
        <v>85.0</v>
      </c>
      <c r="B110" s="10" t="s">
        <v>20</v>
      </c>
      <c r="C110" s="10" t="s">
        <v>203</v>
      </c>
      <c r="D110" s="12" t="str">
        <f>Gulshan_Iqbal!B55</f>
        <v>Wasif Ali</v>
      </c>
      <c r="E110" s="14" t="str">
        <f>Gulshan_Iqbal!C55</f>
        <v>'+923274608533</v>
      </c>
      <c r="F110" s="17" t="str">
        <f>IF(Gulshan_Iqbal!C55&lt;&gt;"",HYPERLINK("tel:"&amp;SUBSTITUTE(SUBSTITUTE(Gulshan_Iqbal!C55,"+","+")," ",""),"📞"),"")</f>
        <v>📞</v>
      </c>
      <c r="G110" s="19" t="str">
        <f>IF(Gulshan_Iqbal!C55&lt;&gt;"",HYPERLINK("https://wa.me/"&amp;SUBSTITUTE(SUBSTITUTE(Gulshan_Iqbal!C55,"+","")," ",""),"💬"),"")</f>
        <v>💬</v>
      </c>
      <c r="H110" s="10" t="str">
        <f>Gulshan_Iqbal!F55</f>
        <v/>
      </c>
      <c r="I110" s="10" t="str">
        <f>Gulshan_Iqbal!G55</f>
        <v/>
      </c>
      <c r="J110" s="10" t="str">
        <f>Gulshan_Iqbal!H55</f>
        <v/>
      </c>
      <c r="K110" s="10" t="str">
        <f>Gulshan_Iqbal!CH55</f>
        <v>67%</v>
      </c>
      <c r="L110" s="10">
        <f>Gulshan_Iqbal!CE55</f>
        <v>10</v>
      </c>
    </row>
    <row r="111" ht="16.5" customHeight="1">
      <c r="A111" s="20">
        <v>86.0</v>
      </c>
      <c r="B111" s="20" t="s">
        <v>20</v>
      </c>
      <c r="C111" s="20" t="s">
        <v>203</v>
      </c>
      <c r="D111" s="22" t="str">
        <f>Gulshan_Iqbal!B56</f>
        <v>Muhammad Awais</v>
      </c>
      <c r="E111" s="23" t="str">
        <f>Gulshan_Iqbal!C56</f>
        <v/>
      </c>
      <c r="F111" s="24" t="str">
        <f>IF(Gulshan_Iqbal!C56&lt;&gt;"",HYPERLINK("tel:"&amp;SUBSTITUTE(SUBSTITUTE(Gulshan_Iqbal!C56,"+","+")," ",""),"📞"),"")</f>
        <v/>
      </c>
      <c r="G111" s="26" t="str">
        <f>IF(Gulshan_Iqbal!C56&lt;&gt;"",HYPERLINK("https://wa.me/"&amp;SUBSTITUTE(SUBSTITUTE(Gulshan_Iqbal!C56,"+","")," ",""),"💬"),"")</f>
        <v/>
      </c>
      <c r="H111" s="20" t="str">
        <f>Gulshan_Iqbal!F56</f>
        <v/>
      </c>
      <c r="I111" s="20" t="str">
        <f>Gulshan_Iqbal!G56</f>
        <v/>
      </c>
      <c r="J111" s="20" t="str">
        <f>Gulshan_Iqbal!H56</f>
        <v/>
      </c>
      <c r="K111" s="20" t="str">
        <f>Gulshan_Iqbal!CH56</f>
        <v>33%</v>
      </c>
      <c r="L111" s="20">
        <f>Gulshan_Iqbal!CE56</f>
        <v>5</v>
      </c>
    </row>
    <row r="112" ht="16.5" customHeight="1">
      <c r="A112" s="10">
        <v>87.0</v>
      </c>
      <c r="B112" s="10" t="s">
        <v>20</v>
      </c>
      <c r="C112" s="10" t="s">
        <v>203</v>
      </c>
      <c r="D112" s="12" t="str">
        <f>Gulshan_Iqbal!B57</f>
        <v>Abdullah Amir</v>
      </c>
      <c r="E112" s="14" t="str">
        <f>Gulshan_Iqbal!C57</f>
        <v/>
      </c>
      <c r="F112" s="17" t="str">
        <f>IF(Gulshan_Iqbal!C57&lt;&gt;"",HYPERLINK("tel:"&amp;SUBSTITUTE(SUBSTITUTE(Gulshan_Iqbal!C57,"+","+")," ",""),"📞"),"")</f>
        <v/>
      </c>
      <c r="G112" s="28" t="str">
        <f>IF(Gulshan_Iqbal!C57&lt;&gt;"",HYPERLINK("https://wa.me/"&amp;SUBSTITUTE(SUBSTITUTE(Gulshan_Iqbal!C57,"+","")," ",""),"💬"),"")</f>
        <v/>
      </c>
      <c r="H112" s="10" t="str">
        <f>Gulshan_Iqbal!F57</f>
        <v/>
      </c>
      <c r="I112" s="10" t="str">
        <f>Gulshan_Iqbal!G57</f>
        <v/>
      </c>
      <c r="J112" s="10" t="str">
        <f>Gulshan_Iqbal!H57</f>
        <v/>
      </c>
      <c r="K112" s="10" t="str">
        <f>Gulshan_Iqbal!CH57</f>
        <v>54%</v>
      </c>
      <c r="L112" s="10">
        <f>Gulshan_Iqbal!CE57</f>
        <v>7</v>
      </c>
    </row>
    <row r="113" ht="16.5" customHeight="1">
      <c r="A113" s="20">
        <v>88.0</v>
      </c>
      <c r="B113" s="20" t="s">
        <v>20</v>
      </c>
      <c r="C113" s="20" t="s">
        <v>203</v>
      </c>
      <c r="D113" s="22" t="str">
        <f>Gulshan_Iqbal!B58</f>
        <v>Hamza Labeeb</v>
      </c>
      <c r="E113" s="23" t="str">
        <f>Gulshan_Iqbal!C58</f>
        <v/>
      </c>
      <c r="F113" s="24" t="str">
        <f>IF(Gulshan_Iqbal!C58&lt;&gt;"",HYPERLINK("tel:"&amp;SUBSTITUTE(SUBSTITUTE(Gulshan_Iqbal!C58,"+","+")," ",""),"📞"),"")</f>
        <v/>
      </c>
      <c r="G113" s="26" t="str">
        <f>IF(Gulshan_Iqbal!C58&lt;&gt;"",HYPERLINK("https://wa.me/"&amp;SUBSTITUTE(SUBSTITUTE(Gulshan_Iqbal!C58,"+","")," ",""),"💬"),"")</f>
        <v/>
      </c>
      <c r="H113" s="20" t="str">
        <f>Gulshan_Iqbal!F58</f>
        <v/>
      </c>
      <c r="I113" s="20" t="str">
        <f>Gulshan_Iqbal!G58</f>
        <v/>
      </c>
      <c r="J113" s="20" t="str">
        <f>Gulshan_Iqbal!H58</f>
        <v/>
      </c>
      <c r="K113" s="20" t="str">
        <f>Gulshan_Iqbal!CH58</f>
        <v>92%</v>
      </c>
      <c r="L113" s="20">
        <f>Gulshan_Iqbal!CE58</f>
        <v>12</v>
      </c>
    </row>
    <row r="114" ht="16.5" customHeight="1">
      <c r="A114" s="10">
        <v>89.0</v>
      </c>
      <c r="B114" s="10" t="s">
        <v>20</v>
      </c>
      <c r="C114" s="10" t="s">
        <v>203</v>
      </c>
      <c r="D114" s="12" t="str">
        <f>Gulshan_Iqbal!B59</f>
        <v>Hafiz Muhammad Shabn</v>
      </c>
      <c r="E114" s="14" t="str">
        <f>Gulshan_Iqbal!C59</f>
        <v/>
      </c>
      <c r="F114" s="17" t="str">
        <f>IF(Gulshan_Iqbal!C59&lt;&gt;"",HYPERLINK("tel:"&amp;SUBSTITUTE(SUBSTITUTE(Gulshan_Iqbal!C59,"+","+")," ",""),"📞"),"")</f>
        <v/>
      </c>
      <c r="G114" s="28" t="str">
        <f>IF(Gulshan_Iqbal!C59&lt;&gt;"",HYPERLINK("https://wa.me/"&amp;SUBSTITUTE(SUBSTITUTE(Gulshan_Iqbal!C59,"+","")," ",""),"💬"),"")</f>
        <v/>
      </c>
      <c r="H114" s="10" t="str">
        <f>Gulshan_Iqbal!F59</f>
        <v/>
      </c>
      <c r="I114" s="10" t="str">
        <f>Gulshan_Iqbal!G59</f>
        <v/>
      </c>
      <c r="J114" s="10" t="str">
        <f>Gulshan_Iqbal!H59</f>
        <v/>
      </c>
      <c r="K114" s="10" t="str">
        <f>Gulshan_Iqbal!CH59</f>
        <v>56%</v>
      </c>
      <c r="L114" s="10">
        <f>Gulshan_Iqbal!CE59</f>
        <v>5</v>
      </c>
    </row>
    <row r="115" ht="16.5" customHeight="1">
      <c r="A115" s="20">
        <v>90.0</v>
      </c>
      <c r="B115" s="20" t="s">
        <v>20</v>
      </c>
      <c r="C115" s="20" t="s">
        <v>203</v>
      </c>
      <c r="D115" s="22" t="str">
        <f>Gulshan_Iqbal!B60</f>
        <v>Muhammad Rayan</v>
      </c>
      <c r="E115" s="23" t="str">
        <f>Gulshan_Iqbal!C60</f>
        <v/>
      </c>
      <c r="F115" s="24" t="str">
        <f>IF(Gulshan_Iqbal!C60&lt;&gt;"",HYPERLINK("tel:"&amp;SUBSTITUTE(SUBSTITUTE(Gulshan_Iqbal!C60,"+","+")," ",""),"📞"),"")</f>
        <v/>
      </c>
      <c r="G115" s="26" t="str">
        <f>IF(Gulshan_Iqbal!C60&lt;&gt;"",HYPERLINK("https://wa.me/"&amp;SUBSTITUTE(SUBSTITUTE(Gulshan_Iqbal!C60,"+","")," ",""),"💬"),"")</f>
        <v/>
      </c>
      <c r="H115" s="20" t="str">
        <f>Gulshan_Iqbal!F60</f>
        <v/>
      </c>
      <c r="I115" s="20" t="str">
        <f>Gulshan_Iqbal!G60</f>
        <v/>
      </c>
      <c r="J115" s="20" t="str">
        <f>Gulshan_Iqbal!H60</f>
        <v/>
      </c>
      <c r="K115" s="20" t="str">
        <f>Gulshan_Iqbal!CH60</f>
        <v>0%</v>
      </c>
      <c r="L115" s="20">
        <f>Gulshan_Iqbal!CE60</f>
        <v>0</v>
      </c>
    </row>
    <row r="116" ht="16.5" customHeight="1">
      <c r="A116" s="10">
        <v>91.0</v>
      </c>
      <c r="B116" s="10" t="s">
        <v>20</v>
      </c>
      <c r="C116" s="10" t="s">
        <v>203</v>
      </c>
      <c r="D116" s="12" t="str">
        <f>Gulshan_Iqbal!B61</f>
        <v>Sayed Ezzam bin Rashid</v>
      </c>
      <c r="E116" s="14" t="str">
        <f>Gulshan_Iqbal!C61</f>
        <v/>
      </c>
      <c r="F116" s="17" t="str">
        <f>IF(Gulshan_Iqbal!C61&lt;&gt;"",HYPERLINK("tel:"&amp;SUBSTITUTE(SUBSTITUTE(Gulshan_Iqbal!C61,"+","+")," ",""),"📞"),"")</f>
        <v/>
      </c>
      <c r="G116" s="28" t="str">
        <f>IF(Gulshan_Iqbal!C61&lt;&gt;"",HYPERLINK("https://wa.me/"&amp;SUBSTITUTE(SUBSTITUTE(Gulshan_Iqbal!C61,"+","")," ",""),"💬"),"")</f>
        <v/>
      </c>
      <c r="H116" s="10" t="str">
        <f>Gulshan_Iqbal!F61</f>
        <v/>
      </c>
      <c r="I116" s="10" t="str">
        <f>Gulshan_Iqbal!G61</f>
        <v/>
      </c>
      <c r="J116" s="10" t="str">
        <f>Gulshan_Iqbal!H61</f>
        <v/>
      </c>
      <c r="K116" s="10" t="str">
        <f>Gulshan_Iqbal!CH61</f>
        <v>25%</v>
      </c>
      <c r="L116" s="10">
        <f>Gulshan_Iqbal!CE61</f>
        <v>2</v>
      </c>
    </row>
    <row r="117" ht="16.5" customHeight="1">
      <c r="A117" s="20">
        <v>92.0</v>
      </c>
      <c r="B117" s="20" t="s">
        <v>20</v>
      </c>
      <c r="C117" s="20" t="s">
        <v>203</v>
      </c>
      <c r="D117" s="22" t="str">
        <f>Gulshan_Iqbal!B62</f>
        <v>Rohan Haroon </v>
      </c>
      <c r="E117" s="23" t="str">
        <f>Gulshan_Iqbal!C62</f>
        <v/>
      </c>
      <c r="F117" s="24" t="str">
        <f>IF(Gulshan_Iqbal!C62&lt;&gt;"",HYPERLINK("tel:"&amp;SUBSTITUTE(SUBSTITUTE(Gulshan_Iqbal!C62,"+","+")," ",""),"📞"),"")</f>
        <v/>
      </c>
      <c r="G117" s="26" t="str">
        <f>IF(Gulshan_Iqbal!C62&lt;&gt;"",HYPERLINK("https://wa.me/"&amp;SUBSTITUTE(SUBSTITUTE(Gulshan_Iqbal!C62,"+","")," ",""),"💬"),"")</f>
        <v/>
      </c>
      <c r="H117" s="20" t="str">
        <f>Gulshan_Iqbal!F62</f>
        <v/>
      </c>
      <c r="I117" s="20" t="str">
        <f>Gulshan_Iqbal!G62</f>
        <v/>
      </c>
      <c r="J117" s="20" t="str">
        <f>Gulshan_Iqbal!H62</f>
        <v/>
      </c>
      <c r="K117" s="20" t="str">
        <f>Gulshan_Iqbal!CH62</f>
        <v>55%</v>
      </c>
      <c r="L117" s="20">
        <f>Gulshan_Iqbal!CE62</f>
        <v>6</v>
      </c>
    </row>
    <row r="118" ht="16.5" customHeight="1">
      <c r="A118" s="57">
        <f>IF(Gulshan_Iqbal!B63&lt;&gt;"",SUMPRODUCT((LEN(D79:D117)&gt;0)*1)+1,"")</f>
        <v>35</v>
      </c>
      <c r="B118" s="57" t="str">
        <f>IF(Gulshan_Iqbal!B63&lt;&gt;"","Gulshan Iqbal","")</f>
        <v>Gulshan Iqbal</v>
      </c>
      <c r="C118" s="57" t="str">
        <f>IF(Gulshan_Iqbal!B63&lt;&gt;"","Group 2","")</f>
        <v>Group 2</v>
      </c>
      <c r="D118" s="58" t="str">
        <f>IF(Gulshan_Iqbal!B63&lt;&gt;"",Gulshan_Iqbal!B63,"")</f>
        <v>Qasim</v>
      </c>
      <c r="E118" s="57" t="str">
        <f>IF(Gulshan_Iqbal!B63&lt;&gt;"",Gulshan_Iqbal!C63,"")</f>
        <v/>
      </c>
      <c r="F118" s="60" t="str">
        <f>IF(Gulshan_Iqbal!B63&lt;&gt;"",HYPERLINK("tel:"&amp;SUBSTITUTE(SUBSTITUTE(Gulshan_Iqbal!C63,"+","+")," ",""),"📞"),"")</f>
        <v>📞</v>
      </c>
      <c r="G118" s="61" t="str">
        <f>IF(Gulshan_Iqbal!B63&lt;&gt;"",HYPERLINK("https://wa.me/"&amp;SUBSTITUTE(SUBSTITUTE(Gulshan_Iqbal!C63,"+","")," ",""),"💬"),"")</f>
        <v>💬</v>
      </c>
      <c r="H118" s="57" t="str">
        <f>IF(Gulshan_Iqbal!B63&lt;&gt;"",Gulshan_Iqbal!F63,"")</f>
        <v/>
      </c>
      <c r="I118" s="57" t="str">
        <f>IF(Gulshan_Iqbal!B63&lt;&gt;"",Gulshan_Iqbal!G63,"")</f>
        <v/>
      </c>
      <c r="J118" s="57" t="str">
        <f>IF(Gulshan_Iqbal!B63&lt;&gt;"",Gulshan_Iqbal!H63,"")</f>
        <v/>
      </c>
      <c r="K118" s="57" t="str">
        <f>IF(Gulshan_Iqbal!B63&lt;&gt;"",Gulshan_Iqbal!CH63,"")</f>
        <v>67%</v>
      </c>
      <c r="L118" s="57">
        <f>IF(Gulshan_Iqbal!B63&lt;&gt;"",Gulshan_Iqbal!CE63,"")</f>
        <v>4</v>
      </c>
    </row>
    <row r="119" ht="16.5" customHeight="1">
      <c r="A119" s="57" t="str">
        <f>IF(Gulshan_Iqbal!B64&lt;&gt;"",SUMPRODUCT((LEN(D79:D118)&gt;0)*1)+1,"")</f>
        <v/>
      </c>
      <c r="B119" s="57" t="str">
        <f>IF(Gulshan_Iqbal!B64&lt;&gt;"","Gulshan Iqbal","")</f>
        <v/>
      </c>
      <c r="C119" s="57" t="str">
        <f>IF(Gulshan_Iqbal!B64&lt;&gt;"","Group 2","")</f>
        <v/>
      </c>
      <c r="D119" s="58" t="str">
        <f>IF(Gulshan_Iqbal!B64&lt;&gt;"",Gulshan_Iqbal!B64,"")</f>
        <v/>
      </c>
      <c r="E119" s="57" t="str">
        <f>IF(Gulshan_Iqbal!B64&lt;&gt;"",Gulshan_Iqbal!C64,"")</f>
        <v/>
      </c>
      <c r="F119" s="60" t="str">
        <f>IF(Gulshan_Iqbal!B64&lt;&gt;"",HYPERLINK("tel:"&amp;SUBSTITUTE(SUBSTITUTE(Gulshan_Iqbal!C64,"+","+")," ",""),"📞"),"")</f>
        <v/>
      </c>
      <c r="G119" s="64" t="str">
        <f>IF(Gulshan_Iqbal!B64&lt;&gt;"",HYPERLINK("https://wa.me/"&amp;SUBSTITUTE(SUBSTITUTE(Gulshan_Iqbal!C64,"+","")," ",""),"💬"),"")</f>
        <v/>
      </c>
      <c r="H119" s="57" t="str">
        <f>IF(Gulshan_Iqbal!B64&lt;&gt;"",Gulshan_Iqbal!F64,"")</f>
        <v/>
      </c>
      <c r="I119" s="57" t="str">
        <f>IF(Gulshan_Iqbal!B64&lt;&gt;"",Gulshan_Iqbal!G64,"")</f>
        <v/>
      </c>
      <c r="J119" s="57" t="str">
        <f>IF(Gulshan_Iqbal!B64&lt;&gt;"",Gulshan_Iqbal!H64,"")</f>
        <v/>
      </c>
      <c r="K119" s="57" t="str">
        <f>IF(Gulshan_Iqbal!B64&lt;&gt;"",Gulshan_Iqbal!CH64,"")</f>
        <v/>
      </c>
      <c r="L119" s="57" t="str">
        <f>IF(Gulshan_Iqbal!B64&lt;&gt;"",Gulshan_Iqbal!CE64,"")</f>
        <v/>
      </c>
    </row>
    <row r="120" ht="16.5" customHeight="1">
      <c r="A120" s="57" t="str">
        <f>IF(Gulshan_Iqbal!B65&lt;&gt;"",SUMPRODUCT((LEN(D79:D119)&gt;0)*1)+1,"")</f>
        <v/>
      </c>
      <c r="B120" s="57" t="str">
        <f>IF(Gulshan_Iqbal!B65&lt;&gt;"","Gulshan Iqbal","")</f>
        <v/>
      </c>
      <c r="C120" s="57" t="str">
        <f>IF(Gulshan_Iqbal!B65&lt;&gt;"","Group 2","")</f>
        <v/>
      </c>
      <c r="D120" s="58" t="str">
        <f>IF(Gulshan_Iqbal!B65&lt;&gt;"",Gulshan_Iqbal!B65,"")</f>
        <v/>
      </c>
      <c r="E120" s="57" t="str">
        <f>IF(Gulshan_Iqbal!B65&lt;&gt;"",Gulshan_Iqbal!C65,"")</f>
        <v/>
      </c>
      <c r="F120" s="60" t="str">
        <f>IF(Gulshan_Iqbal!B65&lt;&gt;"",HYPERLINK("tel:"&amp;SUBSTITUTE(SUBSTITUTE(Gulshan_Iqbal!C65,"+","+")," ",""),"📞"),"")</f>
        <v/>
      </c>
      <c r="G120" s="64" t="str">
        <f>IF(Gulshan_Iqbal!B65&lt;&gt;"",HYPERLINK("https://wa.me/"&amp;SUBSTITUTE(SUBSTITUTE(Gulshan_Iqbal!C65,"+","")," ",""),"💬"),"")</f>
        <v/>
      </c>
      <c r="H120" s="57" t="str">
        <f>IF(Gulshan_Iqbal!B65&lt;&gt;"",Gulshan_Iqbal!F65,"")</f>
        <v/>
      </c>
      <c r="I120" s="57" t="str">
        <f>IF(Gulshan_Iqbal!B65&lt;&gt;"",Gulshan_Iqbal!G65,"")</f>
        <v/>
      </c>
      <c r="J120" s="57" t="str">
        <f>IF(Gulshan_Iqbal!B65&lt;&gt;"",Gulshan_Iqbal!H65,"")</f>
        <v/>
      </c>
      <c r="K120" s="57" t="str">
        <f>IF(Gulshan_Iqbal!B65&lt;&gt;"",Gulshan_Iqbal!CH65,"")</f>
        <v/>
      </c>
      <c r="L120" s="57" t="str">
        <f>IF(Gulshan_Iqbal!B65&lt;&gt;"",Gulshan_Iqbal!CE65,"")</f>
        <v/>
      </c>
    </row>
    <row r="121" ht="16.5" customHeight="1">
      <c r="A121" s="57" t="str">
        <f>IF(Gulshan_Iqbal!B66&lt;&gt;"",SUMPRODUCT((LEN(D79:D120)&gt;0)*1)+1,"")</f>
        <v/>
      </c>
      <c r="B121" s="57" t="str">
        <f>IF(Gulshan_Iqbal!B66&lt;&gt;"","Gulshan Iqbal","")</f>
        <v/>
      </c>
      <c r="C121" s="57" t="str">
        <f>IF(Gulshan_Iqbal!B66&lt;&gt;"","Group 2","")</f>
        <v/>
      </c>
      <c r="D121" s="58" t="str">
        <f>IF(Gulshan_Iqbal!B66&lt;&gt;"",Gulshan_Iqbal!B66,"")</f>
        <v/>
      </c>
      <c r="E121" s="57" t="str">
        <f>IF(Gulshan_Iqbal!B66&lt;&gt;"",Gulshan_Iqbal!C66,"")</f>
        <v/>
      </c>
      <c r="F121" s="60" t="str">
        <f>IF(Gulshan_Iqbal!B66&lt;&gt;"",HYPERLINK("tel:"&amp;SUBSTITUTE(SUBSTITUTE(Gulshan_Iqbal!C66,"+","+")," ",""),"📞"),"")</f>
        <v/>
      </c>
      <c r="G121" s="64" t="str">
        <f>IF(Gulshan_Iqbal!B66&lt;&gt;"",HYPERLINK("https://wa.me/"&amp;SUBSTITUTE(SUBSTITUTE(Gulshan_Iqbal!C66,"+","")," ",""),"💬"),"")</f>
        <v/>
      </c>
      <c r="H121" s="57" t="str">
        <f>IF(Gulshan_Iqbal!B66&lt;&gt;"",Gulshan_Iqbal!F66,"")</f>
        <v/>
      </c>
      <c r="I121" s="57" t="str">
        <f>IF(Gulshan_Iqbal!B66&lt;&gt;"",Gulshan_Iqbal!G66,"")</f>
        <v/>
      </c>
      <c r="J121" s="57" t="str">
        <f>IF(Gulshan_Iqbal!B66&lt;&gt;"",Gulshan_Iqbal!H66,"")</f>
        <v/>
      </c>
      <c r="K121" s="57" t="str">
        <f>IF(Gulshan_Iqbal!B66&lt;&gt;"",Gulshan_Iqbal!CH66,"")</f>
        <v/>
      </c>
      <c r="L121" s="57" t="str">
        <f>IF(Gulshan_Iqbal!B66&lt;&gt;"",Gulshan_Iqbal!CE66,"")</f>
        <v/>
      </c>
    </row>
    <row r="122" ht="16.5" customHeight="1">
      <c r="A122" s="57" t="str">
        <f>IF(Gulshan_Iqbal!B67&lt;&gt;"",SUMPRODUCT((LEN(D79:D121)&gt;0)*1)+1,"")</f>
        <v/>
      </c>
      <c r="B122" s="57" t="str">
        <f>IF(Gulshan_Iqbal!B67&lt;&gt;"","Gulshan Iqbal","")</f>
        <v/>
      </c>
      <c r="C122" s="57" t="str">
        <f>IF(Gulshan_Iqbal!B67&lt;&gt;"","Group 2","")</f>
        <v/>
      </c>
      <c r="D122" s="58" t="str">
        <f>IF(Gulshan_Iqbal!B67&lt;&gt;"",Gulshan_Iqbal!B67,"")</f>
        <v/>
      </c>
      <c r="E122" s="57" t="str">
        <f>IF(Gulshan_Iqbal!B67&lt;&gt;"",Gulshan_Iqbal!C67,"")</f>
        <v/>
      </c>
      <c r="F122" s="60" t="str">
        <f>IF(Gulshan_Iqbal!B67&lt;&gt;"",HYPERLINK("tel:"&amp;SUBSTITUTE(SUBSTITUTE(Gulshan_Iqbal!C67,"+","+")," ",""),"📞"),"")</f>
        <v/>
      </c>
      <c r="G122" s="64" t="str">
        <f>IF(Gulshan_Iqbal!B67&lt;&gt;"",HYPERLINK("https://wa.me/"&amp;SUBSTITUTE(SUBSTITUTE(Gulshan_Iqbal!C67,"+","")," ",""),"💬"),"")</f>
        <v/>
      </c>
      <c r="H122" s="57" t="str">
        <f>IF(Gulshan_Iqbal!B67&lt;&gt;"",Gulshan_Iqbal!F67,"")</f>
        <v/>
      </c>
      <c r="I122" s="57" t="str">
        <f>IF(Gulshan_Iqbal!B67&lt;&gt;"",Gulshan_Iqbal!G67,"")</f>
        <v/>
      </c>
      <c r="J122" s="57" t="str">
        <f>IF(Gulshan_Iqbal!B67&lt;&gt;"",Gulshan_Iqbal!H67,"")</f>
        <v/>
      </c>
      <c r="K122" s="57" t="str">
        <f>IF(Gulshan_Iqbal!B67&lt;&gt;"",Gulshan_Iqbal!CH67,"")</f>
        <v/>
      </c>
      <c r="L122" s="57" t="str">
        <f>IF(Gulshan_Iqbal!B67&lt;&gt;"",Gulshan_Iqbal!CE67,"")</f>
        <v/>
      </c>
    </row>
    <row r="123" ht="16.5" customHeight="1">
      <c r="A123" s="10">
        <v>93.0</v>
      </c>
      <c r="B123" s="10" t="s">
        <v>20</v>
      </c>
      <c r="C123" s="10" t="s">
        <v>219</v>
      </c>
      <c r="D123" s="12" t="str">
        <f>Gulshan_Iqbal!B71</f>
        <v>Zayan Waris</v>
      </c>
      <c r="E123" s="14" t="str">
        <f>Gulshan_Iqbal!C71</f>
        <v>'+923080113307</v>
      </c>
      <c r="F123" s="17" t="str">
        <f>IF(Gulshan_Iqbal!C71&lt;&gt;"",HYPERLINK("tel:"&amp;SUBSTITUTE(SUBSTITUTE(Gulshan_Iqbal!C71,"+","+")," ",""),"📞"),"")</f>
        <v>📞</v>
      </c>
      <c r="G123" s="19" t="str">
        <f>IF(Gulshan_Iqbal!C71&lt;&gt;"",HYPERLINK("https://wa.me/"&amp;SUBSTITUTE(SUBSTITUTE(Gulshan_Iqbal!C71,"+","")," ",""),"💬"),"")</f>
        <v>💬</v>
      </c>
      <c r="H123" s="10" t="str">
        <f>Gulshan_Iqbal!F71</f>
        <v/>
      </c>
      <c r="I123" s="10" t="str">
        <f>Gulshan_Iqbal!G71</f>
        <v>18.0</v>
      </c>
      <c r="J123" s="10" t="str">
        <f>Gulshan_Iqbal!H71</f>
        <v/>
      </c>
      <c r="K123" s="10" t="str">
        <f>Gulshan_Iqbal!CH71</f>
        <v>7%</v>
      </c>
      <c r="L123" s="10">
        <f>Gulshan_Iqbal!CE71</f>
        <v>1</v>
      </c>
    </row>
    <row r="124" ht="16.5" customHeight="1">
      <c r="A124" s="20">
        <v>94.0</v>
      </c>
      <c r="B124" s="20" t="s">
        <v>20</v>
      </c>
      <c r="C124" s="20" t="s">
        <v>219</v>
      </c>
      <c r="D124" s="22" t="str">
        <f>Gulshan_Iqbal!B72</f>
        <v>Muhammad Affan Faisal</v>
      </c>
      <c r="E124" s="23" t="str">
        <f>Gulshan_Iqbal!C72</f>
        <v>'+923165184937</v>
      </c>
      <c r="F124" s="24" t="str">
        <f>IF(Gulshan_Iqbal!C72&lt;&gt;"",HYPERLINK("tel:"&amp;SUBSTITUTE(SUBSTITUTE(Gulshan_Iqbal!C72,"+","+")," ",""),"📞"),"")</f>
        <v>📞</v>
      </c>
      <c r="G124" s="41" t="str">
        <f>IF(Gulshan_Iqbal!C72&lt;&gt;"",HYPERLINK("https://wa.me/"&amp;SUBSTITUTE(SUBSTITUTE(Gulshan_Iqbal!C72,"+","")," ",""),"💬"),"")</f>
        <v>💬</v>
      </c>
      <c r="H124" s="20" t="str">
        <f>Gulshan_Iqbal!F72</f>
        <v/>
      </c>
      <c r="I124" s="20" t="str">
        <f>Gulshan_Iqbal!G72</f>
        <v>18.0</v>
      </c>
      <c r="J124" s="20" t="str">
        <f>Gulshan_Iqbal!H72</f>
        <v/>
      </c>
      <c r="K124" s="20" t="str">
        <f>Gulshan_Iqbal!CH72</f>
        <v>10%</v>
      </c>
      <c r="L124" s="20">
        <f>Gulshan_Iqbal!CE72</f>
        <v>1</v>
      </c>
    </row>
    <row r="125" ht="16.5" customHeight="1">
      <c r="A125" s="10">
        <v>95.0</v>
      </c>
      <c r="B125" s="10" t="s">
        <v>20</v>
      </c>
      <c r="C125" s="10" t="s">
        <v>219</v>
      </c>
      <c r="D125" s="12" t="str">
        <f>Gulshan_Iqbal!B73</f>
        <v>MUHAMMAD ZAIN UL ABIDEEN</v>
      </c>
      <c r="E125" s="14" t="str">
        <f>Gulshan_Iqbal!C73</f>
        <v>'+923219443047</v>
      </c>
      <c r="F125" s="17" t="str">
        <f>IF(Gulshan_Iqbal!C73&lt;&gt;"",HYPERLINK("tel:"&amp;SUBSTITUTE(SUBSTITUTE(Gulshan_Iqbal!C73,"+","+")," ",""),"📞"),"")</f>
        <v>📞</v>
      </c>
      <c r="G125" s="19" t="str">
        <f>IF(Gulshan_Iqbal!C73&lt;&gt;"",HYPERLINK("https://wa.me/"&amp;SUBSTITUTE(SUBSTITUTE(Gulshan_Iqbal!C73,"+","")," ",""),"💬"),"")</f>
        <v>💬</v>
      </c>
      <c r="H125" s="10" t="str">
        <f>Gulshan_Iqbal!F73</f>
        <v/>
      </c>
      <c r="I125" s="10" t="str">
        <f>Gulshan_Iqbal!G73</f>
        <v>18.0</v>
      </c>
      <c r="J125" s="10" t="str">
        <f>Gulshan_Iqbal!H73</f>
        <v>Hafiz</v>
      </c>
      <c r="K125" s="10" t="str">
        <f>Gulshan_Iqbal!CH73</f>
        <v>15%</v>
      </c>
      <c r="L125" s="10">
        <f>Gulshan_Iqbal!CE73</f>
        <v>2</v>
      </c>
    </row>
    <row r="126" ht="16.5" customHeight="1">
      <c r="A126" s="20">
        <v>96.0</v>
      </c>
      <c r="B126" s="20" t="s">
        <v>20</v>
      </c>
      <c r="C126" s="20" t="s">
        <v>219</v>
      </c>
      <c r="D126" s="22" t="str">
        <f>Gulshan_Iqbal!B74</f>
        <v>M Subhani Bin Farhat</v>
      </c>
      <c r="E126" s="23" t="str">
        <f>Gulshan_Iqbal!C74</f>
        <v>'+923010059982</v>
      </c>
      <c r="F126" s="24" t="str">
        <f>IF(Gulshan_Iqbal!C74&lt;&gt;"",HYPERLINK("tel:"&amp;SUBSTITUTE(SUBSTITUTE(Gulshan_Iqbal!C74,"+","+")," ",""),"📞"),"")</f>
        <v>📞</v>
      </c>
      <c r="G126" s="41" t="str">
        <f>IF(Gulshan_Iqbal!C74&lt;&gt;"",HYPERLINK("https://wa.me/"&amp;SUBSTITUTE(SUBSTITUTE(Gulshan_Iqbal!C74,"+","")," ",""),"💬"),"")</f>
        <v>💬</v>
      </c>
      <c r="H126" s="20" t="str">
        <f>Gulshan_Iqbal!F74</f>
        <v/>
      </c>
      <c r="I126" s="20" t="str">
        <f>Gulshan_Iqbal!G74</f>
        <v>18.0</v>
      </c>
      <c r="J126" s="20" t="str">
        <f>Gulshan_Iqbal!H74</f>
        <v>12th</v>
      </c>
      <c r="K126" s="20" t="str">
        <f>Gulshan_Iqbal!CH74</f>
        <v>0%</v>
      </c>
      <c r="L126" s="20">
        <f>Gulshan_Iqbal!CE74</f>
        <v>0</v>
      </c>
    </row>
    <row r="127" ht="16.5" customHeight="1">
      <c r="A127" s="10">
        <v>97.0</v>
      </c>
      <c r="B127" s="10" t="s">
        <v>20</v>
      </c>
      <c r="C127" s="10" t="s">
        <v>219</v>
      </c>
      <c r="D127" s="12" t="str">
        <f>Gulshan_Iqbal!B75</f>
        <v>M Umar Adnan</v>
      </c>
      <c r="E127" s="14" t="str">
        <f>Gulshan_Iqbal!C75</f>
        <v>'+923377444226</v>
      </c>
      <c r="F127" s="17" t="str">
        <f>IF(Gulshan_Iqbal!C75&lt;&gt;"",HYPERLINK("tel:"&amp;SUBSTITUTE(SUBSTITUTE(Gulshan_Iqbal!C75,"+","+")," ",""),"📞"),"")</f>
        <v>📞</v>
      </c>
      <c r="G127" s="19" t="str">
        <f>IF(Gulshan_Iqbal!C75&lt;&gt;"",HYPERLINK("https://wa.me/"&amp;SUBSTITUTE(SUBSTITUTE(Gulshan_Iqbal!C75,"+","")," ",""),"💬"),"")</f>
        <v>💬</v>
      </c>
      <c r="H127" s="10" t="str">
        <f>Gulshan_Iqbal!F75</f>
        <v/>
      </c>
      <c r="I127" s="10" t="str">
        <f>Gulshan_Iqbal!G75</f>
        <v>18.0</v>
      </c>
      <c r="J127" s="10" t="str">
        <f>Gulshan_Iqbal!H75</f>
        <v>11th</v>
      </c>
      <c r="K127" s="10" t="str">
        <f>Gulshan_Iqbal!CH75</f>
        <v>18%</v>
      </c>
      <c r="L127" s="10">
        <f>Gulshan_Iqbal!CE75</f>
        <v>2</v>
      </c>
    </row>
    <row r="128" ht="16.5" customHeight="1">
      <c r="A128" s="20">
        <v>98.0</v>
      </c>
      <c r="B128" s="20" t="s">
        <v>20</v>
      </c>
      <c r="C128" s="20" t="s">
        <v>219</v>
      </c>
      <c r="D128" s="22" t="str">
        <f>Gulshan_Iqbal!B76</f>
        <v>Abdurrafay</v>
      </c>
      <c r="E128" s="23" t="str">
        <f>Gulshan_Iqbal!C76</f>
        <v>'+923184568965</v>
      </c>
      <c r="F128" s="24" t="str">
        <f>IF(Gulshan_Iqbal!C76&lt;&gt;"",HYPERLINK("tel:"&amp;SUBSTITUTE(SUBSTITUTE(Gulshan_Iqbal!C76,"+","+")," ",""),"📞"),"")</f>
        <v>📞</v>
      </c>
      <c r="G128" s="41" t="str">
        <f>IF(Gulshan_Iqbal!C76&lt;&gt;"",HYPERLINK("https://wa.me/"&amp;SUBSTITUTE(SUBSTITUTE(Gulshan_Iqbal!C76,"+","")," ",""),"💬"),"")</f>
        <v>💬</v>
      </c>
      <c r="H128" s="20" t="str">
        <f>Gulshan_Iqbal!F76</f>
        <v/>
      </c>
      <c r="I128" s="20" t="str">
        <f>Gulshan_Iqbal!G76</f>
        <v>18.0</v>
      </c>
      <c r="J128" s="20" t="str">
        <f>Gulshan_Iqbal!H76</f>
        <v>11th</v>
      </c>
      <c r="K128" s="20" t="str">
        <f>Gulshan_Iqbal!CH76</f>
        <v>18%</v>
      </c>
      <c r="L128" s="20">
        <f>Gulshan_Iqbal!CE76</f>
        <v>2</v>
      </c>
    </row>
    <row r="129" ht="16.5" customHeight="1">
      <c r="A129" s="10">
        <v>99.0</v>
      </c>
      <c r="B129" s="10" t="s">
        <v>20</v>
      </c>
      <c r="C129" s="10" t="s">
        <v>219</v>
      </c>
      <c r="D129" s="12" t="str">
        <f>Gulshan_Iqbal!B77</f>
        <v>Ali Shehzad</v>
      </c>
      <c r="E129" s="14" t="str">
        <f>Gulshan_Iqbal!C77</f>
        <v>'+923294650213</v>
      </c>
      <c r="F129" s="17" t="str">
        <f>IF(Gulshan_Iqbal!C77&lt;&gt;"",HYPERLINK("tel:"&amp;SUBSTITUTE(SUBSTITUTE(Gulshan_Iqbal!C77,"+","+")," ",""),"📞"),"")</f>
        <v>📞</v>
      </c>
      <c r="G129" s="19" t="str">
        <f>IF(Gulshan_Iqbal!C77&lt;&gt;"",HYPERLINK("https://wa.me/"&amp;SUBSTITUTE(SUBSTITUTE(Gulshan_Iqbal!C77,"+","")," ",""),"💬"),"")</f>
        <v>💬</v>
      </c>
      <c r="H129" s="10" t="str">
        <f>Gulshan_Iqbal!F77</f>
        <v/>
      </c>
      <c r="I129" s="10" t="str">
        <f>Gulshan_Iqbal!G77</f>
        <v>18.0</v>
      </c>
      <c r="J129" s="10" t="str">
        <f>Gulshan_Iqbal!H77</f>
        <v>12th</v>
      </c>
      <c r="K129" s="10" t="str">
        <f>Gulshan_Iqbal!CH77</f>
        <v>100%</v>
      </c>
      <c r="L129" s="10">
        <f>Gulshan_Iqbal!CE77</f>
        <v>18</v>
      </c>
    </row>
    <row r="130" ht="16.5" customHeight="1">
      <c r="A130" s="20">
        <v>100.0</v>
      </c>
      <c r="B130" s="20" t="s">
        <v>20</v>
      </c>
      <c r="C130" s="20" t="s">
        <v>219</v>
      </c>
      <c r="D130" s="22" t="str">
        <f>Gulshan_Iqbal!B78</f>
        <v>Ibrahim Javed</v>
      </c>
      <c r="E130" s="23" t="str">
        <f>Gulshan_Iqbal!C78</f>
        <v>'+923068958894</v>
      </c>
      <c r="F130" s="24" t="str">
        <f>IF(Gulshan_Iqbal!C78&lt;&gt;"",HYPERLINK("tel:"&amp;SUBSTITUTE(SUBSTITUTE(Gulshan_Iqbal!C78,"+","+")," ",""),"📞"),"")</f>
        <v>📞</v>
      </c>
      <c r="G130" s="41" t="str">
        <f>IF(Gulshan_Iqbal!C78&lt;&gt;"",HYPERLINK("https://wa.me/"&amp;SUBSTITUTE(SUBSTITUTE(Gulshan_Iqbal!C78,"+","")," ",""),"💬"),"")</f>
        <v>💬</v>
      </c>
      <c r="H130" s="20" t="str">
        <f>Gulshan_Iqbal!F78</f>
        <v/>
      </c>
      <c r="I130" s="20" t="str">
        <f>Gulshan_Iqbal!G78</f>
        <v>19.0</v>
      </c>
      <c r="J130" s="20" t="str">
        <f>Gulshan_Iqbal!H78</f>
        <v/>
      </c>
      <c r="K130" s="20" t="str">
        <f>Gulshan_Iqbal!CH78</f>
        <v>0%</v>
      </c>
      <c r="L130" s="20">
        <f>Gulshan_Iqbal!CE78</f>
        <v>0</v>
      </c>
    </row>
    <row r="131" ht="16.5" customHeight="1">
      <c r="A131" s="10">
        <v>101.0</v>
      </c>
      <c r="B131" s="10" t="s">
        <v>20</v>
      </c>
      <c r="C131" s="10" t="s">
        <v>219</v>
      </c>
      <c r="D131" s="12" t="str">
        <f>Gulshan_Iqbal!B79</f>
        <v>HAFIZ MUHAMMAD BIN SAJJAD</v>
      </c>
      <c r="E131" s="14" t="str">
        <f>Gulshan_Iqbal!C79</f>
        <v>'+923260341442</v>
      </c>
      <c r="F131" s="17" t="str">
        <f>IF(Gulshan_Iqbal!C79&lt;&gt;"",HYPERLINK("tel:"&amp;SUBSTITUTE(SUBSTITUTE(Gulshan_Iqbal!C79,"+","+")," ",""),"📞"),"")</f>
        <v>📞</v>
      </c>
      <c r="G131" s="19" t="str">
        <f>IF(Gulshan_Iqbal!C79&lt;&gt;"",HYPERLINK("https://wa.me/"&amp;SUBSTITUTE(SUBSTITUTE(Gulshan_Iqbal!C79,"+","")," ",""),"💬"),"")</f>
        <v>💬</v>
      </c>
      <c r="H131" s="10" t="str">
        <f>Gulshan_Iqbal!F79</f>
        <v/>
      </c>
      <c r="I131" s="10" t="str">
        <f>Gulshan_Iqbal!G79</f>
        <v>19.0</v>
      </c>
      <c r="J131" s="10" t="str">
        <f>Gulshan_Iqbal!H79</f>
        <v>Hafiz</v>
      </c>
      <c r="K131" s="10" t="str">
        <f>Gulshan_Iqbal!CH79</f>
        <v>0%</v>
      </c>
      <c r="L131" s="10">
        <f>Gulshan_Iqbal!CE79</f>
        <v>0</v>
      </c>
    </row>
    <row r="132" ht="16.5" customHeight="1">
      <c r="A132" s="20">
        <v>102.0</v>
      </c>
      <c r="B132" s="20" t="s">
        <v>20</v>
      </c>
      <c r="C132" s="20" t="s">
        <v>219</v>
      </c>
      <c r="D132" s="22" t="str">
        <f>Gulshan_Iqbal!B80</f>
        <v>MUHAMMAD AHMAD</v>
      </c>
      <c r="E132" s="23" t="str">
        <f>Gulshan_Iqbal!C80</f>
        <v>'+923224991088</v>
      </c>
      <c r="F132" s="24" t="str">
        <f>IF(Gulshan_Iqbal!C80&lt;&gt;"",HYPERLINK("tel:"&amp;SUBSTITUTE(SUBSTITUTE(Gulshan_Iqbal!C80,"+","+")," ",""),"📞"),"")</f>
        <v>📞</v>
      </c>
      <c r="G132" s="41" t="str">
        <f>IF(Gulshan_Iqbal!C80&lt;&gt;"",HYPERLINK("https://wa.me/"&amp;SUBSTITUTE(SUBSTITUTE(Gulshan_Iqbal!C80,"+","")," ",""),"💬"),"")</f>
        <v>💬</v>
      </c>
      <c r="H132" s="20" t="str">
        <f>Gulshan_Iqbal!F80</f>
        <v/>
      </c>
      <c r="I132" s="20" t="str">
        <f>Gulshan_Iqbal!G80</f>
        <v>19.0</v>
      </c>
      <c r="J132" s="20" t="str">
        <f>Gulshan_Iqbal!H80</f>
        <v>11th</v>
      </c>
      <c r="K132" s="20" t="str">
        <f>Gulshan_Iqbal!CH80</f>
        <v>54%</v>
      </c>
      <c r="L132" s="20">
        <f>Gulshan_Iqbal!CE80</f>
        <v>7</v>
      </c>
    </row>
    <row r="133" ht="16.5" customHeight="1">
      <c r="A133" s="10">
        <v>103.0</v>
      </c>
      <c r="B133" s="10" t="s">
        <v>20</v>
      </c>
      <c r="C133" s="10" t="s">
        <v>219</v>
      </c>
      <c r="D133" s="12" t="str">
        <f>Gulshan_Iqbal!B81</f>
        <v>Ismail Aslam</v>
      </c>
      <c r="E133" s="14" t="str">
        <f>Gulshan_Iqbal!C81</f>
        <v>'+923097421288</v>
      </c>
      <c r="F133" s="17" t="str">
        <f>IF(Gulshan_Iqbal!C81&lt;&gt;"",HYPERLINK("tel:"&amp;SUBSTITUTE(SUBSTITUTE(Gulshan_Iqbal!C81,"+","+")," ",""),"📞"),"")</f>
        <v>📞</v>
      </c>
      <c r="G133" s="19" t="str">
        <f>IF(Gulshan_Iqbal!C81&lt;&gt;"",HYPERLINK("https://wa.me/"&amp;SUBSTITUTE(SUBSTITUTE(Gulshan_Iqbal!C81,"+","")," ",""),"💬"),"")</f>
        <v>💬</v>
      </c>
      <c r="H133" s="10" t="str">
        <f>Gulshan_Iqbal!F81</f>
        <v/>
      </c>
      <c r="I133" s="10" t="str">
        <f>Gulshan_Iqbal!G81</f>
        <v>19.0</v>
      </c>
      <c r="J133" s="10" t="str">
        <f>Gulshan_Iqbal!H81</f>
        <v>11th</v>
      </c>
      <c r="K133" s="10" t="str">
        <f>Gulshan_Iqbal!CH81</f>
        <v>50%</v>
      </c>
      <c r="L133" s="10">
        <f>Gulshan_Iqbal!CE81</f>
        <v>7</v>
      </c>
    </row>
    <row r="134" ht="16.5" customHeight="1">
      <c r="A134" s="20">
        <v>104.0</v>
      </c>
      <c r="B134" s="20" t="s">
        <v>20</v>
      </c>
      <c r="C134" s="20" t="s">
        <v>219</v>
      </c>
      <c r="D134" s="22" t="str">
        <f>Gulshan_Iqbal!B82</f>
        <v>Haris Ahmad</v>
      </c>
      <c r="E134" s="23" t="str">
        <f>Gulshan_Iqbal!C82</f>
        <v>'+923314919272</v>
      </c>
      <c r="F134" s="24" t="str">
        <f>IF(Gulshan_Iqbal!C82&lt;&gt;"",HYPERLINK("tel:"&amp;SUBSTITUTE(SUBSTITUTE(Gulshan_Iqbal!C82,"+","+")," ",""),"📞"),"")</f>
        <v>📞</v>
      </c>
      <c r="G134" s="41" t="str">
        <f>IF(Gulshan_Iqbal!C82&lt;&gt;"",HYPERLINK("https://wa.me/"&amp;SUBSTITUTE(SUBSTITUTE(Gulshan_Iqbal!C82,"+","")," ",""),"💬"),"")</f>
        <v>💬</v>
      </c>
      <c r="H134" s="20" t="str">
        <f>Gulshan_Iqbal!F82</f>
        <v/>
      </c>
      <c r="I134" s="20" t="str">
        <f>Gulshan_Iqbal!G82</f>
        <v>20.0</v>
      </c>
      <c r="J134" s="20" t="str">
        <f>Gulshan_Iqbal!H82</f>
        <v/>
      </c>
      <c r="K134" s="20" t="str">
        <f>Gulshan_Iqbal!CH82</f>
        <v>0%</v>
      </c>
      <c r="L134" s="20">
        <f>Gulshan_Iqbal!CE82</f>
        <v>0</v>
      </c>
    </row>
    <row r="135" ht="16.5" customHeight="1">
      <c r="A135" s="10">
        <v>105.0</v>
      </c>
      <c r="B135" s="10" t="s">
        <v>20</v>
      </c>
      <c r="C135" s="10" t="s">
        <v>219</v>
      </c>
      <c r="D135" s="12" t="str">
        <f>Gulshan_Iqbal!B83</f>
        <v>Muhammad Azeem Badar</v>
      </c>
      <c r="E135" s="14" t="str">
        <f>Gulshan_Iqbal!C83</f>
        <v>'+923156276757</v>
      </c>
      <c r="F135" s="17" t="str">
        <f>IF(Gulshan_Iqbal!C83&lt;&gt;"",HYPERLINK("tel:"&amp;SUBSTITUTE(SUBSTITUTE(Gulshan_Iqbal!C83,"+","+")," ",""),"📞"),"")</f>
        <v>📞</v>
      </c>
      <c r="G135" s="19" t="str">
        <f>IF(Gulshan_Iqbal!C83&lt;&gt;"",HYPERLINK("https://wa.me/"&amp;SUBSTITUTE(SUBSTITUTE(Gulshan_Iqbal!C83,"+","")," ",""),"💬"),"")</f>
        <v>💬</v>
      </c>
      <c r="H135" s="10" t="str">
        <f>Gulshan_Iqbal!F83</f>
        <v/>
      </c>
      <c r="I135" s="10" t="str">
        <f>Gulshan_Iqbal!G83</f>
        <v>20.0</v>
      </c>
      <c r="J135" s="10" t="str">
        <f>Gulshan_Iqbal!H83</f>
        <v/>
      </c>
      <c r="K135" s="10" t="str">
        <f>Gulshan_Iqbal!CH83</f>
        <v>0%</v>
      </c>
      <c r="L135" s="10">
        <f>Gulshan_Iqbal!CE83</f>
        <v>0</v>
      </c>
    </row>
    <row r="136" ht="16.5" customHeight="1">
      <c r="A136" s="20">
        <v>106.0</v>
      </c>
      <c r="B136" s="20" t="s">
        <v>20</v>
      </c>
      <c r="C136" s="20" t="s">
        <v>219</v>
      </c>
      <c r="D136" s="22" t="str">
        <f>Gulshan_Iqbal!B84</f>
        <v>Abdullah Mehboob</v>
      </c>
      <c r="E136" s="23" t="str">
        <f>Gulshan_Iqbal!C84</f>
        <v>'+923260524089</v>
      </c>
      <c r="F136" s="24" t="str">
        <f>IF(Gulshan_Iqbal!C84&lt;&gt;"",HYPERLINK("tel:"&amp;SUBSTITUTE(SUBSTITUTE(Gulshan_Iqbal!C84,"+","+")," ",""),"📞"),"")</f>
        <v>📞</v>
      </c>
      <c r="G136" s="41" t="str">
        <f>IF(Gulshan_Iqbal!C84&lt;&gt;"",HYPERLINK("https://wa.me/"&amp;SUBSTITUTE(SUBSTITUTE(Gulshan_Iqbal!C84,"+","")," ",""),"💬"),"")</f>
        <v>💬</v>
      </c>
      <c r="H136" s="20" t="str">
        <f>Gulshan_Iqbal!F84</f>
        <v/>
      </c>
      <c r="I136" s="20" t="str">
        <f>Gulshan_Iqbal!G84</f>
        <v>21.0</v>
      </c>
      <c r="J136" s="20" t="str">
        <f>Gulshan_Iqbal!H84</f>
        <v>12th</v>
      </c>
      <c r="K136" s="20" t="str">
        <f>Gulshan_Iqbal!CH84</f>
        <v>50%</v>
      </c>
      <c r="L136" s="20">
        <f>Gulshan_Iqbal!CE84</f>
        <v>9</v>
      </c>
    </row>
    <row r="137" ht="16.5" customHeight="1">
      <c r="A137" s="10">
        <v>107.0</v>
      </c>
      <c r="B137" s="10" t="s">
        <v>20</v>
      </c>
      <c r="C137" s="10" t="s">
        <v>219</v>
      </c>
      <c r="D137" s="12" t="str">
        <f>Gulshan_Iqbal!B85</f>
        <v>Aliyan</v>
      </c>
      <c r="E137" s="14" t="str">
        <f>Gulshan_Iqbal!C85</f>
        <v>'+923004968577</v>
      </c>
      <c r="F137" s="17" t="str">
        <f>IF(Gulshan_Iqbal!C85&lt;&gt;"",HYPERLINK("tel:"&amp;SUBSTITUTE(SUBSTITUTE(Gulshan_Iqbal!C85,"+","+")," ",""),"📞"),"")</f>
        <v>📞</v>
      </c>
      <c r="G137" s="19" t="str">
        <f>IF(Gulshan_Iqbal!C85&lt;&gt;"",HYPERLINK("https://wa.me/"&amp;SUBSTITUTE(SUBSTITUTE(Gulshan_Iqbal!C85,"+","")," ",""),"💬"),"")</f>
        <v>💬</v>
      </c>
      <c r="H137" s="10" t="str">
        <f>Gulshan_Iqbal!F85</f>
        <v/>
      </c>
      <c r="I137" s="10" t="str">
        <f>Gulshan_Iqbal!G85</f>
        <v/>
      </c>
      <c r="J137" s="10" t="str">
        <f>Gulshan_Iqbal!H85</f>
        <v/>
      </c>
      <c r="K137" s="10" t="str">
        <f>Gulshan_Iqbal!CH85</f>
        <v>6%</v>
      </c>
      <c r="L137" s="10">
        <f>Gulshan_Iqbal!CE85</f>
        <v>1</v>
      </c>
    </row>
    <row r="138" ht="16.5" customHeight="1">
      <c r="A138" s="20">
        <v>108.0</v>
      </c>
      <c r="B138" s="20" t="s">
        <v>20</v>
      </c>
      <c r="C138" s="20" t="s">
        <v>219</v>
      </c>
      <c r="D138" s="22" t="str">
        <f>Gulshan_Iqbal!B86</f>
        <v>Mahad Awais</v>
      </c>
      <c r="E138" s="23" t="str">
        <f>Gulshan_Iqbal!C86</f>
        <v>'+923224555439</v>
      </c>
      <c r="F138" s="24" t="str">
        <f>IF(Gulshan_Iqbal!C86&lt;&gt;"",HYPERLINK("tel:"&amp;SUBSTITUTE(SUBSTITUTE(Gulshan_Iqbal!C86,"+","+")," ",""),"📞"),"")</f>
        <v>📞</v>
      </c>
      <c r="G138" s="41" t="str">
        <f>IF(Gulshan_Iqbal!C86&lt;&gt;"",HYPERLINK("https://wa.me/"&amp;SUBSTITUTE(SUBSTITUTE(Gulshan_Iqbal!C86,"+","")," ",""),"💬"),"")</f>
        <v>💬</v>
      </c>
      <c r="H138" s="20" t="str">
        <f>Gulshan_Iqbal!F86</f>
        <v/>
      </c>
      <c r="I138" s="20" t="str">
        <f>Gulshan_Iqbal!G86</f>
        <v>13.0</v>
      </c>
      <c r="J138" s="20" t="str">
        <f>Gulshan_Iqbal!H86</f>
        <v/>
      </c>
      <c r="K138" s="20" t="str">
        <f>Gulshan_Iqbal!CH86</f>
        <v>0%</v>
      </c>
      <c r="L138" s="20">
        <f>Gulshan_Iqbal!CE86</f>
        <v>0</v>
      </c>
    </row>
    <row r="139" ht="16.5" customHeight="1">
      <c r="A139" s="10">
        <v>109.0</v>
      </c>
      <c r="B139" s="10" t="s">
        <v>20</v>
      </c>
      <c r="C139" s="10" t="s">
        <v>219</v>
      </c>
      <c r="D139" s="12" t="str">
        <f>Gulshan_Iqbal!B87</f>
        <v>Aliyan Malik</v>
      </c>
      <c r="E139" s="14" t="str">
        <f>Gulshan_Iqbal!C87</f>
        <v>'+923034197676</v>
      </c>
      <c r="F139" s="17" t="str">
        <f>IF(Gulshan_Iqbal!C87&lt;&gt;"",HYPERLINK("tel:"&amp;SUBSTITUTE(SUBSTITUTE(Gulshan_Iqbal!C87,"+","+")," ",""),"📞"),"")</f>
        <v>📞</v>
      </c>
      <c r="G139" s="19" t="str">
        <f>IF(Gulshan_Iqbal!C87&lt;&gt;"",HYPERLINK("https://wa.me/"&amp;SUBSTITUTE(SUBSTITUTE(Gulshan_Iqbal!C87,"+","")," ",""),"💬"),"")</f>
        <v>💬</v>
      </c>
      <c r="H139" s="10" t="str">
        <f>Gulshan_Iqbal!F87</f>
        <v/>
      </c>
      <c r="I139" s="10" t="str">
        <f>Gulshan_Iqbal!G87</f>
        <v>15.0</v>
      </c>
      <c r="J139" s="10" t="str">
        <f>Gulshan_Iqbal!H87</f>
        <v/>
      </c>
      <c r="K139" s="10" t="str">
        <f>Gulshan_Iqbal!CH87</f>
        <v>0%</v>
      </c>
      <c r="L139" s="10">
        <f>Gulshan_Iqbal!CE87</f>
        <v>0</v>
      </c>
    </row>
    <row r="140" ht="16.5" customHeight="1">
      <c r="A140" s="20">
        <v>110.0</v>
      </c>
      <c r="B140" s="20" t="s">
        <v>20</v>
      </c>
      <c r="C140" s="20" t="s">
        <v>219</v>
      </c>
      <c r="D140" s="22" t="str">
        <f>Gulshan_Iqbal!B88</f>
        <v>Muhammad Ramzan</v>
      </c>
      <c r="E140" s="23" t="str">
        <f>Gulshan_Iqbal!C88</f>
        <v>'+923024296300</v>
      </c>
      <c r="F140" s="24" t="str">
        <f>IF(Gulshan_Iqbal!C88&lt;&gt;"",HYPERLINK("tel:"&amp;SUBSTITUTE(SUBSTITUTE(Gulshan_Iqbal!C88,"+","+")," ",""),"📞"),"")</f>
        <v>📞</v>
      </c>
      <c r="G140" s="41" t="str">
        <f>IF(Gulshan_Iqbal!C88&lt;&gt;"",HYPERLINK("https://wa.me/"&amp;SUBSTITUTE(SUBSTITUTE(Gulshan_Iqbal!C88,"+","")," ",""),"💬"),"")</f>
        <v>💬</v>
      </c>
      <c r="H140" s="20" t="str">
        <f>Gulshan_Iqbal!F88</f>
        <v/>
      </c>
      <c r="I140" s="20" t="str">
        <f>Gulshan_Iqbal!G88</f>
        <v/>
      </c>
      <c r="J140" s="20" t="str">
        <f>Gulshan_Iqbal!H88</f>
        <v/>
      </c>
      <c r="K140" s="20" t="str">
        <f>Gulshan_Iqbal!CH88</f>
        <v>82%</v>
      </c>
      <c r="L140" s="20">
        <f>Gulshan_Iqbal!CE88</f>
        <v>9</v>
      </c>
    </row>
    <row r="141" ht="16.5" customHeight="1">
      <c r="A141" s="10">
        <v>111.0</v>
      </c>
      <c r="B141" s="10" t="s">
        <v>20</v>
      </c>
      <c r="C141" s="10" t="s">
        <v>219</v>
      </c>
      <c r="D141" s="12" t="str">
        <f>Gulshan_Iqbal!B89</f>
        <v>Abdul Rahman</v>
      </c>
      <c r="E141" s="14" t="str">
        <f>Gulshan_Iqbal!C89</f>
        <v/>
      </c>
      <c r="F141" s="17" t="str">
        <f>IF(Gulshan_Iqbal!C89&lt;&gt;"",HYPERLINK("tel:"&amp;SUBSTITUTE(SUBSTITUTE(Gulshan_Iqbal!C89,"+","+")," ",""),"📞"),"")</f>
        <v/>
      </c>
      <c r="G141" s="28" t="str">
        <f>IF(Gulshan_Iqbal!C89&lt;&gt;"",HYPERLINK("https://wa.me/"&amp;SUBSTITUTE(SUBSTITUTE(Gulshan_Iqbal!C89,"+","")," ",""),"💬"),"")</f>
        <v/>
      </c>
      <c r="H141" s="10" t="str">
        <f>Gulshan_Iqbal!F89</f>
        <v/>
      </c>
      <c r="I141" s="10" t="str">
        <f>Gulshan_Iqbal!G89</f>
        <v/>
      </c>
      <c r="J141" s="10" t="str">
        <f>Gulshan_Iqbal!H89</f>
        <v/>
      </c>
      <c r="K141" s="10" t="str">
        <f>Gulshan_Iqbal!CH89</f>
        <v>77%</v>
      </c>
      <c r="L141" s="10">
        <f>Gulshan_Iqbal!CE89</f>
        <v>10</v>
      </c>
    </row>
    <row r="142" ht="16.5" customHeight="1">
      <c r="A142" s="20">
        <v>112.0</v>
      </c>
      <c r="B142" s="20" t="s">
        <v>20</v>
      </c>
      <c r="C142" s="20" t="s">
        <v>219</v>
      </c>
      <c r="D142" s="22" t="str">
        <f>Gulshan_Iqbal!B90</f>
        <v>Sarim</v>
      </c>
      <c r="E142" s="23" t="str">
        <f>Gulshan_Iqbal!C90</f>
        <v/>
      </c>
      <c r="F142" s="24" t="str">
        <f>IF(Gulshan_Iqbal!C90&lt;&gt;"",HYPERLINK("tel:"&amp;SUBSTITUTE(SUBSTITUTE(Gulshan_Iqbal!C90,"+","+")," ",""),"📞"),"")</f>
        <v/>
      </c>
      <c r="G142" s="26" t="str">
        <f>IF(Gulshan_Iqbal!C90&lt;&gt;"",HYPERLINK("https://wa.me/"&amp;SUBSTITUTE(SUBSTITUTE(Gulshan_Iqbal!C90,"+","")," ",""),"💬"),"")</f>
        <v/>
      </c>
      <c r="H142" s="20" t="str">
        <f>Gulshan_Iqbal!F90</f>
        <v/>
      </c>
      <c r="I142" s="20" t="str">
        <f>Gulshan_Iqbal!G90</f>
        <v/>
      </c>
      <c r="J142" s="20" t="str">
        <f>Gulshan_Iqbal!H90</f>
        <v/>
      </c>
      <c r="K142" s="20" t="str">
        <f>Gulshan_Iqbal!CH90</f>
        <v>73%</v>
      </c>
      <c r="L142" s="20">
        <f>Gulshan_Iqbal!CE90</f>
        <v>8</v>
      </c>
    </row>
    <row r="143" ht="16.5" customHeight="1">
      <c r="A143" s="10">
        <v>113.0</v>
      </c>
      <c r="B143" s="10" t="s">
        <v>20</v>
      </c>
      <c r="C143" s="10" t="s">
        <v>219</v>
      </c>
      <c r="D143" s="12" t="str">
        <f>Gulshan_Iqbal!B91</f>
        <v>Muhammad Shayan Faisal</v>
      </c>
      <c r="E143" s="14" t="str">
        <f>Gulshan_Iqbal!C91</f>
        <v/>
      </c>
      <c r="F143" s="17" t="str">
        <f>IF(Gulshan_Iqbal!C91&lt;&gt;"",HYPERLINK("tel:"&amp;SUBSTITUTE(SUBSTITUTE(Gulshan_Iqbal!C91,"+","+")," ",""),"📞"),"")</f>
        <v/>
      </c>
      <c r="G143" s="28" t="str">
        <f>IF(Gulshan_Iqbal!C91&lt;&gt;"",HYPERLINK("https://wa.me/"&amp;SUBSTITUTE(SUBSTITUTE(Gulshan_Iqbal!C91,"+","")," ",""),"💬"),"")</f>
        <v/>
      </c>
      <c r="H143" s="10" t="str">
        <f>Gulshan_Iqbal!F91</f>
        <v/>
      </c>
      <c r="I143" s="10" t="str">
        <f>Gulshan_Iqbal!G91</f>
        <v/>
      </c>
      <c r="J143" s="10" t="str">
        <f>Gulshan_Iqbal!H91</f>
        <v/>
      </c>
      <c r="K143" s="10" t="str">
        <f>Gulshan_Iqbal!CH91</f>
        <v>17%</v>
      </c>
      <c r="L143" s="10">
        <f>Gulshan_Iqbal!CE91</f>
        <v>2</v>
      </c>
    </row>
    <row r="144" ht="16.5" customHeight="1">
      <c r="A144" s="57">
        <f>IF(Gulshan_Iqbal!B92&lt;&gt;"",SUMPRODUCT((LEN(D79:D143)&gt;0)*1)+1,"")</f>
        <v>57</v>
      </c>
      <c r="B144" s="57" t="str">
        <f>IF(Gulshan_Iqbal!B92&lt;&gt;"","Gulshan Iqbal","")</f>
        <v>Gulshan Iqbal</v>
      </c>
      <c r="C144" s="57" t="str">
        <f>IF(Gulshan_Iqbal!B92&lt;&gt;"","Group 3","")</f>
        <v>Group 3</v>
      </c>
      <c r="D144" s="58" t="str">
        <f>IF(Gulshan_Iqbal!B92&lt;&gt;"",Gulshan_Iqbal!B92,"")</f>
        <v>Wahab Ahmad</v>
      </c>
      <c r="E144" s="57" t="str">
        <f>IF(Gulshan_Iqbal!B92&lt;&gt;"",Gulshan_Iqbal!C92,"")</f>
        <v/>
      </c>
      <c r="F144" s="60" t="str">
        <f>IF(Gulshan_Iqbal!B92&lt;&gt;"",HYPERLINK("tel:"&amp;SUBSTITUTE(SUBSTITUTE(Gulshan_Iqbal!C92,"+","+")," ",""),"📞"),"")</f>
        <v>📞</v>
      </c>
      <c r="G144" s="61" t="str">
        <f>IF(Gulshan_Iqbal!B92&lt;&gt;"",HYPERLINK("https://wa.me/"&amp;SUBSTITUTE(SUBSTITUTE(Gulshan_Iqbal!C92,"+","")," ",""),"💬"),"")</f>
        <v>💬</v>
      </c>
      <c r="H144" s="57" t="str">
        <f>IF(Gulshan_Iqbal!B92&lt;&gt;"",Gulshan_Iqbal!F92,"")</f>
        <v/>
      </c>
      <c r="I144" s="57" t="str">
        <f>IF(Gulshan_Iqbal!B92&lt;&gt;"",Gulshan_Iqbal!G92,"")</f>
        <v/>
      </c>
      <c r="J144" s="57" t="str">
        <f>IF(Gulshan_Iqbal!B92&lt;&gt;"",Gulshan_Iqbal!H92,"")</f>
        <v/>
      </c>
      <c r="K144" s="57" t="str">
        <f>IF(Gulshan_Iqbal!B92&lt;&gt;"",Gulshan_Iqbal!CH92,"")</f>
        <v>50%</v>
      </c>
      <c r="L144" s="57">
        <f>IF(Gulshan_Iqbal!B92&lt;&gt;"",Gulshan_Iqbal!CE92,"")</f>
        <v>4</v>
      </c>
    </row>
    <row r="145" ht="16.5" customHeight="1">
      <c r="A145" s="57">
        <f>IF(Gulshan_Iqbal!B93&lt;&gt;"",SUMPRODUCT((LEN(D79:D144)&gt;0)*1)+1,"")</f>
        <v>58</v>
      </c>
      <c r="B145" s="57" t="str">
        <f>IF(Gulshan_Iqbal!B93&lt;&gt;"","Gulshan Iqbal","")</f>
        <v>Gulshan Iqbal</v>
      </c>
      <c r="C145" s="57" t="str">
        <f>IF(Gulshan_Iqbal!B93&lt;&gt;"","Group 3","")</f>
        <v>Group 3</v>
      </c>
      <c r="D145" s="58" t="str">
        <f>IF(Gulshan_Iqbal!B93&lt;&gt;"",Gulshan_Iqbal!B93,"")</f>
        <v>Abdullah Imran</v>
      </c>
      <c r="E145" s="57" t="str">
        <f>IF(Gulshan_Iqbal!B93&lt;&gt;"",Gulshan_Iqbal!C93,"")</f>
        <v/>
      </c>
      <c r="F145" s="60" t="str">
        <f>IF(Gulshan_Iqbal!B93&lt;&gt;"",HYPERLINK("tel:"&amp;SUBSTITUTE(SUBSTITUTE(Gulshan_Iqbal!C93,"+","+")," ",""),"📞"),"")</f>
        <v>📞</v>
      </c>
      <c r="G145" s="61" t="str">
        <f>IF(Gulshan_Iqbal!B93&lt;&gt;"",HYPERLINK("https://wa.me/"&amp;SUBSTITUTE(SUBSTITUTE(Gulshan_Iqbal!C93,"+","")," ",""),"💬"),"")</f>
        <v>💬</v>
      </c>
      <c r="H145" s="57" t="str">
        <f>IF(Gulshan_Iqbal!B93&lt;&gt;"",Gulshan_Iqbal!F93,"")</f>
        <v/>
      </c>
      <c r="I145" s="57" t="str">
        <f>IF(Gulshan_Iqbal!B93&lt;&gt;"",Gulshan_Iqbal!G93,"")</f>
        <v/>
      </c>
      <c r="J145" s="57" t="str">
        <f>IF(Gulshan_Iqbal!B93&lt;&gt;"",Gulshan_Iqbal!H93,"")</f>
        <v/>
      </c>
      <c r="K145" s="57" t="str">
        <f>IF(Gulshan_Iqbal!B93&lt;&gt;"",Gulshan_Iqbal!CH93,"")</f>
        <v>50%</v>
      </c>
      <c r="L145" s="57">
        <f>IF(Gulshan_Iqbal!B93&lt;&gt;"",Gulshan_Iqbal!CE93,"")</f>
        <v>2</v>
      </c>
    </row>
    <row r="146" ht="16.5" customHeight="1">
      <c r="A146" s="57" t="str">
        <f>IF(Gulshan_Iqbal!B94&lt;&gt;"",SUMPRODUCT((LEN(D79:D145)&gt;0)*1)+1,"")</f>
        <v/>
      </c>
      <c r="B146" s="57" t="str">
        <f>IF(Gulshan_Iqbal!B94&lt;&gt;"","Gulshan Iqbal","")</f>
        <v/>
      </c>
      <c r="C146" s="57" t="str">
        <f>IF(Gulshan_Iqbal!B94&lt;&gt;"","Group 3","")</f>
        <v/>
      </c>
      <c r="D146" s="58" t="str">
        <f>IF(Gulshan_Iqbal!B94&lt;&gt;"",Gulshan_Iqbal!B94,"")</f>
        <v/>
      </c>
      <c r="E146" s="57" t="str">
        <f>IF(Gulshan_Iqbal!B94&lt;&gt;"",Gulshan_Iqbal!C94,"")</f>
        <v/>
      </c>
      <c r="F146" s="60" t="str">
        <f>IF(Gulshan_Iqbal!B94&lt;&gt;"",HYPERLINK("tel:"&amp;SUBSTITUTE(SUBSTITUTE(Gulshan_Iqbal!C94,"+","+")," ",""),"📞"),"")</f>
        <v/>
      </c>
      <c r="G146" s="64" t="str">
        <f>IF(Gulshan_Iqbal!B94&lt;&gt;"",HYPERLINK("https://wa.me/"&amp;SUBSTITUTE(SUBSTITUTE(Gulshan_Iqbal!C94,"+","")," ",""),"💬"),"")</f>
        <v/>
      </c>
      <c r="H146" s="57" t="str">
        <f>IF(Gulshan_Iqbal!B94&lt;&gt;"",Gulshan_Iqbal!F94,"")</f>
        <v/>
      </c>
      <c r="I146" s="57" t="str">
        <f>IF(Gulshan_Iqbal!B94&lt;&gt;"",Gulshan_Iqbal!G94,"")</f>
        <v/>
      </c>
      <c r="J146" s="57" t="str">
        <f>IF(Gulshan_Iqbal!B94&lt;&gt;"",Gulshan_Iqbal!H94,"")</f>
        <v/>
      </c>
      <c r="K146" s="57" t="str">
        <f>IF(Gulshan_Iqbal!B94&lt;&gt;"",Gulshan_Iqbal!CH94,"")</f>
        <v/>
      </c>
      <c r="L146" s="57" t="str">
        <f>IF(Gulshan_Iqbal!B94&lt;&gt;"",Gulshan_Iqbal!CE94,"")</f>
        <v/>
      </c>
    </row>
    <row r="147" ht="16.5" customHeight="1">
      <c r="A147" s="57" t="str">
        <f>IF(Gulshan_Iqbal!B95&lt;&gt;"",SUMPRODUCT((LEN(D79:D146)&gt;0)*1)+1,"")</f>
        <v/>
      </c>
      <c r="B147" s="57" t="str">
        <f>IF(Gulshan_Iqbal!B95&lt;&gt;"","Gulshan Iqbal","")</f>
        <v/>
      </c>
      <c r="C147" s="57" t="str">
        <f>IF(Gulshan_Iqbal!B95&lt;&gt;"","Group 3","")</f>
        <v/>
      </c>
      <c r="D147" s="58" t="str">
        <f>IF(Gulshan_Iqbal!B95&lt;&gt;"",Gulshan_Iqbal!B95,"")</f>
        <v/>
      </c>
      <c r="E147" s="57" t="str">
        <f>IF(Gulshan_Iqbal!B95&lt;&gt;"",Gulshan_Iqbal!C95,"")</f>
        <v/>
      </c>
      <c r="F147" s="60" t="str">
        <f>IF(Gulshan_Iqbal!B95&lt;&gt;"",HYPERLINK("tel:"&amp;SUBSTITUTE(SUBSTITUTE(Gulshan_Iqbal!C95,"+","+")," ",""),"📞"),"")</f>
        <v/>
      </c>
      <c r="G147" s="64" t="str">
        <f>IF(Gulshan_Iqbal!B95&lt;&gt;"",HYPERLINK("https://wa.me/"&amp;SUBSTITUTE(SUBSTITUTE(Gulshan_Iqbal!C95,"+","")," ",""),"💬"),"")</f>
        <v/>
      </c>
      <c r="H147" s="57" t="str">
        <f>IF(Gulshan_Iqbal!B95&lt;&gt;"",Gulshan_Iqbal!F95,"")</f>
        <v/>
      </c>
      <c r="I147" s="57" t="str">
        <f>IF(Gulshan_Iqbal!B95&lt;&gt;"",Gulshan_Iqbal!G95,"")</f>
        <v/>
      </c>
      <c r="J147" s="57" t="str">
        <f>IF(Gulshan_Iqbal!B95&lt;&gt;"",Gulshan_Iqbal!H95,"")</f>
        <v/>
      </c>
      <c r="K147" s="57" t="str">
        <f>IF(Gulshan_Iqbal!B95&lt;&gt;"",Gulshan_Iqbal!CH95,"")</f>
        <v/>
      </c>
      <c r="L147" s="57" t="str">
        <f>IF(Gulshan_Iqbal!B95&lt;&gt;"",Gulshan_Iqbal!CE95,"")</f>
        <v/>
      </c>
    </row>
    <row r="148" ht="16.5" customHeight="1">
      <c r="A148" s="57" t="str">
        <f>IF(Gulshan_Iqbal!B96&lt;&gt;"",SUMPRODUCT((LEN(D79:D147)&gt;0)*1)+1,"")</f>
        <v/>
      </c>
      <c r="B148" s="57" t="str">
        <f>IF(Gulshan_Iqbal!B96&lt;&gt;"","Gulshan Iqbal","")</f>
        <v/>
      </c>
      <c r="C148" s="57" t="str">
        <f>IF(Gulshan_Iqbal!B96&lt;&gt;"","Group 3","")</f>
        <v/>
      </c>
      <c r="D148" s="58" t="str">
        <f>IF(Gulshan_Iqbal!B96&lt;&gt;"",Gulshan_Iqbal!B96,"")</f>
        <v/>
      </c>
      <c r="E148" s="57" t="str">
        <f>IF(Gulshan_Iqbal!B96&lt;&gt;"",Gulshan_Iqbal!C96,"")</f>
        <v/>
      </c>
      <c r="F148" s="60" t="str">
        <f>IF(Gulshan_Iqbal!B96&lt;&gt;"",HYPERLINK("tel:"&amp;SUBSTITUTE(SUBSTITUTE(Gulshan_Iqbal!C96,"+","+")," ",""),"📞"),"")</f>
        <v/>
      </c>
      <c r="G148" s="64" t="str">
        <f>IF(Gulshan_Iqbal!B96&lt;&gt;"",HYPERLINK("https://wa.me/"&amp;SUBSTITUTE(SUBSTITUTE(Gulshan_Iqbal!C96,"+","")," ",""),"💬"),"")</f>
        <v/>
      </c>
      <c r="H148" s="57" t="str">
        <f>IF(Gulshan_Iqbal!B96&lt;&gt;"",Gulshan_Iqbal!F96,"")</f>
        <v/>
      </c>
      <c r="I148" s="57" t="str">
        <f>IF(Gulshan_Iqbal!B96&lt;&gt;"",Gulshan_Iqbal!G96,"")</f>
        <v/>
      </c>
      <c r="J148" s="57" t="str">
        <f>IF(Gulshan_Iqbal!B96&lt;&gt;"",Gulshan_Iqbal!H96,"")</f>
        <v/>
      </c>
      <c r="K148" s="57" t="str">
        <f>IF(Gulshan_Iqbal!B96&lt;&gt;"",Gulshan_Iqbal!CH96,"")</f>
        <v/>
      </c>
      <c r="L148" s="57" t="str">
        <f>IF(Gulshan_Iqbal!B96&lt;&gt;"",Gulshan_Iqbal!CE96,"")</f>
        <v/>
      </c>
    </row>
    <row r="149" ht="15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</row>
    <row r="150" ht="18.0" customHeight="1">
      <c r="A150" s="8" t="str">
        <f>"▶  Griffin  ("&amp;SUMPRODUCT((LEN(D151:D190)&gt;0)*1)&amp;" students)"</f>
        <v>▶  Griffin  (40 students)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3"/>
    </row>
    <row r="151" ht="16.5" customHeight="1">
      <c r="A151" s="20">
        <v>114.0</v>
      </c>
      <c r="B151" s="20" t="s">
        <v>23</v>
      </c>
      <c r="C151" s="20" t="s">
        <v>22</v>
      </c>
      <c r="D151" s="22" t="str">
        <f>Griffin!B16</f>
        <v>Ayan fakhar</v>
      </c>
      <c r="E151" s="23" t="str">
        <f>Griffin!C16</f>
        <v>'+923224741468</v>
      </c>
      <c r="F151" s="24" t="str">
        <f>IF(Griffin!C16&lt;&gt;"",HYPERLINK("tel:"&amp;SUBSTITUTE(SUBSTITUTE(Griffin!C16,"+","+")," ",""),"📞"),"")</f>
        <v>📞</v>
      </c>
      <c r="G151" s="41" t="str">
        <f>IF(Griffin!C16&lt;&gt;"",HYPERLINK("https://wa.me/"&amp;SUBSTITUTE(SUBSTITUTE(Griffin!C16,"+","")," ",""),"💬"),"")</f>
        <v>💬</v>
      </c>
      <c r="H151" s="20" t="str">
        <f>Griffin!F16</f>
        <v/>
      </c>
      <c r="I151" s="20" t="str">
        <f>Griffin!G16</f>
        <v>13.0</v>
      </c>
      <c r="J151" s="20" t="str">
        <f>Griffin!H16</f>
        <v/>
      </c>
      <c r="K151" s="20" t="str">
        <f>Griffin!CH16</f>
        <v>100%</v>
      </c>
      <c r="L151" s="20">
        <f>Griffin!CE16</f>
        <v>18</v>
      </c>
    </row>
    <row r="152" ht="16.5" customHeight="1">
      <c r="A152" s="10">
        <v>115.0</v>
      </c>
      <c r="B152" s="10" t="s">
        <v>23</v>
      </c>
      <c r="C152" s="10" t="s">
        <v>22</v>
      </c>
      <c r="D152" s="12" t="str">
        <f>Griffin!B17</f>
        <v>AbdulRehman Shahid</v>
      </c>
      <c r="E152" s="14" t="str">
        <f>Griffin!C17</f>
        <v>'+923014824922</v>
      </c>
      <c r="F152" s="17" t="str">
        <f>IF(Griffin!C17&lt;&gt;"",HYPERLINK("tel:"&amp;SUBSTITUTE(SUBSTITUTE(Griffin!C17,"+","+")," ",""),"📞"),"")</f>
        <v>📞</v>
      </c>
      <c r="G152" s="19" t="str">
        <f>IF(Griffin!C17&lt;&gt;"",HYPERLINK("https://wa.me/"&amp;SUBSTITUTE(SUBSTITUTE(Griffin!C17,"+","")," ",""),"💬"),"")</f>
        <v>💬</v>
      </c>
      <c r="H152" s="10" t="str">
        <f>Griffin!F17</f>
        <v/>
      </c>
      <c r="I152" s="10" t="str">
        <f>Griffin!G17</f>
        <v>13.0</v>
      </c>
      <c r="J152" s="10" t="str">
        <f>Griffin!H17</f>
        <v/>
      </c>
      <c r="K152" s="10" t="str">
        <f>Griffin!CH17</f>
        <v>61%</v>
      </c>
      <c r="L152" s="10">
        <f>Griffin!CE17</f>
        <v>11</v>
      </c>
    </row>
    <row r="153" ht="16.5" customHeight="1">
      <c r="A153" s="20">
        <v>116.0</v>
      </c>
      <c r="B153" s="20" t="s">
        <v>23</v>
      </c>
      <c r="C153" s="20" t="s">
        <v>22</v>
      </c>
      <c r="D153" s="22" t="str">
        <f>Griffin!B18</f>
        <v>Rashid Tahir</v>
      </c>
      <c r="E153" s="23" t="str">
        <f>Griffin!C18</f>
        <v>'+923064747289</v>
      </c>
      <c r="F153" s="24" t="str">
        <f>IF(Griffin!C18&lt;&gt;"",HYPERLINK("tel:"&amp;SUBSTITUTE(SUBSTITUTE(Griffin!C18,"+","+")," ",""),"📞"),"")</f>
        <v>📞</v>
      </c>
      <c r="G153" s="41" t="str">
        <f>IF(Griffin!C18&lt;&gt;"",HYPERLINK("https://wa.me/"&amp;SUBSTITUTE(SUBSTITUTE(Griffin!C18,"+","")," ",""),"💬"),"")</f>
        <v>💬</v>
      </c>
      <c r="H153" s="20" t="str">
        <f>Griffin!F18</f>
        <v/>
      </c>
      <c r="I153" s="20" t="str">
        <f>Griffin!G18</f>
        <v>13.0</v>
      </c>
      <c r="J153" s="20" t="str">
        <f>Griffin!H18</f>
        <v>Hafiz</v>
      </c>
      <c r="K153" s="20" t="str">
        <f>Griffin!CH18</f>
        <v>73%</v>
      </c>
      <c r="L153" s="20">
        <f>Griffin!CE18</f>
        <v>11</v>
      </c>
    </row>
    <row r="154" ht="16.5" customHeight="1">
      <c r="A154" s="10">
        <v>117.0</v>
      </c>
      <c r="B154" s="10" t="s">
        <v>23</v>
      </c>
      <c r="C154" s="10" t="s">
        <v>22</v>
      </c>
      <c r="D154" s="12" t="str">
        <f>Griffin!B19</f>
        <v>Abdul Rehman Fareed</v>
      </c>
      <c r="E154" s="14" t="str">
        <f>Griffin!C19</f>
        <v>'+923004762362</v>
      </c>
      <c r="F154" s="17" t="str">
        <f>IF(Griffin!C19&lt;&gt;"",HYPERLINK("tel:"&amp;SUBSTITUTE(SUBSTITUTE(Griffin!C19,"+","+")," ",""),"📞"),"")</f>
        <v>📞</v>
      </c>
      <c r="G154" s="19" t="str">
        <f>IF(Griffin!C19&lt;&gt;"",HYPERLINK("https://wa.me/"&amp;SUBSTITUTE(SUBSTITUTE(Griffin!C19,"+","")," ",""),"💬"),"")</f>
        <v>💬</v>
      </c>
      <c r="H154" s="10" t="str">
        <f>Griffin!F19</f>
        <v/>
      </c>
      <c r="I154" s="10" t="str">
        <f>Griffin!G19</f>
        <v>14.0</v>
      </c>
      <c r="J154" s="10" t="str">
        <f>Griffin!H19</f>
        <v>10th</v>
      </c>
      <c r="K154" s="10" t="str">
        <f>Griffin!CH19</f>
        <v>61%</v>
      </c>
      <c r="L154" s="10">
        <f>Griffin!CE19</f>
        <v>11</v>
      </c>
    </row>
    <row r="155" ht="16.5" customHeight="1">
      <c r="A155" s="20">
        <v>118.0</v>
      </c>
      <c r="B155" s="20" t="s">
        <v>23</v>
      </c>
      <c r="C155" s="20" t="s">
        <v>22</v>
      </c>
      <c r="D155" s="22" t="str">
        <f>Griffin!B20</f>
        <v>Muhammad Rayan Jafar</v>
      </c>
      <c r="E155" s="23" t="str">
        <f>Griffin!C20</f>
        <v>'+923204166328</v>
      </c>
      <c r="F155" s="24" t="str">
        <f>IF(Griffin!C20&lt;&gt;"",HYPERLINK("tel:"&amp;SUBSTITUTE(SUBSTITUTE(Griffin!C20,"+","+")," ",""),"📞"),"")</f>
        <v>📞</v>
      </c>
      <c r="G155" s="41" t="str">
        <f>IF(Griffin!C20&lt;&gt;"",HYPERLINK("https://wa.me/"&amp;SUBSTITUTE(SUBSTITUTE(Griffin!C20,"+","")," ",""),"💬"),"")</f>
        <v>💬</v>
      </c>
      <c r="H155" s="20" t="str">
        <f>Griffin!F20</f>
        <v/>
      </c>
      <c r="I155" s="20" t="str">
        <f>Griffin!G20</f>
        <v>14.0</v>
      </c>
      <c r="J155" s="20" t="str">
        <f>Griffin!H20</f>
        <v/>
      </c>
      <c r="K155" s="20" t="str">
        <f>Griffin!CH20</f>
        <v>71%</v>
      </c>
      <c r="L155" s="20">
        <f>Griffin!CE20</f>
        <v>12</v>
      </c>
    </row>
    <row r="156" ht="16.5" customHeight="1">
      <c r="A156" s="10">
        <v>119.0</v>
      </c>
      <c r="B156" s="10" t="s">
        <v>23</v>
      </c>
      <c r="C156" s="10" t="s">
        <v>22</v>
      </c>
      <c r="D156" s="12" t="str">
        <f>Griffin!B21</f>
        <v>Sikandar Waheed</v>
      </c>
      <c r="E156" s="14" t="str">
        <f>Griffin!C21</f>
        <v>'+923074105997</v>
      </c>
      <c r="F156" s="17" t="str">
        <f>IF(Griffin!C21&lt;&gt;"",HYPERLINK("tel:"&amp;SUBSTITUTE(SUBSTITUTE(Griffin!C21,"+","+")," ",""),"📞"),"")</f>
        <v>📞</v>
      </c>
      <c r="G156" s="19" t="str">
        <f>IF(Griffin!C21&lt;&gt;"",HYPERLINK("https://wa.me/"&amp;SUBSTITUTE(SUBSTITUTE(Griffin!C21,"+","")," ",""),"💬"),"")</f>
        <v>💬</v>
      </c>
      <c r="H156" s="10" t="str">
        <f>Griffin!F21</f>
        <v/>
      </c>
      <c r="I156" s="10" t="str">
        <f>Griffin!G21</f>
        <v>15.0</v>
      </c>
      <c r="J156" s="10" t="str">
        <f>Griffin!H21</f>
        <v/>
      </c>
      <c r="K156" s="10" t="str">
        <f>Griffin!CH21</f>
        <v>11%</v>
      </c>
      <c r="L156" s="10">
        <f>Griffin!CE21</f>
        <v>2</v>
      </c>
    </row>
    <row r="157" ht="16.5" customHeight="1">
      <c r="A157" s="20">
        <v>120.0</v>
      </c>
      <c r="B157" s="20" t="s">
        <v>23</v>
      </c>
      <c r="C157" s="20" t="s">
        <v>22</v>
      </c>
      <c r="D157" s="22" t="str">
        <f>Griffin!B22</f>
        <v>Usman Shahid</v>
      </c>
      <c r="E157" s="23" t="str">
        <f>Griffin!C22</f>
        <v>'+923014824922</v>
      </c>
      <c r="F157" s="24" t="str">
        <f>IF(Griffin!C22&lt;&gt;"",HYPERLINK("tel:"&amp;SUBSTITUTE(SUBSTITUTE(Griffin!C22,"+","+")," ",""),"📞"),"")</f>
        <v>📞</v>
      </c>
      <c r="G157" s="41" t="str">
        <f>IF(Griffin!C22&lt;&gt;"",HYPERLINK("https://wa.me/"&amp;SUBSTITUTE(SUBSTITUTE(Griffin!C22,"+","")," ",""),"💬"),"")</f>
        <v>💬</v>
      </c>
      <c r="H157" s="20" t="str">
        <f>Griffin!F22</f>
        <v/>
      </c>
      <c r="I157" s="20" t="str">
        <f>Griffin!G22</f>
        <v>15.0</v>
      </c>
      <c r="J157" s="20" t="str">
        <f>Griffin!H22</f>
        <v/>
      </c>
      <c r="K157" s="20" t="str">
        <f>Griffin!CH22</f>
        <v>50%</v>
      </c>
      <c r="L157" s="20">
        <f>Griffin!CE22</f>
        <v>8</v>
      </c>
    </row>
    <row r="158" ht="16.5" customHeight="1">
      <c r="A158" s="10">
        <v>121.0</v>
      </c>
      <c r="B158" s="10" t="s">
        <v>23</v>
      </c>
      <c r="C158" s="10" t="s">
        <v>22</v>
      </c>
      <c r="D158" s="12" t="str">
        <f>Griffin!B23</f>
        <v>Kaleemullah Ayub Sabir</v>
      </c>
      <c r="E158" s="14" t="str">
        <f>Griffin!C23</f>
        <v>'+923217053289</v>
      </c>
      <c r="F158" s="17" t="str">
        <f>IF(Griffin!C23&lt;&gt;"",HYPERLINK("tel:"&amp;SUBSTITUTE(SUBSTITUTE(Griffin!C23,"+","+")," ",""),"📞"),"")</f>
        <v>📞</v>
      </c>
      <c r="G158" s="19" t="str">
        <f>IF(Griffin!C23&lt;&gt;"",HYPERLINK("https://wa.me/"&amp;SUBSTITUTE(SUBSTITUTE(Griffin!C23,"+","")," ",""),"💬"),"")</f>
        <v>💬</v>
      </c>
      <c r="H158" s="10" t="str">
        <f>Griffin!F23</f>
        <v/>
      </c>
      <c r="I158" s="10" t="str">
        <f>Griffin!G23</f>
        <v>15.0</v>
      </c>
      <c r="J158" s="10" t="str">
        <f>Griffin!H23</f>
        <v/>
      </c>
      <c r="K158" s="10" t="str">
        <f>Griffin!CH23</f>
        <v>65%</v>
      </c>
      <c r="L158" s="10">
        <f>Griffin!CE23</f>
        <v>11</v>
      </c>
    </row>
    <row r="159" ht="16.5" customHeight="1">
      <c r="A159" s="20">
        <v>122.0</v>
      </c>
      <c r="B159" s="20" t="s">
        <v>23</v>
      </c>
      <c r="C159" s="20" t="s">
        <v>22</v>
      </c>
      <c r="D159" s="22" t="str">
        <f>Griffin!B24</f>
        <v>Ammar Ali Khan</v>
      </c>
      <c r="E159" s="23" t="str">
        <f>Griffin!C24</f>
        <v>'+923004431979</v>
      </c>
      <c r="F159" s="24" t="str">
        <f>IF(Griffin!C24&lt;&gt;"",HYPERLINK("tel:"&amp;SUBSTITUTE(SUBSTITUTE(Griffin!C24,"+","+")," ",""),"📞"),"")</f>
        <v>📞</v>
      </c>
      <c r="G159" s="41" t="str">
        <f>IF(Griffin!C24&lt;&gt;"",HYPERLINK("https://wa.me/"&amp;SUBSTITUTE(SUBSTITUTE(Griffin!C24,"+","")," ",""),"💬"),"")</f>
        <v>💬</v>
      </c>
      <c r="H159" s="20" t="str">
        <f>Griffin!F24</f>
        <v/>
      </c>
      <c r="I159" s="20" t="str">
        <f>Griffin!G24</f>
        <v>15.0</v>
      </c>
      <c r="J159" s="20" t="str">
        <f>Griffin!H24</f>
        <v/>
      </c>
      <c r="K159" s="20" t="str">
        <f>Griffin!CH24</f>
        <v>78%</v>
      </c>
      <c r="L159" s="20">
        <f>Griffin!CE24</f>
        <v>14</v>
      </c>
    </row>
    <row r="160" ht="16.5" customHeight="1">
      <c r="A160" s="10">
        <v>123.0</v>
      </c>
      <c r="B160" s="10" t="s">
        <v>23</v>
      </c>
      <c r="C160" s="10" t="s">
        <v>22</v>
      </c>
      <c r="D160" s="12" t="str">
        <f>Griffin!B25</f>
        <v>Muhammad Maaz</v>
      </c>
      <c r="E160" s="14" t="str">
        <f>Griffin!C25</f>
        <v>'+923244955450</v>
      </c>
      <c r="F160" s="17" t="str">
        <f>IF(Griffin!C25&lt;&gt;"",HYPERLINK("tel:"&amp;SUBSTITUTE(SUBSTITUTE(Griffin!C25,"+","+")," ",""),"📞"),"")</f>
        <v>📞</v>
      </c>
      <c r="G160" s="19" t="str">
        <f>IF(Griffin!C25&lt;&gt;"",HYPERLINK("https://wa.me/"&amp;SUBSTITUTE(SUBSTITUTE(Griffin!C25,"+","")," ",""),"💬"),"")</f>
        <v>💬</v>
      </c>
      <c r="H160" s="10" t="str">
        <f>Griffin!F25</f>
        <v/>
      </c>
      <c r="I160" s="10" t="str">
        <f>Griffin!G25</f>
        <v>15.0</v>
      </c>
      <c r="J160" s="10" t="str">
        <f>Griffin!H25</f>
        <v/>
      </c>
      <c r="K160" s="10" t="str">
        <f>Griffin!CH25</f>
        <v>65%</v>
      </c>
      <c r="L160" s="10">
        <f>Griffin!CE25</f>
        <v>11</v>
      </c>
    </row>
    <row r="161" ht="16.5" customHeight="1">
      <c r="A161" s="20">
        <v>124.0</v>
      </c>
      <c r="B161" s="20" t="s">
        <v>23</v>
      </c>
      <c r="C161" s="20" t="s">
        <v>22</v>
      </c>
      <c r="D161" s="22" t="str">
        <f>Griffin!B26</f>
        <v>Muhammad Saad Mohsan</v>
      </c>
      <c r="E161" s="23" t="str">
        <f>Griffin!C26</f>
        <v>'+923236306151</v>
      </c>
      <c r="F161" s="24" t="str">
        <f>IF(Griffin!C26&lt;&gt;"",HYPERLINK("tel:"&amp;SUBSTITUTE(SUBSTITUTE(Griffin!C26,"+","+")," ",""),"📞"),"")</f>
        <v>📞</v>
      </c>
      <c r="G161" s="41" t="str">
        <f>IF(Griffin!C26&lt;&gt;"",HYPERLINK("https://wa.me/"&amp;SUBSTITUTE(SUBSTITUTE(Griffin!C26,"+","")," ",""),"💬"),"")</f>
        <v>💬</v>
      </c>
      <c r="H161" s="20" t="str">
        <f>Griffin!F26</f>
        <v/>
      </c>
      <c r="I161" s="20" t="str">
        <f>Griffin!G26</f>
        <v>15.0</v>
      </c>
      <c r="J161" s="20" t="str">
        <f>Griffin!H26</f>
        <v>10th</v>
      </c>
      <c r="K161" s="20" t="str">
        <f>Griffin!CH26</f>
        <v>78%</v>
      </c>
      <c r="L161" s="20">
        <f>Griffin!CE26</f>
        <v>14</v>
      </c>
    </row>
    <row r="162" ht="16.5" customHeight="1">
      <c r="A162" s="10">
        <v>125.0</v>
      </c>
      <c r="B162" s="10" t="s">
        <v>23</v>
      </c>
      <c r="C162" s="10" t="s">
        <v>22</v>
      </c>
      <c r="D162" s="12" t="str">
        <f>Griffin!B27</f>
        <v>Muhammad Hassaan Javaid Naz</v>
      </c>
      <c r="E162" s="14" t="str">
        <f>Griffin!C27</f>
        <v>'+923296904972</v>
      </c>
      <c r="F162" s="17" t="str">
        <f>IF(Griffin!C27&lt;&gt;"",HYPERLINK("tel:"&amp;SUBSTITUTE(SUBSTITUTE(Griffin!C27,"+","+")," ",""),"📞"),"")</f>
        <v>📞</v>
      </c>
      <c r="G162" s="19" t="str">
        <f>IF(Griffin!C27&lt;&gt;"",HYPERLINK("https://wa.me/"&amp;SUBSTITUTE(SUBSTITUTE(Griffin!C27,"+","")," ",""),"💬"),"")</f>
        <v>💬</v>
      </c>
      <c r="H162" s="10" t="str">
        <f>Griffin!F27</f>
        <v/>
      </c>
      <c r="I162" s="10" t="str">
        <f>Griffin!G27</f>
        <v>15.0</v>
      </c>
      <c r="J162" s="10" t="str">
        <f>Griffin!H27</f>
        <v>10th</v>
      </c>
      <c r="K162" s="10" t="str">
        <f>Griffin!CH27</f>
        <v>64%</v>
      </c>
      <c r="L162" s="10">
        <f>Griffin!CE27</f>
        <v>9</v>
      </c>
    </row>
    <row r="163" ht="16.5" customHeight="1">
      <c r="A163" s="20">
        <v>126.0</v>
      </c>
      <c r="B163" s="20" t="s">
        <v>23</v>
      </c>
      <c r="C163" s="20" t="s">
        <v>22</v>
      </c>
      <c r="D163" s="22" t="str">
        <f>Griffin!B28</f>
        <v>Habib Ur Rahman</v>
      </c>
      <c r="E163" s="23" t="str">
        <f>Griffin!C28</f>
        <v/>
      </c>
      <c r="F163" s="24" t="str">
        <f>IF(Griffin!C28&lt;&gt;"",HYPERLINK("tel:"&amp;SUBSTITUTE(SUBSTITUTE(Griffin!C28,"+","+")," ",""),"📞"),"")</f>
        <v/>
      </c>
      <c r="G163" s="26" t="str">
        <f>IF(Griffin!C28&lt;&gt;"",HYPERLINK("https://wa.me/"&amp;SUBSTITUTE(SUBSTITUTE(Griffin!C28,"+","")," ",""),"💬"),"")</f>
        <v/>
      </c>
      <c r="H163" s="20" t="str">
        <f>Griffin!F28</f>
        <v/>
      </c>
      <c r="I163" s="20" t="str">
        <f>Griffin!G28</f>
        <v/>
      </c>
      <c r="J163" s="20" t="str">
        <f>Griffin!H28</f>
        <v/>
      </c>
      <c r="K163" s="20" t="str">
        <f>Griffin!CH28</f>
        <v>58%</v>
      </c>
      <c r="L163" s="20">
        <f>Griffin!CE28</f>
        <v>7</v>
      </c>
    </row>
    <row r="164" ht="16.5" customHeight="1">
      <c r="A164" s="10">
        <v>127.0</v>
      </c>
      <c r="B164" s="10" t="s">
        <v>23</v>
      </c>
      <c r="C164" s="10" t="s">
        <v>22</v>
      </c>
      <c r="D164" s="12" t="str">
        <f>Griffin!B29</f>
        <v>Muawiya</v>
      </c>
      <c r="E164" s="14" t="str">
        <f>Griffin!C29</f>
        <v/>
      </c>
      <c r="F164" s="17" t="str">
        <f>IF(Griffin!C29&lt;&gt;"",HYPERLINK("tel:"&amp;SUBSTITUTE(SUBSTITUTE(Griffin!C29,"+","+")," ",""),"📞"),"")</f>
        <v/>
      </c>
      <c r="G164" s="28" t="str">
        <f>IF(Griffin!C29&lt;&gt;"",HYPERLINK("https://wa.me/"&amp;SUBSTITUTE(SUBSTITUTE(Griffin!C29,"+","")," ",""),"💬"),"")</f>
        <v/>
      </c>
      <c r="H164" s="10" t="str">
        <f>Griffin!F29</f>
        <v/>
      </c>
      <c r="I164" s="10" t="str">
        <f>Griffin!G29</f>
        <v/>
      </c>
      <c r="J164" s="10" t="str">
        <f>Griffin!H29</f>
        <v/>
      </c>
      <c r="K164" s="10" t="str">
        <f>Griffin!CH29</f>
        <v>100%</v>
      </c>
      <c r="L164" s="10">
        <f>Griffin!CE29</f>
        <v>11</v>
      </c>
    </row>
    <row r="165" ht="16.5" customHeight="1">
      <c r="A165" s="20">
        <v>128.0</v>
      </c>
      <c r="B165" s="20" t="s">
        <v>23</v>
      </c>
      <c r="C165" s="20" t="s">
        <v>22</v>
      </c>
      <c r="D165" s="22" t="str">
        <f>Griffin!B30</f>
        <v>Abu Huraira</v>
      </c>
      <c r="E165" s="23" t="str">
        <f>Griffin!C30</f>
        <v/>
      </c>
      <c r="F165" s="24" t="str">
        <f>IF(Griffin!C30&lt;&gt;"",HYPERLINK("tel:"&amp;SUBSTITUTE(SUBSTITUTE(Griffin!C30,"+","+")," ",""),"📞"),"")</f>
        <v/>
      </c>
      <c r="G165" s="26" t="str">
        <f>IF(Griffin!C30&lt;&gt;"",HYPERLINK("https://wa.me/"&amp;SUBSTITUTE(SUBSTITUTE(Griffin!C30,"+","")," ",""),"💬"),"")</f>
        <v/>
      </c>
      <c r="H165" s="20" t="str">
        <f>Griffin!F30</f>
        <v/>
      </c>
      <c r="I165" s="20" t="str">
        <f>Griffin!G30</f>
        <v/>
      </c>
      <c r="J165" s="20" t="str">
        <f>Griffin!H30</f>
        <v/>
      </c>
      <c r="K165" s="20" t="str">
        <f>Griffin!CH30</f>
        <v>50%</v>
      </c>
      <c r="L165" s="20">
        <f>Griffin!CE30</f>
        <v>6</v>
      </c>
    </row>
    <row r="166" ht="16.5" customHeight="1">
      <c r="A166" s="57">
        <f>IF(Griffin!B31&lt;&gt;"",SUMPRODUCT((LEN(D151:D165)&gt;0)*1)+1,"")</f>
        <v>16</v>
      </c>
      <c r="B166" s="57" t="str">
        <f>IF(Griffin!B31&lt;&gt;"","Griffin","")</f>
        <v>Griffin</v>
      </c>
      <c r="C166" s="57" t="str">
        <f>IF(Griffin!B31&lt;&gt;"","Group 1","")</f>
        <v>Group 1</v>
      </c>
      <c r="D166" s="58" t="str">
        <f>IF(Griffin!B31&lt;&gt;"",Griffin!B31,"")</f>
        <v>Rizwan Khan</v>
      </c>
      <c r="E166" s="57" t="str">
        <f>IF(Griffin!B31&lt;&gt;"",Griffin!C31,"")</f>
        <v/>
      </c>
      <c r="F166" s="60" t="str">
        <f>IF(Griffin!B31&lt;&gt;"",HYPERLINK("tel:"&amp;SUBSTITUTE(SUBSTITUTE(Griffin!C31,"+","+")," ",""),"📞"),"")</f>
        <v>📞</v>
      </c>
      <c r="G166" s="61" t="str">
        <f>IF(Griffin!B31&lt;&gt;"",HYPERLINK("https://wa.me/"&amp;SUBSTITUTE(SUBSTITUTE(Griffin!C31,"+","")," ",""),"💬"),"")</f>
        <v>💬</v>
      </c>
      <c r="H166" s="57" t="str">
        <f>IF(Griffin!B31&lt;&gt;"",Griffin!F31,"")</f>
        <v/>
      </c>
      <c r="I166" s="57" t="str">
        <f>IF(Griffin!B31&lt;&gt;"",Griffin!G31,"")</f>
        <v/>
      </c>
      <c r="J166" s="57" t="str">
        <f>IF(Griffin!B31&lt;&gt;"",Griffin!H31,"")</f>
        <v/>
      </c>
      <c r="K166" s="57" t="str">
        <f>IF(Griffin!B31&lt;&gt;"",Griffin!CH31,"")</f>
        <v>78%</v>
      </c>
      <c r="L166" s="57">
        <f>IF(Griffin!B31&lt;&gt;"",Griffin!CE31,"")</f>
        <v>7</v>
      </c>
    </row>
    <row r="167" ht="16.5" customHeight="1">
      <c r="A167" s="57">
        <f>IF(Griffin!B32&lt;&gt;"",SUMPRODUCT((LEN(D151:D166)&gt;0)*1)+1,"")</f>
        <v>17</v>
      </c>
      <c r="B167" s="57" t="str">
        <f>IF(Griffin!B32&lt;&gt;"","Griffin","")</f>
        <v>Griffin</v>
      </c>
      <c r="C167" s="57" t="str">
        <f>IF(Griffin!B32&lt;&gt;"","Group 1","")</f>
        <v>Group 1</v>
      </c>
      <c r="D167" s="58" t="str">
        <f>IF(Griffin!B32&lt;&gt;"",Griffin!B32,"")</f>
        <v>Imam Deen</v>
      </c>
      <c r="E167" s="57" t="str">
        <f>IF(Griffin!B32&lt;&gt;"",Griffin!C32,"")</f>
        <v/>
      </c>
      <c r="F167" s="60" t="str">
        <f>IF(Griffin!B32&lt;&gt;"",HYPERLINK("tel:"&amp;SUBSTITUTE(SUBSTITUTE(Griffin!C32,"+","+")," ",""),"📞"),"")</f>
        <v>📞</v>
      </c>
      <c r="G167" s="61" t="str">
        <f>IF(Griffin!B32&lt;&gt;"",HYPERLINK("https://wa.me/"&amp;SUBSTITUTE(SUBSTITUTE(Griffin!C32,"+","")," ",""),"💬"),"")</f>
        <v>💬</v>
      </c>
      <c r="H167" s="57" t="str">
        <f>IF(Griffin!B32&lt;&gt;"",Griffin!F32,"")</f>
        <v/>
      </c>
      <c r="I167" s="57" t="str">
        <f>IF(Griffin!B32&lt;&gt;"",Griffin!G32,"")</f>
        <v/>
      </c>
      <c r="J167" s="57" t="str">
        <f>IF(Griffin!B32&lt;&gt;"",Griffin!H32,"")</f>
        <v/>
      </c>
      <c r="K167" s="57" t="str">
        <f>IF(Griffin!B32&lt;&gt;"",Griffin!CH32,"")</f>
        <v>100%</v>
      </c>
      <c r="L167" s="57">
        <f>IF(Griffin!B32&lt;&gt;"",Griffin!CE32,"")</f>
        <v>9</v>
      </c>
    </row>
    <row r="168" ht="16.5" customHeight="1">
      <c r="A168" s="57">
        <f>IF(Griffin!B33&lt;&gt;"",SUMPRODUCT((LEN(D151:D167)&gt;0)*1)+1,"")</f>
        <v>18</v>
      </c>
      <c r="B168" s="57" t="str">
        <f>IF(Griffin!B33&lt;&gt;"","Griffin","")</f>
        <v>Griffin</v>
      </c>
      <c r="C168" s="57" t="str">
        <f>IF(Griffin!B33&lt;&gt;"","Group 1","")</f>
        <v>Group 1</v>
      </c>
      <c r="D168" s="58" t="str">
        <f>IF(Griffin!B33&lt;&gt;"",Griffin!B33,"")</f>
        <v>Faizan Kashif</v>
      </c>
      <c r="E168" s="57" t="str">
        <f>IF(Griffin!B33&lt;&gt;"",Griffin!C33,"")</f>
        <v/>
      </c>
      <c r="F168" s="60" t="str">
        <f>IF(Griffin!B33&lt;&gt;"",HYPERLINK("tel:"&amp;SUBSTITUTE(SUBSTITUTE(Griffin!C33,"+","+")," ",""),"📞"),"")</f>
        <v>📞</v>
      </c>
      <c r="G168" s="61" t="str">
        <f>IF(Griffin!B33&lt;&gt;"",HYPERLINK("https://wa.me/"&amp;SUBSTITUTE(SUBSTITUTE(Griffin!C33,"+","")," ",""),"💬"),"")</f>
        <v>💬</v>
      </c>
      <c r="H168" s="57" t="str">
        <f>IF(Griffin!B33&lt;&gt;"",Griffin!F33,"")</f>
        <v/>
      </c>
      <c r="I168" s="57" t="str">
        <f>IF(Griffin!B33&lt;&gt;"",Griffin!G33,"")</f>
        <v/>
      </c>
      <c r="J168" s="57" t="str">
        <f>IF(Griffin!B33&lt;&gt;"",Griffin!H33,"")</f>
        <v/>
      </c>
      <c r="K168" s="57" t="str">
        <f>IF(Griffin!B33&lt;&gt;"",Griffin!CH33,"")</f>
        <v>50%</v>
      </c>
      <c r="L168" s="57">
        <f>IF(Griffin!B33&lt;&gt;"",Griffin!CE33,"")</f>
        <v>3</v>
      </c>
    </row>
    <row r="169" ht="16.5" customHeight="1">
      <c r="A169" s="57">
        <f>IF(Griffin!B34&lt;&gt;"",SUMPRODUCT((LEN(D151:D168)&gt;0)*1)+1,"")</f>
        <v>19</v>
      </c>
      <c r="B169" s="57" t="str">
        <f>IF(Griffin!B34&lt;&gt;"","Griffin","")</f>
        <v>Griffin</v>
      </c>
      <c r="C169" s="57" t="str">
        <f>IF(Griffin!B34&lt;&gt;"","Group 1","")</f>
        <v>Group 1</v>
      </c>
      <c r="D169" s="58" t="str">
        <f>IF(Griffin!B34&lt;&gt;"",Griffin!B34,"")</f>
        <v>Hamza Nawaz</v>
      </c>
      <c r="E169" s="57" t="str">
        <f>IF(Griffin!B34&lt;&gt;"",Griffin!C34,"")</f>
        <v/>
      </c>
      <c r="F169" s="60" t="str">
        <f>IF(Griffin!B34&lt;&gt;"",HYPERLINK("tel:"&amp;SUBSTITUTE(SUBSTITUTE(Griffin!C34,"+","+")," ",""),"📞"),"")</f>
        <v>📞</v>
      </c>
      <c r="G169" s="61" t="str">
        <f>IF(Griffin!B34&lt;&gt;"",HYPERLINK("https://wa.me/"&amp;SUBSTITUTE(SUBSTITUTE(Griffin!C34,"+","")," ",""),"💬"),"")</f>
        <v>💬</v>
      </c>
      <c r="H169" s="57" t="str">
        <f>IF(Griffin!B34&lt;&gt;"",Griffin!F34,"")</f>
        <v/>
      </c>
      <c r="I169" s="57" t="str">
        <f>IF(Griffin!B34&lt;&gt;"",Griffin!G34,"")</f>
        <v/>
      </c>
      <c r="J169" s="57" t="str">
        <f>IF(Griffin!B34&lt;&gt;"",Griffin!H34,"")</f>
        <v/>
      </c>
      <c r="K169" s="57" t="str">
        <f>IF(Griffin!B34&lt;&gt;"",Griffin!CH34,"")</f>
        <v>22%</v>
      </c>
      <c r="L169" s="57">
        <f>IF(Griffin!B34&lt;&gt;"",Griffin!CE34,"")</f>
        <v>2</v>
      </c>
    </row>
    <row r="170" ht="16.5" customHeight="1">
      <c r="A170" s="57">
        <f>IF(Griffin!B35&lt;&gt;"",SUMPRODUCT((LEN(D151:D169)&gt;0)*1)+1,"")</f>
        <v>20</v>
      </c>
      <c r="B170" s="57" t="str">
        <f>IF(Griffin!B35&lt;&gt;"","Griffin","")</f>
        <v>Griffin</v>
      </c>
      <c r="C170" s="57" t="str">
        <f>IF(Griffin!B35&lt;&gt;"","Group 1","")</f>
        <v>Group 1</v>
      </c>
      <c r="D170" s="58" t="str">
        <f>IF(Griffin!B35&lt;&gt;"",Griffin!B35,"")</f>
        <v>Ahmad Ali</v>
      </c>
      <c r="E170" s="57" t="str">
        <f>IF(Griffin!B35&lt;&gt;"",Griffin!C35,"")</f>
        <v/>
      </c>
      <c r="F170" s="60" t="str">
        <f>IF(Griffin!B35&lt;&gt;"",HYPERLINK("tel:"&amp;SUBSTITUTE(SUBSTITUTE(Griffin!C35,"+","+")," ",""),"📞"),"")</f>
        <v>📞</v>
      </c>
      <c r="G170" s="61" t="str">
        <f>IF(Griffin!B35&lt;&gt;"",HYPERLINK("https://wa.me/"&amp;SUBSTITUTE(SUBSTITUTE(Griffin!C35,"+","")," ",""),"💬"),"")</f>
        <v>💬</v>
      </c>
      <c r="H170" s="57" t="str">
        <f>IF(Griffin!B35&lt;&gt;"",Griffin!F35,"")</f>
        <v/>
      </c>
      <c r="I170" s="57" t="str">
        <f>IF(Griffin!B35&lt;&gt;"",Griffin!G35,"")</f>
        <v/>
      </c>
      <c r="J170" s="57" t="str">
        <f>IF(Griffin!B35&lt;&gt;"",Griffin!H35,"")</f>
        <v/>
      </c>
      <c r="K170" s="57" t="str">
        <f>IF(Griffin!B35&lt;&gt;"",Griffin!CH35,"")</f>
        <v>88%</v>
      </c>
      <c r="L170" s="57">
        <f>IF(Griffin!B35&lt;&gt;"",Griffin!CE35,"")</f>
        <v>7</v>
      </c>
    </row>
    <row r="171" ht="16.5" customHeight="1">
      <c r="A171" s="10">
        <v>129.0</v>
      </c>
      <c r="B171" s="10" t="s">
        <v>23</v>
      </c>
      <c r="C171" s="10" t="s">
        <v>203</v>
      </c>
      <c r="D171" s="12" t="str">
        <f>Griffin!B41</f>
        <v>Jamshaid Ali</v>
      </c>
      <c r="E171" s="14" t="str">
        <f>Griffin!C41</f>
        <v>'+923204166328</v>
      </c>
      <c r="F171" s="17" t="str">
        <f>IF(Griffin!C41&lt;&gt;"",HYPERLINK("tel:"&amp;SUBSTITUTE(SUBSTITUTE(Griffin!C41,"+","+")," ",""),"📞"),"")</f>
        <v>📞</v>
      </c>
      <c r="G171" s="19" t="str">
        <f>IF(Griffin!C41&lt;&gt;"",HYPERLINK("https://wa.me/"&amp;SUBSTITUTE(SUBSTITUTE(Griffin!C41,"+","")," ",""),"💬"),"")</f>
        <v>💬</v>
      </c>
      <c r="H171" s="10" t="str">
        <f>Griffin!F41</f>
        <v/>
      </c>
      <c r="I171" s="10" t="str">
        <f>Griffin!G41</f>
        <v>16.0</v>
      </c>
      <c r="J171" s="10" t="str">
        <f>Griffin!H41</f>
        <v/>
      </c>
      <c r="K171" s="10" t="str">
        <f>Griffin!CH41</f>
        <v>94%</v>
      </c>
      <c r="L171" s="10">
        <f>Griffin!CE41</f>
        <v>15</v>
      </c>
    </row>
    <row r="172" ht="16.5" customHeight="1">
      <c r="A172" s="20">
        <v>130.0</v>
      </c>
      <c r="B172" s="20" t="s">
        <v>23</v>
      </c>
      <c r="C172" s="20" t="s">
        <v>203</v>
      </c>
      <c r="D172" s="22" t="str">
        <f>Griffin!B42</f>
        <v>Aaliyan akram</v>
      </c>
      <c r="E172" s="23" t="str">
        <f>Griffin!C42</f>
        <v>'+923004762362</v>
      </c>
      <c r="F172" s="24" t="str">
        <f>IF(Griffin!C42&lt;&gt;"",HYPERLINK("tel:"&amp;SUBSTITUTE(SUBSTITUTE(Griffin!C42,"+","+")," ",""),"📞"),"")</f>
        <v>📞</v>
      </c>
      <c r="G172" s="41" t="str">
        <f>IF(Griffin!C42&lt;&gt;"",HYPERLINK("https://wa.me/"&amp;SUBSTITUTE(SUBSTITUTE(Griffin!C42,"+","")," ",""),"💬"),"")</f>
        <v>💬</v>
      </c>
      <c r="H172" s="20" t="str">
        <f>Griffin!F42</f>
        <v/>
      </c>
      <c r="I172" s="20" t="str">
        <f>Griffin!G42</f>
        <v>16.0</v>
      </c>
      <c r="J172" s="20" t="str">
        <f>Griffin!H42</f>
        <v>10th</v>
      </c>
      <c r="K172" s="20" t="str">
        <f>Griffin!CH42</f>
        <v>73%</v>
      </c>
      <c r="L172" s="20">
        <f>Griffin!CE42</f>
        <v>11</v>
      </c>
    </row>
    <row r="173" ht="16.5" customHeight="1">
      <c r="A173" s="10">
        <v>131.0</v>
      </c>
      <c r="B173" s="10" t="s">
        <v>23</v>
      </c>
      <c r="C173" s="10" t="s">
        <v>203</v>
      </c>
      <c r="D173" s="12" t="str">
        <f>Griffin!B43</f>
        <v>Muhammad Hassan</v>
      </c>
      <c r="E173" s="14" t="str">
        <f>Griffin!C43</f>
        <v>'+923444169661</v>
      </c>
      <c r="F173" s="17" t="str">
        <f>IF(Griffin!C43&lt;&gt;"",HYPERLINK("tel:"&amp;SUBSTITUTE(SUBSTITUTE(Griffin!C43,"+","+")," ",""),"📞"),"")</f>
        <v>📞</v>
      </c>
      <c r="G173" s="19" t="str">
        <f>IF(Griffin!C43&lt;&gt;"",HYPERLINK("https://wa.me/"&amp;SUBSTITUTE(SUBSTITUTE(Griffin!C43,"+","")," ",""),"💬"),"")</f>
        <v>💬</v>
      </c>
      <c r="H173" s="10" t="str">
        <f>Griffin!F43</f>
        <v/>
      </c>
      <c r="I173" s="10" t="str">
        <f>Griffin!G43</f>
        <v>16.0</v>
      </c>
      <c r="J173" s="10" t="str">
        <f>Griffin!H43</f>
        <v/>
      </c>
      <c r="K173" s="10" t="str">
        <f>Griffin!CH43</f>
        <v>13%</v>
      </c>
      <c r="L173" s="10">
        <f>Griffin!CE43</f>
        <v>2</v>
      </c>
    </row>
    <row r="174" ht="16.5" customHeight="1">
      <c r="A174" s="20">
        <v>132.0</v>
      </c>
      <c r="B174" s="20" t="s">
        <v>23</v>
      </c>
      <c r="C174" s="20" t="s">
        <v>203</v>
      </c>
      <c r="D174" s="22" t="str">
        <f>Griffin!B44</f>
        <v>Almaan Ahmad</v>
      </c>
      <c r="E174" s="23" t="str">
        <f>Griffin!C44</f>
        <v>'+923134979000</v>
      </c>
      <c r="F174" s="24" t="str">
        <f>IF(Griffin!C44&lt;&gt;"",HYPERLINK("tel:"&amp;SUBSTITUTE(SUBSTITUTE(Griffin!C44,"+","+")," ",""),"📞"),"")</f>
        <v>📞</v>
      </c>
      <c r="G174" s="41" t="str">
        <f>IF(Griffin!C44&lt;&gt;"",HYPERLINK("https://wa.me/"&amp;SUBSTITUTE(SUBSTITUTE(Griffin!C44,"+","")," ",""),"💬"),"")</f>
        <v>💬</v>
      </c>
      <c r="H174" s="20" t="str">
        <f>Griffin!F44</f>
        <v/>
      </c>
      <c r="I174" s="20" t="str">
        <f>Griffin!G44</f>
        <v>16.0</v>
      </c>
      <c r="J174" s="20" t="str">
        <f>Griffin!H44</f>
        <v>10th</v>
      </c>
      <c r="K174" s="20" t="str">
        <f>Griffin!CH44</f>
        <v>73%</v>
      </c>
      <c r="L174" s="20">
        <f>Griffin!CE44</f>
        <v>11</v>
      </c>
    </row>
    <row r="175" ht="16.5" customHeight="1">
      <c r="A175" s="10">
        <v>133.0</v>
      </c>
      <c r="B175" s="10" t="s">
        <v>23</v>
      </c>
      <c r="C175" s="10" t="s">
        <v>203</v>
      </c>
      <c r="D175" s="12" t="str">
        <f>Griffin!B45</f>
        <v>Muhammad Ahmad Yasir</v>
      </c>
      <c r="E175" s="14" t="str">
        <f>Griffin!C45</f>
        <v>'+923464660785</v>
      </c>
      <c r="F175" s="17" t="str">
        <f>IF(Griffin!C45&lt;&gt;"",HYPERLINK("tel:"&amp;SUBSTITUTE(SUBSTITUTE(Griffin!C45,"+","+")," ",""),"📞"),"")</f>
        <v>📞</v>
      </c>
      <c r="G175" s="19" t="str">
        <f>IF(Griffin!C45&lt;&gt;"",HYPERLINK("https://wa.me/"&amp;SUBSTITUTE(SUBSTITUTE(Griffin!C45,"+","")," ",""),"💬"),"")</f>
        <v>💬</v>
      </c>
      <c r="H175" s="10" t="str">
        <f>Griffin!F45</f>
        <v/>
      </c>
      <c r="I175" s="10" t="str">
        <f>Griffin!G45</f>
        <v>17.0</v>
      </c>
      <c r="J175" s="10" t="str">
        <f>Griffin!H45</f>
        <v>11th</v>
      </c>
      <c r="K175" s="10" t="str">
        <f>Griffin!CH45</f>
        <v>7%</v>
      </c>
      <c r="L175" s="10">
        <f>Griffin!CE45</f>
        <v>1</v>
      </c>
    </row>
    <row r="176" ht="16.5" customHeight="1">
      <c r="A176" s="20">
        <v>134.0</v>
      </c>
      <c r="B176" s="20" t="s">
        <v>23</v>
      </c>
      <c r="C176" s="20" t="s">
        <v>203</v>
      </c>
      <c r="D176" s="22" t="str">
        <f>Griffin!B46</f>
        <v>Muhammad Mair Aamir</v>
      </c>
      <c r="E176" s="23" t="str">
        <f>Griffin!C46</f>
        <v>'+923354214181</v>
      </c>
      <c r="F176" s="24" t="str">
        <f>IF(Griffin!C46&lt;&gt;"",HYPERLINK("tel:"&amp;SUBSTITUTE(SUBSTITUTE(Griffin!C46,"+","+")," ",""),"📞"),"")</f>
        <v>📞</v>
      </c>
      <c r="G176" s="41" t="str">
        <f>IF(Griffin!C46&lt;&gt;"",HYPERLINK("https://wa.me/"&amp;SUBSTITUTE(SUBSTITUTE(Griffin!C46,"+","")," ",""),"💬"),"")</f>
        <v>💬</v>
      </c>
      <c r="H176" s="20" t="str">
        <f>Griffin!F46</f>
        <v/>
      </c>
      <c r="I176" s="20" t="str">
        <f>Griffin!G46</f>
        <v>17.0</v>
      </c>
      <c r="J176" s="20" t="str">
        <f>Griffin!H46</f>
        <v>11th</v>
      </c>
      <c r="K176" s="20" t="str">
        <f>Griffin!CH46</f>
        <v>0%</v>
      </c>
      <c r="L176" s="20">
        <f>Griffin!CE46</f>
        <v>0</v>
      </c>
    </row>
    <row r="177" ht="16.5" customHeight="1">
      <c r="A177" s="10">
        <v>135.0</v>
      </c>
      <c r="B177" s="10" t="s">
        <v>23</v>
      </c>
      <c r="C177" s="10" t="s">
        <v>203</v>
      </c>
      <c r="D177" s="12" t="str">
        <f>Griffin!B47</f>
        <v>Abdul Rehman</v>
      </c>
      <c r="E177" s="14" t="str">
        <f>Griffin!C47</f>
        <v>'+923324260832</v>
      </c>
      <c r="F177" s="17" t="str">
        <f>IF(Griffin!C47&lt;&gt;"",HYPERLINK("tel:"&amp;SUBSTITUTE(SUBSTITUTE(Griffin!C47,"+","+")," ",""),"📞"),"")</f>
        <v>📞</v>
      </c>
      <c r="G177" s="19" t="str">
        <f>IF(Griffin!C47&lt;&gt;"",HYPERLINK("https://wa.me/"&amp;SUBSTITUTE(SUBSTITUTE(Griffin!C47,"+","")," ",""),"💬"),"")</f>
        <v>💬</v>
      </c>
      <c r="H177" s="10" t="str">
        <f>Griffin!F47</f>
        <v/>
      </c>
      <c r="I177" s="10" t="str">
        <f>Griffin!G47</f>
        <v>18.0</v>
      </c>
      <c r="J177" s="10" t="str">
        <f>Griffin!H47</f>
        <v/>
      </c>
      <c r="K177" s="10" t="str">
        <f>Griffin!CH47</f>
        <v>6%</v>
      </c>
      <c r="L177" s="10">
        <f>Griffin!CE47</f>
        <v>1</v>
      </c>
    </row>
    <row r="178" ht="16.5" customHeight="1">
      <c r="A178" s="20">
        <v>136.0</v>
      </c>
      <c r="B178" s="20" t="s">
        <v>23</v>
      </c>
      <c r="C178" s="20" t="s">
        <v>203</v>
      </c>
      <c r="D178" s="22" t="str">
        <f>Griffin!B48</f>
        <v>Abdullah Laiq</v>
      </c>
      <c r="E178" s="23" t="str">
        <f>Griffin!C48</f>
        <v>'+923294427334</v>
      </c>
      <c r="F178" s="24" t="str">
        <f>IF(Griffin!C48&lt;&gt;"",HYPERLINK("tel:"&amp;SUBSTITUTE(SUBSTITUTE(Griffin!C48,"+","+")," ",""),"📞"),"")</f>
        <v>📞</v>
      </c>
      <c r="G178" s="41" t="str">
        <f>IF(Griffin!C48&lt;&gt;"",HYPERLINK("https://wa.me/"&amp;SUBSTITUTE(SUBSTITUTE(Griffin!C48,"+","")," ",""),"💬"),"")</f>
        <v>💬</v>
      </c>
      <c r="H178" s="20" t="str">
        <f>Griffin!F48</f>
        <v/>
      </c>
      <c r="I178" s="20" t="str">
        <f>Griffin!G48</f>
        <v>19.0</v>
      </c>
      <c r="J178" s="20" t="str">
        <f>Griffin!H48</f>
        <v/>
      </c>
      <c r="K178" s="20" t="str">
        <f>Griffin!CH48</f>
        <v>13%</v>
      </c>
      <c r="L178" s="20">
        <f>Griffin!CE48</f>
        <v>2</v>
      </c>
    </row>
    <row r="179" ht="16.5" customHeight="1">
      <c r="A179" s="10">
        <v>137.0</v>
      </c>
      <c r="B179" s="10" t="s">
        <v>23</v>
      </c>
      <c r="C179" s="10" t="s">
        <v>203</v>
      </c>
      <c r="D179" s="12" t="str">
        <f>Griffin!B49</f>
        <v>Hafiz Abdul qadeer khan</v>
      </c>
      <c r="E179" s="14" t="str">
        <f>Griffin!C49</f>
        <v>'+923202405244</v>
      </c>
      <c r="F179" s="17" t="str">
        <f>IF(Griffin!C49&lt;&gt;"",HYPERLINK("tel:"&amp;SUBSTITUTE(SUBSTITUTE(Griffin!C49,"+","+")," ",""),"📞"),"")</f>
        <v>📞</v>
      </c>
      <c r="G179" s="19" t="str">
        <f>IF(Griffin!C49&lt;&gt;"",HYPERLINK("https://wa.me/"&amp;SUBSTITUTE(SUBSTITUTE(Griffin!C49,"+","")," ",""),"💬"),"")</f>
        <v>💬</v>
      </c>
      <c r="H179" s="10" t="str">
        <f>Griffin!F49</f>
        <v/>
      </c>
      <c r="I179" s="10" t="str">
        <f>Griffin!G49</f>
        <v>21.0</v>
      </c>
      <c r="J179" s="10" t="str">
        <f>Griffin!H49</f>
        <v/>
      </c>
      <c r="K179" s="10" t="str">
        <f>Griffin!CH49</f>
        <v>13%</v>
      </c>
      <c r="L179" s="10">
        <f>Griffin!CE49</f>
        <v>2</v>
      </c>
    </row>
    <row r="180" ht="16.5" customHeight="1">
      <c r="A180" s="20">
        <v>138.0</v>
      </c>
      <c r="B180" s="20" t="s">
        <v>23</v>
      </c>
      <c r="C180" s="20" t="s">
        <v>203</v>
      </c>
      <c r="D180" s="22" t="str">
        <f>Griffin!B50</f>
        <v>Azeem Shahzad</v>
      </c>
      <c r="E180" s="23" t="str">
        <f>Griffin!C50</f>
        <v>'+923286959529</v>
      </c>
      <c r="F180" s="24" t="str">
        <f>IF(Griffin!C50&lt;&gt;"",HYPERLINK("tel:"&amp;SUBSTITUTE(SUBSTITUTE(Griffin!C50,"+","+")," ",""),"📞"),"")</f>
        <v>📞</v>
      </c>
      <c r="G180" s="41" t="str">
        <f>IF(Griffin!C50&lt;&gt;"",HYPERLINK("https://wa.me/"&amp;SUBSTITUTE(SUBSTITUTE(Griffin!C50,"+","")," ",""),"💬"),"")</f>
        <v>💬</v>
      </c>
      <c r="H180" s="20" t="str">
        <f>Griffin!F50</f>
        <v/>
      </c>
      <c r="I180" s="20" t="str">
        <f>Griffin!G50</f>
        <v>22.0</v>
      </c>
      <c r="J180" s="20" t="str">
        <f>Griffin!H50</f>
        <v>12th</v>
      </c>
      <c r="K180" s="20" t="str">
        <f>Griffin!CH50</f>
        <v>50%</v>
      </c>
      <c r="L180" s="20">
        <f>Griffin!CE50</f>
        <v>8</v>
      </c>
    </row>
    <row r="181" ht="16.5" customHeight="1">
      <c r="A181" s="10">
        <v>139.0</v>
      </c>
      <c r="B181" s="10" t="s">
        <v>23</v>
      </c>
      <c r="C181" s="10" t="s">
        <v>203</v>
      </c>
      <c r="D181" s="12" t="str">
        <f>Griffin!B51</f>
        <v>Yasir ali</v>
      </c>
      <c r="E181" s="14" t="str">
        <f>Griffin!C51</f>
        <v>'+923068555569</v>
      </c>
      <c r="F181" s="17" t="str">
        <f>IF(Griffin!C51&lt;&gt;"",HYPERLINK("tel:"&amp;SUBSTITUTE(SUBSTITUTE(Griffin!C51,"+","+")," ",""),"📞"),"")</f>
        <v>📞</v>
      </c>
      <c r="G181" s="19" t="str">
        <f>IF(Griffin!C51&lt;&gt;"",HYPERLINK("https://wa.me/"&amp;SUBSTITUTE(SUBSTITUTE(Griffin!C51,"+","")," ",""),"💬"),"")</f>
        <v>💬</v>
      </c>
      <c r="H181" s="10" t="str">
        <f>Griffin!F51</f>
        <v/>
      </c>
      <c r="I181" s="10" t="str">
        <f>Griffin!G51</f>
        <v>24.0</v>
      </c>
      <c r="J181" s="10" t="str">
        <f>Griffin!H51</f>
        <v>10th</v>
      </c>
      <c r="K181" s="10" t="str">
        <f>Griffin!CH51</f>
        <v>0%</v>
      </c>
      <c r="L181" s="10">
        <f>Griffin!CE51</f>
        <v>0</v>
      </c>
    </row>
    <row r="182" ht="16.5" customHeight="1">
      <c r="A182" s="20">
        <v>140.0</v>
      </c>
      <c r="B182" s="20" t="s">
        <v>23</v>
      </c>
      <c r="C182" s="20" t="s">
        <v>203</v>
      </c>
      <c r="D182" s="22" t="str">
        <f>Griffin!B52</f>
        <v>Abdullah Waseem</v>
      </c>
      <c r="E182" s="23" t="str">
        <f>Griffin!C52</f>
        <v/>
      </c>
      <c r="F182" s="24" t="str">
        <f>IF(Griffin!C52&lt;&gt;"",HYPERLINK("tel:"&amp;SUBSTITUTE(SUBSTITUTE(Griffin!C52,"+","+")," ",""),"📞"),"")</f>
        <v/>
      </c>
      <c r="G182" s="26" t="str">
        <f>IF(Griffin!C52&lt;&gt;"",HYPERLINK("https://wa.me/"&amp;SUBSTITUTE(SUBSTITUTE(Griffin!C52,"+","")," ",""),"💬"),"")</f>
        <v/>
      </c>
      <c r="H182" s="20" t="str">
        <f>Griffin!F52</f>
        <v/>
      </c>
      <c r="I182" s="20" t="str">
        <f>Griffin!G52</f>
        <v/>
      </c>
      <c r="J182" s="20" t="str">
        <f>Griffin!H52</f>
        <v/>
      </c>
      <c r="K182" s="20" t="str">
        <f>Griffin!CH52</f>
        <v>6%</v>
      </c>
      <c r="L182" s="20">
        <f>Griffin!CE52</f>
        <v>1</v>
      </c>
    </row>
    <row r="183" ht="16.5" customHeight="1">
      <c r="A183" s="10">
        <v>141.0</v>
      </c>
      <c r="B183" s="10" t="s">
        <v>23</v>
      </c>
      <c r="C183" s="10" t="s">
        <v>203</v>
      </c>
      <c r="D183" s="12" t="str">
        <f>Griffin!B53</f>
        <v>Hassan Tahir</v>
      </c>
      <c r="E183" s="14" t="str">
        <f>Griffin!C53</f>
        <v/>
      </c>
      <c r="F183" s="17" t="str">
        <f>IF(Griffin!C53&lt;&gt;"",HYPERLINK("tel:"&amp;SUBSTITUTE(SUBSTITUTE(Griffin!C53,"+","+")," ",""),"📞"),"")</f>
        <v/>
      </c>
      <c r="G183" s="28" t="str">
        <f>IF(Griffin!C53&lt;&gt;"",HYPERLINK("https://wa.me/"&amp;SUBSTITUTE(SUBSTITUTE(Griffin!C53,"+","")," ",""),"💬"),"")</f>
        <v/>
      </c>
      <c r="H183" s="10" t="str">
        <f>Griffin!F53</f>
        <v/>
      </c>
      <c r="I183" s="10" t="str">
        <f>Griffin!G53</f>
        <v/>
      </c>
      <c r="J183" s="10" t="str">
        <f>Griffin!H53</f>
        <v/>
      </c>
      <c r="K183" s="10" t="str">
        <f>Griffin!CH53</f>
        <v>50%</v>
      </c>
      <c r="L183" s="10">
        <f>Griffin!CE53</f>
        <v>8</v>
      </c>
    </row>
    <row r="184" ht="16.5" customHeight="1">
      <c r="A184" s="20">
        <v>142.0</v>
      </c>
      <c r="B184" s="20" t="s">
        <v>23</v>
      </c>
      <c r="C184" s="20" t="s">
        <v>203</v>
      </c>
      <c r="D184" s="22" t="str">
        <f>Griffin!B54</f>
        <v>Hambal</v>
      </c>
      <c r="E184" s="23" t="str">
        <f>Griffin!C54</f>
        <v/>
      </c>
      <c r="F184" s="24" t="str">
        <f>IF(Griffin!C54&lt;&gt;"",HYPERLINK("tel:"&amp;SUBSTITUTE(SUBSTITUTE(Griffin!C54,"+","+")," ",""),"📞"),"")</f>
        <v/>
      </c>
      <c r="G184" s="26" t="str">
        <f>IF(Griffin!C54&lt;&gt;"",HYPERLINK("https://wa.me/"&amp;SUBSTITUTE(SUBSTITUTE(Griffin!C54,"+","")," ",""),"💬"),"")</f>
        <v/>
      </c>
      <c r="H184" s="20" t="str">
        <f>Griffin!F54</f>
        <v/>
      </c>
      <c r="I184" s="20" t="str">
        <f>Griffin!G54</f>
        <v/>
      </c>
      <c r="J184" s="20" t="str">
        <f>Griffin!H54</f>
        <v/>
      </c>
      <c r="K184" s="20" t="str">
        <f>Griffin!CH54</f>
        <v>36%</v>
      </c>
      <c r="L184" s="20">
        <f>Griffin!CE54</f>
        <v>5</v>
      </c>
    </row>
    <row r="185" ht="16.5" customHeight="1">
      <c r="A185" s="10">
        <v>143.0</v>
      </c>
      <c r="B185" s="10" t="s">
        <v>23</v>
      </c>
      <c r="C185" s="10" t="s">
        <v>203</v>
      </c>
      <c r="D185" s="12" t="str">
        <f>Griffin!B55</f>
        <v>Waqas Arif</v>
      </c>
      <c r="E185" s="14" t="str">
        <f>Griffin!C55</f>
        <v/>
      </c>
      <c r="F185" s="17" t="str">
        <f>IF(Griffin!C55&lt;&gt;"",HYPERLINK("tel:"&amp;SUBSTITUTE(SUBSTITUTE(Griffin!C55,"+","+")," ",""),"📞"),"")</f>
        <v/>
      </c>
      <c r="G185" s="28" t="str">
        <f>IF(Griffin!C55&lt;&gt;"",HYPERLINK("https://wa.me/"&amp;SUBSTITUTE(SUBSTITUTE(Griffin!C55,"+","")," ",""),"💬"),"")</f>
        <v/>
      </c>
      <c r="H185" s="10" t="str">
        <f>Griffin!F55</f>
        <v/>
      </c>
      <c r="I185" s="10" t="str">
        <f>Griffin!G55</f>
        <v/>
      </c>
      <c r="J185" s="10" t="str">
        <f>Griffin!H55</f>
        <v/>
      </c>
      <c r="K185" s="10" t="str">
        <f>Griffin!CH55</f>
        <v>55%</v>
      </c>
      <c r="L185" s="10">
        <f>Griffin!CE55</f>
        <v>6</v>
      </c>
    </row>
    <row r="186" ht="16.5" customHeight="1">
      <c r="A186" s="57">
        <f>IF(Griffin!B56&lt;&gt;"",SUMPRODUCT((LEN(D151:D185)&gt;0)*1)+1,"")</f>
        <v>36</v>
      </c>
      <c r="B186" s="57" t="str">
        <f>IF(Griffin!B56&lt;&gt;"","Griffin","")</f>
        <v>Griffin</v>
      </c>
      <c r="C186" s="57" t="str">
        <f>IF(Griffin!B56&lt;&gt;"","Group 2","")</f>
        <v>Group 2</v>
      </c>
      <c r="D186" s="58" t="str">
        <f>IF(Griffin!B56&lt;&gt;"",Griffin!B56,"")</f>
        <v>Taha Shahid</v>
      </c>
      <c r="E186" s="57" t="str">
        <f>IF(Griffin!B56&lt;&gt;"",Griffin!C56,"")</f>
        <v/>
      </c>
      <c r="F186" s="60" t="str">
        <f>IF(Griffin!B56&lt;&gt;"",HYPERLINK("tel:"&amp;SUBSTITUTE(SUBSTITUTE(Griffin!C56,"+","+")," ",""),"📞"),"")</f>
        <v>📞</v>
      </c>
      <c r="G186" s="61" t="str">
        <f>IF(Griffin!B56&lt;&gt;"",HYPERLINK("https://wa.me/"&amp;SUBSTITUTE(SUBSTITUTE(Griffin!C56,"+","")," ",""),"💬"),"")</f>
        <v>💬</v>
      </c>
      <c r="H186" s="57" t="str">
        <f>IF(Griffin!B56&lt;&gt;"",Griffin!F56,"")</f>
        <v/>
      </c>
      <c r="I186" s="57" t="str">
        <f>IF(Griffin!B56&lt;&gt;"",Griffin!G56,"")</f>
        <v/>
      </c>
      <c r="J186" s="57" t="str">
        <f>IF(Griffin!B56&lt;&gt;"",Griffin!H56,"")</f>
        <v/>
      </c>
      <c r="K186" s="57" t="str">
        <f>IF(Griffin!B56&lt;&gt;"",Griffin!CH56,"")</f>
        <v>75%</v>
      </c>
      <c r="L186" s="57">
        <f>IF(Griffin!B56&lt;&gt;"",Griffin!CE56,"")</f>
        <v>9</v>
      </c>
    </row>
    <row r="187" ht="16.5" customHeight="1">
      <c r="A187" s="57">
        <f>IF(Griffin!B57&lt;&gt;"",SUMPRODUCT((LEN(D151:D186)&gt;0)*1)+1,"")</f>
        <v>37</v>
      </c>
      <c r="B187" s="57" t="str">
        <f>IF(Griffin!B57&lt;&gt;"","Griffin","")</f>
        <v>Griffin</v>
      </c>
      <c r="C187" s="57" t="str">
        <f>IF(Griffin!B57&lt;&gt;"","Group 2","")</f>
        <v>Group 2</v>
      </c>
      <c r="D187" s="58" t="str">
        <f>IF(Griffin!B57&lt;&gt;"",Griffin!B57,"")</f>
        <v>Ayan Shahid</v>
      </c>
      <c r="E187" s="57" t="str">
        <f>IF(Griffin!B57&lt;&gt;"",Griffin!C57,"")</f>
        <v/>
      </c>
      <c r="F187" s="60" t="str">
        <f>IF(Griffin!B57&lt;&gt;"",HYPERLINK("tel:"&amp;SUBSTITUTE(SUBSTITUTE(Griffin!C57,"+","+")," ",""),"📞"),"")</f>
        <v>📞</v>
      </c>
      <c r="G187" s="61" t="str">
        <f>IF(Griffin!B57&lt;&gt;"",HYPERLINK("https://wa.me/"&amp;SUBSTITUTE(SUBSTITUTE(Griffin!C57,"+","")," ",""),"💬"),"")</f>
        <v>💬</v>
      </c>
      <c r="H187" s="57" t="str">
        <f>IF(Griffin!B57&lt;&gt;"",Griffin!F57,"")</f>
        <v/>
      </c>
      <c r="I187" s="57" t="str">
        <f>IF(Griffin!B57&lt;&gt;"",Griffin!G57,"")</f>
        <v/>
      </c>
      <c r="J187" s="57" t="str">
        <f>IF(Griffin!B57&lt;&gt;"",Griffin!H57,"")</f>
        <v/>
      </c>
      <c r="K187" s="57" t="str">
        <f>IF(Griffin!B57&lt;&gt;"",Griffin!CH57,"")</f>
        <v>75%</v>
      </c>
      <c r="L187" s="57">
        <f>IF(Griffin!B57&lt;&gt;"",Griffin!CE57,"")</f>
        <v>9</v>
      </c>
    </row>
    <row r="188" ht="16.5" customHeight="1">
      <c r="A188" s="57">
        <f>IF(Griffin!B58&lt;&gt;"",SUMPRODUCT((LEN(D151:D187)&gt;0)*1)+1,"")</f>
        <v>38</v>
      </c>
      <c r="B188" s="57" t="str">
        <f>IF(Griffin!B58&lt;&gt;"","Griffin","")</f>
        <v>Griffin</v>
      </c>
      <c r="C188" s="57" t="str">
        <f>IF(Griffin!B58&lt;&gt;"","Group 2","")</f>
        <v>Group 2</v>
      </c>
      <c r="D188" s="58" t="str">
        <f>IF(Griffin!B58&lt;&gt;"",Griffin!B58,"")</f>
        <v>Hafiz Hamza</v>
      </c>
      <c r="E188" s="57" t="str">
        <f>IF(Griffin!B58&lt;&gt;"",Griffin!C58,"")</f>
        <v/>
      </c>
      <c r="F188" s="60" t="str">
        <f>IF(Griffin!B58&lt;&gt;"",HYPERLINK("tel:"&amp;SUBSTITUTE(SUBSTITUTE(Griffin!C58,"+","+")," ",""),"📞"),"")</f>
        <v>📞</v>
      </c>
      <c r="G188" s="61" t="str">
        <f>IF(Griffin!B58&lt;&gt;"",HYPERLINK("https://wa.me/"&amp;SUBSTITUTE(SUBSTITUTE(Griffin!C58,"+","")," ",""),"💬"),"")</f>
        <v>💬</v>
      </c>
      <c r="H188" s="57" t="str">
        <f>IF(Griffin!B58&lt;&gt;"",Griffin!F58,"")</f>
        <v/>
      </c>
      <c r="I188" s="57" t="str">
        <f>IF(Griffin!B58&lt;&gt;"",Griffin!G58,"")</f>
        <v/>
      </c>
      <c r="J188" s="57" t="str">
        <f>IF(Griffin!B58&lt;&gt;"",Griffin!H58,"")</f>
        <v/>
      </c>
      <c r="K188" s="57" t="str">
        <f>IF(Griffin!B58&lt;&gt;"",Griffin!CH58,"")</f>
        <v>0%</v>
      </c>
      <c r="L188" s="57">
        <f>IF(Griffin!B58&lt;&gt;"",Griffin!CE58,"")</f>
        <v>0</v>
      </c>
    </row>
    <row r="189" ht="16.5" customHeight="1">
      <c r="A189" s="57">
        <f>IF(Griffin!B59&lt;&gt;"",SUMPRODUCT((LEN(D151:D188)&gt;0)*1)+1,"")</f>
        <v>39</v>
      </c>
      <c r="B189" s="57" t="str">
        <f>IF(Griffin!B59&lt;&gt;"","Griffin","")</f>
        <v>Griffin</v>
      </c>
      <c r="C189" s="57" t="str">
        <f>IF(Griffin!B59&lt;&gt;"","Group 2","")</f>
        <v>Group 2</v>
      </c>
      <c r="D189" s="58" t="str">
        <f>IF(Griffin!B59&lt;&gt;"",Griffin!B59,"")</f>
        <v>Umair</v>
      </c>
      <c r="E189" s="57" t="str">
        <f>IF(Griffin!B59&lt;&gt;"",Griffin!C59,"")</f>
        <v/>
      </c>
      <c r="F189" s="60" t="str">
        <f>IF(Griffin!B59&lt;&gt;"",HYPERLINK("tel:"&amp;SUBSTITUTE(SUBSTITUTE(Griffin!C59,"+","+")," ",""),"📞"),"")</f>
        <v>📞</v>
      </c>
      <c r="G189" s="61" t="str">
        <f>IF(Griffin!B59&lt;&gt;"",HYPERLINK("https://wa.me/"&amp;SUBSTITUTE(SUBSTITUTE(Griffin!C59,"+","")," ",""),"💬"),"")</f>
        <v>💬</v>
      </c>
      <c r="H189" s="57" t="str">
        <f>IF(Griffin!B59&lt;&gt;"",Griffin!F59,"")</f>
        <v/>
      </c>
      <c r="I189" s="57" t="str">
        <f>IF(Griffin!B59&lt;&gt;"",Griffin!G59,"")</f>
        <v/>
      </c>
      <c r="J189" s="57" t="str">
        <f>IF(Griffin!B59&lt;&gt;"",Griffin!H59,"")</f>
        <v/>
      </c>
      <c r="K189" s="57" t="str">
        <f>IF(Griffin!B59&lt;&gt;"",Griffin!CH59,"")</f>
        <v>50%</v>
      </c>
      <c r="L189" s="57">
        <f>IF(Griffin!B59&lt;&gt;"",Griffin!CE59,"")</f>
        <v>4</v>
      </c>
    </row>
    <row r="190" ht="16.5" customHeight="1">
      <c r="A190" s="57">
        <f>IF(Griffin!B60&lt;&gt;"",SUMPRODUCT((LEN(D151:D189)&gt;0)*1)+1,"")</f>
        <v>40</v>
      </c>
      <c r="B190" s="57" t="str">
        <f>IF(Griffin!B60&lt;&gt;"","Griffin","")</f>
        <v>Griffin</v>
      </c>
      <c r="C190" s="57" t="str">
        <f>IF(Griffin!B60&lt;&gt;"","Group 2","")</f>
        <v>Group 2</v>
      </c>
      <c r="D190" s="58" t="str">
        <f>IF(Griffin!B60&lt;&gt;"",Griffin!B60,"")</f>
        <v>Muhammad Ibrahim</v>
      </c>
      <c r="E190" s="57" t="str">
        <f>IF(Griffin!B60&lt;&gt;"",Griffin!C60,"")</f>
        <v/>
      </c>
      <c r="F190" s="60" t="str">
        <f>IF(Griffin!B60&lt;&gt;"",HYPERLINK("tel:"&amp;SUBSTITUTE(SUBSTITUTE(Griffin!C60,"+","+")," ",""),"📞"),"")</f>
        <v>📞</v>
      </c>
      <c r="G190" s="61" t="str">
        <f>IF(Griffin!B60&lt;&gt;"",HYPERLINK("https://wa.me/"&amp;SUBSTITUTE(SUBSTITUTE(Griffin!C60,"+","")," ",""),"💬"),"")</f>
        <v>💬</v>
      </c>
      <c r="H190" s="57" t="str">
        <f>IF(Griffin!B60&lt;&gt;"",Griffin!F60,"")</f>
        <v/>
      </c>
      <c r="I190" s="57" t="str">
        <f>IF(Griffin!B60&lt;&gt;"",Griffin!G60,"")</f>
        <v/>
      </c>
      <c r="J190" s="57" t="str">
        <f>IF(Griffin!B60&lt;&gt;"",Griffin!H60,"")</f>
        <v/>
      </c>
      <c r="K190" s="57" t="str">
        <f>IF(Griffin!B60&lt;&gt;"",Griffin!CH60,"")</f>
        <v>83%</v>
      </c>
      <c r="L190" s="57">
        <f>IF(Griffin!B60&lt;&gt;"",Griffin!CE60,"")</f>
        <v>5</v>
      </c>
    </row>
    <row r="191" ht="15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</row>
    <row r="192" ht="18.0" customHeight="1">
      <c r="A192" s="8" t="str">
        <f>"▶  Johar Town  ("&amp;SUMPRODUCT((LEN(D193:D241)&gt;0)*1)&amp;" students)"</f>
        <v>▶  Johar Town  (39 students)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3"/>
    </row>
    <row r="193" ht="16.5" customHeight="1">
      <c r="A193" s="20">
        <v>144.0</v>
      </c>
      <c r="B193" s="20" t="s">
        <v>24</v>
      </c>
      <c r="C193" s="20" t="s">
        <v>22</v>
      </c>
      <c r="D193" s="22" t="str">
        <f>Johar_Town!B21</f>
        <v>Muhammad Bin Tayyab</v>
      </c>
      <c r="E193" s="23" t="str">
        <f>Johar_Town!C21</f>
        <v>'+923091840981</v>
      </c>
      <c r="F193" s="24" t="str">
        <f>IF(Johar_Town!C21&lt;&gt;"",HYPERLINK("tel:"&amp;SUBSTITUTE(SUBSTITUTE(Johar_Town!C21,"+","+")," ",""),"📞"),"")</f>
        <v>📞</v>
      </c>
      <c r="G193" s="41" t="str">
        <f>IF(Johar_Town!C21&lt;&gt;"",HYPERLINK("https://wa.me/"&amp;SUBSTITUTE(SUBSTITUTE(Johar_Town!C21,"+","")," ",""),"💬"),"")</f>
        <v>💬</v>
      </c>
      <c r="H193" s="20" t="str">
        <f>Johar_Town!F21</f>
        <v>—</v>
      </c>
      <c r="I193" s="20" t="str">
        <f>Johar_Town!G21</f>
        <v>12</v>
      </c>
      <c r="J193" s="20" t="str">
        <f>Johar_Town!H21</f>
        <v/>
      </c>
      <c r="K193" s="20" t="str">
        <f>Johar_Town!CH21</f>
        <v>17%</v>
      </c>
      <c r="L193" s="20">
        <f>Johar_Town!CE21</f>
        <v>3</v>
      </c>
    </row>
    <row r="194" ht="16.5" customHeight="1">
      <c r="A194" s="10">
        <v>145.0</v>
      </c>
      <c r="B194" s="10" t="s">
        <v>24</v>
      </c>
      <c r="C194" s="10" t="s">
        <v>22</v>
      </c>
      <c r="D194" s="12" t="str">
        <f>Johar_Town!B22</f>
        <v>Muhammad hashir azeem</v>
      </c>
      <c r="E194" s="14" t="str">
        <f>Johar_Town!C22</f>
        <v>'+923342473881</v>
      </c>
      <c r="F194" s="17" t="str">
        <f>IF(Johar_Town!C22&lt;&gt;"",HYPERLINK("tel:"&amp;SUBSTITUTE(SUBSTITUTE(Johar_Town!C22,"+","+")," ",""),"📞"),"")</f>
        <v>📞</v>
      </c>
      <c r="G194" s="19" t="str">
        <f>IF(Johar_Town!C22&lt;&gt;"",HYPERLINK("https://wa.me/"&amp;SUBSTITUTE(SUBSTITUTE(Johar_Town!C22,"+","")," ",""),"💬"),"")</f>
        <v>💬</v>
      </c>
      <c r="H194" s="10" t="str">
        <f>Johar_Town!F22</f>
        <v>—</v>
      </c>
      <c r="I194" s="10" t="str">
        <f>Johar_Town!G22</f>
        <v>12</v>
      </c>
      <c r="J194" s="10" t="str">
        <f>Johar_Town!H22</f>
        <v>Home Schooling</v>
      </c>
      <c r="K194" s="10" t="str">
        <f>Johar_Town!CH22</f>
        <v>36%</v>
      </c>
      <c r="L194" s="10">
        <f>Johar_Town!CE22</f>
        <v>5</v>
      </c>
    </row>
    <row r="195" ht="16.5" customHeight="1">
      <c r="A195" s="20">
        <v>146.0</v>
      </c>
      <c r="B195" s="20" t="s">
        <v>24</v>
      </c>
      <c r="C195" s="20" t="s">
        <v>22</v>
      </c>
      <c r="D195" s="22" t="str">
        <f>Johar_Town!B23</f>
        <v>Abdul Hadi</v>
      </c>
      <c r="E195" s="23" t="str">
        <f>Johar_Town!C23</f>
        <v>'+923158437450</v>
      </c>
      <c r="F195" s="24" t="str">
        <f>IF(Johar_Town!C23&lt;&gt;"",HYPERLINK("tel:"&amp;SUBSTITUTE(SUBSTITUTE(Johar_Town!C23,"+","+")," ",""),"📞"),"")</f>
        <v>📞</v>
      </c>
      <c r="G195" s="41" t="str">
        <f>IF(Johar_Town!C23&lt;&gt;"",HYPERLINK("https://wa.me/"&amp;SUBSTITUTE(SUBSTITUTE(Johar_Town!C23,"+","")," ",""),"💬"),"")</f>
        <v>💬</v>
      </c>
      <c r="H195" s="20" t="str">
        <f>Johar_Town!F23</f>
        <v>—</v>
      </c>
      <c r="I195" s="20" t="str">
        <f>Johar_Town!G23</f>
        <v>13</v>
      </c>
      <c r="J195" s="20" t="str">
        <f>Johar_Town!H23</f>
        <v/>
      </c>
      <c r="K195" s="20" t="str">
        <f>Johar_Town!CH23</f>
        <v>89%</v>
      </c>
      <c r="L195" s="20">
        <f>Johar_Town!CE23</f>
        <v>16</v>
      </c>
    </row>
    <row r="196" ht="16.5" customHeight="1">
      <c r="A196" s="10">
        <v>147.0</v>
      </c>
      <c r="B196" s="10" t="s">
        <v>24</v>
      </c>
      <c r="C196" s="10" t="s">
        <v>22</v>
      </c>
      <c r="D196" s="12" t="str">
        <f>Johar_Town!B24</f>
        <v>Abdul Sami</v>
      </c>
      <c r="E196" s="14" t="str">
        <f>Johar_Town!C24</f>
        <v>'+923117408253</v>
      </c>
      <c r="F196" s="17" t="str">
        <f>IF(Johar_Town!C24&lt;&gt;"",HYPERLINK("tel:"&amp;SUBSTITUTE(SUBSTITUTE(Johar_Town!C24,"+","+")," ",""),"📞"),"")</f>
        <v>📞</v>
      </c>
      <c r="G196" s="19" t="str">
        <f>IF(Johar_Town!C24&lt;&gt;"",HYPERLINK("https://wa.me/"&amp;SUBSTITUTE(SUBSTITUTE(Johar_Town!C24,"+","")," ",""),"💬"),"")</f>
        <v>💬</v>
      </c>
      <c r="H196" s="10" t="str">
        <f>Johar_Town!F24</f>
        <v>—</v>
      </c>
      <c r="I196" s="10" t="str">
        <f>Johar_Town!G24</f>
        <v>13</v>
      </c>
      <c r="J196" s="10" t="str">
        <f>Johar_Town!H24</f>
        <v/>
      </c>
      <c r="K196" s="10" t="str">
        <f>Johar_Town!CH24</f>
        <v>29%</v>
      </c>
      <c r="L196" s="10">
        <f>Johar_Town!CE24</f>
        <v>4</v>
      </c>
    </row>
    <row r="197" ht="16.5" customHeight="1">
      <c r="A197" s="20">
        <v>148.0</v>
      </c>
      <c r="B197" s="20" t="s">
        <v>24</v>
      </c>
      <c r="C197" s="20" t="s">
        <v>22</v>
      </c>
      <c r="D197" s="22" t="str">
        <f>Johar_Town!B25</f>
        <v>Umar Abdullah</v>
      </c>
      <c r="E197" s="23" t="str">
        <f>Johar_Town!C25</f>
        <v>'+923124369181</v>
      </c>
      <c r="F197" s="24" t="str">
        <f>IF(Johar_Town!C25&lt;&gt;"",HYPERLINK("tel:"&amp;SUBSTITUTE(SUBSTITUTE(Johar_Town!C25,"+","+")," ",""),"📞"),"")</f>
        <v>📞</v>
      </c>
      <c r="G197" s="41" t="str">
        <f>IF(Johar_Town!C25&lt;&gt;"",HYPERLINK("https://wa.me/"&amp;SUBSTITUTE(SUBSTITUTE(Johar_Town!C25,"+","")," ",""),"💬"),"")</f>
        <v>💬</v>
      </c>
      <c r="H197" s="20" t="str">
        <f>Johar_Town!F25</f>
        <v>—</v>
      </c>
      <c r="I197" s="20" t="str">
        <f>Johar_Town!G25</f>
        <v>13</v>
      </c>
      <c r="J197" s="20" t="str">
        <f>Johar_Town!H25</f>
        <v/>
      </c>
      <c r="K197" s="20" t="str">
        <f>Johar_Town!CH25</f>
        <v>91%</v>
      </c>
      <c r="L197" s="20">
        <f>Johar_Town!CE25</f>
        <v>10</v>
      </c>
    </row>
    <row r="198" ht="16.5" customHeight="1">
      <c r="A198" s="10">
        <v>149.0</v>
      </c>
      <c r="B198" s="10" t="s">
        <v>24</v>
      </c>
      <c r="C198" s="10" t="s">
        <v>22</v>
      </c>
      <c r="D198" s="12" t="str">
        <f>Johar_Town!B26</f>
        <v>Muhammad Ahmad Naseem</v>
      </c>
      <c r="E198" s="14" t="str">
        <f>Johar_Town!C26</f>
        <v>'+923334240081</v>
      </c>
      <c r="F198" s="17" t="str">
        <f>IF(Johar_Town!C26&lt;&gt;"",HYPERLINK("tel:"&amp;SUBSTITUTE(SUBSTITUTE(Johar_Town!C26,"+","+")," ",""),"📞"),"")</f>
        <v>📞</v>
      </c>
      <c r="G198" s="19" t="str">
        <f>IF(Johar_Town!C26&lt;&gt;"",HYPERLINK("https://wa.me/"&amp;SUBSTITUTE(SUBSTITUTE(Johar_Town!C26,"+","")," ",""),"💬"),"")</f>
        <v>💬</v>
      </c>
      <c r="H198" s="10" t="str">
        <f>Johar_Town!F26</f>
        <v>—</v>
      </c>
      <c r="I198" s="10" t="str">
        <f>Johar_Town!G26</f>
        <v>13</v>
      </c>
      <c r="J198" s="10" t="str">
        <f>Johar_Town!H26</f>
        <v/>
      </c>
      <c r="K198" s="10" t="str">
        <f>Johar_Town!CH26</f>
        <v>35%</v>
      </c>
      <c r="L198" s="10">
        <f>Johar_Town!CE26</f>
        <v>6</v>
      </c>
    </row>
    <row r="199" ht="16.5" customHeight="1">
      <c r="A199" s="20">
        <v>150.0</v>
      </c>
      <c r="B199" s="20" t="s">
        <v>24</v>
      </c>
      <c r="C199" s="20" t="s">
        <v>22</v>
      </c>
      <c r="D199" s="22" t="str">
        <f>Johar_Town!B27</f>
        <v>Muhammad Aariz azeem</v>
      </c>
      <c r="E199" s="23" t="str">
        <f>Johar_Town!C27</f>
        <v>'+923342473881</v>
      </c>
      <c r="F199" s="24" t="str">
        <f>IF(Johar_Town!C27&lt;&gt;"",HYPERLINK("tel:"&amp;SUBSTITUTE(SUBSTITUTE(Johar_Town!C27,"+","+")," ",""),"📞"),"")</f>
        <v>📞</v>
      </c>
      <c r="G199" s="41" t="str">
        <f>IF(Johar_Town!C27&lt;&gt;"",HYPERLINK("https://wa.me/"&amp;SUBSTITUTE(SUBSTITUTE(Johar_Town!C27,"+","")," ",""),"💬"),"")</f>
        <v>💬</v>
      </c>
      <c r="H199" s="20" t="str">
        <f>Johar_Town!F27</f>
        <v>—</v>
      </c>
      <c r="I199" s="20" t="str">
        <f>Johar_Town!G27</f>
        <v>13</v>
      </c>
      <c r="J199" s="20" t="str">
        <f>Johar_Town!H27</f>
        <v>Home Schooling</v>
      </c>
      <c r="K199" s="20" t="str">
        <f>Johar_Town!CH27</f>
        <v>50%</v>
      </c>
      <c r="L199" s="20">
        <f>Johar_Town!CE27</f>
        <v>8</v>
      </c>
    </row>
    <row r="200" ht="16.5" customHeight="1">
      <c r="A200" s="10">
        <v>151.0</v>
      </c>
      <c r="B200" s="10" t="s">
        <v>24</v>
      </c>
      <c r="C200" s="10" t="s">
        <v>22</v>
      </c>
      <c r="D200" s="12" t="str">
        <f>Johar_Town!B28</f>
        <v>Muhammad ABDULLAH Tariq</v>
      </c>
      <c r="E200" s="14" t="str">
        <f>Johar_Town!C28</f>
        <v>'+923224520292</v>
      </c>
      <c r="F200" s="17" t="str">
        <f>IF(Johar_Town!C28&lt;&gt;"",HYPERLINK("tel:"&amp;SUBSTITUTE(SUBSTITUTE(Johar_Town!C28,"+","+")," ",""),"📞"),"")</f>
        <v>📞</v>
      </c>
      <c r="G200" s="19" t="str">
        <f>IF(Johar_Town!C28&lt;&gt;"",HYPERLINK("https://wa.me/"&amp;SUBSTITUTE(SUBSTITUTE(Johar_Town!C28,"+","")," ",""),"💬"),"")</f>
        <v>💬</v>
      </c>
      <c r="H200" s="10" t="str">
        <f>Johar_Town!F28</f>
        <v>—</v>
      </c>
      <c r="I200" s="10" t="str">
        <f>Johar_Town!G28</f>
        <v>13</v>
      </c>
      <c r="J200" s="10" t="str">
        <f>Johar_Town!H28</f>
        <v>Hafiz</v>
      </c>
      <c r="K200" s="10" t="str">
        <f>Johar_Town!CH28</f>
        <v>81%</v>
      </c>
      <c r="L200" s="10">
        <f>Johar_Town!CE28</f>
        <v>13</v>
      </c>
    </row>
    <row r="201" ht="16.5" customHeight="1">
      <c r="A201" s="20">
        <v>152.0</v>
      </c>
      <c r="B201" s="20" t="s">
        <v>24</v>
      </c>
      <c r="C201" s="20" t="s">
        <v>22</v>
      </c>
      <c r="D201" s="22" t="str">
        <f>Johar_Town!B29</f>
        <v>Hamza Ali</v>
      </c>
      <c r="E201" s="23" t="str">
        <f>Johar_Town!C29</f>
        <v>'+923242606606</v>
      </c>
      <c r="F201" s="24" t="str">
        <f>IF(Johar_Town!C29&lt;&gt;"",HYPERLINK("tel:"&amp;SUBSTITUTE(SUBSTITUTE(Johar_Town!C29,"+","+")," ",""),"📞"),"")</f>
        <v>📞</v>
      </c>
      <c r="G201" s="41" t="str">
        <f>IF(Johar_Town!C29&lt;&gt;"",HYPERLINK("https://wa.me/"&amp;SUBSTITUTE(SUBSTITUTE(Johar_Town!C29,"+","")," ",""),"💬"),"")</f>
        <v>💬</v>
      </c>
      <c r="H201" s="20" t="str">
        <f>Johar_Town!F29</f>
        <v>—</v>
      </c>
      <c r="I201" s="20" t="str">
        <f>Johar_Town!G29</f>
        <v>13</v>
      </c>
      <c r="J201" s="20" t="str">
        <f>Johar_Town!H29</f>
        <v>O Level</v>
      </c>
      <c r="K201" s="20" t="str">
        <f>Johar_Town!CH29</f>
        <v>70%</v>
      </c>
      <c r="L201" s="20">
        <f>Johar_Town!CE29</f>
        <v>7</v>
      </c>
    </row>
    <row r="202" ht="16.5" customHeight="1">
      <c r="A202" s="10">
        <v>153.0</v>
      </c>
      <c r="B202" s="10" t="s">
        <v>24</v>
      </c>
      <c r="C202" s="10" t="s">
        <v>22</v>
      </c>
      <c r="D202" s="12" t="str">
        <f>Johar_Town!B30</f>
        <v>M.Hammad Khan</v>
      </c>
      <c r="E202" s="14" t="str">
        <f>Johar_Town!C30</f>
        <v>'+923158437450</v>
      </c>
      <c r="F202" s="17" t="str">
        <f>IF(Johar_Town!C30&lt;&gt;"",HYPERLINK("tel:"&amp;SUBSTITUTE(SUBSTITUTE(Johar_Town!C30,"+","+")," ",""),"📞"),"")</f>
        <v>📞</v>
      </c>
      <c r="G202" s="19" t="str">
        <f>IF(Johar_Town!C30&lt;&gt;"",HYPERLINK("https://wa.me/"&amp;SUBSTITUTE(SUBSTITUTE(Johar_Town!C30,"+","")," ",""),"💬"),"")</f>
        <v>💬</v>
      </c>
      <c r="H202" s="10" t="str">
        <f>Johar_Town!F30</f>
        <v>—</v>
      </c>
      <c r="I202" s="10" t="str">
        <f>Johar_Town!G30</f>
        <v>14</v>
      </c>
      <c r="J202" s="10" t="str">
        <f>Johar_Town!H30</f>
        <v/>
      </c>
      <c r="K202" s="10" t="str">
        <f>Johar_Town!CH30</f>
        <v>81%</v>
      </c>
      <c r="L202" s="10">
        <f>Johar_Town!CE30</f>
        <v>13</v>
      </c>
    </row>
    <row r="203" ht="16.5" customHeight="1">
      <c r="A203" s="20">
        <v>154.0</v>
      </c>
      <c r="B203" s="20" t="s">
        <v>24</v>
      </c>
      <c r="C203" s="20" t="s">
        <v>22</v>
      </c>
      <c r="D203" s="22" t="str">
        <f>Johar_Town!B31</f>
        <v>Hassaan ahmad</v>
      </c>
      <c r="E203" s="23" t="str">
        <f>Johar_Town!C31</f>
        <v>'+923077082350</v>
      </c>
      <c r="F203" s="24" t="str">
        <f>IF(Johar_Town!C31&lt;&gt;"",HYPERLINK("tel:"&amp;SUBSTITUTE(SUBSTITUTE(Johar_Town!C31,"+","+")," ",""),"📞"),"")</f>
        <v>📞</v>
      </c>
      <c r="G203" s="41" t="str">
        <f>IF(Johar_Town!C31&lt;&gt;"",HYPERLINK("https://wa.me/"&amp;SUBSTITUTE(SUBSTITUTE(Johar_Town!C31,"+","")," ",""),"💬"),"")</f>
        <v>💬</v>
      </c>
      <c r="H203" s="20" t="str">
        <f>Johar_Town!F31</f>
        <v>—</v>
      </c>
      <c r="I203" s="20" t="str">
        <f>Johar_Town!G31</f>
        <v>14</v>
      </c>
      <c r="J203" s="20" t="str">
        <f>Johar_Town!H31</f>
        <v/>
      </c>
      <c r="K203" s="20" t="str">
        <f>Johar_Town!CH31</f>
        <v>0%</v>
      </c>
      <c r="L203" s="20">
        <f>Johar_Town!CE31</f>
        <v>0</v>
      </c>
    </row>
    <row r="204" ht="16.5" customHeight="1">
      <c r="A204" s="10">
        <v>155.0</v>
      </c>
      <c r="B204" s="10" t="s">
        <v>24</v>
      </c>
      <c r="C204" s="10" t="s">
        <v>22</v>
      </c>
      <c r="D204" s="12" t="str">
        <f>Johar_Town!B32</f>
        <v>Muhammad Talal</v>
      </c>
      <c r="E204" s="14" t="str">
        <f>Johar_Town!C32</f>
        <v>'+923009477499</v>
      </c>
      <c r="F204" s="17" t="str">
        <f>IF(Johar_Town!C32&lt;&gt;"",HYPERLINK("tel:"&amp;SUBSTITUTE(SUBSTITUTE(Johar_Town!C32,"+","+")," ",""),"📞"),"")</f>
        <v>📞</v>
      </c>
      <c r="G204" s="19" t="str">
        <f>IF(Johar_Town!C32&lt;&gt;"",HYPERLINK("https://wa.me/"&amp;SUBSTITUTE(SUBSTITUTE(Johar_Town!C32,"+","")," ",""),"💬"),"")</f>
        <v>💬</v>
      </c>
      <c r="H204" s="10" t="str">
        <f>Johar_Town!F32</f>
        <v>—</v>
      </c>
      <c r="I204" s="10" t="str">
        <f>Johar_Town!G32</f>
        <v>13.0</v>
      </c>
      <c r="J204" s="10" t="str">
        <f>Johar_Town!H32</f>
        <v>6th</v>
      </c>
      <c r="K204" s="10" t="str">
        <f>Johar_Town!CH32</f>
        <v>29%</v>
      </c>
      <c r="L204" s="10">
        <f>Johar_Town!CE32</f>
        <v>5</v>
      </c>
    </row>
    <row r="205" ht="16.5" customHeight="1">
      <c r="A205" s="20">
        <v>156.0</v>
      </c>
      <c r="B205" s="20" t="s">
        <v>24</v>
      </c>
      <c r="C205" s="20" t="s">
        <v>22</v>
      </c>
      <c r="D205" s="22" t="str">
        <f>Johar_Town!B33</f>
        <v>Anas Ammar</v>
      </c>
      <c r="E205" s="23" t="str">
        <f>Johar_Town!C33</f>
        <v>'+923219411798</v>
      </c>
      <c r="F205" s="24" t="str">
        <f>IF(Johar_Town!C33&lt;&gt;"",HYPERLINK("tel:"&amp;SUBSTITUTE(SUBSTITUTE(Johar_Town!C33,"+","+")," ",""),"📞"),"")</f>
        <v>📞</v>
      </c>
      <c r="G205" s="41" t="str">
        <f>IF(Johar_Town!C33&lt;&gt;"",HYPERLINK("https://wa.me/"&amp;SUBSTITUTE(SUBSTITUTE(Johar_Town!C33,"+","")," ",""),"💬"),"")</f>
        <v>💬</v>
      </c>
      <c r="H205" s="20" t="str">
        <f>Johar_Town!F33</f>
        <v>—</v>
      </c>
      <c r="I205" s="20" t="str">
        <f>Johar_Town!G33</f>
        <v>14.0</v>
      </c>
      <c r="J205" s="20" t="str">
        <f>Johar_Town!H33</f>
        <v/>
      </c>
      <c r="K205" s="20" t="str">
        <f>Johar_Town!CH33</f>
        <v>94%</v>
      </c>
      <c r="L205" s="20">
        <f>Johar_Town!CE33</f>
        <v>15</v>
      </c>
    </row>
    <row r="206" ht="16.5" customHeight="1">
      <c r="A206" s="10">
        <v>157.0</v>
      </c>
      <c r="B206" s="10" t="s">
        <v>24</v>
      </c>
      <c r="C206" s="10" t="s">
        <v>22</v>
      </c>
      <c r="D206" s="12" t="str">
        <f>Johar_Town!B34</f>
        <v>Saad Ammar</v>
      </c>
      <c r="E206" s="14" t="str">
        <f>Johar_Town!C34</f>
        <v>'+923219411798</v>
      </c>
      <c r="F206" s="17" t="str">
        <f>IF(Johar_Town!C34&lt;&gt;"",HYPERLINK("tel:"&amp;SUBSTITUTE(SUBSTITUTE(Johar_Town!C34,"+","+")," ",""),"📞"),"")</f>
        <v>📞</v>
      </c>
      <c r="G206" s="19" t="str">
        <f>IF(Johar_Town!C34&lt;&gt;"",HYPERLINK("https://wa.me/"&amp;SUBSTITUTE(SUBSTITUTE(Johar_Town!C34,"+","")," ",""),"💬"),"")</f>
        <v>💬</v>
      </c>
      <c r="H206" s="10" t="str">
        <f>Johar_Town!F34</f>
        <v>—</v>
      </c>
      <c r="I206" s="10" t="str">
        <f>Johar_Town!G34</f>
        <v>13.0</v>
      </c>
      <c r="J206" s="10" t="str">
        <f>Johar_Town!H34</f>
        <v>7th</v>
      </c>
      <c r="K206" s="10" t="str">
        <f>Johar_Town!CH34</f>
        <v>80%</v>
      </c>
      <c r="L206" s="10">
        <f>Johar_Town!CE34</f>
        <v>12</v>
      </c>
    </row>
    <row r="207" ht="16.5" customHeight="1">
      <c r="A207" s="20">
        <v>158.0</v>
      </c>
      <c r="B207" s="20" t="s">
        <v>24</v>
      </c>
      <c r="C207" s="20" t="s">
        <v>22</v>
      </c>
      <c r="D207" s="22" t="str">
        <f>Johar_Town!B35</f>
        <v>Haris</v>
      </c>
      <c r="E207" s="23" t="str">
        <f>Johar_Town!C35</f>
        <v>'+923324622325</v>
      </c>
      <c r="F207" s="24" t="str">
        <f>IF(Johar_Town!C35&lt;&gt;"",HYPERLINK("tel:"&amp;SUBSTITUTE(SUBSTITUTE(Johar_Town!C35,"+","+")," ",""),"📞"),"")</f>
        <v>📞</v>
      </c>
      <c r="G207" s="41" t="str">
        <f>IF(Johar_Town!C35&lt;&gt;"",HYPERLINK("https://wa.me/"&amp;SUBSTITUTE(SUBSTITUTE(Johar_Town!C35,"+","")," ",""),"💬"),"")</f>
        <v>💬</v>
      </c>
      <c r="H207" s="20" t="str">
        <f>Johar_Town!F35</f>
        <v>✓</v>
      </c>
      <c r="I207" s="20" t="str">
        <f>Johar_Town!G35</f>
        <v>15.0</v>
      </c>
      <c r="J207" s="20" t="str">
        <f>Johar_Town!H35</f>
        <v>9th</v>
      </c>
      <c r="K207" s="20" t="str">
        <f>Johar_Town!CH35</f>
        <v>67%</v>
      </c>
      <c r="L207" s="20">
        <f>Johar_Town!CE35</f>
        <v>10</v>
      </c>
    </row>
    <row r="208" ht="16.5" customHeight="1">
      <c r="A208" s="10">
        <v>159.0</v>
      </c>
      <c r="B208" s="10" t="s">
        <v>24</v>
      </c>
      <c r="C208" s="10" t="s">
        <v>22</v>
      </c>
      <c r="D208" s="12" t="str">
        <f>Johar_Town!B36</f>
        <v>Musa Sufyan</v>
      </c>
      <c r="E208" s="14" t="str">
        <f>Johar_Town!C36</f>
        <v>'+923218430026</v>
      </c>
      <c r="F208" s="17" t="str">
        <f>IF(Johar_Town!C36&lt;&gt;"",HYPERLINK("tel:"&amp;SUBSTITUTE(SUBSTITUTE(Johar_Town!C36,"+","+")," ",""),"📞"),"")</f>
        <v>📞</v>
      </c>
      <c r="G208" s="19" t="str">
        <f>IF(Johar_Town!C36&lt;&gt;"",HYPERLINK("https://wa.me/"&amp;SUBSTITUTE(SUBSTITUTE(Johar_Town!C36,"+","")," ",""),"💬"),"")</f>
        <v>💬</v>
      </c>
      <c r="H208" s="10" t="str">
        <f>Johar_Town!F36</f>
        <v>—</v>
      </c>
      <c r="I208" s="10" t="str">
        <f>Johar_Town!G36</f>
        <v>13.0</v>
      </c>
      <c r="J208" s="10" t="str">
        <f>Johar_Town!H36</f>
        <v>10th</v>
      </c>
      <c r="K208" s="10" t="str">
        <f>Johar_Town!CH36</f>
        <v>69%</v>
      </c>
      <c r="L208" s="10">
        <f>Johar_Town!CE36</f>
        <v>9</v>
      </c>
    </row>
    <row r="209" ht="16.5" customHeight="1">
      <c r="A209" s="20">
        <v>160.0</v>
      </c>
      <c r="B209" s="20" t="s">
        <v>24</v>
      </c>
      <c r="C209" s="20" t="s">
        <v>22</v>
      </c>
      <c r="D209" s="22" t="str">
        <f>Johar_Town!B37</f>
        <v>Hammas</v>
      </c>
      <c r="E209" s="23" t="str">
        <f>Johar_Town!C37</f>
        <v>+923498450410</v>
      </c>
      <c r="F209" s="24" t="str">
        <f>IF(Johar_Town!C37&lt;&gt;"",HYPERLINK("tel:"&amp;SUBSTITUTE(SUBSTITUTE(Johar_Town!C37,"+","+")," ",""),"📞"),"")</f>
        <v>📞</v>
      </c>
      <c r="G209" s="41" t="str">
        <f>IF(Johar_Town!C37&lt;&gt;"",HYPERLINK("https://wa.me/"&amp;SUBSTITUTE(SUBSTITUTE(Johar_Town!C37,"+","")," ",""),"💬"),"")</f>
        <v>💬</v>
      </c>
      <c r="H209" s="20" t="str">
        <f>Johar_Town!F37</f>
        <v>—</v>
      </c>
      <c r="I209" s="20" t="str">
        <f>Johar_Town!G37</f>
        <v/>
      </c>
      <c r="J209" s="20" t="str">
        <f>Johar_Town!H37</f>
        <v/>
      </c>
      <c r="K209" s="20" t="str">
        <f>Johar_Town!CH37</f>
        <v>50%</v>
      </c>
      <c r="L209" s="20">
        <f>Johar_Town!CE37</f>
        <v>5</v>
      </c>
    </row>
    <row r="210" ht="16.5" customHeight="1">
      <c r="A210" s="10">
        <v>161.0</v>
      </c>
      <c r="B210" s="10" t="s">
        <v>24</v>
      </c>
      <c r="C210" s="10" t="s">
        <v>22</v>
      </c>
      <c r="D210" s="12" t="str">
        <f>Johar_Town!B38</f>
        <v>Ahmed</v>
      </c>
      <c r="E210" s="14" t="str">
        <f>Johar_Town!C38</f>
        <v>+923214804329</v>
      </c>
      <c r="F210" s="17" t="str">
        <f>IF(Johar_Town!C38&lt;&gt;"",HYPERLINK("tel:"&amp;SUBSTITUTE(SUBSTITUTE(Johar_Town!C38,"+","+")," ",""),"📞"),"")</f>
        <v>📞</v>
      </c>
      <c r="G210" s="19" t="str">
        <f>IF(Johar_Town!C38&lt;&gt;"",HYPERLINK("https://wa.me/"&amp;SUBSTITUTE(SUBSTITUTE(Johar_Town!C38,"+","")," ",""),"💬"),"")</f>
        <v>💬</v>
      </c>
      <c r="H210" s="10" t="str">
        <f>Johar_Town!F38</f>
        <v>—</v>
      </c>
      <c r="I210" s="10" t="str">
        <f>Johar_Town!G38</f>
        <v/>
      </c>
      <c r="J210" s="10" t="str">
        <f>Johar_Town!H38</f>
        <v/>
      </c>
      <c r="K210" s="10" t="str">
        <f>Johar_Town!CH38</f>
        <v>63%</v>
      </c>
      <c r="L210" s="10">
        <f>Johar_Town!CE38</f>
        <v>5</v>
      </c>
    </row>
    <row r="211" ht="16.5" customHeight="1">
      <c r="A211" s="57" t="str">
        <f>IF(Johar_Town!B39&lt;&gt;"",SUMPRODUCT((LEN(D193:D210)&gt;0)*1)+1,"")</f>
        <v/>
      </c>
      <c r="B211" s="57" t="str">
        <f>IF(Johar_Town!B39&lt;&gt;"","Johar Town","")</f>
        <v/>
      </c>
      <c r="C211" s="57" t="str">
        <f>IF(Johar_Town!B39&lt;&gt;"","Group 1","")</f>
        <v/>
      </c>
      <c r="D211" s="58" t="str">
        <f>IF(Johar_Town!B39&lt;&gt;"",Johar_Town!B39,"")</f>
        <v/>
      </c>
      <c r="E211" s="57" t="str">
        <f>IF(Johar_Town!B39&lt;&gt;"",Johar_Town!C39,"")</f>
        <v/>
      </c>
      <c r="F211" s="60" t="str">
        <f>IF(Johar_Town!B39&lt;&gt;"",HYPERLINK("tel:"&amp;SUBSTITUTE(SUBSTITUTE(Johar_Town!C39,"+","+")," ",""),"📞"),"")</f>
        <v/>
      </c>
      <c r="G211" s="64" t="str">
        <f>IF(Johar_Town!B39&lt;&gt;"",HYPERLINK("https://wa.me/"&amp;SUBSTITUTE(SUBSTITUTE(Johar_Town!C39,"+","")," ",""),"💬"),"")</f>
        <v/>
      </c>
      <c r="H211" s="57" t="str">
        <f>IF(Johar_Town!B39&lt;&gt;"",Johar_Town!F39,"")</f>
        <v/>
      </c>
      <c r="I211" s="57" t="str">
        <f>IF(Johar_Town!B39&lt;&gt;"",Johar_Town!G39,"")</f>
        <v/>
      </c>
      <c r="J211" s="57" t="str">
        <f>IF(Johar_Town!B39&lt;&gt;"",Johar_Town!H39,"")</f>
        <v/>
      </c>
      <c r="K211" s="57" t="str">
        <f>IF(Johar_Town!B39&lt;&gt;"",Johar_Town!CH39,"")</f>
        <v/>
      </c>
      <c r="L211" s="57" t="str">
        <f>IF(Johar_Town!B39&lt;&gt;"",Johar_Town!CE39,"")</f>
        <v/>
      </c>
    </row>
    <row r="212" ht="16.5" customHeight="1">
      <c r="A212" s="57" t="str">
        <f>IF(Johar_Town!B40&lt;&gt;"",SUMPRODUCT((LEN(D193:D211)&gt;0)*1)+1,"")</f>
        <v/>
      </c>
      <c r="B212" s="57" t="str">
        <f>IF(Johar_Town!B40&lt;&gt;"","Johar Town","")</f>
        <v/>
      </c>
      <c r="C212" s="57" t="str">
        <f>IF(Johar_Town!B40&lt;&gt;"","Group 1","")</f>
        <v/>
      </c>
      <c r="D212" s="58" t="str">
        <f>IF(Johar_Town!B40&lt;&gt;"",Johar_Town!B40,"")</f>
        <v/>
      </c>
      <c r="E212" s="57" t="str">
        <f>IF(Johar_Town!B40&lt;&gt;"",Johar_Town!C40,"")</f>
        <v/>
      </c>
      <c r="F212" s="60" t="str">
        <f>IF(Johar_Town!B40&lt;&gt;"",HYPERLINK("tel:"&amp;SUBSTITUTE(SUBSTITUTE(Johar_Town!C40,"+","+")," ",""),"📞"),"")</f>
        <v/>
      </c>
      <c r="G212" s="64" t="str">
        <f>IF(Johar_Town!B40&lt;&gt;"",HYPERLINK("https://wa.me/"&amp;SUBSTITUTE(SUBSTITUTE(Johar_Town!C40,"+","")," ",""),"💬"),"")</f>
        <v/>
      </c>
      <c r="H212" s="57" t="str">
        <f>IF(Johar_Town!B40&lt;&gt;"",Johar_Town!F40,"")</f>
        <v/>
      </c>
      <c r="I212" s="57" t="str">
        <f>IF(Johar_Town!B40&lt;&gt;"",Johar_Town!G40,"")</f>
        <v/>
      </c>
      <c r="J212" s="57" t="str">
        <f>IF(Johar_Town!B40&lt;&gt;"",Johar_Town!H40,"")</f>
        <v/>
      </c>
      <c r="K212" s="57" t="str">
        <f>IF(Johar_Town!B40&lt;&gt;"",Johar_Town!CH40,"")</f>
        <v/>
      </c>
      <c r="L212" s="57" t="str">
        <f>IF(Johar_Town!B40&lt;&gt;"",Johar_Town!CE40,"")</f>
        <v/>
      </c>
    </row>
    <row r="213" ht="16.5" customHeight="1">
      <c r="A213" s="57" t="str">
        <f>IF(Johar_Town!B41&lt;&gt;"",SUMPRODUCT((LEN(D193:D212)&gt;0)*1)+1,"")</f>
        <v/>
      </c>
      <c r="B213" s="57" t="str">
        <f>IF(Johar_Town!B41&lt;&gt;"","Johar Town","")</f>
        <v/>
      </c>
      <c r="C213" s="57" t="str">
        <f>IF(Johar_Town!B41&lt;&gt;"","Group 1","")</f>
        <v/>
      </c>
      <c r="D213" s="58" t="str">
        <f>IF(Johar_Town!B41&lt;&gt;"",Johar_Town!B41,"")</f>
        <v/>
      </c>
      <c r="E213" s="57" t="str">
        <f>IF(Johar_Town!B41&lt;&gt;"",Johar_Town!C41,"")</f>
        <v/>
      </c>
      <c r="F213" s="60" t="str">
        <f>IF(Johar_Town!B41&lt;&gt;"",HYPERLINK("tel:"&amp;SUBSTITUTE(SUBSTITUTE(Johar_Town!C41,"+","+")," ",""),"📞"),"")</f>
        <v/>
      </c>
      <c r="G213" s="64" t="str">
        <f>IF(Johar_Town!B41&lt;&gt;"",HYPERLINK("https://wa.me/"&amp;SUBSTITUTE(SUBSTITUTE(Johar_Town!C41,"+","")," ",""),"💬"),"")</f>
        <v/>
      </c>
      <c r="H213" s="57" t="str">
        <f>IF(Johar_Town!B41&lt;&gt;"",Johar_Town!F41,"")</f>
        <v/>
      </c>
      <c r="I213" s="57" t="str">
        <f>IF(Johar_Town!B41&lt;&gt;"",Johar_Town!G41,"")</f>
        <v/>
      </c>
      <c r="J213" s="57" t="str">
        <f>IF(Johar_Town!B41&lt;&gt;"",Johar_Town!H41,"")</f>
        <v/>
      </c>
      <c r="K213" s="57" t="str">
        <f>IF(Johar_Town!B41&lt;&gt;"",Johar_Town!CH41,"")</f>
        <v/>
      </c>
      <c r="L213" s="57" t="str">
        <f>IF(Johar_Town!B41&lt;&gt;"",Johar_Town!CE41,"")</f>
        <v/>
      </c>
    </row>
    <row r="214" ht="16.5" customHeight="1">
      <c r="A214" s="57" t="str">
        <f>IF(Johar_Town!B42&lt;&gt;"",SUMPRODUCT((LEN(D193:D213)&gt;0)*1)+1,"")</f>
        <v/>
      </c>
      <c r="B214" s="57" t="str">
        <f>IF(Johar_Town!B42&lt;&gt;"","Johar Town","")</f>
        <v/>
      </c>
      <c r="C214" s="57" t="str">
        <f>IF(Johar_Town!B42&lt;&gt;"","Group 1","")</f>
        <v/>
      </c>
      <c r="D214" s="58" t="str">
        <f>IF(Johar_Town!B42&lt;&gt;"",Johar_Town!B42,"")</f>
        <v/>
      </c>
      <c r="E214" s="57" t="str">
        <f>IF(Johar_Town!B42&lt;&gt;"",Johar_Town!C42,"")</f>
        <v/>
      </c>
      <c r="F214" s="60" t="str">
        <f>IF(Johar_Town!B42&lt;&gt;"",HYPERLINK("tel:"&amp;SUBSTITUTE(SUBSTITUTE(Johar_Town!C42,"+","+")," ",""),"📞"),"")</f>
        <v/>
      </c>
      <c r="G214" s="64" t="str">
        <f>IF(Johar_Town!B42&lt;&gt;"",HYPERLINK("https://wa.me/"&amp;SUBSTITUTE(SUBSTITUTE(Johar_Town!C42,"+","")," ",""),"💬"),"")</f>
        <v/>
      </c>
      <c r="H214" s="57" t="str">
        <f>IF(Johar_Town!B42&lt;&gt;"",Johar_Town!F42,"")</f>
        <v/>
      </c>
      <c r="I214" s="57" t="str">
        <f>IF(Johar_Town!B42&lt;&gt;"",Johar_Town!G42,"")</f>
        <v/>
      </c>
      <c r="J214" s="57" t="str">
        <f>IF(Johar_Town!B42&lt;&gt;"",Johar_Town!H42,"")</f>
        <v/>
      </c>
      <c r="K214" s="57" t="str">
        <f>IF(Johar_Town!B42&lt;&gt;"",Johar_Town!CH42,"")</f>
        <v/>
      </c>
      <c r="L214" s="57" t="str">
        <f>IF(Johar_Town!B42&lt;&gt;"",Johar_Town!CE42,"")</f>
        <v/>
      </c>
    </row>
    <row r="215" ht="16.5" customHeight="1">
      <c r="A215" s="57" t="str">
        <f>IF(Johar_Town!B43&lt;&gt;"",SUMPRODUCT((LEN(D193:D214)&gt;0)*1)+1,"")</f>
        <v/>
      </c>
      <c r="B215" s="57" t="str">
        <f>IF(Johar_Town!B43&lt;&gt;"","Johar Town","")</f>
        <v/>
      </c>
      <c r="C215" s="57" t="str">
        <f>IF(Johar_Town!B43&lt;&gt;"","Group 1","")</f>
        <v/>
      </c>
      <c r="D215" s="58" t="str">
        <f>IF(Johar_Town!B43&lt;&gt;"",Johar_Town!B43,"")</f>
        <v/>
      </c>
      <c r="E215" s="57" t="str">
        <f>IF(Johar_Town!B43&lt;&gt;"",Johar_Town!C43,"")</f>
        <v/>
      </c>
      <c r="F215" s="60" t="str">
        <f>IF(Johar_Town!B43&lt;&gt;"",HYPERLINK("tel:"&amp;SUBSTITUTE(SUBSTITUTE(Johar_Town!C43,"+","+")," ",""),"📞"),"")</f>
        <v/>
      </c>
      <c r="G215" s="64" t="str">
        <f>IF(Johar_Town!B43&lt;&gt;"",HYPERLINK("https://wa.me/"&amp;SUBSTITUTE(SUBSTITUTE(Johar_Town!C43,"+","")," ",""),"💬"),"")</f>
        <v/>
      </c>
      <c r="H215" s="57" t="str">
        <f>IF(Johar_Town!B43&lt;&gt;"",Johar_Town!F43,"")</f>
        <v/>
      </c>
      <c r="I215" s="57" t="str">
        <f>IF(Johar_Town!B43&lt;&gt;"",Johar_Town!G43,"")</f>
        <v/>
      </c>
      <c r="J215" s="57" t="str">
        <f>IF(Johar_Town!B43&lt;&gt;"",Johar_Town!H43,"")</f>
        <v/>
      </c>
      <c r="K215" s="57" t="str">
        <f>IF(Johar_Town!B43&lt;&gt;"",Johar_Town!CH43,"")</f>
        <v/>
      </c>
      <c r="L215" s="57" t="str">
        <f>IF(Johar_Town!B43&lt;&gt;"",Johar_Town!CE43,"")</f>
        <v/>
      </c>
    </row>
    <row r="216" ht="16.5" customHeight="1">
      <c r="A216" s="20">
        <v>162.0</v>
      </c>
      <c r="B216" s="20" t="s">
        <v>24</v>
      </c>
      <c r="C216" s="20" t="s">
        <v>203</v>
      </c>
      <c r="D216" s="22" t="str">
        <f>Johar_Town!B54</f>
        <v>Abdullah Rizwan</v>
      </c>
      <c r="E216" s="23" t="str">
        <f>Johar_Town!C54</f>
        <v>'+923318444035</v>
      </c>
      <c r="F216" s="24" t="str">
        <f>IF(Johar_Town!C54&lt;&gt;"",HYPERLINK("tel:"&amp;SUBSTITUTE(SUBSTITUTE(Johar_Town!C54,"+","+")," ",""),"📞"),"")</f>
        <v>📞</v>
      </c>
      <c r="G216" s="41" t="str">
        <f>IF(Johar_Town!C54&lt;&gt;"",HYPERLINK("https://wa.me/"&amp;SUBSTITUTE(SUBSTITUTE(Johar_Town!C54,"+","")," ",""),"💬"),"")</f>
        <v>💬</v>
      </c>
      <c r="H216" s="20" t="str">
        <f>Johar_Town!F54</f>
        <v>✓</v>
      </c>
      <c r="I216" s="20" t="str">
        <f>Johar_Town!G54</f>
        <v>15</v>
      </c>
      <c r="J216" s="20" t="str">
        <f>Johar_Town!H54</f>
        <v>9th</v>
      </c>
      <c r="K216" s="20" t="str">
        <f>Johar_Town!CH54</f>
        <v>0%</v>
      </c>
      <c r="L216" s="20">
        <f>Johar_Town!CE54</f>
        <v>0</v>
      </c>
    </row>
    <row r="217" ht="16.5" customHeight="1">
      <c r="A217" s="10">
        <v>163.0</v>
      </c>
      <c r="B217" s="10" t="s">
        <v>24</v>
      </c>
      <c r="C217" s="10" t="s">
        <v>203</v>
      </c>
      <c r="D217" s="12" t="str">
        <f>Johar_Town!B55</f>
        <v>Muhammad Musa Muzaffar</v>
      </c>
      <c r="E217" s="14" t="str">
        <f>Johar_Town!C55</f>
        <v>'+923326660706</v>
      </c>
      <c r="F217" s="17" t="str">
        <f>IF(Johar_Town!C55&lt;&gt;"",HYPERLINK("tel:"&amp;SUBSTITUTE(SUBSTITUTE(Johar_Town!C55,"+","+")," ",""),"📞"),"")</f>
        <v>📞</v>
      </c>
      <c r="G217" s="19" t="str">
        <f>IF(Johar_Town!C55&lt;&gt;"",HYPERLINK("https://wa.me/"&amp;SUBSTITUTE(SUBSTITUTE(Johar_Town!C55,"+","")," ",""),"💬"),"")</f>
        <v>💬</v>
      </c>
      <c r="H217" s="10" t="str">
        <f>Johar_Town!F55</f>
        <v>✓</v>
      </c>
      <c r="I217" s="10" t="str">
        <f>Johar_Town!G55</f>
        <v>15</v>
      </c>
      <c r="J217" s="10" t="str">
        <f>Johar_Town!H55</f>
        <v>9th</v>
      </c>
      <c r="K217" s="10" t="str">
        <f>Johar_Town!CH55</f>
        <v>69%</v>
      </c>
      <c r="L217" s="10">
        <f>Johar_Town!CE55</f>
        <v>11</v>
      </c>
    </row>
    <row r="218" ht="16.5" customHeight="1">
      <c r="A218" s="20">
        <v>164.0</v>
      </c>
      <c r="B218" s="20" t="s">
        <v>24</v>
      </c>
      <c r="C218" s="20" t="s">
        <v>203</v>
      </c>
      <c r="D218" s="22" t="str">
        <f>Johar_Town!B56</f>
        <v>Muhammad Anees Abbas</v>
      </c>
      <c r="E218" s="23" t="str">
        <f>Johar_Town!C56</f>
        <v>'+923234658981</v>
      </c>
      <c r="F218" s="24" t="str">
        <f>IF(Johar_Town!C56&lt;&gt;"",HYPERLINK("tel:"&amp;SUBSTITUTE(SUBSTITUTE(Johar_Town!C56,"+","+")," ",""),"📞"),"")</f>
        <v>📞</v>
      </c>
      <c r="G218" s="41" t="str">
        <f>IF(Johar_Town!C56&lt;&gt;"",HYPERLINK("https://wa.me/"&amp;SUBSTITUTE(SUBSTITUTE(Johar_Town!C56,"+","")," ",""),"💬"),"")</f>
        <v>💬</v>
      </c>
      <c r="H218" s="20" t="str">
        <f>Johar_Town!F56</f>
        <v>✓</v>
      </c>
      <c r="I218" s="20" t="str">
        <f>Johar_Town!G56</f>
        <v>16</v>
      </c>
      <c r="J218" s="20" t="str">
        <f>Johar_Town!H56</f>
        <v/>
      </c>
      <c r="K218" s="20" t="str">
        <f>Johar_Town!CH56</f>
        <v>79%</v>
      </c>
      <c r="L218" s="20">
        <f>Johar_Town!CE56</f>
        <v>11</v>
      </c>
    </row>
    <row r="219" ht="16.5" customHeight="1">
      <c r="A219" s="10">
        <v>165.0</v>
      </c>
      <c r="B219" s="10" t="s">
        <v>24</v>
      </c>
      <c r="C219" s="10" t="s">
        <v>203</v>
      </c>
      <c r="D219" s="12" t="str">
        <f>Johar_Town!B57</f>
        <v>Muhammad Abdul Rafay</v>
      </c>
      <c r="E219" s="14" t="str">
        <f>Johar_Town!C57</f>
        <v>'+923144685997</v>
      </c>
      <c r="F219" s="17" t="str">
        <f>IF(Johar_Town!C57&lt;&gt;"",HYPERLINK("tel:"&amp;SUBSTITUTE(SUBSTITUTE(Johar_Town!C57,"+","+")," ",""),"📞"),"")</f>
        <v>📞</v>
      </c>
      <c r="G219" s="19" t="str">
        <f>IF(Johar_Town!C57&lt;&gt;"",HYPERLINK("https://wa.me/"&amp;SUBSTITUTE(SUBSTITUTE(Johar_Town!C57,"+","")," ",""),"💬"),"")</f>
        <v>💬</v>
      </c>
      <c r="H219" s="10" t="str">
        <f>Johar_Town!F57</f>
        <v>✓</v>
      </c>
      <c r="I219" s="10" t="str">
        <f>Johar_Town!G57</f>
        <v>16</v>
      </c>
      <c r="J219" s="10" t="str">
        <f>Johar_Town!H57</f>
        <v/>
      </c>
      <c r="K219" s="10" t="str">
        <f>Johar_Town!CH57</f>
        <v>17%</v>
      </c>
      <c r="L219" s="10">
        <f>Johar_Town!CE57</f>
        <v>3</v>
      </c>
    </row>
    <row r="220" ht="16.5" customHeight="1">
      <c r="A220" s="20">
        <v>166.0</v>
      </c>
      <c r="B220" s="20" t="s">
        <v>24</v>
      </c>
      <c r="C220" s="20" t="s">
        <v>203</v>
      </c>
      <c r="D220" s="22" t="str">
        <f>Johar_Town!B58</f>
        <v>Muhammad Abdullah Faheem</v>
      </c>
      <c r="E220" s="23" t="str">
        <f>Johar_Town!C58</f>
        <v>'+923146263358</v>
      </c>
      <c r="F220" s="24" t="str">
        <f>IF(Johar_Town!C58&lt;&gt;"",HYPERLINK("tel:"&amp;SUBSTITUTE(SUBSTITUTE(Johar_Town!C58,"+","+")," ",""),"📞"),"")</f>
        <v>📞</v>
      </c>
      <c r="G220" s="41" t="str">
        <f>IF(Johar_Town!C58&lt;&gt;"",HYPERLINK("https://wa.me/"&amp;SUBSTITUTE(SUBSTITUTE(Johar_Town!C58,"+","")," ",""),"💬"),"")</f>
        <v>💬</v>
      </c>
      <c r="H220" s="20" t="str">
        <f>Johar_Town!F58</f>
        <v>—</v>
      </c>
      <c r="I220" s="20" t="str">
        <f>Johar_Town!G58</f>
        <v>16</v>
      </c>
      <c r="J220" s="20" t="str">
        <f>Johar_Town!H58</f>
        <v/>
      </c>
      <c r="K220" s="20" t="str">
        <f>Johar_Town!CH58</f>
        <v>22%</v>
      </c>
      <c r="L220" s="20">
        <f>Johar_Town!CE58</f>
        <v>2</v>
      </c>
    </row>
    <row r="221" ht="16.5" customHeight="1">
      <c r="A221" s="10">
        <v>167.0</v>
      </c>
      <c r="B221" s="10" t="s">
        <v>24</v>
      </c>
      <c r="C221" s="10" t="s">
        <v>203</v>
      </c>
      <c r="D221" s="12" t="str">
        <f>Johar_Town!B59</f>
        <v>Hassan Ali Awan</v>
      </c>
      <c r="E221" s="14" t="str">
        <f>Johar_Town!C59</f>
        <v>'+923320417060</v>
      </c>
      <c r="F221" s="17" t="str">
        <f>IF(Johar_Town!C59&lt;&gt;"",HYPERLINK("tel:"&amp;SUBSTITUTE(SUBSTITUTE(Johar_Town!C59,"+","+")," ",""),"📞"),"")</f>
        <v>📞</v>
      </c>
      <c r="G221" s="19" t="str">
        <f>IF(Johar_Town!C59&lt;&gt;"",HYPERLINK("https://wa.me/"&amp;SUBSTITUTE(SUBSTITUTE(Johar_Town!C59,"+","")," ",""),"💬"),"")</f>
        <v>💬</v>
      </c>
      <c r="H221" s="10" t="str">
        <f>Johar_Town!F59</f>
        <v>✓</v>
      </c>
      <c r="I221" s="10" t="str">
        <f>Johar_Town!G59</f>
        <v>16</v>
      </c>
      <c r="J221" s="10" t="str">
        <f>Johar_Town!H59</f>
        <v/>
      </c>
      <c r="K221" s="10" t="str">
        <f>Johar_Town!CH59</f>
        <v>0%</v>
      </c>
      <c r="L221" s="10">
        <f>Johar_Town!CE59</f>
        <v>0</v>
      </c>
    </row>
    <row r="222" ht="16.5" customHeight="1">
      <c r="A222" s="20">
        <v>168.0</v>
      </c>
      <c r="B222" s="20" t="s">
        <v>24</v>
      </c>
      <c r="C222" s="20" t="s">
        <v>203</v>
      </c>
      <c r="D222" s="22" t="str">
        <f>Johar_Town!B60</f>
        <v>Aliyan</v>
      </c>
      <c r="E222" s="23" t="str">
        <f>Johar_Town!C60</f>
        <v>'+923280645187</v>
      </c>
      <c r="F222" s="24" t="str">
        <f>IF(Johar_Town!C60&lt;&gt;"",HYPERLINK("tel:"&amp;SUBSTITUTE(SUBSTITUTE(Johar_Town!C60,"+","+")," ",""),"📞"),"")</f>
        <v>📞</v>
      </c>
      <c r="G222" s="41" t="str">
        <f>IF(Johar_Town!C60&lt;&gt;"",HYPERLINK("https://wa.me/"&amp;SUBSTITUTE(SUBSTITUTE(Johar_Town!C60,"+","")," ",""),"💬"),"")</f>
        <v>💬</v>
      </c>
      <c r="H222" s="20" t="str">
        <f>Johar_Town!F60</f>
        <v>✓</v>
      </c>
      <c r="I222" s="20" t="str">
        <f>Johar_Town!G60</f>
        <v>16</v>
      </c>
      <c r="J222" s="20" t="str">
        <f>Johar_Town!H60</f>
        <v>10th</v>
      </c>
      <c r="K222" s="20" t="str">
        <f>Johar_Town!CH60</f>
        <v>78%</v>
      </c>
      <c r="L222" s="20">
        <f>Johar_Town!CE60</f>
        <v>14</v>
      </c>
    </row>
    <row r="223" ht="16.5" customHeight="1">
      <c r="A223" s="10">
        <v>169.0</v>
      </c>
      <c r="B223" s="10" t="s">
        <v>24</v>
      </c>
      <c r="C223" s="10" t="s">
        <v>203</v>
      </c>
      <c r="D223" s="12" t="str">
        <f>Johar_Town!B61</f>
        <v>Qasim Gondal</v>
      </c>
      <c r="E223" s="14" t="str">
        <f>Johar_Town!C61</f>
        <v>'+923144988298</v>
      </c>
      <c r="F223" s="17" t="str">
        <f>IF(Johar_Town!C61&lt;&gt;"",HYPERLINK("tel:"&amp;SUBSTITUTE(SUBSTITUTE(Johar_Town!C61,"+","+")," ",""),"📞"),"")</f>
        <v>📞</v>
      </c>
      <c r="G223" s="19" t="str">
        <f>IF(Johar_Town!C61&lt;&gt;"",HYPERLINK("https://wa.me/"&amp;SUBSTITUTE(SUBSTITUTE(Johar_Town!C61,"+","")," ",""),"💬"),"")</f>
        <v>💬</v>
      </c>
      <c r="H223" s="10" t="str">
        <f>Johar_Town!F61</f>
        <v>✓</v>
      </c>
      <c r="I223" s="10" t="str">
        <f>Johar_Town!G61</f>
        <v>16</v>
      </c>
      <c r="J223" s="10" t="str">
        <f>Johar_Town!H61</f>
        <v>11th</v>
      </c>
      <c r="K223" s="10" t="str">
        <f>Johar_Town!CH61</f>
        <v>100%</v>
      </c>
      <c r="L223" s="10">
        <f>Johar_Town!CE61</f>
        <v>17</v>
      </c>
    </row>
    <row r="224" ht="16.5" customHeight="1">
      <c r="A224" s="20">
        <v>170.0</v>
      </c>
      <c r="B224" s="20" t="s">
        <v>24</v>
      </c>
      <c r="C224" s="20" t="s">
        <v>203</v>
      </c>
      <c r="D224" s="22" t="str">
        <f>Johar_Town!B62</f>
        <v>Rizwan Ahmad</v>
      </c>
      <c r="E224" s="23" t="str">
        <f>Johar_Town!C62</f>
        <v>'+923214472569</v>
      </c>
      <c r="F224" s="24" t="str">
        <f>IF(Johar_Town!C62&lt;&gt;"",HYPERLINK("tel:"&amp;SUBSTITUTE(SUBSTITUTE(Johar_Town!C62,"+","+")," ",""),"📞"),"")</f>
        <v>📞</v>
      </c>
      <c r="G224" s="41" t="str">
        <f>IF(Johar_Town!C62&lt;&gt;"",HYPERLINK("https://wa.me/"&amp;SUBSTITUTE(SUBSTITUTE(Johar_Town!C62,"+","")," ",""),"💬"),"")</f>
        <v>💬</v>
      </c>
      <c r="H224" s="20" t="str">
        <f>Johar_Town!F62</f>
        <v>✓</v>
      </c>
      <c r="I224" s="20" t="str">
        <f>Johar_Town!G62</f>
        <v>17</v>
      </c>
      <c r="J224" s="20" t="str">
        <f>Johar_Town!H62</f>
        <v>9th</v>
      </c>
      <c r="K224" s="20" t="str">
        <f>Johar_Town!CH62</f>
        <v>89%</v>
      </c>
      <c r="L224" s="20">
        <f>Johar_Town!CE62</f>
        <v>16</v>
      </c>
    </row>
    <row r="225" ht="16.5" customHeight="1">
      <c r="A225" s="10">
        <v>171.0</v>
      </c>
      <c r="B225" s="10" t="s">
        <v>24</v>
      </c>
      <c r="C225" s="10" t="s">
        <v>203</v>
      </c>
      <c r="D225" s="12" t="str">
        <f>Johar_Town!B63</f>
        <v>Ayaann Nazir</v>
      </c>
      <c r="E225" s="14" t="str">
        <f>Johar_Town!C63</f>
        <v>'+923081519175</v>
      </c>
      <c r="F225" s="17" t="str">
        <f>IF(Johar_Town!C63&lt;&gt;"",HYPERLINK("tel:"&amp;SUBSTITUTE(SUBSTITUTE(Johar_Town!C63,"+","+")," ",""),"📞"),"")</f>
        <v>📞</v>
      </c>
      <c r="G225" s="19" t="str">
        <f>IF(Johar_Town!C63&lt;&gt;"",HYPERLINK("https://wa.me/"&amp;SUBSTITUTE(SUBSTITUTE(Johar_Town!C63,"+","")," ",""),"💬"),"")</f>
        <v>💬</v>
      </c>
      <c r="H225" s="10" t="str">
        <f>Johar_Town!F63</f>
        <v>✓</v>
      </c>
      <c r="I225" s="10" t="str">
        <f>Johar_Town!G63</f>
        <v>17</v>
      </c>
      <c r="J225" s="10" t="str">
        <f>Johar_Town!H63</f>
        <v>11th</v>
      </c>
      <c r="K225" s="10" t="str">
        <f>Johar_Town!CH63</f>
        <v>60%</v>
      </c>
      <c r="L225" s="10">
        <f>Johar_Town!CE63</f>
        <v>9</v>
      </c>
    </row>
    <row r="226" ht="16.5" customHeight="1">
      <c r="A226" s="20">
        <v>172.0</v>
      </c>
      <c r="B226" s="20" t="s">
        <v>24</v>
      </c>
      <c r="C226" s="20" t="s">
        <v>203</v>
      </c>
      <c r="D226" s="22" t="str">
        <f>Johar_Town!B64</f>
        <v>Muhammad Noman</v>
      </c>
      <c r="E226" s="23" t="str">
        <f>Johar_Town!C64</f>
        <v>'+923447892217</v>
      </c>
      <c r="F226" s="24" t="str">
        <f>IF(Johar_Town!C64&lt;&gt;"",HYPERLINK("tel:"&amp;SUBSTITUTE(SUBSTITUTE(Johar_Town!C64,"+","+")," ",""),"📞"),"")</f>
        <v>📞</v>
      </c>
      <c r="G226" s="41" t="str">
        <f>IF(Johar_Town!C64&lt;&gt;"",HYPERLINK("https://wa.me/"&amp;SUBSTITUTE(SUBSTITUTE(Johar_Town!C64,"+","")," ",""),"💬"),"")</f>
        <v>💬</v>
      </c>
      <c r="H226" s="20" t="str">
        <f>Johar_Town!F64</f>
        <v>✓</v>
      </c>
      <c r="I226" s="20" t="str">
        <f>Johar_Town!G64</f>
        <v>17</v>
      </c>
      <c r="J226" s="20" t="str">
        <f>Johar_Town!H64</f>
        <v>10th</v>
      </c>
      <c r="K226" s="20" t="str">
        <f>Johar_Town!CH64</f>
        <v>0%</v>
      </c>
      <c r="L226" s="20">
        <f>Johar_Town!CE64</f>
        <v>0</v>
      </c>
    </row>
    <row r="227" ht="16.5" customHeight="1">
      <c r="A227" s="10">
        <v>173.0</v>
      </c>
      <c r="B227" s="10" t="s">
        <v>24</v>
      </c>
      <c r="C227" s="10" t="s">
        <v>203</v>
      </c>
      <c r="D227" s="12" t="str">
        <f>Johar_Town!B65</f>
        <v>Ali Gohar</v>
      </c>
      <c r="E227" s="14" t="str">
        <f>Johar_Town!C65</f>
        <v>'+923324483853</v>
      </c>
      <c r="F227" s="17" t="str">
        <f>IF(Johar_Town!C65&lt;&gt;"",HYPERLINK("tel:"&amp;SUBSTITUTE(SUBSTITUTE(Johar_Town!C65,"+","+")," ",""),"📞"),"")</f>
        <v>📞</v>
      </c>
      <c r="G227" s="19" t="str">
        <f>IF(Johar_Town!C65&lt;&gt;"",HYPERLINK("https://wa.me/"&amp;SUBSTITUTE(SUBSTITUTE(Johar_Town!C65,"+","")," ",""),"💬"),"")</f>
        <v>💬</v>
      </c>
      <c r="H227" s="10" t="str">
        <f>Johar_Town!F65</f>
        <v>✓</v>
      </c>
      <c r="I227" s="10" t="str">
        <f>Johar_Town!G65</f>
        <v>18</v>
      </c>
      <c r="J227" s="10" t="str">
        <f>Johar_Town!H65</f>
        <v>10th</v>
      </c>
      <c r="K227" s="10" t="str">
        <f>Johar_Town!CH65</f>
        <v>50%</v>
      </c>
      <c r="L227" s="10">
        <f>Johar_Town!CE65</f>
        <v>9</v>
      </c>
    </row>
    <row r="228" ht="16.5" customHeight="1">
      <c r="A228" s="20">
        <v>174.0</v>
      </c>
      <c r="B228" s="20" t="s">
        <v>24</v>
      </c>
      <c r="C228" s="20" t="s">
        <v>203</v>
      </c>
      <c r="D228" s="22" t="str">
        <f>Johar_Town!B66</f>
        <v>Abdul Ahad</v>
      </c>
      <c r="E228" s="23" t="str">
        <f>Johar_Town!C66</f>
        <v>'+923211171908</v>
      </c>
      <c r="F228" s="24" t="str">
        <f>IF(Johar_Town!C66&lt;&gt;"",HYPERLINK("tel:"&amp;SUBSTITUTE(SUBSTITUTE(Johar_Town!C66,"+","+")," ",""),"📞"),"")</f>
        <v>📞</v>
      </c>
      <c r="G228" s="41" t="str">
        <f>IF(Johar_Town!C66&lt;&gt;"",HYPERLINK("https://wa.me/"&amp;SUBSTITUTE(SUBSTITUTE(Johar_Town!C66,"+","")," ",""),"💬"),"")</f>
        <v>💬</v>
      </c>
      <c r="H228" s="20" t="str">
        <f>Johar_Town!F66</f>
        <v>✓</v>
      </c>
      <c r="I228" s="20" t="str">
        <f>Johar_Town!G66</f>
        <v>18</v>
      </c>
      <c r="J228" s="20" t="str">
        <f>Johar_Town!H66</f>
        <v>11th</v>
      </c>
      <c r="K228" s="20" t="str">
        <f>Johar_Town!CH66</f>
        <v>57%</v>
      </c>
      <c r="L228" s="20">
        <f>Johar_Town!CE66</f>
        <v>8</v>
      </c>
    </row>
    <row r="229" ht="16.5" customHeight="1">
      <c r="A229" s="10">
        <v>175.0</v>
      </c>
      <c r="B229" s="10" t="s">
        <v>24</v>
      </c>
      <c r="C229" s="10" t="s">
        <v>203</v>
      </c>
      <c r="D229" s="12" t="str">
        <f>Johar_Town!B67</f>
        <v>Abdul Ghiyass</v>
      </c>
      <c r="E229" s="14" t="str">
        <f>Johar_Town!C67</f>
        <v>'+923269764360</v>
      </c>
      <c r="F229" s="17" t="str">
        <f>IF(Johar_Town!C67&lt;&gt;"",HYPERLINK("tel:"&amp;SUBSTITUTE(SUBSTITUTE(Johar_Town!C67,"+","+")," ",""),"📞"),"")</f>
        <v>📞</v>
      </c>
      <c r="G229" s="19" t="str">
        <f>IF(Johar_Town!C67&lt;&gt;"",HYPERLINK("https://wa.me/"&amp;SUBSTITUTE(SUBSTITUTE(Johar_Town!C67,"+","")," ",""),"💬"),"")</f>
        <v>💬</v>
      </c>
      <c r="H229" s="10" t="str">
        <f>Johar_Town!F67</f>
        <v>✓</v>
      </c>
      <c r="I229" s="10" t="str">
        <f>Johar_Town!G67</f>
        <v>23</v>
      </c>
      <c r="J229" s="10" t="str">
        <f>Johar_Town!H67</f>
        <v>Hafiz</v>
      </c>
      <c r="K229" s="10" t="str">
        <f>Johar_Town!CH67</f>
        <v>80%</v>
      </c>
      <c r="L229" s="10">
        <f>Johar_Town!CE67</f>
        <v>12</v>
      </c>
    </row>
    <row r="230" ht="16.5" customHeight="1">
      <c r="A230" s="20">
        <v>176.0</v>
      </c>
      <c r="B230" s="20" t="s">
        <v>24</v>
      </c>
      <c r="C230" s="20" t="s">
        <v>203</v>
      </c>
      <c r="D230" s="22" t="str">
        <f>Johar_Town!B68</f>
        <v>M. Faizan</v>
      </c>
      <c r="E230" s="23" t="str">
        <f>Johar_Town!C68</f>
        <v>'+923707299576</v>
      </c>
      <c r="F230" s="24" t="str">
        <f>IF(Johar_Town!C68&lt;&gt;"",HYPERLINK("tel:"&amp;SUBSTITUTE(SUBSTITUTE(Johar_Town!C68,"+","+")," ",""),"📞"),"")</f>
        <v>📞</v>
      </c>
      <c r="G230" s="41" t="str">
        <f>IF(Johar_Town!C68&lt;&gt;"",HYPERLINK("https://wa.me/"&amp;SUBSTITUTE(SUBSTITUTE(Johar_Town!C68,"+","")," ",""),"💬"),"")</f>
        <v>💬</v>
      </c>
      <c r="H230" s="20" t="str">
        <f>Johar_Town!F68</f>
        <v>✓</v>
      </c>
      <c r="I230" s="20" t="str">
        <f>Johar_Town!G68</f>
        <v>14.0</v>
      </c>
      <c r="J230" s="20" t="str">
        <f>Johar_Town!H68</f>
        <v>O Level</v>
      </c>
      <c r="K230" s="20" t="str">
        <f>Johar_Town!CH68</f>
        <v>83%</v>
      </c>
      <c r="L230" s="20">
        <f>Johar_Town!CE68</f>
        <v>15</v>
      </c>
    </row>
    <row r="231" ht="16.5" customHeight="1">
      <c r="A231" s="10">
        <v>177.0</v>
      </c>
      <c r="B231" s="10" t="s">
        <v>24</v>
      </c>
      <c r="C231" s="10" t="s">
        <v>203</v>
      </c>
      <c r="D231" s="12" t="str">
        <f>Johar_Town!B69</f>
        <v>Umair</v>
      </c>
      <c r="E231" s="14" t="str">
        <f>Johar_Town!C69</f>
        <v>'+923377226655</v>
      </c>
      <c r="F231" s="17" t="str">
        <f>IF(Johar_Town!C69&lt;&gt;"",HYPERLINK("tel:"&amp;SUBSTITUTE(SUBSTITUTE(Johar_Town!C69,"+","+")," ",""),"📞"),"")</f>
        <v>📞</v>
      </c>
      <c r="G231" s="19" t="str">
        <f>IF(Johar_Town!C69&lt;&gt;"",HYPERLINK("https://wa.me/"&amp;SUBSTITUTE(SUBSTITUTE(Johar_Town!C69,"+","")," ",""),"💬"),"")</f>
        <v>💬</v>
      </c>
      <c r="H231" s="10" t="str">
        <f>Johar_Town!F69</f>
        <v>✓</v>
      </c>
      <c r="I231" s="10" t="str">
        <f>Johar_Town!G69</f>
        <v>16.0</v>
      </c>
      <c r="J231" s="10" t="str">
        <f>Johar_Town!H69</f>
        <v>10th</v>
      </c>
      <c r="K231" s="10" t="str">
        <f>Johar_Town!CH69</f>
        <v>100%</v>
      </c>
      <c r="L231" s="10">
        <f>Johar_Town!CE69</f>
        <v>17</v>
      </c>
    </row>
    <row r="232" ht="16.5" customHeight="1">
      <c r="A232" s="20">
        <v>178.0</v>
      </c>
      <c r="B232" s="20" t="s">
        <v>24</v>
      </c>
      <c r="C232" s="20" t="s">
        <v>203</v>
      </c>
      <c r="D232" s="22" t="str">
        <f>Johar_Town!B70</f>
        <v>Muhammad Bin Khalil</v>
      </c>
      <c r="E232" s="23" t="str">
        <f>Johar_Town!C70</f>
        <v>'+923249539733</v>
      </c>
      <c r="F232" s="24" t="str">
        <f>IF(Johar_Town!C70&lt;&gt;"",HYPERLINK("tel:"&amp;SUBSTITUTE(SUBSTITUTE(Johar_Town!C70,"+","+")," ",""),"📞"),"")</f>
        <v>📞</v>
      </c>
      <c r="G232" s="41" t="str">
        <f>IF(Johar_Town!C70&lt;&gt;"",HYPERLINK("https://wa.me/"&amp;SUBSTITUTE(SUBSTITUTE(Johar_Town!C70,"+","")," ",""),"💬"),"")</f>
        <v>💬</v>
      </c>
      <c r="H232" s="20" t="str">
        <f>Johar_Town!F70</f>
        <v>✓</v>
      </c>
      <c r="I232" s="20" t="str">
        <f>Johar_Town!G70</f>
        <v>16.0</v>
      </c>
      <c r="J232" s="20" t="str">
        <f>Johar_Town!H70</f>
        <v>10th</v>
      </c>
      <c r="K232" s="20" t="str">
        <f>Johar_Town!CH70</f>
        <v>6%</v>
      </c>
      <c r="L232" s="20">
        <f>Johar_Town!CE70</f>
        <v>1</v>
      </c>
    </row>
    <row r="233" ht="16.5" customHeight="1">
      <c r="A233" s="10">
        <v>179.0</v>
      </c>
      <c r="B233" s="10" t="s">
        <v>24</v>
      </c>
      <c r="C233" s="10" t="s">
        <v>203</v>
      </c>
      <c r="D233" s="12" t="str">
        <f>Johar_Town!B71</f>
        <v>Ahmad Bin Khalil</v>
      </c>
      <c r="E233" s="14" t="str">
        <f>Johar_Town!C71</f>
        <v>'+923275323954</v>
      </c>
      <c r="F233" s="17" t="str">
        <f>IF(Johar_Town!C71&lt;&gt;"",HYPERLINK("tel:"&amp;SUBSTITUTE(SUBSTITUTE(Johar_Town!C71,"+","+")," ",""),"📞"),"")</f>
        <v>📞</v>
      </c>
      <c r="G233" s="19" t="str">
        <f>IF(Johar_Town!C71&lt;&gt;"",HYPERLINK("https://wa.me/"&amp;SUBSTITUTE(SUBSTITUTE(Johar_Town!C71,"+","")," ",""),"💬"),"")</f>
        <v>💬</v>
      </c>
      <c r="H233" s="10" t="str">
        <f>Johar_Town!F71</f>
        <v>✓</v>
      </c>
      <c r="I233" s="10" t="str">
        <f>Johar_Town!G71</f>
        <v>19.0</v>
      </c>
      <c r="J233" s="10" t="str">
        <f>Johar_Town!H71</f>
        <v>10th</v>
      </c>
      <c r="K233" s="10" t="str">
        <f>Johar_Town!CH71</f>
        <v>20%</v>
      </c>
      <c r="L233" s="10">
        <f>Johar_Town!CE71</f>
        <v>3</v>
      </c>
    </row>
    <row r="234" ht="16.5" customHeight="1">
      <c r="A234" s="20">
        <v>180.0</v>
      </c>
      <c r="B234" s="20" t="s">
        <v>24</v>
      </c>
      <c r="C234" s="20" t="s">
        <v>203</v>
      </c>
      <c r="D234" s="22" t="str">
        <f>Johar_Town!B72</f>
        <v>Mustafa Hasan</v>
      </c>
      <c r="E234" s="23" t="str">
        <f>Johar_Town!C72</f>
        <v>'+923214050200</v>
      </c>
      <c r="F234" s="24" t="str">
        <f>IF(Johar_Town!C72&lt;&gt;"",HYPERLINK("tel:"&amp;SUBSTITUTE(SUBSTITUTE(Johar_Town!C72,"+","+")," ",""),"📞"),"")</f>
        <v>📞</v>
      </c>
      <c r="G234" s="41" t="str">
        <f>IF(Johar_Town!C72&lt;&gt;"",HYPERLINK("https://wa.me/"&amp;SUBSTITUTE(SUBSTITUTE(Johar_Town!C72,"+","")," ",""),"💬"),"")</f>
        <v>💬</v>
      </c>
      <c r="H234" s="20" t="str">
        <f>Johar_Town!F72</f>
        <v>—</v>
      </c>
      <c r="I234" s="20" t="str">
        <f>Johar_Town!G72</f>
        <v>16.0</v>
      </c>
      <c r="J234" s="20" t="str">
        <f>Johar_Town!H72</f>
        <v>10th</v>
      </c>
      <c r="K234" s="20" t="str">
        <f>Johar_Town!CH72</f>
        <v>79%</v>
      </c>
      <c r="L234" s="20">
        <f>Johar_Town!CE72</f>
        <v>11</v>
      </c>
    </row>
    <row r="235" ht="16.5" customHeight="1">
      <c r="A235" s="10">
        <v>181.0</v>
      </c>
      <c r="B235" s="10" t="s">
        <v>24</v>
      </c>
      <c r="C235" s="10" t="s">
        <v>203</v>
      </c>
      <c r="D235" s="12" t="str">
        <f>Johar_Town!B73</f>
        <v>Abdul Rehman</v>
      </c>
      <c r="E235" s="14" t="str">
        <f>Johar_Town!C73</f>
        <v>'+923214804329</v>
      </c>
      <c r="F235" s="17" t="str">
        <f>IF(Johar_Town!C73&lt;&gt;"",HYPERLINK("tel:"&amp;SUBSTITUTE(SUBSTITUTE(Johar_Town!C73,"+","+")," ",""),"📞"),"")</f>
        <v>📞</v>
      </c>
      <c r="G235" s="19" t="str">
        <f>IF(Johar_Town!C73&lt;&gt;"",HYPERLINK("https://wa.me/"&amp;SUBSTITUTE(SUBSTITUTE(Johar_Town!C73,"+","")," ",""),"💬"),"")</f>
        <v>💬</v>
      </c>
      <c r="H235" s="10" t="str">
        <f>Johar_Town!F73</f>
        <v>—</v>
      </c>
      <c r="I235" s="10" t="str">
        <f>Johar_Town!G73</f>
        <v>16.0</v>
      </c>
      <c r="J235" s="10" t="str">
        <f>Johar_Town!H73</f>
        <v>10th</v>
      </c>
      <c r="K235" s="10" t="str">
        <f>Johar_Town!CH73</f>
        <v>70%</v>
      </c>
      <c r="L235" s="10">
        <f>Johar_Town!CE73</f>
        <v>7</v>
      </c>
    </row>
    <row r="236" ht="16.5" customHeight="1">
      <c r="A236" s="20">
        <v>182.0</v>
      </c>
      <c r="B236" s="20" t="s">
        <v>24</v>
      </c>
      <c r="C236" s="20" t="s">
        <v>203</v>
      </c>
      <c r="D236" s="22" t="str">
        <f>Johar_Town!B74</f>
        <v>Muhammad Basit</v>
      </c>
      <c r="E236" s="23" t="str">
        <f>Johar_Town!C74</f>
        <v>+923334449539</v>
      </c>
      <c r="F236" s="24" t="str">
        <f>IF(Johar_Town!C74&lt;&gt;"",HYPERLINK("tel:"&amp;SUBSTITUTE(SUBSTITUTE(Johar_Town!C74,"+","+")," ",""),"📞"),"")</f>
        <v>📞</v>
      </c>
      <c r="G236" s="41" t="str">
        <f>IF(Johar_Town!C74&lt;&gt;"",HYPERLINK("https://wa.me/"&amp;SUBSTITUTE(SUBSTITUTE(Johar_Town!C74,"+","")," ",""),"💬"),"")</f>
        <v>💬</v>
      </c>
      <c r="H236" s="20" t="str">
        <f>Johar_Town!F74</f>
        <v>—</v>
      </c>
      <c r="I236" s="20">
        <f>Johar_Town!G74</f>
        <v>16</v>
      </c>
      <c r="J236" s="20" t="str">
        <f>Johar_Town!H74</f>
        <v>11th</v>
      </c>
      <c r="K236" s="20" t="str">
        <f>Johar_Town!CH74</f>
        <v>29%</v>
      </c>
      <c r="L236" s="20">
        <f>Johar_Town!CE74</f>
        <v>2</v>
      </c>
    </row>
    <row r="237" ht="16.5" customHeight="1">
      <c r="A237" s="57" t="str">
        <f>IF(Johar_Town!B75&lt;&gt;"",SUMPRODUCT((LEN(D193:D236)&gt;0)*1)+1,"")</f>
        <v/>
      </c>
      <c r="B237" s="57" t="str">
        <f>IF(Johar_Town!B75&lt;&gt;"","Johar Town","")</f>
        <v/>
      </c>
      <c r="C237" s="57" t="str">
        <f>IF(Johar_Town!B75&lt;&gt;"","Group 2","")</f>
        <v/>
      </c>
      <c r="D237" s="58" t="str">
        <f>IF(Johar_Town!B75&lt;&gt;"",Johar_Town!B75,"")</f>
        <v/>
      </c>
      <c r="E237" s="57" t="str">
        <f>IF(Johar_Town!B75&lt;&gt;"",Johar_Town!C75,"")</f>
        <v/>
      </c>
      <c r="F237" s="60" t="str">
        <f>IF(Johar_Town!B75&lt;&gt;"",HYPERLINK("tel:"&amp;SUBSTITUTE(SUBSTITUTE(Johar_Town!C75,"+","+")," ",""),"📞"),"")</f>
        <v/>
      </c>
      <c r="G237" s="64" t="str">
        <f>IF(Johar_Town!B75&lt;&gt;"",HYPERLINK("https://wa.me/"&amp;SUBSTITUTE(SUBSTITUTE(Johar_Town!C75,"+","")," ",""),"💬"),"")</f>
        <v/>
      </c>
      <c r="H237" s="57" t="str">
        <f>IF(Johar_Town!B75&lt;&gt;"",Johar_Town!F75,"")</f>
        <v/>
      </c>
      <c r="I237" s="57" t="str">
        <f>IF(Johar_Town!B75&lt;&gt;"",Johar_Town!G75,"")</f>
        <v/>
      </c>
      <c r="J237" s="57" t="str">
        <f>IF(Johar_Town!B75&lt;&gt;"",Johar_Town!H75,"")</f>
        <v/>
      </c>
      <c r="K237" s="57" t="str">
        <f>IF(Johar_Town!B75&lt;&gt;"",Johar_Town!CH75,"")</f>
        <v/>
      </c>
      <c r="L237" s="57" t="str">
        <f>IF(Johar_Town!B75&lt;&gt;"",Johar_Town!CE75,"")</f>
        <v/>
      </c>
    </row>
    <row r="238" ht="16.5" customHeight="1">
      <c r="A238" s="57" t="str">
        <f>IF(Johar_Town!B76&lt;&gt;"",SUMPRODUCT((LEN(D193:D237)&gt;0)*1)+1,"")</f>
        <v/>
      </c>
      <c r="B238" s="57" t="str">
        <f>IF(Johar_Town!B76&lt;&gt;"","Johar Town","")</f>
        <v/>
      </c>
      <c r="C238" s="57" t="str">
        <f>IF(Johar_Town!B76&lt;&gt;"","Group 2","")</f>
        <v/>
      </c>
      <c r="D238" s="58" t="str">
        <f>IF(Johar_Town!B76&lt;&gt;"",Johar_Town!B76,"")</f>
        <v/>
      </c>
      <c r="E238" s="57" t="str">
        <f>IF(Johar_Town!B76&lt;&gt;"",Johar_Town!C76,"")</f>
        <v/>
      </c>
      <c r="F238" s="60" t="str">
        <f>IF(Johar_Town!B76&lt;&gt;"",HYPERLINK("tel:"&amp;SUBSTITUTE(SUBSTITUTE(Johar_Town!C76,"+","+")," ",""),"📞"),"")</f>
        <v/>
      </c>
      <c r="G238" s="64" t="str">
        <f>IF(Johar_Town!B76&lt;&gt;"",HYPERLINK("https://wa.me/"&amp;SUBSTITUTE(SUBSTITUTE(Johar_Town!C76,"+","")," ",""),"💬"),"")</f>
        <v/>
      </c>
      <c r="H238" s="57" t="str">
        <f>IF(Johar_Town!B76&lt;&gt;"",Johar_Town!F76,"")</f>
        <v/>
      </c>
      <c r="I238" s="57" t="str">
        <f>IF(Johar_Town!B76&lt;&gt;"",Johar_Town!G76,"")</f>
        <v/>
      </c>
      <c r="J238" s="57" t="str">
        <f>IF(Johar_Town!B76&lt;&gt;"",Johar_Town!H76,"")</f>
        <v/>
      </c>
      <c r="K238" s="57" t="str">
        <f>IF(Johar_Town!B76&lt;&gt;"",Johar_Town!CH76,"")</f>
        <v/>
      </c>
      <c r="L238" s="57" t="str">
        <f>IF(Johar_Town!B76&lt;&gt;"",Johar_Town!CE76,"")</f>
        <v/>
      </c>
    </row>
    <row r="239" ht="16.5" customHeight="1">
      <c r="A239" s="57" t="str">
        <f>IF(Johar_Town!B77&lt;&gt;"",SUMPRODUCT((LEN(D193:D238)&gt;0)*1)+1,"")</f>
        <v/>
      </c>
      <c r="B239" s="57" t="str">
        <f>IF(Johar_Town!B77&lt;&gt;"","Johar Town","")</f>
        <v/>
      </c>
      <c r="C239" s="57" t="str">
        <f>IF(Johar_Town!B77&lt;&gt;"","Group 2","")</f>
        <v/>
      </c>
      <c r="D239" s="58" t="str">
        <f>IF(Johar_Town!B77&lt;&gt;"",Johar_Town!B77,"")</f>
        <v/>
      </c>
      <c r="E239" s="57" t="str">
        <f>IF(Johar_Town!B77&lt;&gt;"",Johar_Town!C77,"")</f>
        <v/>
      </c>
      <c r="F239" s="60" t="str">
        <f>IF(Johar_Town!B77&lt;&gt;"",HYPERLINK("tel:"&amp;SUBSTITUTE(SUBSTITUTE(Johar_Town!C77,"+","+")," ",""),"📞"),"")</f>
        <v/>
      </c>
      <c r="G239" s="64" t="str">
        <f>IF(Johar_Town!B77&lt;&gt;"",HYPERLINK("https://wa.me/"&amp;SUBSTITUTE(SUBSTITUTE(Johar_Town!C77,"+","")," ",""),"💬"),"")</f>
        <v/>
      </c>
      <c r="H239" s="57" t="str">
        <f>IF(Johar_Town!B77&lt;&gt;"",Johar_Town!F77,"")</f>
        <v/>
      </c>
      <c r="I239" s="57" t="str">
        <f>IF(Johar_Town!B77&lt;&gt;"",Johar_Town!G77,"")</f>
        <v/>
      </c>
      <c r="J239" s="57" t="str">
        <f>IF(Johar_Town!B77&lt;&gt;"",Johar_Town!H77,"")</f>
        <v/>
      </c>
      <c r="K239" s="57" t="str">
        <f>IF(Johar_Town!B77&lt;&gt;"",Johar_Town!CH77,"")</f>
        <v/>
      </c>
      <c r="L239" s="57" t="str">
        <f>IF(Johar_Town!B77&lt;&gt;"",Johar_Town!CE77,"")</f>
        <v/>
      </c>
    </row>
    <row r="240" ht="16.5" customHeight="1">
      <c r="A240" s="57" t="str">
        <f>IF(Johar_Town!B78&lt;&gt;"",SUMPRODUCT((LEN(D193:D239)&gt;0)*1)+1,"")</f>
        <v/>
      </c>
      <c r="B240" s="57" t="str">
        <f>IF(Johar_Town!B78&lt;&gt;"","Johar Town","")</f>
        <v/>
      </c>
      <c r="C240" s="57" t="str">
        <f>IF(Johar_Town!B78&lt;&gt;"","Group 2","")</f>
        <v/>
      </c>
      <c r="D240" s="58" t="str">
        <f>IF(Johar_Town!B78&lt;&gt;"",Johar_Town!B78,"")</f>
        <v/>
      </c>
      <c r="E240" s="57" t="str">
        <f>IF(Johar_Town!B78&lt;&gt;"",Johar_Town!C78,"")</f>
        <v/>
      </c>
      <c r="F240" s="60" t="str">
        <f>IF(Johar_Town!B78&lt;&gt;"",HYPERLINK("tel:"&amp;SUBSTITUTE(SUBSTITUTE(Johar_Town!C78,"+","+")," ",""),"📞"),"")</f>
        <v/>
      </c>
      <c r="G240" s="64" t="str">
        <f>IF(Johar_Town!B78&lt;&gt;"",HYPERLINK("https://wa.me/"&amp;SUBSTITUTE(SUBSTITUTE(Johar_Town!C78,"+","")," ",""),"💬"),"")</f>
        <v/>
      </c>
      <c r="H240" s="57" t="str">
        <f>IF(Johar_Town!B78&lt;&gt;"",Johar_Town!F78,"")</f>
        <v/>
      </c>
      <c r="I240" s="57" t="str">
        <f>IF(Johar_Town!B78&lt;&gt;"",Johar_Town!G78,"")</f>
        <v/>
      </c>
      <c r="J240" s="57" t="str">
        <f>IF(Johar_Town!B78&lt;&gt;"",Johar_Town!H78,"")</f>
        <v/>
      </c>
      <c r="K240" s="57" t="str">
        <f>IF(Johar_Town!B78&lt;&gt;"",Johar_Town!CH78,"")</f>
        <v/>
      </c>
      <c r="L240" s="57" t="str">
        <f>IF(Johar_Town!B78&lt;&gt;"",Johar_Town!CE78,"")</f>
        <v/>
      </c>
    </row>
    <row r="241" ht="16.5" customHeight="1">
      <c r="A241" s="57" t="str">
        <f>IF(Johar_Town!B79&lt;&gt;"",SUMPRODUCT((LEN(D193:D240)&gt;0)*1)+1,"")</f>
        <v/>
      </c>
      <c r="B241" s="57" t="str">
        <f>IF(Johar_Town!B79&lt;&gt;"","Johar Town","")</f>
        <v/>
      </c>
      <c r="C241" s="57" t="str">
        <f>IF(Johar_Town!B79&lt;&gt;"","Group 2","")</f>
        <v/>
      </c>
      <c r="D241" s="58" t="str">
        <f>IF(Johar_Town!B79&lt;&gt;"",Johar_Town!B79,"")</f>
        <v/>
      </c>
      <c r="E241" s="57" t="str">
        <f>IF(Johar_Town!B79&lt;&gt;"",Johar_Town!C79,"")</f>
        <v/>
      </c>
      <c r="F241" s="60" t="str">
        <f>IF(Johar_Town!B79&lt;&gt;"",HYPERLINK("tel:"&amp;SUBSTITUTE(SUBSTITUTE(Johar_Town!C79,"+","+")," ",""),"📞"),"")</f>
        <v/>
      </c>
      <c r="G241" s="64" t="str">
        <f>IF(Johar_Town!B79&lt;&gt;"",HYPERLINK("https://wa.me/"&amp;SUBSTITUTE(SUBSTITUTE(Johar_Town!C79,"+","")," ",""),"💬"),"")</f>
        <v/>
      </c>
      <c r="H241" s="57" t="str">
        <f>IF(Johar_Town!B79&lt;&gt;"",Johar_Town!F79,"")</f>
        <v/>
      </c>
      <c r="I241" s="57" t="str">
        <f>IF(Johar_Town!B79&lt;&gt;"",Johar_Town!G79,"")</f>
        <v/>
      </c>
      <c r="J241" s="57" t="str">
        <f>IF(Johar_Town!B79&lt;&gt;"",Johar_Town!H79,"")</f>
        <v/>
      </c>
      <c r="K241" s="57" t="str">
        <f>IF(Johar_Town!B79&lt;&gt;"",Johar_Town!CH79,"")</f>
        <v/>
      </c>
      <c r="L241" s="57" t="str">
        <f>IF(Johar_Town!B79&lt;&gt;"",Johar_Town!CE79,"")</f>
        <v/>
      </c>
    </row>
    <row r="242" ht="15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</row>
    <row r="243" ht="18.0" customHeight="1">
      <c r="A243" s="8" t="str">
        <f>"▶  Gulshan Ravi  ("&amp;SUMPRODUCT((LEN(D244:D288)&gt;0)*1)&amp;" students)"</f>
        <v>▶  Gulshan Ravi  (41 students)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3"/>
    </row>
    <row r="244" ht="16.5" customHeight="1">
      <c r="A244" s="10">
        <v>183.0</v>
      </c>
      <c r="B244" s="10" t="s">
        <v>26</v>
      </c>
      <c r="C244" s="10" t="s">
        <v>22</v>
      </c>
      <c r="D244" s="12" t="str">
        <f>Gulshan_Ravi!B23</f>
        <v>Ubaid Fareed</v>
      </c>
      <c r="E244" s="14" t="str">
        <f>Gulshan_Ravi!C23</f>
        <v>+92 333 6577 7111</v>
      </c>
      <c r="F244" s="17" t="str">
        <f>IF(Gulshan_Ravi!C23&lt;&gt;"",HYPERLINK("tel:"&amp;SUBSTITUTE(SUBSTITUTE(Gulshan_Ravi!C23,"+","+")," ",""),"📞"),"")</f>
        <v>📞</v>
      </c>
      <c r="G244" s="19" t="str">
        <f>IF(Gulshan_Ravi!C23&lt;&gt;"",HYPERLINK("https://wa.me/"&amp;SUBSTITUTE(SUBSTITUTE(Gulshan_Ravi!C23,"+","")," ",""),"💬"),"")</f>
        <v>💬</v>
      </c>
      <c r="H244" s="10" t="str">
        <f>Gulshan_Ravi!F23</f>
        <v/>
      </c>
      <c r="I244" s="10" t="str">
        <f>Gulshan_Ravi!G23</f>
        <v>12</v>
      </c>
      <c r="J244" s="10" t="str">
        <f>Gulshan_Ravi!H23</f>
        <v/>
      </c>
      <c r="K244" s="10" t="str">
        <f>Gulshan_Ravi!CH23</f>
        <v>71%</v>
      </c>
      <c r="L244" s="10">
        <f>Gulshan_Ravi!CE23</f>
        <v>12</v>
      </c>
    </row>
    <row r="245" ht="16.5" customHeight="1">
      <c r="A245" s="20">
        <v>184.0</v>
      </c>
      <c r="B245" s="20" t="s">
        <v>26</v>
      </c>
      <c r="C245" s="20" t="s">
        <v>22</v>
      </c>
      <c r="D245" s="22" t="str">
        <f>Gulshan_Ravi!B24</f>
        <v>Mohsin Atif</v>
      </c>
      <c r="E245" s="23" t="str">
        <f>Gulshan_Ravi!C24</f>
        <v>'+923265860712</v>
      </c>
      <c r="F245" s="24" t="str">
        <f>IF(Gulshan_Ravi!C24&lt;&gt;"",HYPERLINK("tel:"&amp;SUBSTITUTE(SUBSTITUTE(Gulshan_Ravi!C24,"+","+")," ",""),"📞"),"")</f>
        <v>📞</v>
      </c>
      <c r="G245" s="41" t="str">
        <f>IF(Gulshan_Ravi!C24&lt;&gt;"",HYPERLINK("https://wa.me/"&amp;SUBSTITUTE(SUBSTITUTE(Gulshan_Ravi!C24,"+","")," ",""),"💬"),"")</f>
        <v>💬</v>
      </c>
      <c r="H245" s="20" t="str">
        <f>Gulshan_Ravi!F24</f>
        <v/>
      </c>
      <c r="I245" s="20" t="str">
        <f>Gulshan_Ravi!G24</f>
        <v>13</v>
      </c>
      <c r="J245" s="20" t="str">
        <f>Gulshan_Ravi!H24</f>
        <v/>
      </c>
      <c r="K245" s="20" t="str">
        <f>Gulshan_Ravi!CH24</f>
        <v>8%</v>
      </c>
      <c r="L245" s="20">
        <f>Gulshan_Ravi!CE24</f>
        <v>1</v>
      </c>
    </row>
    <row r="246" ht="16.5" customHeight="1">
      <c r="A246" s="10">
        <v>185.0</v>
      </c>
      <c r="B246" s="10" t="s">
        <v>26</v>
      </c>
      <c r="C246" s="10" t="s">
        <v>22</v>
      </c>
      <c r="D246" s="12" t="str">
        <f>Gulshan_Ravi!B25</f>
        <v>Huwaitib Hashim</v>
      </c>
      <c r="E246" s="14" t="str">
        <f>Gulshan_Ravi!C25</f>
        <v>'+923044013905</v>
      </c>
      <c r="F246" s="17" t="str">
        <f>IF(Gulshan_Ravi!C25&lt;&gt;"",HYPERLINK("tel:"&amp;SUBSTITUTE(SUBSTITUTE(Gulshan_Ravi!C25,"+","+")," ",""),"📞"),"")</f>
        <v>📞</v>
      </c>
      <c r="G246" s="19" t="str">
        <f>IF(Gulshan_Ravi!C25&lt;&gt;"",HYPERLINK("https://wa.me/"&amp;SUBSTITUTE(SUBSTITUTE(Gulshan_Ravi!C25,"+","")," ",""),"💬"),"")</f>
        <v>💬</v>
      </c>
      <c r="H246" s="10" t="str">
        <f>Gulshan_Ravi!F25</f>
        <v/>
      </c>
      <c r="I246" s="10" t="str">
        <f>Gulshan_Ravi!G25</f>
        <v>13</v>
      </c>
      <c r="J246" s="10" t="str">
        <f>Gulshan_Ravi!H25</f>
        <v/>
      </c>
      <c r="K246" s="10" t="str">
        <f>Gulshan_Ravi!CH25</f>
        <v>78%</v>
      </c>
      <c r="L246" s="10">
        <f>Gulshan_Ravi!CE25</f>
        <v>14</v>
      </c>
    </row>
    <row r="247" ht="16.5" customHeight="1">
      <c r="A247" s="20">
        <v>186.0</v>
      </c>
      <c r="B247" s="20" t="s">
        <v>26</v>
      </c>
      <c r="C247" s="20" t="s">
        <v>22</v>
      </c>
      <c r="D247" s="22" t="str">
        <f>Gulshan_Ravi!B26</f>
        <v>abdur rehman</v>
      </c>
      <c r="E247" s="23" t="str">
        <f>Gulshan_Ravi!C26</f>
        <v>'+923096894834</v>
      </c>
      <c r="F247" s="24" t="str">
        <f>IF(Gulshan_Ravi!C26&lt;&gt;"",HYPERLINK("tel:"&amp;SUBSTITUTE(SUBSTITUTE(Gulshan_Ravi!C26,"+","+")," ",""),"📞"),"")</f>
        <v>📞</v>
      </c>
      <c r="G247" s="41" t="str">
        <f>IF(Gulshan_Ravi!C26&lt;&gt;"",HYPERLINK("https://wa.me/"&amp;SUBSTITUTE(SUBSTITUTE(Gulshan_Ravi!C26,"+","")," ",""),"💬"),"")</f>
        <v>💬</v>
      </c>
      <c r="H247" s="20" t="str">
        <f>Gulshan_Ravi!F26</f>
        <v/>
      </c>
      <c r="I247" s="20" t="str">
        <f>Gulshan_Ravi!G26</f>
        <v>13</v>
      </c>
      <c r="J247" s="20" t="str">
        <f>Gulshan_Ravi!H26</f>
        <v/>
      </c>
      <c r="K247" s="20" t="str">
        <f>Gulshan_Ravi!CH26</f>
        <v>60%</v>
      </c>
      <c r="L247" s="20">
        <f>Gulshan_Ravi!CE26</f>
        <v>9</v>
      </c>
    </row>
    <row r="248" ht="16.5" customHeight="1">
      <c r="A248" s="10">
        <v>187.0</v>
      </c>
      <c r="B248" s="10" t="s">
        <v>26</v>
      </c>
      <c r="C248" s="10" t="s">
        <v>22</v>
      </c>
      <c r="D248" s="12" t="str">
        <f>Gulshan_Ravi!B27</f>
        <v>hassan khurram</v>
      </c>
      <c r="E248" s="14" t="str">
        <f>Gulshan_Ravi!C27</f>
        <v>'+923706851477</v>
      </c>
      <c r="F248" s="17" t="str">
        <f>IF(Gulshan_Ravi!C27&lt;&gt;"",HYPERLINK("tel:"&amp;SUBSTITUTE(SUBSTITUTE(Gulshan_Ravi!C27,"+","+")," ",""),"📞"),"")</f>
        <v>📞</v>
      </c>
      <c r="G248" s="19" t="str">
        <f>IF(Gulshan_Ravi!C27&lt;&gt;"",HYPERLINK("https://wa.me/"&amp;SUBSTITUTE(SUBSTITUTE(Gulshan_Ravi!C27,"+","")," ",""),"💬"),"")</f>
        <v>💬</v>
      </c>
      <c r="H248" s="10" t="str">
        <f>Gulshan_Ravi!F27</f>
        <v/>
      </c>
      <c r="I248" s="10" t="str">
        <f>Gulshan_Ravi!G27</f>
        <v>13</v>
      </c>
      <c r="J248" s="10" t="str">
        <f>Gulshan_Ravi!H27</f>
        <v/>
      </c>
      <c r="K248" s="10" t="str">
        <f>Gulshan_Ravi!CH27</f>
        <v>35%</v>
      </c>
      <c r="L248" s="10">
        <f>Gulshan_Ravi!CE27</f>
        <v>6</v>
      </c>
    </row>
    <row r="249" ht="16.5" customHeight="1">
      <c r="A249" s="20">
        <v>188.0</v>
      </c>
      <c r="B249" s="20" t="s">
        <v>26</v>
      </c>
      <c r="C249" s="20" t="s">
        <v>22</v>
      </c>
      <c r="D249" s="22" t="str">
        <f>Gulshan_Ravi!B28</f>
        <v>Ubaadah</v>
      </c>
      <c r="E249" s="23" t="str">
        <f>Gulshan_Ravi!C28</f>
        <v>'+923256577086</v>
      </c>
      <c r="F249" s="24" t="str">
        <f>IF(Gulshan_Ravi!C28&lt;&gt;"",HYPERLINK("tel:"&amp;SUBSTITUTE(SUBSTITUTE(Gulshan_Ravi!C28,"+","+")," ",""),"📞"),"")</f>
        <v>📞</v>
      </c>
      <c r="G249" s="41" t="str">
        <f>IF(Gulshan_Ravi!C28&lt;&gt;"",HYPERLINK("https://wa.me/"&amp;SUBSTITUTE(SUBSTITUTE(Gulshan_Ravi!C28,"+","")," ",""),"💬"),"")</f>
        <v>💬</v>
      </c>
      <c r="H249" s="20" t="str">
        <f>Gulshan_Ravi!F28</f>
        <v/>
      </c>
      <c r="I249" s="20" t="str">
        <f>Gulshan_Ravi!G28</f>
        <v>14</v>
      </c>
      <c r="J249" s="20" t="str">
        <f>Gulshan_Ravi!H28</f>
        <v/>
      </c>
      <c r="K249" s="20" t="str">
        <f>Gulshan_Ravi!CH28</f>
        <v>72%</v>
      </c>
      <c r="L249" s="20">
        <f>Gulshan_Ravi!CE28</f>
        <v>13</v>
      </c>
    </row>
    <row r="250" ht="16.5" customHeight="1">
      <c r="A250" s="10">
        <v>189.0</v>
      </c>
      <c r="B250" s="10" t="s">
        <v>26</v>
      </c>
      <c r="C250" s="10" t="s">
        <v>22</v>
      </c>
      <c r="D250" s="12" t="str">
        <f>Gulshan_Ravi!B29</f>
        <v>Asad ullah Aslam</v>
      </c>
      <c r="E250" s="14" t="str">
        <f>Gulshan_Ravi!C29</f>
        <v>'+923004175029</v>
      </c>
      <c r="F250" s="17" t="str">
        <f>IF(Gulshan_Ravi!C29&lt;&gt;"",HYPERLINK("tel:"&amp;SUBSTITUTE(SUBSTITUTE(Gulshan_Ravi!C29,"+","+")," ",""),"📞"),"")</f>
        <v>📞</v>
      </c>
      <c r="G250" s="19" t="str">
        <f>IF(Gulshan_Ravi!C29&lt;&gt;"",HYPERLINK("https://wa.me/"&amp;SUBSTITUTE(SUBSTITUTE(Gulshan_Ravi!C29,"+","")," ",""),"💬"),"")</f>
        <v>💬</v>
      </c>
      <c r="H250" s="10" t="str">
        <f>Gulshan_Ravi!F29</f>
        <v/>
      </c>
      <c r="I250" s="10" t="str">
        <f>Gulshan_Ravi!G29</f>
        <v>14</v>
      </c>
      <c r="J250" s="10" t="str">
        <f>Gulshan_Ravi!H29</f>
        <v/>
      </c>
      <c r="K250" s="10" t="str">
        <f>Gulshan_Ravi!CH29</f>
        <v>67%</v>
      </c>
      <c r="L250" s="10">
        <f>Gulshan_Ravi!CE29</f>
        <v>12</v>
      </c>
    </row>
    <row r="251" ht="16.5" customHeight="1">
      <c r="A251" s="20">
        <v>190.0</v>
      </c>
      <c r="B251" s="20" t="s">
        <v>26</v>
      </c>
      <c r="C251" s="20" t="s">
        <v>22</v>
      </c>
      <c r="D251" s="22" t="str">
        <f>Gulshan_Ravi!B30</f>
        <v>Ibad ur rehman</v>
      </c>
      <c r="E251" s="23" t="str">
        <f>Gulshan_Ravi!C30</f>
        <v>'+923334286082</v>
      </c>
      <c r="F251" s="24" t="str">
        <f>IF(Gulshan_Ravi!C30&lt;&gt;"",HYPERLINK("tel:"&amp;SUBSTITUTE(SUBSTITUTE(Gulshan_Ravi!C30,"+","+")," ",""),"📞"),"")</f>
        <v>📞</v>
      </c>
      <c r="G251" s="41" t="str">
        <f>IF(Gulshan_Ravi!C30&lt;&gt;"",HYPERLINK("https://wa.me/"&amp;SUBSTITUTE(SUBSTITUTE(Gulshan_Ravi!C30,"+","")," ",""),"💬"),"")</f>
        <v>💬</v>
      </c>
      <c r="H251" s="20" t="str">
        <f>Gulshan_Ravi!F30</f>
        <v/>
      </c>
      <c r="I251" s="20" t="str">
        <f>Gulshan_Ravi!G30</f>
        <v>14</v>
      </c>
      <c r="J251" s="20" t="str">
        <f>Gulshan_Ravi!H30</f>
        <v/>
      </c>
      <c r="K251" s="20" t="str">
        <f>Gulshan_Ravi!CH30</f>
        <v>69%</v>
      </c>
      <c r="L251" s="20">
        <f>Gulshan_Ravi!CE30</f>
        <v>9</v>
      </c>
    </row>
    <row r="252" ht="16.5" customHeight="1">
      <c r="A252" s="10">
        <v>191.0</v>
      </c>
      <c r="B252" s="10" t="s">
        <v>26</v>
      </c>
      <c r="C252" s="10" t="s">
        <v>22</v>
      </c>
      <c r="D252" s="12" t="str">
        <f>Gulshan_Ravi!B31</f>
        <v>Hafiz Muhammad Alqamah</v>
      </c>
      <c r="E252" s="14" t="str">
        <f>Gulshan_Ravi!C31</f>
        <v>'+923180141637</v>
      </c>
      <c r="F252" s="17" t="str">
        <f>IF(Gulshan_Ravi!C31&lt;&gt;"",HYPERLINK("tel:"&amp;SUBSTITUTE(SUBSTITUTE(Gulshan_Ravi!C31,"+","+")," ",""),"📞"),"")</f>
        <v>📞</v>
      </c>
      <c r="G252" s="19" t="str">
        <f>IF(Gulshan_Ravi!C31&lt;&gt;"",HYPERLINK("https://wa.me/"&amp;SUBSTITUTE(SUBSTITUTE(Gulshan_Ravi!C31,"+","")," ",""),"💬"),"")</f>
        <v>💬</v>
      </c>
      <c r="H252" s="10" t="str">
        <f>Gulshan_Ravi!F31</f>
        <v/>
      </c>
      <c r="I252" s="10" t="str">
        <f>Gulshan_Ravi!G31</f>
        <v>14</v>
      </c>
      <c r="J252" s="10" t="str">
        <f>Gulshan_Ravi!H31</f>
        <v/>
      </c>
      <c r="K252" s="10" t="str">
        <f>Gulshan_Ravi!CH31</f>
        <v>61%</v>
      </c>
      <c r="L252" s="10">
        <f>Gulshan_Ravi!CE31</f>
        <v>11</v>
      </c>
    </row>
    <row r="253" ht="16.5" customHeight="1">
      <c r="A253" s="20">
        <v>192.0</v>
      </c>
      <c r="B253" s="20" t="s">
        <v>26</v>
      </c>
      <c r="C253" s="20" t="s">
        <v>22</v>
      </c>
      <c r="D253" s="22" t="str">
        <f>Gulshan_Ravi!B32</f>
        <v>hashir khurram</v>
      </c>
      <c r="E253" s="23" t="str">
        <f>Gulshan_Ravi!C32</f>
        <v>'+923704755223</v>
      </c>
      <c r="F253" s="24" t="str">
        <f>IF(Gulshan_Ravi!C32&lt;&gt;"",HYPERLINK("tel:"&amp;SUBSTITUTE(SUBSTITUTE(Gulshan_Ravi!C32,"+","+")," ",""),"📞"),"")</f>
        <v>📞</v>
      </c>
      <c r="G253" s="41" t="str">
        <f>IF(Gulshan_Ravi!C32&lt;&gt;"",HYPERLINK("https://wa.me/"&amp;SUBSTITUTE(SUBSTITUTE(Gulshan_Ravi!C32,"+","")," ",""),"💬"),"")</f>
        <v>💬</v>
      </c>
      <c r="H253" s="20" t="str">
        <f>Gulshan_Ravi!F32</f>
        <v/>
      </c>
      <c r="I253" s="20" t="str">
        <f>Gulshan_Ravi!G32</f>
        <v>14</v>
      </c>
      <c r="J253" s="20" t="str">
        <f>Gulshan_Ravi!H32</f>
        <v/>
      </c>
      <c r="K253" s="20" t="str">
        <f>Gulshan_Ravi!CH32</f>
        <v>41%</v>
      </c>
      <c r="L253" s="20">
        <f>Gulshan_Ravi!CE32</f>
        <v>7</v>
      </c>
    </row>
    <row r="254" ht="16.5" customHeight="1">
      <c r="A254" s="10">
        <v>193.0</v>
      </c>
      <c r="B254" s="10" t="s">
        <v>26</v>
      </c>
      <c r="C254" s="10" t="s">
        <v>22</v>
      </c>
      <c r="D254" s="12" t="str">
        <f>Gulshan_Ravi!B33</f>
        <v>Abdul Hannan</v>
      </c>
      <c r="E254" s="14" t="str">
        <f>Gulshan_Ravi!C33</f>
        <v/>
      </c>
      <c r="F254" s="17" t="str">
        <f>IF(Gulshan_Ravi!C33&lt;&gt;"",HYPERLINK("tel:"&amp;SUBSTITUTE(SUBSTITUTE(Gulshan_Ravi!C33,"+","+")," ",""),"📞"),"")</f>
        <v/>
      </c>
      <c r="G254" s="28" t="str">
        <f>IF(Gulshan_Ravi!C33&lt;&gt;"",HYPERLINK("https://wa.me/"&amp;SUBSTITUTE(SUBSTITUTE(Gulshan_Ravi!C33,"+","")," ",""),"💬"),"")</f>
        <v/>
      </c>
      <c r="H254" s="10" t="str">
        <f>Gulshan_Ravi!F33</f>
        <v/>
      </c>
      <c r="I254" s="10" t="str">
        <f>Gulshan_Ravi!G33</f>
        <v/>
      </c>
      <c r="J254" s="10" t="str">
        <f>Gulshan_Ravi!H33</f>
        <v/>
      </c>
      <c r="K254" s="10" t="str">
        <f>Gulshan_Ravi!CH33</f>
        <v>25%</v>
      </c>
      <c r="L254" s="10">
        <f>Gulshan_Ravi!CE33</f>
        <v>3</v>
      </c>
    </row>
    <row r="255" ht="16.5" customHeight="1">
      <c r="A255" s="20">
        <v>194.0</v>
      </c>
      <c r="B255" s="20" t="s">
        <v>26</v>
      </c>
      <c r="C255" s="20" t="s">
        <v>22</v>
      </c>
      <c r="D255" s="22" t="str">
        <f>Gulshan_Ravi!B34</f>
        <v>Zubair Ali</v>
      </c>
      <c r="E255" s="23" t="str">
        <f>Gulshan_Ravi!C34</f>
        <v/>
      </c>
      <c r="F255" s="24" t="str">
        <f>IF(Gulshan_Ravi!C34&lt;&gt;"",HYPERLINK("tel:"&amp;SUBSTITUTE(SUBSTITUTE(Gulshan_Ravi!C34,"+","+")," ",""),"📞"),"")</f>
        <v/>
      </c>
      <c r="G255" s="26" t="str">
        <f>IF(Gulshan_Ravi!C34&lt;&gt;"",HYPERLINK("https://wa.me/"&amp;SUBSTITUTE(SUBSTITUTE(Gulshan_Ravi!C34,"+","")," ",""),"💬"),"")</f>
        <v/>
      </c>
      <c r="H255" s="20" t="str">
        <f>Gulshan_Ravi!F34</f>
        <v/>
      </c>
      <c r="I255" s="20" t="str">
        <f>Gulshan_Ravi!G34</f>
        <v/>
      </c>
      <c r="J255" s="20" t="str">
        <f>Gulshan_Ravi!H34</f>
        <v/>
      </c>
      <c r="K255" s="20" t="str">
        <f>Gulshan_Ravi!CH34</f>
        <v>31%</v>
      </c>
      <c r="L255" s="20">
        <f>Gulshan_Ravi!CE34</f>
        <v>4</v>
      </c>
    </row>
    <row r="256" ht="16.5" customHeight="1">
      <c r="A256" s="10">
        <v>195.0</v>
      </c>
      <c r="B256" s="10" t="s">
        <v>26</v>
      </c>
      <c r="C256" s="10" t="s">
        <v>22</v>
      </c>
      <c r="D256" s="12" t="str">
        <f>Gulshan_Ravi!B35</f>
        <v>Arham</v>
      </c>
      <c r="E256" s="14" t="str">
        <f>Gulshan_Ravi!C35</f>
        <v/>
      </c>
      <c r="F256" s="17" t="str">
        <f>IF(Gulshan_Ravi!C35&lt;&gt;"",HYPERLINK("tel:"&amp;SUBSTITUTE(SUBSTITUTE(Gulshan_Ravi!C35,"+","+")," ",""),"📞"),"")</f>
        <v/>
      </c>
      <c r="G256" s="28" t="str">
        <f>IF(Gulshan_Ravi!C35&lt;&gt;"",HYPERLINK("https://wa.me/"&amp;SUBSTITUTE(SUBSTITUTE(Gulshan_Ravi!C35,"+","")," ",""),"💬"),"")</f>
        <v/>
      </c>
      <c r="H256" s="10" t="str">
        <f>Gulshan_Ravi!F35</f>
        <v/>
      </c>
      <c r="I256" s="10" t="str">
        <f>Gulshan_Ravi!G35</f>
        <v/>
      </c>
      <c r="J256" s="10" t="str">
        <f>Gulshan_Ravi!H35</f>
        <v/>
      </c>
      <c r="K256" s="10" t="str">
        <f>Gulshan_Ravi!CH35</f>
        <v>100%</v>
      </c>
      <c r="L256" s="10">
        <f>Gulshan_Ravi!CE35</f>
        <v>13</v>
      </c>
    </row>
    <row r="257" ht="16.5" customHeight="1">
      <c r="A257" s="20">
        <v>196.0</v>
      </c>
      <c r="B257" s="20" t="s">
        <v>26</v>
      </c>
      <c r="C257" s="20" t="s">
        <v>22</v>
      </c>
      <c r="D257" s="22" t="str">
        <f>Gulshan_Ravi!B36</f>
        <v>Farhan Sohail</v>
      </c>
      <c r="E257" s="23" t="str">
        <f>Gulshan_Ravi!C36</f>
        <v/>
      </c>
      <c r="F257" s="24" t="str">
        <f>IF(Gulshan_Ravi!C36&lt;&gt;"",HYPERLINK("tel:"&amp;SUBSTITUTE(SUBSTITUTE(Gulshan_Ravi!C36,"+","+")," ",""),"📞"),"")</f>
        <v/>
      </c>
      <c r="G257" s="26" t="str">
        <f>IF(Gulshan_Ravi!C36&lt;&gt;"",HYPERLINK("https://wa.me/"&amp;SUBSTITUTE(SUBSTITUTE(Gulshan_Ravi!C36,"+","")," ",""),"💬"),"")</f>
        <v/>
      </c>
      <c r="H257" s="20" t="str">
        <f>Gulshan_Ravi!F36</f>
        <v/>
      </c>
      <c r="I257" s="20" t="str">
        <f>Gulshan_Ravi!G36</f>
        <v/>
      </c>
      <c r="J257" s="20" t="str">
        <f>Gulshan_Ravi!H36</f>
        <v/>
      </c>
      <c r="K257" s="20" t="str">
        <f>Gulshan_Ravi!CH36</f>
        <v>17%</v>
      </c>
      <c r="L257" s="20">
        <f>Gulshan_Ravi!CE36</f>
        <v>2</v>
      </c>
    </row>
    <row r="258" ht="16.5" customHeight="1">
      <c r="A258" s="10">
        <v>197.0</v>
      </c>
      <c r="B258" s="10" t="s">
        <v>26</v>
      </c>
      <c r="C258" s="10" t="s">
        <v>22</v>
      </c>
      <c r="D258" s="12" t="str">
        <f>Gulshan_Ravi!B37</f>
        <v>Kaab</v>
      </c>
      <c r="E258" s="14" t="str">
        <f>Gulshan_Ravi!C37</f>
        <v/>
      </c>
      <c r="F258" s="17" t="str">
        <f>IF(Gulshan_Ravi!C37&lt;&gt;"",HYPERLINK("tel:"&amp;SUBSTITUTE(SUBSTITUTE(Gulshan_Ravi!C37,"+","+")," ",""),"📞"),"")</f>
        <v/>
      </c>
      <c r="G258" s="28" t="str">
        <f>IF(Gulshan_Ravi!C37&lt;&gt;"",HYPERLINK("https://wa.me/"&amp;SUBSTITUTE(SUBSTITUTE(Gulshan_Ravi!C37,"+","")," ",""),"💬"),"")</f>
        <v/>
      </c>
      <c r="H258" s="10" t="str">
        <f>Gulshan_Ravi!F37</f>
        <v/>
      </c>
      <c r="I258" s="10" t="str">
        <f>Gulshan_Ravi!G37</f>
        <v/>
      </c>
      <c r="J258" s="10" t="str">
        <f>Gulshan_Ravi!H37</f>
        <v>9th</v>
      </c>
      <c r="K258" s="10" t="str">
        <f>Gulshan_Ravi!CH37</f>
        <v>27%</v>
      </c>
      <c r="L258" s="10">
        <f>Gulshan_Ravi!CE37</f>
        <v>3</v>
      </c>
    </row>
    <row r="259" ht="16.5" customHeight="1">
      <c r="A259" s="20">
        <v>198.0</v>
      </c>
      <c r="B259" s="20" t="s">
        <v>26</v>
      </c>
      <c r="C259" s="20" t="s">
        <v>22</v>
      </c>
      <c r="D259" s="22" t="str">
        <f>Gulshan_Ravi!B38</f>
        <v>Abdullah Taimoor</v>
      </c>
      <c r="E259" s="23" t="str">
        <f>Gulshan_Ravi!C38</f>
        <v/>
      </c>
      <c r="F259" s="24" t="str">
        <f>IF(Gulshan_Ravi!C38&lt;&gt;"",HYPERLINK("tel:"&amp;SUBSTITUTE(SUBSTITUTE(Gulshan_Ravi!C38,"+","+")," ",""),"📞"),"")</f>
        <v/>
      </c>
      <c r="G259" s="26" t="str">
        <f>IF(Gulshan_Ravi!C38&lt;&gt;"",HYPERLINK("https://wa.me/"&amp;SUBSTITUTE(SUBSTITUTE(Gulshan_Ravi!C38,"+","")," ",""),"💬"),"")</f>
        <v/>
      </c>
      <c r="H259" s="20" t="str">
        <f>Gulshan_Ravi!F38</f>
        <v/>
      </c>
      <c r="I259" s="20" t="str">
        <f>Gulshan_Ravi!G38</f>
        <v/>
      </c>
      <c r="J259" s="20" t="str">
        <f>Gulshan_Ravi!H38</f>
        <v>9th</v>
      </c>
      <c r="K259" s="20" t="str">
        <f>Gulshan_Ravi!CH38</f>
        <v>36%</v>
      </c>
      <c r="L259" s="20">
        <f>Gulshan_Ravi!CE38</f>
        <v>4</v>
      </c>
    </row>
    <row r="260" ht="16.5" customHeight="1">
      <c r="A260" s="10">
        <v>199.0</v>
      </c>
      <c r="B260" s="10" t="s">
        <v>26</v>
      </c>
      <c r="C260" s="10" t="s">
        <v>22</v>
      </c>
      <c r="D260" s="12" t="str">
        <f>Gulshan_Ravi!B39</f>
        <v>Dawood</v>
      </c>
      <c r="E260" s="14" t="str">
        <f>Gulshan_Ravi!C39</f>
        <v/>
      </c>
      <c r="F260" s="17" t="str">
        <f>IF(Gulshan_Ravi!C39&lt;&gt;"",HYPERLINK("tel:"&amp;SUBSTITUTE(SUBSTITUTE(Gulshan_Ravi!C39,"+","+")," ",""),"📞"),"")</f>
        <v/>
      </c>
      <c r="G260" s="28" t="str">
        <f>IF(Gulshan_Ravi!C39&lt;&gt;"",HYPERLINK("https://wa.me/"&amp;SUBSTITUTE(SUBSTITUTE(Gulshan_Ravi!C39,"+","")," ",""),"💬"),"")</f>
        <v/>
      </c>
      <c r="H260" s="10" t="str">
        <f>Gulshan_Ravi!F39</f>
        <v/>
      </c>
      <c r="I260" s="10" t="str">
        <f>Gulshan_Ravi!G39</f>
        <v/>
      </c>
      <c r="J260" s="10" t="str">
        <f>Gulshan_Ravi!H39</f>
        <v>7th</v>
      </c>
      <c r="K260" s="10" t="str">
        <f>Gulshan_Ravi!CH39</f>
        <v>27%</v>
      </c>
      <c r="L260" s="10">
        <f>Gulshan_Ravi!CE39</f>
        <v>3</v>
      </c>
    </row>
    <row r="261" ht="16.5" customHeight="1">
      <c r="A261" s="20">
        <v>200.0</v>
      </c>
      <c r="B261" s="20" t="s">
        <v>26</v>
      </c>
      <c r="C261" s="20" t="s">
        <v>22</v>
      </c>
      <c r="D261" s="22" t="str">
        <f>Gulshan_Ravi!B40</f>
        <v>Usman</v>
      </c>
      <c r="E261" s="23" t="str">
        <f>Gulshan_Ravi!C40</f>
        <v/>
      </c>
      <c r="F261" s="24" t="str">
        <f>IF(Gulshan_Ravi!C40&lt;&gt;"",HYPERLINK("tel:"&amp;SUBSTITUTE(SUBSTITUTE(Gulshan_Ravi!C40,"+","+")," ",""),"📞"),"")</f>
        <v/>
      </c>
      <c r="G261" s="26" t="str">
        <f>IF(Gulshan_Ravi!C40&lt;&gt;"",HYPERLINK("https://wa.me/"&amp;SUBSTITUTE(SUBSTITUTE(Gulshan_Ravi!C40,"+","")," ",""),"💬"),"")</f>
        <v/>
      </c>
      <c r="H261" s="20" t="str">
        <f>Gulshan_Ravi!F40</f>
        <v/>
      </c>
      <c r="I261" s="20" t="str">
        <f>Gulshan_Ravi!G40</f>
        <v/>
      </c>
      <c r="J261" s="20" t="str">
        <f>Gulshan_Ravi!H40</f>
        <v>Hifz</v>
      </c>
      <c r="K261" s="20" t="str">
        <f>Gulshan_Ravi!CH40</f>
        <v>92%</v>
      </c>
      <c r="L261" s="20">
        <f>Gulshan_Ravi!CE40</f>
        <v>12</v>
      </c>
    </row>
    <row r="262" ht="16.5" customHeight="1">
      <c r="A262" s="57">
        <f>IF(Gulshan_Ravi!B41&lt;&gt;"",SUMPRODUCT((LEN(D244:D261)&gt;0)*1)+1,"")</f>
        <v>19</v>
      </c>
      <c r="B262" s="57" t="str">
        <f>IF(Gulshan_Ravi!B41&lt;&gt;"","Gulshan Ravi","")</f>
        <v>Gulshan Ravi</v>
      </c>
      <c r="C262" s="57" t="str">
        <f>IF(Gulshan_Ravi!B41&lt;&gt;"","Group 1","")</f>
        <v>Group 1</v>
      </c>
      <c r="D262" s="58" t="str">
        <f>IF(Gulshan_Ravi!B41&lt;&gt;"",Gulshan_Ravi!B41,"")</f>
        <v>Ibrahim Arshad</v>
      </c>
      <c r="E262" s="57" t="str">
        <f>IF(Gulshan_Ravi!B41&lt;&gt;"",Gulshan_Ravi!C41,"")</f>
        <v/>
      </c>
      <c r="F262" s="60" t="str">
        <f>IF(Gulshan_Ravi!B41&lt;&gt;"",HYPERLINK("tel:"&amp;SUBSTITUTE(SUBSTITUTE(Gulshan_Ravi!C41,"+","+")," ",""),"📞"),"")</f>
        <v>📞</v>
      </c>
      <c r="G262" s="61" t="str">
        <f>IF(Gulshan_Ravi!B41&lt;&gt;"",HYPERLINK("https://wa.me/"&amp;SUBSTITUTE(SUBSTITUTE(Gulshan_Ravi!C41,"+","")," ",""),"💬"),"")</f>
        <v>💬</v>
      </c>
      <c r="H262" s="57" t="str">
        <f>IF(Gulshan_Ravi!B41&lt;&gt;"",Gulshan_Ravi!F41,"")</f>
        <v/>
      </c>
      <c r="I262" s="57" t="str">
        <f>IF(Gulshan_Ravi!B41&lt;&gt;"",Gulshan_Ravi!G41,"")</f>
        <v/>
      </c>
      <c r="J262" s="57" t="str">
        <f>IF(Gulshan_Ravi!B41&lt;&gt;"",Gulshan_Ravi!H41,"")</f>
        <v/>
      </c>
      <c r="K262" s="57" t="str">
        <f>IF(Gulshan_Ravi!B41&lt;&gt;"",Gulshan_Ravi!CH41,"")</f>
        <v>50%</v>
      </c>
      <c r="L262" s="57">
        <f>IF(Gulshan_Ravi!B41&lt;&gt;"",Gulshan_Ravi!CE41,"")</f>
        <v>4</v>
      </c>
    </row>
    <row r="263" ht="16.5" customHeight="1">
      <c r="A263" s="57">
        <f>IF(Gulshan_Ravi!B42&lt;&gt;"",SUMPRODUCT((LEN(D244:D262)&gt;0)*1)+1,"")</f>
        <v>20</v>
      </c>
      <c r="B263" s="57" t="str">
        <f>IF(Gulshan_Ravi!B42&lt;&gt;"","Gulshan Ravi","")</f>
        <v>Gulshan Ravi</v>
      </c>
      <c r="C263" s="57" t="str">
        <f>IF(Gulshan_Ravi!B42&lt;&gt;"","Group 1","")</f>
        <v>Group 1</v>
      </c>
      <c r="D263" s="58" t="str">
        <f>IF(Gulshan_Ravi!B42&lt;&gt;"",Gulshan_Ravi!B42,"")</f>
        <v>Muhammad bin Qasim</v>
      </c>
      <c r="E263" s="57" t="str">
        <f>IF(Gulshan_Ravi!B42&lt;&gt;"",Gulshan_Ravi!C42,"")</f>
        <v/>
      </c>
      <c r="F263" s="60" t="str">
        <f>IF(Gulshan_Ravi!B42&lt;&gt;"",HYPERLINK("tel:"&amp;SUBSTITUTE(SUBSTITUTE(Gulshan_Ravi!C42,"+","+")," ",""),"📞"),"")</f>
        <v>📞</v>
      </c>
      <c r="G263" s="61" t="str">
        <f>IF(Gulshan_Ravi!B42&lt;&gt;"",HYPERLINK("https://wa.me/"&amp;SUBSTITUTE(SUBSTITUTE(Gulshan_Ravi!C42,"+","")," ",""),"💬"),"")</f>
        <v>💬</v>
      </c>
      <c r="H263" s="57" t="str">
        <f>IF(Gulshan_Ravi!B42&lt;&gt;"",Gulshan_Ravi!F42,"")</f>
        <v/>
      </c>
      <c r="I263" s="57" t="str">
        <f>IF(Gulshan_Ravi!B42&lt;&gt;"",Gulshan_Ravi!G42,"")</f>
        <v/>
      </c>
      <c r="J263" s="57" t="str">
        <f>IF(Gulshan_Ravi!B42&lt;&gt;"",Gulshan_Ravi!H42,"")</f>
        <v/>
      </c>
      <c r="K263" s="57" t="str">
        <f>IF(Gulshan_Ravi!B42&lt;&gt;"",Gulshan_Ravi!CH42,"")</f>
        <v>56%</v>
      </c>
      <c r="L263" s="57">
        <f>IF(Gulshan_Ravi!B42&lt;&gt;"",Gulshan_Ravi!CE42,"")</f>
        <v>5</v>
      </c>
    </row>
    <row r="264" ht="16.5" customHeight="1">
      <c r="A264" s="57">
        <f>IF(Gulshan_Ravi!B43&lt;&gt;"",SUMPRODUCT((LEN(D244:D263)&gt;0)*1)+1,"")</f>
        <v>21</v>
      </c>
      <c r="B264" s="57" t="str">
        <f>IF(Gulshan_Ravi!B43&lt;&gt;"","Gulshan Ravi","")</f>
        <v>Gulshan Ravi</v>
      </c>
      <c r="C264" s="57" t="str">
        <f>IF(Gulshan_Ravi!B43&lt;&gt;"","Group 1","")</f>
        <v>Group 1</v>
      </c>
      <c r="D264" s="58" t="str">
        <f>IF(Gulshan_Ravi!B43&lt;&gt;"",Gulshan_Ravi!B43,"")</f>
        <v>Subhan</v>
      </c>
      <c r="E264" s="57" t="str">
        <f>IF(Gulshan_Ravi!B43&lt;&gt;"",Gulshan_Ravi!C43,"")</f>
        <v/>
      </c>
      <c r="F264" s="60" t="str">
        <f>IF(Gulshan_Ravi!B43&lt;&gt;"",HYPERLINK("tel:"&amp;SUBSTITUTE(SUBSTITUTE(Gulshan_Ravi!C43,"+","+")," ",""),"📞"),"")</f>
        <v>📞</v>
      </c>
      <c r="G264" s="61" t="str">
        <f>IF(Gulshan_Ravi!B43&lt;&gt;"",HYPERLINK("https://wa.me/"&amp;SUBSTITUTE(SUBSTITUTE(Gulshan_Ravi!C43,"+","")," ",""),"💬"),"")</f>
        <v>💬</v>
      </c>
      <c r="H264" s="57" t="str">
        <f>IF(Gulshan_Ravi!B43&lt;&gt;"",Gulshan_Ravi!F43,"")</f>
        <v/>
      </c>
      <c r="I264" s="57" t="str">
        <f>IF(Gulshan_Ravi!B43&lt;&gt;"",Gulshan_Ravi!G43,"")</f>
        <v/>
      </c>
      <c r="J264" s="57" t="str">
        <f>IF(Gulshan_Ravi!B43&lt;&gt;"",Gulshan_Ravi!H43,"")</f>
        <v/>
      </c>
      <c r="K264" s="57" t="str">
        <f>IF(Gulshan_Ravi!B43&lt;&gt;"",Gulshan_Ravi!CH43,"")</f>
        <v>22%</v>
      </c>
      <c r="L264" s="57">
        <f>IF(Gulshan_Ravi!B43&lt;&gt;"",Gulshan_Ravi!CE43,"")</f>
        <v>2</v>
      </c>
    </row>
    <row r="265" ht="16.5" customHeight="1">
      <c r="A265" s="57">
        <f>IF(Gulshan_Ravi!B44&lt;&gt;"",SUMPRODUCT((LEN(D244:D264)&gt;0)*1)+1,"")</f>
        <v>22</v>
      </c>
      <c r="B265" s="57" t="str">
        <f>IF(Gulshan_Ravi!B44&lt;&gt;"","Gulshan Ravi","")</f>
        <v>Gulshan Ravi</v>
      </c>
      <c r="C265" s="57" t="str">
        <f>IF(Gulshan_Ravi!B44&lt;&gt;"","Group 1","")</f>
        <v>Group 1</v>
      </c>
      <c r="D265" s="58" t="str">
        <f>IF(Gulshan_Ravi!B44&lt;&gt;"",Gulshan_Ravi!B44,"")</f>
        <v>Arman Tahir</v>
      </c>
      <c r="E265" s="57" t="str">
        <f>IF(Gulshan_Ravi!B44&lt;&gt;"",Gulshan_Ravi!C44,"")</f>
        <v/>
      </c>
      <c r="F265" s="60" t="str">
        <f>IF(Gulshan_Ravi!B44&lt;&gt;"",HYPERLINK("tel:"&amp;SUBSTITUTE(SUBSTITUTE(Gulshan_Ravi!C44,"+","+")," ",""),"📞"),"")</f>
        <v>📞</v>
      </c>
      <c r="G265" s="61" t="str">
        <f>IF(Gulshan_Ravi!B44&lt;&gt;"",HYPERLINK("https://wa.me/"&amp;SUBSTITUTE(SUBSTITUTE(Gulshan_Ravi!C44,"+","")," ",""),"💬"),"")</f>
        <v>💬</v>
      </c>
      <c r="H265" s="57" t="str">
        <f>IF(Gulshan_Ravi!B44&lt;&gt;"",Gulshan_Ravi!F44,"")</f>
        <v/>
      </c>
      <c r="I265" s="57" t="str">
        <f>IF(Gulshan_Ravi!B44&lt;&gt;"",Gulshan_Ravi!G44,"")</f>
        <v/>
      </c>
      <c r="J265" s="57" t="str">
        <f>IF(Gulshan_Ravi!B44&lt;&gt;"",Gulshan_Ravi!H44,"")</f>
        <v/>
      </c>
      <c r="K265" s="57" t="str">
        <f>IF(Gulshan_Ravi!B44&lt;&gt;"",Gulshan_Ravi!CH44,"")</f>
        <v>22%</v>
      </c>
      <c r="L265" s="57">
        <f>IF(Gulshan_Ravi!B44&lt;&gt;"",Gulshan_Ravi!CE44,"")</f>
        <v>2</v>
      </c>
    </row>
    <row r="266" ht="16.5" customHeight="1">
      <c r="A266" s="57" t="str">
        <f>IF(Gulshan_Ravi!B45&lt;&gt;"",SUMPRODUCT((LEN(D244:D265)&gt;0)*1)+1,"")</f>
        <v/>
      </c>
      <c r="B266" s="57" t="str">
        <f>IF(Gulshan_Ravi!B45&lt;&gt;"","Gulshan Ravi","")</f>
        <v/>
      </c>
      <c r="C266" s="57" t="str">
        <f>IF(Gulshan_Ravi!B45&lt;&gt;"","Group 1","")</f>
        <v/>
      </c>
      <c r="D266" s="58" t="str">
        <f>IF(Gulshan_Ravi!B45&lt;&gt;"",Gulshan_Ravi!B45,"")</f>
        <v/>
      </c>
      <c r="E266" s="57" t="str">
        <f>IF(Gulshan_Ravi!B45&lt;&gt;"",Gulshan_Ravi!C45,"")</f>
        <v/>
      </c>
      <c r="F266" s="60" t="str">
        <f>IF(Gulshan_Ravi!B45&lt;&gt;"",HYPERLINK("tel:"&amp;SUBSTITUTE(SUBSTITUTE(Gulshan_Ravi!C45,"+","+")," ",""),"📞"),"")</f>
        <v/>
      </c>
      <c r="G266" s="64" t="str">
        <f>IF(Gulshan_Ravi!B45&lt;&gt;"",HYPERLINK("https://wa.me/"&amp;SUBSTITUTE(SUBSTITUTE(Gulshan_Ravi!C45,"+","")," ",""),"💬"),"")</f>
        <v/>
      </c>
      <c r="H266" s="57" t="str">
        <f>IF(Gulshan_Ravi!B45&lt;&gt;"",Gulshan_Ravi!F45,"")</f>
        <v/>
      </c>
      <c r="I266" s="57" t="str">
        <f>IF(Gulshan_Ravi!B45&lt;&gt;"",Gulshan_Ravi!G45,"")</f>
        <v/>
      </c>
      <c r="J266" s="57" t="str">
        <f>IF(Gulshan_Ravi!B45&lt;&gt;"",Gulshan_Ravi!H45,"")</f>
        <v/>
      </c>
      <c r="K266" s="57" t="str">
        <f>IF(Gulshan_Ravi!B45&lt;&gt;"",Gulshan_Ravi!CH45,"")</f>
        <v/>
      </c>
      <c r="L266" s="57" t="str">
        <f>IF(Gulshan_Ravi!B45&lt;&gt;"",Gulshan_Ravi!CE45,"")</f>
        <v/>
      </c>
    </row>
    <row r="267" ht="16.5" customHeight="1">
      <c r="A267" s="10">
        <v>201.0</v>
      </c>
      <c r="B267" s="10" t="s">
        <v>26</v>
      </c>
      <c r="C267" s="10" t="s">
        <v>203</v>
      </c>
      <c r="D267" s="12" t="str">
        <f>Gulshan_Ravi!B49</f>
        <v>Muhammed Waleed Khurram</v>
      </c>
      <c r="E267" s="14" t="str">
        <f>Gulshan_Ravi!C49</f>
        <v>'+923204427521</v>
      </c>
      <c r="F267" s="17" t="str">
        <f>IF(Gulshan_Ravi!C49&lt;&gt;"",HYPERLINK("tel:"&amp;SUBSTITUTE(SUBSTITUTE(Gulshan_Ravi!C49,"+","+")," ",""),"📞"),"")</f>
        <v>📞</v>
      </c>
      <c r="G267" s="19" t="str">
        <f>IF(Gulshan_Ravi!C49&lt;&gt;"",HYPERLINK("https://wa.me/"&amp;SUBSTITUTE(SUBSTITUTE(Gulshan_Ravi!C49,"+","")," ",""),"💬"),"")</f>
        <v>💬</v>
      </c>
      <c r="H267" s="10" t="str">
        <f>Gulshan_Ravi!F49</f>
        <v/>
      </c>
      <c r="I267" s="10" t="str">
        <f>Gulshan_Ravi!G49</f>
        <v>15</v>
      </c>
      <c r="J267" s="10" t="str">
        <f>Gulshan_Ravi!H49</f>
        <v>10 class</v>
      </c>
      <c r="K267" s="10" t="str">
        <f>Gulshan_Ravi!CH49</f>
        <v>94%</v>
      </c>
      <c r="L267" s="10">
        <f>Gulshan_Ravi!CE49</f>
        <v>15</v>
      </c>
    </row>
    <row r="268" ht="16.5" customHeight="1">
      <c r="A268" s="20">
        <v>202.0</v>
      </c>
      <c r="B268" s="20" t="s">
        <v>26</v>
      </c>
      <c r="C268" s="20" t="s">
        <v>203</v>
      </c>
      <c r="D268" s="22" t="str">
        <f>Gulshan_Ravi!B50</f>
        <v>husssain ahmed</v>
      </c>
      <c r="E268" s="23" t="str">
        <f>Gulshan_Ravi!C50</f>
        <v>+92 032 1715 3566</v>
      </c>
      <c r="F268" s="24" t="str">
        <f>IF(Gulshan_Ravi!C50&lt;&gt;"",HYPERLINK("tel:"&amp;SUBSTITUTE(SUBSTITUTE(Gulshan_Ravi!C50,"+","+")," ",""),"📞"),"")</f>
        <v>📞</v>
      </c>
      <c r="G268" s="41" t="str">
        <f>IF(Gulshan_Ravi!C50&lt;&gt;"",HYPERLINK("https://wa.me/"&amp;SUBSTITUTE(SUBSTITUTE(Gulshan_Ravi!C50,"+","")," ",""),"💬"),"")</f>
        <v>💬</v>
      </c>
      <c r="H268" s="20" t="str">
        <f>Gulshan_Ravi!F50</f>
        <v/>
      </c>
      <c r="I268" s="20" t="str">
        <f>Gulshan_Ravi!G50</f>
        <v>15</v>
      </c>
      <c r="J268" s="20" t="str">
        <f>Gulshan_Ravi!H50</f>
        <v/>
      </c>
      <c r="K268" s="20" t="str">
        <f>Gulshan_Ravi!CH50</f>
        <v>33%</v>
      </c>
      <c r="L268" s="20">
        <f>Gulshan_Ravi!CE50</f>
        <v>4</v>
      </c>
    </row>
    <row r="269" ht="16.5" customHeight="1">
      <c r="A269" s="10">
        <v>203.0</v>
      </c>
      <c r="B269" s="10" t="s">
        <v>26</v>
      </c>
      <c r="C269" s="10" t="s">
        <v>203</v>
      </c>
      <c r="D269" s="12" t="str">
        <f>Gulshan_Ravi!B51</f>
        <v>zulgurnain</v>
      </c>
      <c r="E269" s="14" t="str">
        <f>Gulshan_Ravi!C51</f>
        <v>'+923004528117</v>
      </c>
      <c r="F269" s="17" t="str">
        <f>IF(Gulshan_Ravi!C51&lt;&gt;"",HYPERLINK("tel:"&amp;SUBSTITUTE(SUBSTITUTE(Gulshan_Ravi!C51,"+","+")," ",""),"📞"),"")</f>
        <v>📞</v>
      </c>
      <c r="G269" s="19" t="str">
        <f>IF(Gulshan_Ravi!C51&lt;&gt;"",HYPERLINK("https://wa.me/"&amp;SUBSTITUTE(SUBSTITUTE(Gulshan_Ravi!C51,"+","")," ",""),"💬"),"")</f>
        <v>💬</v>
      </c>
      <c r="H269" s="10" t="str">
        <f>Gulshan_Ravi!F51</f>
        <v/>
      </c>
      <c r="I269" s="10" t="str">
        <f>Gulshan_Ravi!G51</f>
        <v>15</v>
      </c>
      <c r="J269" s="10" t="str">
        <f>Gulshan_Ravi!H51</f>
        <v>9th class</v>
      </c>
      <c r="K269" s="10" t="str">
        <f>Gulshan_Ravi!CH51</f>
        <v>100%</v>
      </c>
      <c r="L269" s="10">
        <f>Gulshan_Ravi!CE51</f>
        <v>18</v>
      </c>
    </row>
    <row r="270" ht="16.5" customHeight="1">
      <c r="A270" s="20">
        <v>204.0</v>
      </c>
      <c r="B270" s="20" t="s">
        <v>26</v>
      </c>
      <c r="C270" s="20" t="s">
        <v>203</v>
      </c>
      <c r="D270" s="22" t="str">
        <f>Gulshan_Ravi!B52</f>
        <v>umer iqbal</v>
      </c>
      <c r="E270" s="23" t="str">
        <f>Gulshan_Ravi!C52</f>
        <v>'+923214677683</v>
      </c>
      <c r="F270" s="24" t="str">
        <f>IF(Gulshan_Ravi!C52&lt;&gt;"",HYPERLINK("tel:"&amp;SUBSTITUTE(SUBSTITUTE(Gulshan_Ravi!C52,"+","+")," ",""),"📞"),"")</f>
        <v>📞</v>
      </c>
      <c r="G270" s="41" t="str">
        <f>IF(Gulshan_Ravi!C52&lt;&gt;"",HYPERLINK("https://wa.me/"&amp;SUBSTITUTE(SUBSTITUTE(Gulshan_Ravi!C52,"+","")," ",""),"💬"),"")</f>
        <v>💬</v>
      </c>
      <c r="H270" s="20" t="str">
        <f>Gulshan_Ravi!F52</f>
        <v/>
      </c>
      <c r="I270" s="20" t="str">
        <f>Gulshan_Ravi!G52</f>
        <v>15</v>
      </c>
      <c r="J270" s="20" t="str">
        <f>Gulshan_Ravi!H52</f>
        <v>Hifz</v>
      </c>
      <c r="K270" s="20" t="str">
        <f>Gulshan_Ravi!CH52</f>
        <v>77%</v>
      </c>
      <c r="L270" s="20">
        <f>Gulshan_Ravi!CE52</f>
        <v>10</v>
      </c>
    </row>
    <row r="271" ht="16.5" customHeight="1">
      <c r="A271" s="10">
        <v>205.0</v>
      </c>
      <c r="B271" s="10" t="s">
        <v>26</v>
      </c>
      <c r="C271" s="10" t="s">
        <v>203</v>
      </c>
      <c r="D271" s="12" t="str">
        <f>Gulshan_Ravi!B53</f>
        <v>laique</v>
      </c>
      <c r="E271" s="14" t="str">
        <f>Gulshan_Ravi!C53</f>
        <v>'+923264494835</v>
      </c>
      <c r="F271" s="17" t="str">
        <f>IF(Gulshan_Ravi!C53&lt;&gt;"",HYPERLINK("tel:"&amp;SUBSTITUTE(SUBSTITUTE(Gulshan_Ravi!C53,"+","+")," ",""),"📞"),"")</f>
        <v>📞</v>
      </c>
      <c r="G271" s="19" t="str">
        <f>IF(Gulshan_Ravi!C53&lt;&gt;"",HYPERLINK("https://wa.me/"&amp;SUBSTITUTE(SUBSTITUTE(Gulshan_Ravi!C53,"+","")," ",""),"💬"),"")</f>
        <v>💬</v>
      </c>
      <c r="H271" s="10" t="str">
        <f>Gulshan_Ravi!F53</f>
        <v>✓</v>
      </c>
      <c r="I271" s="10" t="str">
        <f>Gulshan_Ravi!G53</f>
        <v>15</v>
      </c>
      <c r="J271" s="10" t="str">
        <f>Gulshan_Ravi!H53</f>
        <v>9th class</v>
      </c>
      <c r="K271" s="10" t="str">
        <f>Gulshan_Ravi!CH53</f>
        <v>81%</v>
      </c>
      <c r="L271" s="10">
        <f>Gulshan_Ravi!CE53</f>
        <v>13</v>
      </c>
    </row>
    <row r="272" ht="16.5" customHeight="1">
      <c r="A272" s="20">
        <v>206.0</v>
      </c>
      <c r="B272" s="20" t="s">
        <v>26</v>
      </c>
      <c r="C272" s="20" t="s">
        <v>203</v>
      </c>
      <c r="D272" s="22" t="str">
        <f>Gulshan_Ravi!B54</f>
        <v>Hafiz Tayyab Rajpoot</v>
      </c>
      <c r="E272" s="23" t="str">
        <f>Gulshan_Ravi!C54</f>
        <v>'+923346586624</v>
      </c>
      <c r="F272" s="24" t="str">
        <f>IF(Gulshan_Ravi!C54&lt;&gt;"",HYPERLINK("tel:"&amp;SUBSTITUTE(SUBSTITUTE(Gulshan_Ravi!C54,"+","+")," ",""),"📞"),"")</f>
        <v>📞</v>
      </c>
      <c r="G272" s="41" t="str">
        <f>IF(Gulshan_Ravi!C54&lt;&gt;"",HYPERLINK("https://wa.me/"&amp;SUBSTITUTE(SUBSTITUTE(Gulshan_Ravi!C54,"+","")," ",""),"💬"),"")</f>
        <v>💬</v>
      </c>
      <c r="H272" s="20" t="str">
        <f>Gulshan_Ravi!F54</f>
        <v/>
      </c>
      <c r="I272" s="20" t="str">
        <f>Gulshan_Ravi!G54</f>
        <v>16</v>
      </c>
      <c r="J272" s="20" t="str">
        <f>Gulshan_Ravi!H54</f>
        <v>9th</v>
      </c>
      <c r="K272" s="20" t="str">
        <f>Gulshan_Ravi!CH54</f>
        <v>75%</v>
      </c>
      <c r="L272" s="20">
        <f>Gulshan_Ravi!CE54</f>
        <v>12</v>
      </c>
    </row>
    <row r="273" ht="16.5" customHeight="1">
      <c r="A273" s="10">
        <v>207.0</v>
      </c>
      <c r="B273" s="10" t="s">
        <v>26</v>
      </c>
      <c r="C273" s="10" t="s">
        <v>203</v>
      </c>
      <c r="D273" s="12" t="str">
        <f>Gulshan_Ravi!B55</f>
        <v>bilal khalid</v>
      </c>
      <c r="E273" s="14" t="str">
        <f>Gulshan_Ravi!C55</f>
        <v>'+923049560123</v>
      </c>
      <c r="F273" s="17" t="str">
        <f>IF(Gulshan_Ravi!C55&lt;&gt;"",HYPERLINK("tel:"&amp;SUBSTITUTE(SUBSTITUTE(Gulshan_Ravi!C55,"+","+")," ",""),"📞"),"")</f>
        <v>📞</v>
      </c>
      <c r="G273" s="19" t="str">
        <f>IF(Gulshan_Ravi!C55&lt;&gt;"",HYPERLINK("https://wa.me/"&amp;SUBSTITUTE(SUBSTITUTE(Gulshan_Ravi!C55,"+","")," ",""),"💬"),"")</f>
        <v>💬</v>
      </c>
      <c r="H273" s="10" t="str">
        <f>Gulshan_Ravi!F55</f>
        <v/>
      </c>
      <c r="I273" s="10" t="str">
        <f>Gulshan_Ravi!G55</f>
        <v>16</v>
      </c>
      <c r="J273" s="10" t="str">
        <f>Gulshan_Ravi!H55</f>
        <v>9th class</v>
      </c>
      <c r="K273" s="10" t="str">
        <f>Gulshan_Ravi!CH55</f>
        <v>50%</v>
      </c>
      <c r="L273" s="10">
        <f>Gulshan_Ravi!CE55</f>
        <v>8</v>
      </c>
    </row>
    <row r="274" ht="16.5" customHeight="1">
      <c r="A274" s="20">
        <v>208.0</v>
      </c>
      <c r="B274" s="20" t="s">
        <v>26</v>
      </c>
      <c r="C274" s="20" t="s">
        <v>203</v>
      </c>
      <c r="D274" s="22" t="str">
        <f>Gulshan_Ravi!B56</f>
        <v>sufyan danish</v>
      </c>
      <c r="E274" s="23" t="str">
        <f>Gulshan_Ravi!C56</f>
        <v>'+923354156858</v>
      </c>
      <c r="F274" s="24" t="str">
        <f>IF(Gulshan_Ravi!C56&lt;&gt;"",HYPERLINK("tel:"&amp;SUBSTITUTE(SUBSTITUTE(Gulshan_Ravi!C56,"+","+")," ",""),"📞"),"")</f>
        <v>📞</v>
      </c>
      <c r="G274" s="41" t="str">
        <f>IF(Gulshan_Ravi!C56&lt;&gt;"",HYPERLINK("https://wa.me/"&amp;SUBSTITUTE(SUBSTITUTE(Gulshan_Ravi!C56,"+","")," ",""),"💬"),"")</f>
        <v>💬</v>
      </c>
      <c r="H274" s="20" t="str">
        <f>Gulshan_Ravi!F56</f>
        <v>✓</v>
      </c>
      <c r="I274" s="20" t="str">
        <f>Gulshan_Ravi!G56</f>
        <v>16</v>
      </c>
      <c r="J274" s="20" t="str">
        <f>Gulshan_Ravi!H56</f>
        <v>Hifz</v>
      </c>
      <c r="K274" s="20" t="str">
        <f>Gulshan_Ravi!CH56</f>
        <v>70%</v>
      </c>
      <c r="L274" s="20">
        <f>Gulshan_Ravi!CE56</f>
        <v>7</v>
      </c>
    </row>
    <row r="275" ht="16.5" customHeight="1">
      <c r="A275" s="10">
        <v>209.0</v>
      </c>
      <c r="B275" s="10" t="s">
        <v>26</v>
      </c>
      <c r="C275" s="10" t="s">
        <v>203</v>
      </c>
      <c r="D275" s="12" t="str">
        <f>Gulshan_Ravi!B57</f>
        <v>Saifullah Nadeem</v>
      </c>
      <c r="E275" s="14" t="str">
        <f>Gulshan_Ravi!C57</f>
        <v>'+923066071569</v>
      </c>
      <c r="F275" s="17" t="str">
        <f>IF(Gulshan_Ravi!C57&lt;&gt;"",HYPERLINK("tel:"&amp;SUBSTITUTE(SUBSTITUTE(Gulshan_Ravi!C57,"+","+")," ",""),"📞"),"")</f>
        <v>📞</v>
      </c>
      <c r="G275" s="19" t="str">
        <f>IF(Gulshan_Ravi!C57&lt;&gt;"",HYPERLINK("https://wa.me/"&amp;SUBSTITUTE(SUBSTITUTE(Gulshan_Ravi!C57,"+","")," ",""),"💬"),"")</f>
        <v>💬</v>
      </c>
      <c r="H275" s="10" t="str">
        <f>Gulshan_Ravi!F57</f>
        <v/>
      </c>
      <c r="I275" s="10" t="str">
        <f>Gulshan_Ravi!G57</f>
        <v>17</v>
      </c>
      <c r="J275" s="10" t="str">
        <f>Gulshan_Ravi!H57</f>
        <v>1st year</v>
      </c>
      <c r="K275" s="10" t="str">
        <f>Gulshan_Ravi!CH57</f>
        <v>75%</v>
      </c>
      <c r="L275" s="10">
        <f>Gulshan_Ravi!CE57</f>
        <v>12</v>
      </c>
    </row>
    <row r="276" ht="16.5" customHeight="1">
      <c r="A276" s="20">
        <v>210.0</v>
      </c>
      <c r="B276" s="20" t="s">
        <v>26</v>
      </c>
      <c r="C276" s="20" t="s">
        <v>203</v>
      </c>
      <c r="D276" s="22" t="str">
        <f>Gulshan_Ravi!B58</f>
        <v>Ikrima Ibrahim</v>
      </c>
      <c r="E276" s="23" t="str">
        <f>Gulshan_Ravi!C58</f>
        <v>'+923208420115</v>
      </c>
      <c r="F276" s="24" t="str">
        <f>IF(Gulshan_Ravi!C58&lt;&gt;"",HYPERLINK("tel:"&amp;SUBSTITUTE(SUBSTITUTE(Gulshan_Ravi!C58,"+","+")," ",""),"📞"),"")</f>
        <v>📞</v>
      </c>
      <c r="G276" s="41" t="str">
        <f>IF(Gulshan_Ravi!C58&lt;&gt;"",HYPERLINK("https://wa.me/"&amp;SUBSTITUTE(SUBSTITUTE(Gulshan_Ravi!C58,"+","")," ",""),"💬"),"")</f>
        <v>💬</v>
      </c>
      <c r="H276" s="20" t="str">
        <f>Gulshan_Ravi!F58</f>
        <v/>
      </c>
      <c r="I276" s="20" t="str">
        <f>Gulshan_Ravi!G58</f>
        <v>17</v>
      </c>
      <c r="J276" s="20" t="str">
        <f>Gulshan_Ravi!H58</f>
        <v>10th class</v>
      </c>
      <c r="K276" s="20" t="str">
        <f>Gulshan_Ravi!CH58</f>
        <v>56%</v>
      </c>
      <c r="L276" s="20">
        <f>Gulshan_Ravi!CE58</f>
        <v>9</v>
      </c>
    </row>
    <row r="277" ht="16.5" customHeight="1">
      <c r="A277" s="10">
        <v>211.0</v>
      </c>
      <c r="B277" s="10" t="s">
        <v>26</v>
      </c>
      <c r="C277" s="10" t="s">
        <v>203</v>
      </c>
      <c r="D277" s="12" t="str">
        <f>Gulshan_Ravi!B59</f>
        <v>Abdul Ahad</v>
      </c>
      <c r="E277" s="14" t="str">
        <f>Gulshan_Ravi!C59</f>
        <v>'+923265860712</v>
      </c>
      <c r="F277" s="17" t="str">
        <f>IF(Gulshan_Ravi!C59&lt;&gt;"",HYPERLINK("tel:"&amp;SUBSTITUTE(SUBSTITUTE(Gulshan_Ravi!C59,"+","+")," ",""),"📞"),"")</f>
        <v>📞</v>
      </c>
      <c r="G277" s="19" t="str">
        <f>IF(Gulshan_Ravi!C59&lt;&gt;"",HYPERLINK("https://wa.me/"&amp;SUBSTITUTE(SUBSTITUTE(Gulshan_Ravi!C59,"+","")," ",""),"💬"),"")</f>
        <v>💬</v>
      </c>
      <c r="H277" s="10" t="str">
        <f>Gulshan_Ravi!F59</f>
        <v/>
      </c>
      <c r="I277" s="10" t="str">
        <f>Gulshan_Ravi!G59</f>
        <v>20</v>
      </c>
      <c r="J277" s="10" t="str">
        <f>Gulshan_Ravi!H59</f>
        <v/>
      </c>
      <c r="K277" s="10" t="str">
        <f>Gulshan_Ravi!CH59</f>
        <v>0%</v>
      </c>
      <c r="L277" s="10">
        <f>Gulshan_Ravi!CE59</f>
        <v>0</v>
      </c>
    </row>
    <row r="278" ht="16.5" customHeight="1">
      <c r="A278" s="20">
        <v>212.0</v>
      </c>
      <c r="B278" s="20" t="s">
        <v>26</v>
      </c>
      <c r="C278" s="20" t="s">
        <v>203</v>
      </c>
      <c r="D278" s="22" t="str">
        <f>Gulshan_Ravi!B60</f>
        <v>Muhammad Talal</v>
      </c>
      <c r="E278" s="23" t="str">
        <f>Gulshan_Ravi!C60</f>
        <v>'+923064429260</v>
      </c>
      <c r="F278" s="24" t="str">
        <f>IF(Gulshan_Ravi!C60&lt;&gt;"",HYPERLINK("tel:"&amp;SUBSTITUTE(SUBSTITUTE(Gulshan_Ravi!C60,"+","+")," ",""),"📞"),"")</f>
        <v>📞</v>
      </c>
      <c r="G278" s="41" t="str">
        <f>IF(Gulshan_Ravi!C60&lt;&gt;"",HYPERLINK("https://wa.me/"&amp;SUBSTITUTE(SUBSTITUTE(Gulshan_Ravi!C60,"+","")," ",""),"💬"),"")</f>
        <v>💬</v>
      </c>
      <c r="H278" s="20" t="str">
        <f>Gulshan_Ravi!F60</f>
        <v>✓</v>
      </c>
      <c r="I278" s="20" t="str">
        <f>Gulshan_Ravi!G60</f>
        <v>20</v>
      </c>
      <c r="J278" s="20" t="str">
        <f>Gulshan_Ravi!H60</f>
        <v>A Level</v>
      </c>
      <c r="K278" s="20" t="str">
        <f>Gulshan_Ravi!CH60</f>
        <v>50%</v>
      </c>
      <c r="L278" s="20">
        <f>Gulshan_Ravi!CE60</f>
        <v>6</v>
      </c>
    </row>
    <row r="279" ht="16.5" customHeight="1">
      <c r="A279" s="10">
        <v>213.0</v>
      </c>
      <c r="B279" s="10" t="s">
        <v>26</v>
      </c>
      <c r="C279" s="10" t="s">
        <v>203</v>
      </c>
      <c r="D279" s="12" t="str">
        <f>Gulshan_Ravi!B61</f>
        <v>Muhammad Bin Jibran</v>
      </c>
      <c r="E279" s="14" t="str">
        <f>Gulshan_Ravi!C61</f>
        <v>'+923358470075</v>
      </c>
      <c r="F279" s="17" t="str">
        <f>IF(Gulshan_Ravi!C61&lt;&gt;"",HYPERLINK("tel:"&amp;SUBSTITUTE(SUBSTITUTE(Gulshan_Ravi!C61,"+","+")," ",""),"📞"),"")</f>
        <v>📞</v>
      </c>
      <c r="G279" s="19" t="str">
        <f>IF(Gulshan_Ravi!C61&lt;&gt;"",HYPERLINK("https://wa.me/"&amp;SUBSTITUTE(SUBSTITUTE(Gulshan_Ravi!C61,"+","")," ",""),"💬"),"")</f>
        <v>💬</v>
      </c>
      <c r="H279" s="10" t="str">
        <f>Gulshan_Ravi!F61</f>
        <v>✓</v>
      </c>
      <c r="I279" s="10" t="str">
        <f>Gulshan_Ravi!G61</f>
        <v/>
      </c>
      <c r="J279" s="10" t="str">
        <f>Gulshan_Ravi!H61</f>
        <v>A level</v>
      </c>
      <c r="K279" s="10" t="str">
        <f>Gulshan_Ravi!CH61</f>
        <v>91%</v>
      </c>
      <c r="L279" s="10">
        <f>Gulshan_Ravi!CE61</f>
        <v>10</v>
      </c>
    </row>
    <row r="280" ht="16.5" customHeight="1">
      <c r="A280" s="20">
        <v>214.0</v>
      </c>
      <c r="B280" s="20" t="s">
        <v>26</v>
      </c>
      <c r="C280" s="20" t="s">
        <v>203</v>
      </c>
      <c r="D280" s="22" t="str">
        <f>Gulshan_Ravi!B62</f>
        <v>Fayyah</v>
      </c>
      <c r="E280" s="23" t="str">
        <f>Gulshan_Ravi!C62</f>
        <v/>
      </c>
      <c r="F280" s="24" t="str">
        <f>IF(Gulshan_Ravi!C62&lt;&gt;"",HYPERLINK("tel:"&amp;SUBSTITUTE(SUBSTITUTE(Gulshan_Ravi!C62,"+","+")," ",""),"📞"),"")</f>
        <v/>
      </c>
      <c r="G280" s="26" t="str">
        <f>IF(Gulshan_Ravi!C62&lt;&gt;"",HYPERLINK("https://wa.me/"&amp;SUBSTITUTE(SUBSTITUTE(Gulshan_Ravi!C62,"+","")," ",""),"💬"),"")</f>
        <v/>
      </c>
      <c r="H280" s="20" t="str">
        <f>Gulshan_Ravi!F62</f>
        <v/>
      </c>
      <c r="I280" s="20" t="str">
        <f>Gulshan_Ravi!G62</f>
        <v/>
      </c>
      <c r="J280" s="20" t="str">
        <f>Gulshan_Ravi!H62</f>
        <v>10 class</v>
      </c>
      <c r="K280" s="20" t="str">
        <f>Gulshan_Ravi!CH62</f>
        <v>62%</v>
      </c>
      <c r="L280" s="20">
        <f>Gulshan_Ravi!CE62</f>
        <v>8</v>
      </c>
    </row>
    <row r="281" ht="16.5" customHeight="1">
      <c r="A281" s="10">
        <v>215.0</v>
      </c>
      <c r="B281" s="10" t="s">
        <v>26</v>
      </c>
      <c r="C281" s="10" t="s">
        <v>203</v>
      </c>
      <c r="D281" s="12" t="str">
        <f>Gulshan_Ravi!B63</f>
        <v>Ali Haider</v>
      </c>
      <c r="E281" s="14" t="str">
        <f>Gulshan_Ravi!C63</f>
        <v>'+923454033697</v>
      </c>
      <c r="F281" s="17" t="str">
        <f>IF(Gulshan_Ravi!C63&lt;&gt;"",HYPERLINK("tel:"&amp;SUBSTITUTE(SUBSTITUTE(Gulshan_Ravi!C63,"+","+")," ",""),"📞"),"")</f>
        <v>📞</v>
      </c>
      <c r="G281" s="19" t="str">
        <f>IF(Gulshan_Ravi!C63&lt;&gt;"",HYPERLINK("https://wa.me/"&amp;SUBSTITUTE(SUBSTITUTE(Gulshan_Ravi!C63,"+","")," ",""),"💬"),"")</f>
        <v>💬</v>
      </c>
      <c r="H281" s="10" t="str">
        <f>Gulshan_Ravi!F63</f>
        <v/>
      </c>
      <c r="I281" s="10" t="str">
        <f>Gulshan_Ravi!G63</f>
        <v>14</v>
      </c>
      <c r="J281" s="10" t="str">
        <f>Gulshan_Ravi!H63</f>
        <v>9th</v>
      </c>
      <c r="K281" s="10" t="str">
        <f>Gulshan_Ravi!CH63</f>
        <v>100%</v>
      </c>
      <c r="L281" s="10">
        <f>Gulshan_Ravi!CE63</f>
        <v>16</v>
      </c>
    </row>
    <row r="282" ht="16.5" customHeight="1">
      <c r="A282" s="20">
        <v>216.0</v>
      </c>
      <c r="B282" s="20" t="s">
        <v>26</v>
      </c>
      <c r="C282" s="20" t="s">
        <v>203</v>
      </c>
      <c r="D282" s="22" t="str">
        <f>Gulshan_Ravi!B64</f>
        <v>M. Abdullah Tasneem</v>
      </c>
      <c r="E282" s="23" t="str">
        <f>Gulshan_Ravi!C64</f>
        <v/>
      </c>
      <c r="F282" s="24" t="str">
        <f>IF(Gulshan_Ravi!C64&lt;&gt;"",HYPERLINK("tel:"&amp;SUBSTITUTE(SUBSTITUTE(Gulshan_Ravi!C64,"+","+")," ",""),"📞"),"")</f>
        <v/>
      </c>
      <c r="G282" s="26" t="str">
        <f>IF(Gulshan_Ravi!C64&lt;&gt;"",HYPERLINK("https://wa.me/"&amp;SUBSTITUTE(SUBSTITUTE(Gulshan_Ravi!C64,"+","")," ",""),"💬"),"")</f>
        <v/>
      </c>
      <c r="H282" s="20" t="str">
        <f>Gulshan_Ravi!F64</f>
        <v/>
      </c>
      <c r="I282" s="20" t="str">
        <f>Gulshan_Ravi!G64</f>
        <v/>
      </c>
      <c r="J282" s="20" t="str">
        <f>Gulshan_Ravi!H64</f>
        <v/>
      </c>
      <c r="K282" s="20" t="str">
        <f>Gulshan_Ravi!CH64</f>
        <v>80%</v>
      </c>
      <c r="L282" s="20">
        <f>Gulshan_Ravi!CE64</f>
        <v>8</v>
      </c>
    </row>
    <row r="283" ht="16.5" customHeight="1">
      <c r="A283" s="10">
        <v>217.0</v>
      </c>
      <c r="B283" s="10" t="s">
        <v>26</v>
      </c>
      <c r="C283" s="10" t="s">
        <v>203</v>
      </c>
      <c r="D283" s="12" t="str">
        <f>Gulshan_Ravi!B65</f>
        <v>Inam ul hassan</v>
      </c>
      <c r="E283" s="14" t="str">
        <f>Gulshan_Ravi!C65</f>
        <v/>
      </c>
      <c r="F283" s="17" t="str">
        <f>IF(Gulshan_Ravi!C65&lt;&gt;"",HYPERLINK("tel:"&amp;SUBSTITUTE(SUBSTITUTE(Gulshan_Ravi!C65,"+","+")," ",""),"📞"),"")</f>
        <v/>
      </c>
      <c r="G283" s="28" t="str">
        <f>IF(Gulshan_Ravi!C65&lt;&gt;"",HYPERLINK("https://wa.me/"&amp;SUBSTITUTE(SUBSTITUTE(Gulshan_Ravi!C65,"+","")," ",""),"💬"),"")</f>
        <v/>
      </c>
      <c r="H283" s="10" t="str">
        <f>Gulshan_Ravi!F65</f>
        <v/>
      </c>
      <c r="I283" s="10" t="str">
        <f>Gulshan_Ravi!G65</f>
        <v/>
      </c>
      <c r="J283" s="10" t="str">
        <f>Gulshan_Ravi!H65</f>
        <v/>
      </c>
      <c r="K283" s="10" t="str">
        <f>Gulshan_Ravi!CH65</f>
        <v>56%</v>
      </c>
      <c r="L283" s="10">
        <f>Gulshan_Ravi!CE65</f>
        <v>5</v>
      </c>
    </row>
    <row r="284" ht="16.5" customHeight="1">
      <c r="A284" s="57">
        <f>IF(Gulshan_Ravi!B66&lt;&gt;"",SUMPRODUCT((LEN(D244:D283)&gt;0)*1)+1,"")</f>
        <v>40</v>
      </c>
      <c r="B284" s="57" t="str">
        <f>IF(Gulshan_Ravi!B66&lt;&gt;"","Gulshan Ravi","")</f>
        <v>Gulshan Ravi</v>
      </c>
      <c r="C284" s="57" t="str">
        <f>IF(Gulshan_Ravi!B66&lt;&gt;"","Group 2","")</f>
        <v>Group 2</v>
      </c>
      <c r="D284" s="58" t="str">
        <f>IF(Gulshan_Ravi!B66&lt;&gt;"",Gulshan_Ravi!B66,"")</f>
        <v>Nouman abid </v>
      </c>
      <c r="E284" s="57" t="str">
        <f>IF(Gulshan_Ravi!B66&lt;&gt;"",Gulshan_Ravi!C66,"")</f>
        <v/>
      </c>
      <c r="F284" s="60" t="str">
        <f>IF(Gulshan_Ravi!B66&lt;&gt;"",HYPERLINK("tel:"&amp;SUBSTITUTE(SUBSTITUTE(Gulshan_Ravi!C66,"+","+")," ",""),"📞"),"")</f>
        <v>📞</v>
      </c>
      <c r="G284" s="61" t="str">
        <f>IF(Gulshan_Ravi!B66&lt;&gt;"",HYPERLINK("https://wa.me/"&amp;SUBSTITUTE(SUBSTITUTE(Gulshan_Ravi!C66,"+","")," ",""),"💬"),"")</f>
        <v>💬</v>
      </c>
      <c r="H284" s="57" t="str">
        <f>IF(Gulshan_Ravi!B66&lt;&gt;"",Gulshan_Ravi!F66,"")</f>
        <v/>
      </c>
      <c r="I284" s="57" t="str">
        <f>IF(Gulshan_Ravi!B66&lt;&gt;"",Gulshan_Ravi!G66,"")</f>
        <v/>
      </c>
      <c r="J284" s="57" t="str">
        <f>IF(Gulshan_Ravi!B66&lt;&gt;"",Gulshan_Ravi!H66,"")</f>
        <v/>
      </c>
      <c r="K284" s="57" t="str">
        <f>IF(Gulshan_Ravi!B66&lt;&gt;"",Gulshan_Ravi!CH66,"")</f>
        <v/>
      </c>
      <c r="L284" s="57" t="str">
        <f>IF(Gulshan_Ravi!B66&lt;&gt;"",Gulshan_Ravi!CE66,"")</f>
        <v/>
      </c>
    </row>
    <row r="285" ht="16.5" customHeight="1">
      <c r="A285" s="57">
        <f>IF(Gulshan_Ravi!B67&lt;&gt;"",SUMPRODUCT((LEN(D244:D284)&gt;0)*1)+1,"")</f>
        <v>41</v>
      </c>
      <c r="B285" s="57" t="str">
        <f>IF(Gulshan_Ravi!B67&lt;&gt;"","Gulshan Ravi","")</f>
        <v>Gulshan Ravi</v>
      </c>
      <c r="C285" s="57" t="str">
        <f>IF(Gulshan_Ravi!B67&lt;&gt;"","Group 2","")</f>
        <v>Group 2</v>
      </c>
      <c r="D285" s="58" t="str">
        <f>IF(Gulshan_Ravi!B67&lt;&gt;"",Gulshan_Ravi!B67,"")</f>
        <v>Sohban usman</v>
      </c>
      <c r="E285" s="57" t="str">
        <f>IF(Gulshan_Ravi!B67&lt;&gt;"",Gulshan_Ravi!C67,"")</f>
        <v/>
      </c>
      <c r="F285" s="60" t="str">
        <f>IF(Gulshan_Ravi!B67&lt;&gt;"",HYPERLINK("tel:"&amp;SUBSTITUTE(SUBSTITUTE(Gulshan_Ravi!C67,"+","+")," ",""),"📞"),"")</f>
        <v>📞</v>
      </c>
      <c r="G285" s="61" t="str">
        <f>IF(Gulshan_Ravi!B67&lt;&gt;"",HYPERLINK("https://wa.me/"&amp;SUBSTITUTE(SUBSTITUTE(Gulshan_Ravi!C67,"+","")," ",""),"💬"),"")</f>
        <v>💬</v>
      </c>
      <c r="H285" s="57" t="str">
        <f>IF(Gulshan_Ravi!B67&lt;&gt;"",Gulshan_Ravi!F67,"")</f>
        <v/>
      </c>
      <c r="I285" s="57" t="str">
        <f>IF(Gulshan_Ravi!B67&lt;&gt;"",Gulshan_Ravi!G67,"")</f>
        <v/>
      </c>
      <c r="J285" s="57" t="str">
        <f>IF(Gulshan_Ravi!B67&lt;&gt;"",Gulshan_Ravi!H67,"")</f>
        <v/>
      </c>
      <c r="K285" s="57" t="str">
        <f>IF(Gulshan_Ravi!B67&lt;&gt;"",Gulshan_Ravi!CH67,"")</f>
        <v/>
      </c>
      <c r="L285" s="57" t="str">
        <f>IF(Gulshan_Ravi!B67&lt;&gt;"",Gulshan_Ravi!CE67,"")</f>
        <v/>
      </c>
    </row>
    <row r="286" ht="16.5" customHeight="1">
      <c r="A286" s="57" t="str">
        <f>IF(Gulshan_Ravi!B68&lt;&gt;"",SUMPRODUCT((LEN(D244:D285)&gt;0)*1)+1,"")</f>
        <v/>
      </c>
      <c r="B286" s="57" t="str">
        <f>IF(Gulshan_Ravi!B68&lt;&gt;"","Gulshan Ravi","")</f>
        <v/>
      </c>
      <c r="C286" s="57" t="str">
        <f>IF(Gulshan_Ravi!B68&lt;&gt;"","Group 2","")</f>
        <v/>
      </c>
      <c r="D286" s="58" t="str">
        <f>IF(Gulshan_Ravi!B68&lt;&gt;"",Gulshan_Ravi!B68,"")</f>
        <v/>
      </c>
      <c r="E286" s="57" t="str">
        <f>IF(Gulshan_Ravi!B68&lt;&gt;"",Gulshan_Ravi!C68,"")</f>
        <v/>
      </c>
      <c r="F286" s="60" t="str">
        <f>IF(Gulshan_Ravi!B68&lt;&gt;"",HYPERLINK("tel:"&amp;SUBSTITUTE(SUBSTITUTE(Gulshan_Ravi!C68,"+","+")," ",""),"📞"),"")</f>
        <v/>
      </c>
      <c r="G286" s="64" t="str">
        <f>IF(Gulshan_Ravi!B68&lt;&gt;"",HYPERLINK("https://wa.me/"&amp;SUBSTITUTE(SUBSTITUTE(Gulshan_Ravi!C68,"+","")," ",""),"💬"),"")</f>
        <v/>
      </c>
      <c r="H286" s="57" t="str">
        <f>IF(Gulshan_Ravi!B68&lt;&gt;"",Gulshan_Ravi!F68,"")</f>
        <v/>
      </c>
      <c r="I286" s="57" t="str">
        <f>IF(Gulshan_Ravi!B68&lt;&gt;"",Gulshan_Ravi!G68,"")</f>
        <v/>
      </c>
      <c r="J286" s="57" t="str">
        <f>IF(Gulshan_Ravi!B68&lt;&gt;"",Gulshan_Ravi!H68,"")</f>
        <v/>
      </c>
      <c r="K286" s="57" t="str">
        <f>IF(Gulshan_Ravi!B68&lt;&gt;"",Gulshan_Ravi!CH68,"")</f>
        <v/>
      </c>
      <c r="L286" s="57" t="str">
        <f>IF(Gulshan_Ravi!B68&lt;&gt;"",Gulshan_Ravi!CE68,"")</f>
        <v/>
      </c>
    </row>
    <row r="287" ht="16.5" customHeight="1">
      <c r="A287" s="57" t="str">
        <f>IF(Gulshan_Ravi!B69&lt;&gt;"",SUMPRODUCT((LEN(D244:D286)&gt;0)*1)+1,"")</f>
        <v/>
      </c>
      <c r="B287" s="57" t="str">
        <f>IF(Gulshan_Ravi!B69&lt;&gt;"","Gulshan Ravi","")</f>
        <v/>
      </c>
      <c r="C287" s="57" t="str">
        <f>IF(Gulshan_Ravi!B69&lt;&gt;"","Group 2","")</f>
        <v/>
      </c>
      <c r="D287" s="58" t="str">
        <f>IF(Gulshan_Ravi!B69&lt;&gt;"",Gulshan_Ravi!B69,"")</f>
        <v/>
      </c>
      <c r="E287" s="57" t="str">
        <f>IF(Gulshan_Ravi!B69&lt;&gt;"",Gulshan_Ravi!C69,"")</f>
        <v/>
      </c>
      <c r="F287" s="60" t="str">
        <f>IF(Gulshan_Ravi!B69&lt;&gt;"",HYPERLINK("tel:"&amp;SUBSTITUTE(SUBSTITUTE(Gulshan_Ravi!C69,"+","+")," ",""),"📞"),"")</f>
        <v/>
      </c>
      <c r="G287" s="64" t="str">
        <f>IF(Gulshan_Ravi!B69&lt;&gt;"",HYPERLINK("https://wa.me/"&amp;SUBSTITUTE(SUBSTITUTE(Gulshan_Ravi!C69,"+","")," ",""),"💬"),"")</f>
        <v/>
      </c>
      <c r="H287" s="57" t="str">
        <f>IF(Gulshan_Ravi!B69&lt;&gt;"",Gulshan_Ravi!F69,"")</f>
        <v/>
      </c>
      <c r="I287" s="57" t="str">
        <f>IF(Gulshan_Ravi!B69&lt;&gt;"",Gulshan_Ravi!G69,"")</f>
        <v/>
      </c>
      <c r="J287" s="57" t="str">
        <f>IF(Gulshan_Ravi!B69&lt;&gt;"",Gulshan_Ravi!H69,"")</f>
        <v/>
      </c>
      <c r="K287" s="57" t="str">
        <f>IF(Gulshan_Ravi!B69&lt;&gt;"",Gulshan_Ravi!CH69,"")</f>
        <v/>
      </c>
      <c r="L287" s="57" t="str">
        <f>IF(Gulshan_Ravi!B69&lt;&gt;"",Gulshan_Ravi!CE69,"")</f>
        <v/>
      </c>
    </row>
    <row r="288" ht="16.5" customHeight="1">
      <c r="A288" s="57" t="str">
        <f>IF(Gulshan_Ravi!B70&lt;&gt;"",SUMPRODUCT((LEN(D244:D287)&gt;0)*1)+1,"")</f>
        <v/>
      </c>
      <c r="B288" s="57" t="str">
        <f>IF(Gulshan_Ravi!B70&lt;&gt;"","Gulshan Ravi","")</f>
        <v/>
      </c>
      <c r="C288" s="57" t="str">
        <f>IF(Gulshan_Ravi!B70&lt;&gt;"","Group 2","")</f>
        <v/>
      </c>
      <c r="D288" s="58" t="str">
        <f>IF(Gulshan_Ravi!B70&lt;&gt;"",Gulshan_Ravi!B70,"")</f>
        <v/>
      </c>
      <c r="E288" s="57" t="str">
        <f>IF(Gulshan_Ravi!B70&lt;&gt;"",Gulshan_Ravi!C70,"")</f>
        <v/>
      </c>
      <c r="F288" s="60" t="str">
        <f>IF(Gulshan_Ravi!B70&lt;&gt;"",HYPERLINK("tel:"&amp;SUBSTITUTE(SUBSTITUTE(Gulshan_Ravi!C70,"+","+")," ",""),"📞"),"")</f>
        <v/>
      </c>
      <c r="G288" s="64" t="str">
        <f>IF(Gulshan_Ravi!B70&lt;&gt;"",HYPERLINK("https://wa.me/"&amp;SUBSTITUTE(SUBSTITUTE(Gulshan_Ravi!C70,"+","")," ",""),"💬"),"")</f>
        <v/>
      </c>
      <c r="H288" s="57" t="str">
        <f>IF(Gulshan_Ravi!B70&lt;&gt;"",Gulshan_Ravi!F70,"")</f>
        <v/>
      </c>
      <c r="I288" s="57" t="str">
        <f>IF(Gulshan_Ravi!B70&lt;&gt;"",Gulshan_Ravi!G70,"")</f>
        <v/>
      </c>
      <c r="J288" s="57" t="str">
        <f>IF(Gulshan_Ravi!B70&lt;&gt;"",Gulshan_Ravi!H70,"")</f>
        <v/>
      </c>
      <c r="K288" s="57" t="str">
        <f>IF(Gulshan_Ravi!B70&lt;&gt;"",Gulshan_Ravi!CH70,"")</f>
        <v/>
      </c>
      <c r="L288" s="57" t="str">
        <f>IF(Gulshan_Ravi!B70&lt;&gt;"",Gulshan_Ravi!CE70,"")</f>
        <v/>
      </c>
    </row>
    <row r="289" ht="15.7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</row>
    <row r="290" ht="18.0" customHeight="1">
      <c r="A290" s="8" t="str">
        <f>"▶  State Life  ("&amp;SUMPRODUCT((LEN(D291:D313)&gt;0)*1)&amp;" students)"</f>
        <v>▶  State Life  (22 students)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3"/>
    </row>
    <row r="291" ht="16.5" customHeight="1">
      <c r="A291" s="20">
        <v>218.0</v>
      </c>
      <c r="B291" s="20" t="s">
        <v>30</v>
      </c>
      <c r="C291" s="20" t="s">
        <v>22</v>
      </c>
      <c r="D291" s="22" t="str">
        <f>State_Life!B18</f>
        <v>Muhammad Umar Sajeel</v>
      </c>
      <c r="E291" s="23" t="str">
        <f>State_Life!C18</f>
        <v>'+923315058119</v>
      </c>
      <c r="F291" s="24" t="str">
        <f>IF(State_Life!C18&lt;&gt;"",HYPERLINK("tel:"&amp;SUBSTITUTE(SUBSTITUTE(State_Life!C18,"+","+")," ",""),"📞"),"")</f>
        <v>📞</v>
      </c>
      <c r="G291" s="41" t="str">
        <f>IF(State_Life!C18&lt;&gt;"",HYPERLINK("https://wa.me/"&amp;SUBSTITUTE(SUBSTITUTE(State_Life!C18,"+","")," ",""),"💬"),"")</f>
        <v>💬</v>
      </c>
      <c r="H291" s="20" t="str">
        <f>State_Life!F18</f>
        <v/>
      </c>
      <c r="I291" s="20" t="str">
        <f>State_Life!G18</f>
        <v>14.0</v>
      </c>
      <c r="J291" s="20" t="str">
        <f>State_Life!H18</f>
        <v>10th</v>
      </c>
      <c r="K291" s="20" t="str">
        <f>State_Life!CH18</f>
        <v>0%</v>
      </c>
      <c r="L291" s="20">
        <f>State_Life!CE18</f>
        <v>0</v>
      </c>
    </row>
    <row r="292" ht="16.5" customHeight="1">
      <c r="A292" s="10">
        <v>219.0</v>
      </c>
      <c r="B292" s="10" t="s">
        <v>30</v>
      </c>
      <c r="C292" s="10" t="s">
        <v>22</v>
      </c>
      <c r="D292" s="12" t="str">
        <f>State_Life!B19</f>
        <v>Ayan Nadeem</v>
      </c>
      <c r="E292" s="14" t="str">
        <f>State_Life!C19</f>
        <v>+92 332 6717 2007.0</v>
      </c>
      <c r="F292" s="17" t="str">
        <f>IF(State_Life!C19&lt;&gt;"",HYPERLINK("tel:"&amp;SUBSTITUTE(SUBSTITUTE(State_Life!C19,"+","+")," ",""),"📞"),"")</f>
        <v>📞</v>
      </c>
      <c r="G292" s="19" t="str">
        <f>IF(State_Life!C19&lt;&gt;"",HYPERLINK("https://wa.me/"&amp;SUBSTITUTE(SUBSTITUTE(State_Life!C19,"+","")," ",""),"💬"),"")</f>
        <v>💬</v>
      </c>
      <c r="H292" s="10" t="str">
        <f>State_Life!F19</f>
        <v/>
      </c>
      <c r="I292" s="10" t="str">
        <f>State_Life!G19</f>
        <v>14.0</v>
      </c>
      <c r="J292" s="10" t="str">
        <f>State_Life!H19</f>
        <v/>
      </c>
      <c r="K292" s="10" t="str">
        <f>State_Life!CH19</f>
        <v>35%</v>
      </c>
      <c r="L292" s="10">
        <f>State_Life!CE19</f>
        <v>6</v>
      </c>
    </row>
    <row r="293" ht="16.5" customHeight="1">
      <c r="A293" s="20">
        <v>220.0</v>
      </c>
      <c r="B293" s="20" t="s">
        <v>30</v>
      </c>
      <c r="C293" s="20" t="s">
        <v>22</v>
      </c>
      <c r="D293" s="22" t="str">
        <f>State_Life!B20</f>
        <v>Arham tariq</v>
      </c>
      <c r="E293" s="23" t="str">
        <f>State_Life!C20</f>
        <v>'+923088406064</v>
      </c>
      <c r="F293" s="24" t="str">
        <f>IF(State_Life!C20&lt;&gt;"",HYPERLINK("tel:"&amp;SUBSTITUTE(SUBSTITUTE(State_Life!C20,"+","+")," ",""),"📞"),"")</f>
        <v>📞</v>
      </c>
      <c r="G293" s="41" t="str">
        <f>IF(State_Life!C20&lt;&gt;"",HYPERLINK("https://wa.me/"&amp;SUBSTITUTE(SUBSTITUTE(State_Life!C20,"+","")," ",""),"💬"),"")</f>
        <v>💬</v>
      </c>
      <c r="H293" s="20" t="str">
        <f>State_Life!F20</f>
        <v/>
      </c>
      <c r="I293" s="20" t="str">
        <f>State_Life!G20</f>
        <v>14.0</v>
      </c>
      <c r="J293" s="20" t="str">
        <f>State_Life!H20</f>
        <v>9th</v>
      </c>
      <c r="K293" s="20" t="str">
        <f>State_Life!CH20</f>
        <v>75%</v>
      </c>
      <c r="L293" s="20">
        <f>State_Life!CE20</f>
        <v>6</v>
      </c>
    </row>
    <row r="294" ht="16.5" customHeight="1">
      <c r="A294" s="10">
        <v>221.0</v>
      </c>
      <c r="B294" s="10" t="s">
        <v>30</v>
      </c>
      <c r="C294" s="10" t="s">
        <v>22</v>
      </c>
      <c r="D294" s="12" t="str">
        <f>State_Life!B21</f>
        <v>Muhammad Abad ullah</v>
      </c>
      <c r="E294" s="14" t="str">
        <f>State_Life!C21</f>
        <v>'+923008450918</v>
      </c>
      <c r="F294" s="17" t="str">
        <f>IF(State_Life!C21&lt;&gt;"",HYPERLINK("tel:"&amp;SUBSTITUTE(SUBSTITUTE(State_Life!C21,"+","+")," ",""),"📞"),"")</f>
        <v>📞</v>
      </c>
      <c r="G294" s="19" t="str">
        <f>IF(State_Life!C21&lt;&gt;"",HYPERLINK("https://wa.me/"&amp;SUBSTITUTE(SUBSTITUTE(State_Life!C21,"+","")," ",""),"💬"),"")</f>
        <v>💬</v>
      </c>
      <c r="H294" s="10" t="str">
        <f>State_Life!F21</f>
        <v/>
      </c>
      <c r="I294" s="10" t="str">
        <f>State_Life!G21</f>
        <v>15.0</v>
      </c>
      <c r="J294" s="10" t="str">
        <f>State_Life!H21</f>
        <v>9th</v>
      </c>
      <c r="K294" s="10" t="str">
        <f>State_Life!CH21</f>
        <v>67%</v>
      </c>
      <c r="L294" s="10">
        <f>State_Life!CE21</f>
        <v>12</v>
      </c>
    </row>
    <row r="295" ht="16.5" customHeight="1">
      <c r="A295" s="20">
        <v>222.0</v>
      </c>
      <c r="B295" s="20" t="s">
        <v>30</v>
      </c>
      <c r="C295" s="20" t="s">
        <v>22</v>
      </c>
      <c r="D295" s="22" t="str">
        <f>State_Life!B22</f>
        <v>Muhammad Fayyazuddin Yasir</v>
      </c>
      <c r="E295" s="23" t="str">
        <f>State_Life!C22</f>
        <v>'+923215541555</v>
      </c>
      <c r="F295" s="24" t="str">
        <f>IF(State_Life!C22&lt;&gt;"",HYPERLINK("tel:"&amp;SUBSTITUTE(SUBSTITUTE(State_Life!C22,"+","+")," ",""),"📞"),"")</f>
        <v>📞</v>
      </c>
      <c r="G295" s="41" t="str">
        <f>IF(State_Life!C22&lt;&gt;"",HYPERLINK("https://wa.me/"&amp;SUBSTITUTE(SUBSTITUTE(State_Life!C22,"+","")," ",""),"💬"),"")</f>
        <v>💬</v>
      </c>
      <c r="H295" s="20" t="str">
        <f>State_Life!F22</f>
        <v/>
      </c>
      <c r="I295" s="20" t="str">
        <f>State_Life!G22</f>
        <v>16.0</v>
      </c>
      <c r="J295" s="20" t="str">
        <f>State_Life!H22</f>
        <v/>
      </c>
      <c r="K295" s="20" t="str">
        <f>State_Life!CH22</f>
        <v>35%</v>
      </c>
      <c r="L295" s="20">
        <f>State_Life!CE22</f>
        <v>6</v>
      </c>
    </row>
    <row r="296" ht="16.5" customHeight="1">
      <c r="A296" s="10">
        <v>223.0</v>
      </c>
      <c r="B296" s="10" t="s">
        <v>30</v>
      </c>
      <c r="C296" s="10" t="s">
        <v>22</v>
      </c>
      <c r="D296" s="12" t="str">
        <f>State_Life!B23</f>
        <v>Haseeb Hussain</v>
      </c>
      <c r="E296" s="14" t="str">
        <f>State_Life!C23</f>
        <v>'+923125843326</v>
      </c>
      <c r="F296" s="17" t="str">
        <f>IF(State_Life!C23&lt;&gt;"",HYPERLINK("tel:"&amp;SUBSTITUTE(SUBSTITUTE(State_Life!C23,"+","+")," ",""),"📞"),"")</f>
        <v>📞</v>
      </c>
      <c r="G296" s="19" t="str">
        <f>IF(State_Life!C23&lt;&gt;"",HYPERLINK("https://wa.me/"&amp;SUBSTITUTE(SUBSTITUTE(State_Life!C23,"+","")," ",""),"💬"),"")</f>
        <v>💬</v>
      </c>
      <c r="H296" s="10" t="str">
        <f>State_Life!F23</f>
        <v/>
      </c>
      <c r="I296" s="10" t="str">
        <f>State_Life!G23</f>
        <v>16.0</v>
      </c>
      <c r="J296" s="10" t="str">
        <f>State_Life!H23</f>
        <v/>
      </c>
      <c r="K296" s="10" t="str">
        <f>State_Life!CH23</f>
        <v>0%</v>
      </c>
      <c r="L296" s="10">
        <f>State_Life!CE23</f>
        <v>0</v>
      </c>
    </row>
    <row r="297" ht="16.5" customHeight="1">
      <c r="A297" s="20">
        <v>224.0</v>
      </c>
      <c r="B297" s="20" t="s">
        <v>30</v>
      </c>
      <c r="C297" s="20" t="s">
        <v>22</v>
      </c>
      <c r="D297" s="22" t="str">
        <f>State_Life!B24</f>
        <v>Hafiz Muhammad muzammil</v>
      </c>
      <c r="E297" s="23" t="str">
        <f>State_Life!C24</f>
        <v>'+923207199999</v>
      </c>
      <c r="F297" s="24" t="str">
        <f>IF(State_Life!C24&lt;&gt;"",HYPERLINK("tel:"&amp;SUBSTITUTE(SUBSTITUTE(State_Life!C24,"+","+")," ",""),"📞"),"")</f>
        <v>📞</v>
      </c>
      <c r="G297" s="41" t="str">
        <f>IF(State_Life!C24&lt;&gt;"",HYPERLINK("https://wa.me/"&amp;SUBSTITUTE(SUBSTITUTE(State_Life!C24,"+","")," ",""),"💬"),"")</f>
        <v>💬</v>
      </c>
      <c r="H297" s="20" t="str">
        <f>State_Life!F24</f>
        <v/>
      </c>
      <c r="I297" s="20" t="str">
        <f>State_Life!G24</f>
        <v>17.0</v>
      </c>
      <c r="J297" s="20" t="str">
        <f>State_Life!H24</f>
        <v>10th</v>
      </c>
      <c r="K297" s="20" t="str">
        <f>State_Life!CH24</f>
        <v>70%</v>
      </c>
      <c r="L297" s="20">
        <f>State_Life!CE24</f>
        <v>7</v>
      </c>
    </row>
    <row r="298" ht="16.5" customHeight="1">
      <c r="A298" s="10">
        <v>225.0</v>
      </c>
      <c r="B298" s="10" t="s">
        <v>30</v>
      </c>
      <c r="C298" s="10" t="s">
        <v>22</v>
      </c>
      <c r="D298" s="12" t="str">
        <f>State_Life!B25</f>
        <v>Maroof Ul Hassan</v>
      </c>
      <c r="E298" s="14" t="str">
        <f>State_Life!C25</f>
        <v>'+923493443306</v>
      </c>
      <c r="F298" s="17" t="str">
        <f>IF(State_Life!C25&lt;&gt;"",HYPERLINK("tel:"&amp;SUBSTITUTE(SUBSTITUTE(State_Life!C25,"+","+")," ",""),"📞"),"")</f>
        <v>📞</v>
      </c>
      <c r="G298" s="19" t="str">
        <f>IF(State_Life!C25&lt;&gt;"",HYPERLINK("https://wa.me/"&amp;SUBSTITUTE(SUBSTITUTE(State_Life!C25,"+","")," ",""),"💬"),"")</f>
        <v>💬</v>
      </c>
      <c r="H298" s="10" t="str">
        <f>State_Life!F25</f>
        <v/>
      </c>
      <c r="I298" s="10" t="str">
        <f>State_Life!G25</f>
        <v>18.0</v>
      </c>
      <c r="J298" s="10" t="str">
        <f>State_Life!H25</f>
        <v>O Level</v>
      </c>
      <c r="K298" s="10" t="str">
        <f>State_Life!CH25</f>
        <v>75%</v>
      </c>
      <c r="L298" s="10">
        <f>State_Life!CE25</f>
        <v>12</v>
      </c>
    </row>
    <row r="299" ht="16.5" customHeight="1">
      <c r="A299" s="20">
        <v>226.0</v>
      </c>
      <c r="B299" s="20" t="s">
        <v>30</v>
      </c>
      <c r="C299" s="20" t="s">
        <v>22</v>
      </c>
      <c r="D299" s="22" t="str">
        <f>State_Life!B26</f>
        <v>Muhammad saad</v>
      </c>
      <c r="E299" s="23" t="str">
        <f>State_Life!C26</f>
        <v>'+923008450918</v>
      </c>
      <c r="F299" s="24" t="str">
        <f>IF(State_Life!C26&lt;&gt;"",HYPERLINK("tel:"&amp;SUBSTITUTE(SUBSTITUTE(State_Life!C26,"+","+")," ",""),"📞"),"")</f>
        <v>📞</v>
      </c>
      <c r="G299" s="41" t="str">
        <f>IF(State_Life!C26&lt;&gt;"",HYPERLINK("https://wa.me/"&amp;SUBSTITUTE(SUBSTITUTE(State_Life!C26,"+","")," ",""),"💬"),"")</f>
        <v>💬</v>
      </c>
      <c r="H299" s="20" t="str">
        <f>State_Life!F26</f>
        <v/>
      </c>
      <c r="I299" s="20" t="str">
        <f>State_Life!G26</f>
        <v>18.0</v>
      </c>
      <c r="J299" s="20" t="str">
        <f>State_Life!H26</f>
        <v>12th</v>
      </c>
      <c r="K299" s="20" t="str">
        <f>State_Life!CH26</f>
        <v>94%</v>
      </c>
      <c r="L299" s="20">
        <f>State_Life!CE26</f>
        <v>17</v>
      </c>
    </row>
    <row r="300" ht="16.5" customHeight="1">
      <c r="A300" s="10">
        <v>227.0</v>
      </c>
      <c r="B300" s="10" t="s">
        <v>30</v>
      </c>
      <c r="C300" s="10" t="s">
        <v>22</v>
      </c>
      <c r="D300" s="12" t="str">
        <f>State_Life!B27</f>
        <v>Muhammad Itzaz</v>
      </c>
      <c r="E300" s="14" t="str">
        <f>State_Life!C27</f>
        <v>+92 332 6717 2007.0</v>
      </c>
      <c r="F300" s="17" t="str">
        <f>IF(State_Life!C27&lt;&gt;"",HYPERLINK("tel:"&amp;SUBSTITUTE(SUBSTITUTE(State_Life!C27,"+","+")," ",""),"📞"),"")</f>
        <v>📞</v>
      </c>
      <c r="G300" s="19" t="str">
        <f>IF(State_Life!C27&lt;&gt;"",HYPERLINK("https://wa.me/"&amp;SUBSTITUTE(SUBSTITUTE(State_Life!C27,"+","")," ",""),"💬"),"")</f>
        <v>💬</v>
      </c>
      <c r="H300" s="10" t="str">
        <f>State_Life!F27</f>
        <v/>
      </c>
      <c r="I300" s="10" t="str">
        <f>State_Life!G27</f>
        <v>18.0</v>
      </c>
      <c r="J300" s="10" t="str">
        <f>State_Life!H27</f>
        <v/>
      </c>
      <c r="K300" s="10" t="str">
        <f>State_Life!CH27</f>
        <v>35%</v>
      </c>
      <c r="L300" s="10">
        <f>State_Life!CE27</f>
        <v>6</v>
      </c>
    </row>
    <row r="301" ht="16.5" customHeight="1">
      <c r="A301" s="20">
        <v>228.0</v>
      </c>
      <c r="B301" s="20" t="s">
        <v>30</v>
      </c>
      <c r="C301" s="20" t="s">
        <v>22</v>
      </c>
      <c r="D301" s="22" t="str">
        <f>State_Life!B28</f>
        <v>Ali Ejaz</v>
      </c>
      <c r="E301" s="23" t="str">
        <f>State_Life!C28</f>
        <v>'+923196432095</v>
      </c>
      <c r="F301" s="24" t="str">
        <f>IF(State_Life!C28&lt;&gt;"",HYPERLINK("tel:"&amp;SUBSTITUTE(SUBSTITUTE(State_Life!C28,"+","+")," ",""),"📞"),"")</f>
        <v>📞</v>
      </c>
      <c r="G301" s="41" t="str">
        <f>IF(State_Life!C28&lt;&gt;"",HYPERLINK("https://wa.me/"&amp;SUBSTITUTE(SUBSTITUTE(State_Life!C28,"+","")," ",""),"💬"),"")</f>
        <v>💬</v>
      </c>
      <c r="H301" s="20" t="str">
        <f>State_Life!F28</f>
        <v/>
      </c>
      <c r="I301" s="20" t="str">
        <f>State_Life!G28</f>
        <v>19.0</v>
      </c>
      <c r="J301" s="20" t="str">
        <f>State_Life!H28</f>
        <v/>
      </c>
      <c r="K301" s="20" t="str">
        <f>State_Life!CH28</f>
        <v>21%</v>
      </c>
      <c r="L301" s="20">
        <f>State_Life!CE28</f>
        <v>3</v>
      </c>
    </row>
    <row r="302" ht="16.5" customHeight="1">
      <c r="A302" s="10">
        <v>229.0</v>
      </c>
      <c r="B302" s="10" t="s">
        <v>30</v>
      </c>
      <c r="C302" s="10" t="s">
        <v>22</v>
      </c>
      <c r="D302" s="12" t="str">
        <f>State_Life!B29</f>
        <v>Ali Hassan Wasti</v>
      </c>
      <c r="E302" s="14" t="str">
        <f>State_Life!C29</f>
        <v>'+923264782164</v>
      </c>
      <c r="F302" s="17" t="str">
        <f>IF(State_Life!C29&lt;&gt;"",HYPERLINK("tel:"&amp;SUBSTITUTE(SUBSTITUTE(State_Life!C29,"+","+")," ",""),"📞"),"")</f>
        <v>📞</v>
      </c>
      <c r="G302" s="19" t="str">
        <f>IF(State_Life!C29&lt;&gt;"",HYPERLINK("https://wa.me/"&amp;SUBSTITUTE(SUBSTITUTE(State_Life!C29,"+","")," ",""),"💬"),"")</f>
        <v>💬</v>
      </c>
      <c r="H302" s="10" t="str">
        <f>State_Life!F29</f>
        <v/>
      </c>
      <c r="I302" s="10" t="str">
        <f>State_Life!G29</f>
        <v>21.0</v>
      </c>
      <c r="J302" s="10" t="str">
        <f>State_Life!H29</f>
        <v>12th</v>
      </c>
      <c r="K302" s="10" t="str">
        <f>State_Life!CH29</f>
        <v>7%</v>
      </c>
      <c r="L302" s="10">
        <f>State_Life!CE29</f>
        <v>1</v>
      </c>
    </row>
    <row r="303" ht="16.5" customHeight="1">
      <c r="A303" s="20">
        <v>230.0</v>
      </c>
      <c r="B303" s="20" t="s">
        <v>30</v>
      </c>
      <c r="C303" s="20" t="s">
        <v>22</v>
      </c>
      <c r="D303" s="22" t="str">
        <f>State_Life!B30</f>
        <v>Hafiz Hamza Javed</v>
      </c>
      <c r="E303" s="23" t="str">
        <f>State_Life!C30</f>
        <v>'+923235105146</v>
      </c>
      <c r="F303" s="24" t="str">
        <f>IF(State_Life!C30&lt;&gt;"",HYPERLINK("tel:"&amp;SUBSTITUTE(SUBSTITUTE(State_Life!C30,"+","+")," ",""),"📞"),"")</f>
        <v>📞</v>
      </c>
      <c r="G303" s="41" t="str">
        <f>IF(State_Life!C30&lt;&gt;"",HYPERLINK("https://wa.me/"&amp;SUBSTITUTE(SUBSTITUTE(State_Life!C30,"+","")," ",""),"💬"),"")</f>
        <v>💬</v>
      </c>
      <c r="H303" s="20" t="str">
        <f>State_Life!F30</f>
        <v/>
      </c>
      <c r="I303" s="20" t="str">
        <f>State_Life!G30</f>
        <v>23.0</v>
      </c>
      <c r="J303" s="20" t="str">
        <f>State_Life!H30</f>
        <v>12th</v>
      </c>
      <c r="K303" s="20" t="str">
        <f>State_Life!CH30</f>
        <v>0%</v>
      </c>
      <c r="L303" s="20">
        <f>State_Life!CE30</f>
        <v>0</v>
      </c>
    </row>
    <row r="304" ht="16.5" customHeight="1">
      <c r="A304" s="10">
        <v>231.0</v>
      </c>
      <c r="B304" s="10" t="s">
        <v>30</v>
      </c>
      <c r="C304" s="10" t="s">
        <v>22</v>
      </c>
      <c r="D304" s="12" t="str">
        <f>State_Life!B31</f>
        <v>M Hasnain Zahid (Sahil)</v>
      </c>
      <c r="E304" s="14" t="str">
        <f>State_Life!C31</f>
        <v/>
      </c>
      <c r="F304" s="17" t="str">
        <f>IF(State_Life!C31&lt;&gt;"",HYPERLINK("tel:"&amp;SUBSTITUTE(SUBSTITUTE(State_Life!C31,"+","+")," ",""),"📞"),"")</f>
        <v/>
      </c>
      <c r="G304" s="28" t="str">
        <f>IF(State_Life!C31&lt;&gt;"",HYPERLINK("https://wa.me/"&amp;SUBSTITUTE(SUBSTITUTE(State_Life!C31,"+","")," ",""),"💬"),"")</f>
        <v/>
      </c>
      <c r="H304" s="10" t="str">
        <f>State_Life!F31</f>
        <v/>
      </c>
      <c r="I304" s="10" t="str">
        <f>State_Life!G31</f>
        <v/>
      </c>
      <c r="J304" s="10" t="str">
        <f>State_Life!H31</f>
        <v/>
      </c>
      <c r="K304" s="10" t="str">
        <f>State_Life!CH31</f>
        <v>100%</v>
      </c>
      <c r="L304" s="10">
        <f>State_Life!CE31</f>
        <v>13</v>
      </c>
    </row>
    <row r="305" ht="16.5" customHeight="1">
      <c r="A305" s="20">
        <v>232.0</v>
      </c>
      <c r="B305" s="20" t="s">
        <v>30</v>
      </c>
      <c r="C305" s="20" t="s">
        <v>22</v>
      </c>
      <c r="D305" s="22" t="str">
        <f>State_Life!B32</f>
        <v>Muhammad Hashir</v>
      </c>
      <c r="E305" s="23" t="str">
        <f>State_Life!C32</f>
        <v>'+923004131342</v>
      </c>
      <c r="F305" s="24" t="str">
        <f>IF(State_Life!C32&lt;&gt;"",HYPERLINK("tel:"&amp;SUBSTITUTE(SUBSTITUTE(State_Life!C32,"+","+")," ",""),"📞"),"")</f>
        <v>📞</v>
      </c>
      <c r="G305" s="41" t="str">
        <f>IF(State_Life!C32&lt;&gt;"",HYPERLINK("https://wa.me/"&amp;SUBSTITUTE(SUBSTITUTE(State_Life!C32,"+","")," ",""),"💬"),"")</f>
        <v>💬</v>
      </c>
      <c r="H305" s="20" t="str">
        <f>State_Life!F32</f>
        <v/>
      </c>
      <c r="I305" s="20" t="str">
        <f>State_Life!G32</f>
        <v>14.0</v>
      </c>
      <c r="J305" s="20" t="str">
        <f>State_Life!H32</f>
        <v/>
      </c>
      <c r="K305" s="20" t="str">
        <f>State_Life!CH32</f>
        <v>100%</v>
      </c>
      <c r="L305" s="20">
        <f>State_Life!CE32</f>
        <v>7</v>
      </c>
    </row>
    <row r="306" ht="16.5" customHeight="1">
      <c r="A306" s="10">
        <v>233.0</v>
      </c>
      <c r="B306" s="10" t="s">
        <v>30</v>
      </c>
      <c r="C306" s="10" t="s">
        <v>22</v>
      </c>
      <c r="D306" s="12" t="str">
        <f>State_Life!B33</f>
        <v>Hammad Ali</v>
      </c>
      <c r="E306" s="14" t="str">
        <f>State_Life!C33</f>
        <v>'+923274462376</v>
      </c>
      <c r="F306" s="17" t="str">
        <f>IF(State_Life!C33&lt;&gt;"",HYPERLINK("tel:"&amp;SUBSTITUTE(SUBSTITUTE(State_Life!C33,"+","+")," ",""),"📞"),"")</f>
        <v>📞</v>
      </c>
      <c r="G306" s="19" t="str">
        <f>IF(State_Life!C33&lt;&gt;"",HYPERLINK("https://wa.me/"&amp;SUBSTITUTE(SUBSTITUTE(State_Life!C33,"+","")," ",""),"💬"),"")</f>
        <v>💬</v>
      </c>
      <c r="H306" s="10" t="str">
        <f>State_Life!F33</f>
        <v/>
      </c>
      <c r="I306" s="10" t="str">
        <f>State_Life!G33</f>
        <v>16.0</v>
      </c>
      <c r="J306" s="10" t="str">
        <f>State_Life!H33</f>
        <v>11th</v>
      </c>
      <c r="K306" s="10" t="str">
        <f>State_Life!CH33</f>
        <v>61%</v>
      </c>
      <c r="L306" s="10">
        <f>State_Life!CE33</f>
        <v>11</v>
      </c>
    </row>
    <row r="307" ht="16.5" customHeight="1">
      <c r="A307" s="20">
        <v>234.0</v>
      </c>
      <c r="B307" s="20" t="s">
        <v>30</v>
      </c>
      <c r="C307" s="20" t="s">
        <v>22</v>
      </c>
      <c r="D307" s="22" t="str">
        <f>State_Life!B34</f>
        <v>Ali Hamza</v>
      </c>
      <c r="E307" s="23" t="str">
        <f>State_Life!C34</f>
        <v>'+923096553885</v>
      </c>
      <c r="F307" s="24" t="str">
        <f>IF(State_Life!C34&lt;&gt;"",HYPERLINK("tel:"&amp;SUBSTITUTE(SUBSTITUTE(State_Life!C34,"+","+")," ",""),"📞"),"")</f>
        <v>📞</v>
      </c>
      <c r="G307" s="41" t="str">
        <f>IF(State_Life!C34&lt;&gt;"",HYPERLINK("https://wa.me/"&amp;SUBSTITUTE(SUBSTITUTE(State_Life!C34,"+","")," ",""),"💬"),"")</f>
        <v>💬</v>
      </c>
      <c r="H307" s="20" t="str">
        <f>State_Life!F34</f>
        <v/>
      </c>
      <c r="I307" s="20" t="str">
        <f>State_Life!G34</f>
        <v>18.0</v>
      </c>
      <c r="J307" s="20" t="str">
        <f>State_Life!H34</f>
        <v>10th</v>
      </c>
      <c r="K307" s="20" t="str">
        <f>State_Life!CH34</f>
        <v>72%</v>
      </c>
      <c r="L307" s="20">
        <f>State_Life!CE34</f>
        <v>13</v>
      </c>
    </row>
    <row r="308" ht="16.5" customHeight="1">
      <c r="A308" s="10">
        <v>235.0</v>
      </c>
      <c r="B308" s="10" t="s">
        <v>30</v>
      </c>
      <c r="C308" s="10" t="s">
        <v>22</v>
      </c>
      <c r="D308" s="12" t="str">
        <f>State_Life!B35</f>
        <v>Anas</v>
      </c>
      <c r="E308" s="14" t="str">
        <f>State_Life!C35</f>
        <v/>
      </c>
      <c r="F308" s="17" t="str">
        <f>IF(State_Life!C35&lt;&gt;"",HYPERLINK("tel:"&amp;SUBSTITUTE(SUBSTITUTE(State_Life!C35,"+","+")," ",""),"📞"),"")</f>
        <v/>
      </c>
      <c r="G308" s="28" t="str">
        <f>IF(State_Life!C35&lt;&gt;"",HYPERLINK("https://wa.me/"&amp;SUBSTITUTE(SUBSTITUTE(State_Life!C35,"+","")," ",""),"💬"),"")</f>
        <v/>
      </c>
      <c r="H308" s="10" t="str">
        <f>State_Life!F35</f>
        <v/>
      </c>
      <c r="I308" s="10" t="str">
        <f>State_Life!G35</f>
        <v/>
      </c>
      <c r="J308" s="10" t="str">
        <f>State_Life!H35</f>
        <v/>
      </c>
      <c r="K308" s="10" t="str">
        <f>State_Life!CH35</f>
        <v>71%</v>
      </c>
      <c r="L308" s="10">
        <f>State_Life!CE35</f>
        <v>10</v>
      </c>
    </row>
    <row r="309" ht="16.5" customHeight="1">
      <c r="A309" s="57">
        <f>IF(State_Life!B36&lt;&gt;"",SUMPRODUCT((LEN(D291:D308)&gt;0)*1)+1,"")</f>
        <v>19</v>
      </c>
      <c r="B309" s="57" t="str">
        <f>IF(State_Life!B36&lt;&gt;"","State Life","")</f>
        <v>State Life</v>
      </c>
      <c r="C309" s="57" t="str">
        <f>IF(State_Life!B36&lt;&gt;"","Group 1","")</f>
        <v>Group 1</v>
      </c>
      <c r="D309" s="58" t="str">
        <f>IF(State_Life!B36&lt;&gt;"",State_Life!B36,"")</f>
        <v>Abdul Rehman</v>
      </c>
      <c r="E309" s="57" t="str">
        <f>IF(State_Life!B36&lt;&gt;"",State_Life!C36,"")</f>
        <v/>
      </c>
      <c r="F309" s="60" t="str">
        <f>IF(State_Life!B36&lt;&gt;"",HYPERLINK("tel:"&amp;SUBSTITUTE(SUBSTITUTE(State_Life!C36,"+","+")," ",""),"📞"),"")</f>
        <v>📞</v>
      </c>
      <c r="G309" s="61" t="str">
        <f>IF(State_Life!B36&lt;&gt;"",HYPERLINK("https://wa.me/"&amp;SUBSTITUTE(SUBSTITUTE(State_Life!C36,"+","")," ",""),"💬"),"")</f>
        <v>💬</v>
      </c>
      <c r="H309" s="57" t="str">
        <f>IF(State_Life!B36&lt;&gt;"",State_Life!F36,"")</f>
        <v/>
      </c>
      <c r="I309" s="57" t="str">
        <f>IF(State_Life!B36&lt;&gt;"",State_Life!G36,"")</f>
        <v/>
      </c>
      <c r="J309" s="57" t="str">
        <f>IF(State_Life!B36&lt;&gt;"",State_Life!H36,"")</f>
        <v/>
      </c>
      <c r="K309" s="57" t="str">
        <f>IF(State_Life!B36&lt;&gt;"",State_Life!CH36,"")</f>
        <v>50%</v>
      </c>
      <c r="L309" s="57">
        <f>IF(State_Life!B36&lt;&gt;"",State_Life!CE36,"")</f>
        <v>2</v>
      </c>
    </row>
    <row r="310" ht="16.5" customHeight="1">
      <c r="A310" s="57">
        <f>IF(State_Life!B37&lt;&gt;"",SUMPRODUCT((LEN(D291:D309)&gt;0)*1)+1,"")</f>
        <v>20</v>
      </c>
      <c r="B310" s="57" t="str">
        <f>IF(State_Life!B37&lt;&gt;"","State Life","")</f>
        <v>State Life</v>
      </c>
      <c r="C310" s="57" t="str">
        <f>IF(State_Life!B37&lt;&gt;"","Group 1","")</f>
        <v>Group 1</v>
      </c>
      <c r="D310" s="58" t="str">
        <f>IF(State_Life!B37&lt;&gt;"",State_Life!B37,"")</f>
        <v>adil Ibrahim </v>
      </c>
      <c r="E310" s="57" t="str">
        <f>IF(State_Life!B37&lt;&gt;"",State_Life!C37,"")</f>
        <v/>
      </c>
      <c r="F310" s="60" t="str">
        <f>IF(State_Life!B37&lt;&gt;"",HYPERLINK("tel:"&amp;SUBSTITUTE(SUBSTITUTE(State_Life!C37,"+","+")," ",""),"📞"),"")</f>
        <v>📞</v>
      </c>
      <c r="G310" s="61" t="str">
        <f>IF(State_Life!B37&lt;&gt;"",HYPERLINK("https://wa.me/"&amp;SUBSTITUTE(SUBSTITUTE(State_Life!C37,"+","")," ",""),"💬"),"")</f>
        <v>💬</v>
      </c>
      <c r="H310" s="57" t="str">
        <f>IF(State_Life!B37&lt;&gt;"",State_Life!F37,"")</f>
        <v/>
      </c>
      <c r="I310" s="57" t="str">
        <f>IF(State_Life!B37&lt;&gt;"",State_Life!G37,"")</f>
        <v/>
      </c>
      <c r="J310" s="57" t="str">
        <f>IF(State_Life!B37&lt;&gt;"",State_Life!H37,"")</f>
        <v/>
      </c>
      <c r="K310" s="57" t="str">
        <f>IF(State_Life!B37&lt;&gt;"",State_Life!CH37,"")</f>
        <v>100%</v>
      </c>
      <c r="L310" s="57">
        <f>IF(State_Life!B37&lt;&gt;"",State_Life!CE37,"")</f>
        <v>3</v>
      </c>
    </row>
    <row r="311" ht="16.5" customHeight="1">
      <c r="A311" s="57">
        <f>IF(State_Life!B38&lt;&gt;"",SUMPRODUCT((LEN(D291:D310)&gt;0)*1)+1,"")</f>
        <v>21</v>
      </c>
      <c r="B311" s="57" t="str">
        <f>IF(State_Life!B38&lt;&gt;"","State Life","")</f>
        <v>State Life</v>
      </c>
      <c r="C311" s="57" t="str">
        <f>IF(State_Life!B38&lt;&gt;"","Group 1","")</f>
        <v>Group 1</v>
      </c>
      <c r="D311" s="58" t="str">
        <f>IF(State_Life!B38&lt;&gt;"",State_Life!B38,"")</f>
        <v>danish</v>
      </c>
      <c r="E311" s="57" t="str">
        <f>IF(State_Life!B38&lt;&gt;"",State_Life!C38,"")</f>
        <v/>
      </c>
      <c r="F311" s="60" t="str">
        <f>IF(State_Life!B38&lt;&gt;"",HYPERLINK("tel:"&amp;SUBSTITUTE(SUBSTITUTE(State_Life!C38,"+","+")," ",""),"📞"),"")</f>
        <v>📞</v>
      </c>
      <c r="G311" s="61" t="str">
        <f>IF(State_Life!B38&lt;&gt;"",HYPERLINK("https://wa.me/"&amp;SUBSTITUTE(SUBSTITUTE(State_Life!C38,"+","")," ",""),"💬"),"")</f>
        <v>💬</v>
      </c>
      <c r="H311" s="57" t="str">
        <f>IF(State_Life!B38&lt;&gt;"",State_Life!F38,"")</f>
        <v/>
      </c>
      <c r="I311" s="57" t="str">
        <f>IF(State_Life!B38&lt;&gt;"",State_Life!G38,"")</f>
        <v/>
      </c>
      <c r="J311" s="57" t="str">
        <f>IF(State_Life!B38&lt;&gt;"",State_Life!H38,"")</f>
        <v/>
      </c>
      <c r="K311" s="57" t="str">
        <f>IF(State_Life!B38&lt;&gt;"",State_Life!CH38,"")</f>
        <v>67%</v>
      </c>
      <c r="L311" s="57">
        <f>IF(State_Life!B38&lt;&gt;"",State_Life!CE38,"")</f>
        <v>2</v>
      </c>
    </row>
    <row r="312" ht="16.5" customHeight="1">
      <c r="A312" s="57">
        <f>IF(State_Life!B39&lt;&gt;"",SUMPRODUCT((LEN(D291:D311)&gt;0)*1)+1,"")</f>
        <v>22</v>
      </c>
      <c r="B312" s="57" t="str">
        <f>IF(State_Life!B39&lt;&gt;"","State Life","")</f>
        <v>State Life</v>
      </c>
      <c r="C312" s="57" t="str">
        <f>IF(State_Life!B39&lt;&gt;"","Group 1","")</f>
        <v>Group 1</v>
      </c>
      <c r="D312" s="58" t="str">
        <f>IF(State_Life!B39&lt;&gt;"",State_Life!B39,"")</f>
        <v>Abdul Rafey</v>
      </c>
      <c r="E312" s="57" t="str">
        <f>IF(State_Life!B39&lt;&gt;"",State_Life!C39,"")</f>
        <v/>
      </c>
      <c r="F312" s="60" t="str">
        <f>IF(State_Life!B39&lt;&gt;"",HYPERLINK("tel:"&amp;SUBSTITUTE(SUBSTITUTE(State_Life!C39,"+","+")," ",""),"📞"),"")</f>
        <v>📞</v>
      </c>
      <c r="G312" s="61" t="str">
        <f>IF(State_Life!B39&lt;&gt;"",HYPERLINK("https://wa.me/"&amp;SUBSTITUTE(SUBSTITUTE(State_Life!C39,"+","")," ",""),"💬"),"")</f>
        <v>💬</v>
      </c>
      <c r="H312" s="57" t="str">
        <f>IF(State_Life!B39&lt;&gt;"",State_Life!F39,"")</f>
        <v/>
      </c>
      <c r="I312" s="57" t="str">
        <f>IF(State_Life!B39&lt;&gt;"",State_Life!G39,"")</f>
        <v/>
      </c>
      <c r="J312" s="57" t="str">
        <f>IF(State_Life!B39&lt;&gt;"",State_Life!H39,"")</f>
        <v/>
      </c>
      <c r="K312" s="57" t="str">
        <f>IF(State_Life!B39&lt;&gt;"",State_Life!CH39,"")</f>
        <v>100%</v>
      </c>
      <c r="L312" s="57">
        <f>IF(State_Life!B39&lt;&gt;"",State_Life!CE39,"")</f>
        <v>2</v>
      </c>
    </row>
    <row r="313" ht="16.5" customHeight="1">
      <c r="A313" s="57" t="str">
        <f>IF(State_Life!B40&lt;&gt;"",SUMPRODUCT((LEN(D291:D312)&gt;0)*1)+1,"")</f>
        <v/>
      </c>
      <c r="B313" s="57" t="str">
        <f>IF(State_Life!B40&lt;&gt;"","State Life","")</f>
        <v/>
      </c>
      <c r="C313" s="57" t="str">
        <f>IF(State_Life!B40&lt;&gt;"","Group 1","")</f>
        <v/>
      </c>
      <c r="D313" s="58" t="str">
        <f>IF(State_Life!B40&lt;&gt;"",State_Life!B40,"")</f>
        <v/>
      </c>
      <c r="E313" s="57" t="str">
        <f>IF(State_Life!B40&lt;&gt;"",State_Life!C40,"")</f>
        <v/>
      </c>
      <c r="F313" s="60" t="str">
        <f>IF(State_Life!B40&lt;&gt;"",HYPERLINK("tel:"&amp;SUBSTITUTE(SUBSTITUTE(State_Life!C40,"+","+")," ",""),"📞"),"")</f>
        <v/>
      </c>
      <c r="G313" s="64" t="str">
        <f>IF(State_Life!B40&lt;&gt;"",HYPERLINK("https://wa.me/"&amp;SUBSTITUTE(SUBSTITUTE(State_Life!C40,"+","")," ",""),"💬"),"")</f>
        <v/>
      </c>
      <c r="H313" s="57" t="str">
        <f>IF(State_Life!B40&lt;&gt;"",State_Life!F40,"")</f>
        <v/>
      </c>
      <c r="I313" s="57" t="str">
        <f>IF(State_Life!B40&lt;&gt;"",State_Life!G40,"")</f>
        <v/>
      </c>
      <c r="J313" s="57" t="str">
        <f>IF(State_Life!B40&lt;&gt;"",State_Life!H40,"")</f>
        <v/>
      </c>
      <c r="K313" s="57" t="str">
        <f>IF(State_Life!B40&lt;&gt;"",State_Life!CH40,"")</f>
        <v/>
      </c>
      <c r="L313" s="57" t="str">
        <f>IF(State_Life!B40&lt;&gt;"",State_Life!CE40,"")</f>
        <v/>
      </c>
    </row>
    <row r="314" ht="15.75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</row>
    <row r="315" ht="19.5" customHeight="1">
      <c r="A315" s="106" t="str">
        <f>"TOTAL STUDENTS: "&amp;SUMPRODUCT((LEN(D4:D313)&gt;0)*1)</f>
        <v>TOTAL STUDENTS: 262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3"/>
    </row>
    <row r="316" ht="15.75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</row>
    <row r="317" ht="15.75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</row>
    <row r="318" ht="15.75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</row>
    <row r="319" ht="15.75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</row>
    <row r="320" ht="15.75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</row>
    <row r="321" ht="15.75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</row>
    <row r="322" ht="15.75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</row>
    <row r="323" ht="15.75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</row>
    <row r="324" ht="15.75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</row>
    <row r="325" ht="15.75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</row>
    <row r="326" ht="15.75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</row>
    <row r="327" ht="15.75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</row>
    <row r="328" ht="15.75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</row>
    <row r="329" ht="15.75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</row>
    <row r="330" ht="15.75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</row>
    <row r="331" ht="15.75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</row>
    <row r="332" ht="15.75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</row>
    <row r="333" ht="15.75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</row>
    <row r="334" ht="15.75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</row>
    <row r="335" ht="15.75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</row>
    <row r="336" ht="15.75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</row>
    <row r="337" ht="15.75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</row>
    <row r="338" ht="15.75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</row>
    <row r="339" ht="15.75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</row>
    <row r="340" ht="15.75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</row>
    <row r="341" ht="15.75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</row>
    <row r="342" ht="15.75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</row>
    <row r="343" ht="15.75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</row>
    <row r="344" ht="15.75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</row>
    <row r="345" ht="15.75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</row>
    <row r="346" ht="15.75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</row>
    <row r="347" ht="15.75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</row>
    <row r="348" ht="15.75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</row>
    <row r="349" ht="15.75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</row>
    <row r="350" ht="15.75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</row>
    <row r="351" ht="15.75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</row>
    <row r="352" ht="15.75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</row>
    <row r="353" ht="15.75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</row>
    <row r="354" ht="15.75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</row>
    <row r="355" ht="15.75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</row>
    <row r="356" ht="15.75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</row>
    <row r="357" ht="15.75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</row>
    <row r="358" ht="15.75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</row>
    <row r="359" ht="15.75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</row>
    <row r="360" ht="15.75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</row>
    <row r="361" ht="15.75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</row>
    <row r="362" ht="15.75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</row>
    <row r="363" ht="15.75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</row>
    <row r="364" ht="15.75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</row>
    <row r="365" ht="15.75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</row>
    <row r="366" ht="15.75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</row>
    <row r="367" ht="15.75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</row>
    <row r="368" ht="15.75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</row>
    <row r="369" ht="15.75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</row>
    <row r="370" ht="15.75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</row>
    <row r="371" ht="15.75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</row>
    <row r="372" ht="15.75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</row>
    <row r="373" ht="15.75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</row>
    <row r="374" ht="15.75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</row>
    <row r="375" ht="15.75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</row>
    <row r="376" ht="15.75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</row>
    <row r="377" ht="15.75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</row>
    <row r="378" ht="15.75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</row>
    <row r="379" ht="15.75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</row>
    <row r="380" ht="15.75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</row>
    <row r="381" ht="15.75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</row>
    <row r="382" ht="15.75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</row>
    <row r="383" ht="15.75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</row>
    <row r="384" ht="15.75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</row>
    <row r="385" ht="15.75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</row>
    <row r="386" ht="15.75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</row>
    <row r="387" ht="15.75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</row>
    <row r="388" ht="15.75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</row>
    <row r="389" ht="15.75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</row>
    <row r="390" ht="15.75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</row>
    <row r="391" ht="15.75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</row>
    <row r="392" ht="15.75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</row>
    <row r="393" ht="15.75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</row>
    <row r="394" ht="15.75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</row>
    <row r="395" ht="15.75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</row>
    <row r="396" ht="15.75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</row>
    <row r="397" ht="15.75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</row>
    <row r="398" ht="15.75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</row>
    <row r="399" ht="15.75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</row>
    <row r="400" ht="15.75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</row>
    <row r="401" ht="15.75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</row>
    <row r="402" ht="15.75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</row>
    <row r="403" ht="15.75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</row>
    <row r="404" ht="15.75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</row>
    <row r="405" ht="15.75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</row>
    <row r="406" ht="15.75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</row>
    <row r="407" ht="15.75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</row>
    <row r="408" ht="15.75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</row>
    <row r="409" ht="15.75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</row>
    <row r="410" ht="15.75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</row>
    <row r="411" ht="15.75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</row>
    <row r="412" ht="15.75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</row>
    <row r="413" ht="15.75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</row>
    <row r="414" ht="15.75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</row>
    <row r="415" ht="15.75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</row>
    <row r="416" ht="15.75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</row>
    <row r="417" ht="15.75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</row>
    <row r="418" ht="15.75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</row>
    <row r="419" ht="15.75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</row>
    <row r="420" ht="15.75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</row>
    <row r="421" ht="15.75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</row>
    <row r="422" ht="15.75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</row>
    <row r="423" ht="15.75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</row>
    <row r="424" ht="15.75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</row>
    <row r="425" ht="15.75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</row>
    <row r="426" ht="15.75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</row>
    <row r="427" ht="15.75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</row>
    <row r="428" ht="15.75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</row>
    <row r="429" ht="15.75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</row>
    <row r="430" ht="15.75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</row>
    <row r="431" ht="15.75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</row>
    <row r="432" ht="15.75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</row>
    <row r="433" ht="15.75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</row>
    <row r="434" ht="15.75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</row>
    <row r="435" ht="15.75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</row>
    <row r="436" ht="15.75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</row>
    <row r="437" ht="15.75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</row>
    <row r="438" ht="15.75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</row>
    <row r="439" ht="15.75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</row>
    <row r="440" ht="15.75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</row>
    <row r="441" ht="15.75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</row>
    <row r="442" ht="15.75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</row>
    <row r="443" ht="15.75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</row>
    <row r="444" ht="15.75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</row>
    <row r="445" ht="15.75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</row>
    <row r="446" ht="15.75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</row>
    <row r="447" ht="15.75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</row>
    <row r="448" ht="15.75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</row>
    <row r="449" ht="15.75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</row>
    <row r="450" ht="15.75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</row>
    <row r="451" ht="15.75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</row>
    <row r="452" ht="15.75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</row>
    <row r="453" ht="15.75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</row>
    <row r="454" ht="15.75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</row>
    <row r="455" ht="15.75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</row>
    <row r="456" ht="15.75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</row>
    <row r="457" ht="15.75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</row>
    <row r="458" ht="15.75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</row>
    <row r="459" ht="15.75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</row>
    <row r="460" ht="15.75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</row>
    <row r="461" ht="15.75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</row>
    <row r="462" ht="15.75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</row>
    <row r="463" ht="15.75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</row>
    <row r="464" ht="15.75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</row>
    <row r="465" ht="15.75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</row>
    <row r="466" ht="15.75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</row>
    <row r="467" ht="15.75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</row>
    <row r="468" ht="15.75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</row>
    <row r="469" ht="15.75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</row>
    <row r="470" ht="15.75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</row>
    <row r="471" ht="15.75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</row>
    <row r="472" ht="15.75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</row>
    <row r="473" ht="15.75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</row>
    <row r="474" ht="15.75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</row>
    <row r="475" ht="15.75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</row>
    <row r="476" ht="15.75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</row>
    <row r="477" ht="15.75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</row>
    <row r="478" ht="15.75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</row>
    <row r="479" ht="15.75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</row>
    <row r="480" ht="15.75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</row>
    <row r="481" ht="15.75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</row>
    <row r="482" ht="15.75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</row>
    <row r="483" ht="15.75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</row>
    <row r="484" ht="15.75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</row>
    <row r="485" ht="15.75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</row>
    <row r="486" ht="15.75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</row>
    <row r="487" ht="15.75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</row>
    <row r="488" ht="15.75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</row>
    <row r="489" ht="15.75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</row>
    <row r="490" ht="15.75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</row>
    <row r="491" ht="15.75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</row>
    <row r="492" ht="15.75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</row>
    <row r="493" ht="15.75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</row>
    <row r="494" ht="15.75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</row>
    <row r="495" ht="15.75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</row>
    <row r="496" ht="15.75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</row>
    <row r="497" ht="15.75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</row>
    <row r="498" ht="15.75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</row>
    <row r="499" ht="15.75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</row>
    <row r="500" ht="15.75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</row>
    <row r="501" ht="15.75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</row>
    <row r="502" ht="15.75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</row>
    <row r="503" ht="15.75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</row>
    <row r="504" ht="15.75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</row>
    <row r="505" ht="15.75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</row>
    <row r="506" ht="15.75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</row>
    <row r="507" ht="15.75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</row>
    <row r="508" ht="15.75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</row>
    <row r="509" ht="15.75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</row>
    <row r="510" ht="15.75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</row>
    <row r="511" ht="15.75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</row>
    <row r="512" ht="15.75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</row>
    <row r="513" ht="15.75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</row>
    <row r="514" ht="15.75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</row>
    <row r="515" ht="15.75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</row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L1"/>
    <mergeCell ref="A3:L3"/>
    <mergeCell ref="A78:L78"/>
    <mergeCell ref="A150:L150"/>
    <mergeCell ref="A192:L192"/>
    <mergeCell ref="A243:L243"/>
    <mergeCell ref="A290:L290"/>
    <mergeCell ref="A315:L31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5C38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14.0"/>
    <col customWidth="1" min="3" max="3" width="24.0"/>
    <col customWidth="1" min="4" max="4" width="18.0"/>
    <col customWidth="1" min="5" max="5" width="8.0"/>
    <col customWidth="1" min="6" max="6" width="13.0"/>
    <col customWidth="1" min="7" max="9" width="9.0"/>
    <col customWidth="1" min="10" max="10" width="12.0"/>
    <col customWidth="1" min="11" max="11" width="9.0"/>
    <col customWidth="1" min="12" max="12" width="16.0"/>
  </cols>
  <sheetData>
    <row r="1" ht="30.0" customHeight="1">
      <c r="A1" s="4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8.0" customHeight="1">
      <c r="A2" s="6" t="s">
        <v>10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ht="21.75" customHeight="1">
      <c r="A3" s="5" t="s">
        <v>3</v>
      </c>
      <c r="B3" s="5" t="s">
        <v>4</v>
      </c>
      <c r="C3" s="5" t="s">
        <v>17</v>
      </c>
      <c r="D3" s="5" t="s">
        <v>7</v>
      </c>
      <c r="E3" s="5" t="s">
        <v>8</v>
      </c>
      <c r="F3" s="5" t="s">
        <v>9</v>
      </c>
      <c r="G3" s="5" t="s">
        <v>19</v>
      </c>
      <c r="H3" s="5" t="s">
        <v>21</v>
      </c>
      <c r="I3" s="5" t="s">
        <v>25</v>
      </c>
      <c r="J3" s="5" t="s">
        <v>14</v>
      </c>
      <c r="K3" s="5" t="s">
        <v>27</v>
      </c>
      <c r="L3" s="5" t="s">
        <v>28</v>
      </c>
    </row>
    <row r="4" ht="19.5" customHeight="1">
      <c r="A4" s="8" t="str">
        <f>"▶  Gulberg  — "&amp;SUMPRODUCT((LEN(C5:C19)&gt;0)*1)&amp;" Murabbis"</f>
        <v>▶  Gulberg  — 15 Murabbis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</row>
    <row r="5" ht="19.5" customHeight="1">
      <c r="A5" s="21">
        <v>1.0</v>
      </c>
      <c r="B5" s="21" t="s">
        <v>18</v>
      </c>
      <c r="C5" s="25" t="str">
        <f>Gulberg!B9</f>
        <v>Hasnain Zafar</v>
      </c>
      <c r="D5" s="27" t="str">
        <f>Gulberg!C9</f>
        <v>'+923060221997</v>
      </c>
      <c r="E5" s="21" t="str">
        <f>IF(Gulberg!C9&lt;&gt;"",HYPERLINK("tel:"&amp;SUBSTITUTE(SUBSTITUTE(Gulberg!C9,"+","+")," ",""),"📞"),"")</f>
        <v>📞</v>
      </c>
      <c r="F5" s="29" t="str">
        <f>IF(Gulberg!C9&lt;&gt;"",HYPERLINK("https://wa.me/"&amp;SUBSTITUTE(SUBSTITUTE(Gulberg!C9,"+","")," ",""),"💬"),"")</f>
        <v>💬</v>
      </c>
      <c r="G5" s="21">
        <f>Gulberg!CE9</f>
        <v>18</v>
      </c>
      <c r="H5" s="21">
        <f>Gulberg!CF9</f>
        <v>0</v>
      </c>
      <c r="I5" s="21">
        <f>Gulberg!CG9</f>
        <v>0</v>
      </c>
      <c r="J5" s="21" t="str">
        <f>Gulberg!CH9</f>
        <v>100%</v>
      </c>
      <c r="K5" s="21">
        <f>COUNTA(Gulberg!I9:CD9)-COUNTIF(Gulberg!I9:CD9,"OFF")</f>
        <v>72</v>
      </c>
      <c r="L5" s="21" t="str">
        <f t="shared" ref="L5:L16" si="1">IF(G5+H5=0,"No Data",IF(G5/(G5+H5)&gt;=0.9,"✅ Excellent",IF(G5/(G5+H5)&gt;=0.75,"🟡 Good",IF(G5/(G5+H5)&gt;=0.6,"🟠 Average","🔴 Low"))))</f>
        <v>✅ Excellent</v>
      </c>
    </row>
    <row r="6" ht="19.5" customHeight="1">
      <c r="A6" s="34">
        <v>2.0</v>
      </c>
      <c r="B6" s="34" t="s">
        <v>18</v>
      </c>
      <c r="C6" s="35" t="str">
        <f>Gulberg!B10</f>
        <v>Hanzala Tauseef</v>
      </c>
      <c r="D6" s="37" t="str">
        <f>Gulberg!C10</f>
        <v>'+923047178171</v>
      </c>
      <c r="E6" s="34" t="str">
        <f>IF(Gulberg!C10&lt;&gt;"",HYPERLINK("tel:"&amp;SUBSTITUTE(SUBSTITUTE(Gulberg!C10,"+","+")," ",""),"📞"),"")</f>
        <v>📞</v>
      </c>
      <c r="F6" s="40" t="str">
        <f>IF(Gulberg!C10&lt;&gt;"",HYPERLINK("https://wa.me/"&amp;SUBSTITUTE(SUBSTITUTE(Gulberg!C10,"+","")," ",""),"💬"),"")</f>
        <v>💬</v>
      </c>
      <c r="G6" s="34">
        <f>Gulberg!CE10</f>
        <v>18</v>
      </c>
      <c r="H6" s="34">
        <f>Gulberg!CF10</f>
        <v>0</v>
      </c>
      <c r="I6" s="34">
        <f>Gulberg!CG10</f>
        <v>0</v>
      </c>
      <c r="J6" s="34" t="str">
        <f>Gulberg!CH10</f>
        <v>100%</v>
      </c>
      <c r="K6" s="34">
        <f>COUNTA(Gulberg!I10:CD10)-COUNTIF(Gulberg!I10:CD10,"OFF")</f>
        <v>72</v>
      </c>
      <c r="L6" s="34" t="str">
        <f t="shared" si="1"/>
        <v>✅ Excellent</v>
      </c>
    </row>
    <row r="7" ht="19.5" customHeight="1">
      <c r="A7" s="21">
        <v>3.0</v>
      </c>
      <c r="B7" s="21" t="s">
        <v>18</v>
      </c>
      <c r="C7" s="25" t="str">
        <f>Gulberg!B11</f>
        <v>Ikram Meer</v>
      </c>
      <c r="D7" s="27" t="str">
        <f>Gulberg!C11</f>
        <v>'+923364543324</v>
      </c>
      <c r="E7" s="21" t="str">
        <f>IF(Gulberg!C11&lt;&gt;"",HYPERLINK("tel:"&amp;SUBSTITUTE(SUBSTITUTE(Gulberg!C11,"+","+")," ",""),"📞"),"")</f>
        <v>📞</v>
      </c>
      <c r="F7" s="29" t="str">
        <f>IF(Gulberg!C11&lt;&gt;"",HYPERLINK("https://wa.me/"&amp;SUBSTITUTE(SUBSTITUTE(Gulberg!C11,"+","")," ",""),"💬"),"")</f>
        <v>💬</v>
      </c>
      <c r="G7" s="21">
        <f>Gulberg!CE11</f>
        <v>18</v>
      </c>
      <c r="H7" s="21">
        <f>Gulberg!CF11</f>
        <v>0</v>
      </c>
      <c r="I7" s="21">
        <f>Gulberg!CG11</f>
        <v>0</v>
      </c>
      <c r="J7" s="21" t="str">
        <f>Gulberg!CH11</f>
        <v>100%</v>
      </c>
      <c r="K7" s="21">
        <f>COUNTA(Gulberg!I11:CD11)-COUNTIF(Gulberg!I11:CD11,"OFF")</f>
        <v>72</v>
      </c>
      <c r="L7" s="21" t="str">
        <f t="shared" si="1"/>
        <v>✅ Excellent</v>
      </c>
    </row>
    <row r="8" ht="19.5" customHeight="1">
      <c r="A8" s="34">
        <v>4.0</v>
      </c>
      <c r="B8" s="34" t="s">
        <v>18</v>
      </c>
      <c r="C8" s="35" t="str">
        <f>Gulberg!B12</f>
        <v>Imran Amin</v>
      </c>
      <c r="D8" s="37" t="str">
        <f>Gulberg!C12</f>
        <v>'+923294368993</v>
      </c>
      <c r="E8" s="34" t="str">
        <f>IF(Gulberg!C12&lt;&gt;"",HYPERLINK("tel:"&amp;SUBSTITUTE(SUBSTITUTE(Gulberg!C12,"+","+")," ",""),"📞"),"")</f>
        <v>📞</v>
      </c>
      <c r="F8" s="40" t="str">
        <f>IF(Gulberg!C12&lt;&gt;"",HYPERLINK("https://wa.me/"&amp;SUBSTITUTE(SUBSTITUTE(Gulberg!C12,"+","")," ",""),"💬"),"")</f>
        <v>💬</v>
      </c>
      <c r="G8" s="34">
        <f>Gulberg!CE12</f>
        <v>17</v>
      </c>
      <c r="H8" s="34">
        <f>Gulberg!CF12</f>
        <v>1</v>
      </c>
      <c r="I8" s="34">
        <f>Gulberg!CG12</f>
        <v>0</v>
      </c>
      <c r="J8" s="34" t="str">
        <f>Gulberg!CH12</f>
        <v>94%</v>
      </c>
      <c r="K8" s="34">
        <f>COUNTA(Gulberg!I12:CD12)-COUNTIF(Gulberg!I12:CD12,"OFF")</f>
        <v>72</v>
      </c>
      <c r="L8" s="34" t="str">
        <f t="shared" si="1"/>
        <v>✅ Excellent</v>
      </c>
    </row>
    <row r="9" ht="19.5" customHeight="1">
      <c r="A9" s="21">
        <v>5.0</v>
      </c>
      <c r="B9" s="21" t="s">
        <v>18</v>
      </c>
      <c r="C9" s="25" t="str">
        <f>Gulberg!B13</f>
        <v>Hammad Raza</v>
      </c>
      <c r="D9" s="27" t="str">
        <f>Gulberg!C13</f>
        <v>'+923220774124</v>
      </c>
      <c r="E9" s="21" t="str">
        <f>IF(Gulberg!C13&lt;&gt;"",HYPERLINK("tel:"&amp;SUBSTITUTE(SUBSTITUTE(Gulberg!C13,"+","+")," ",""),"📞"),"")</f>
        <v>📞</v>
      </c>
      <c r="F9" s="29" t="str">
        <f>IF(Gulberg!C13&lt;&gt;"",HYPERLINK("https://wa.me/"&amp;SUBSTITUTE(SUBSTITUTE(Gulberg!C13,"+","")," ",""),"💬"),"")</f>
        <v>💬</v>
      </c>
      <c r="G9" s="21">
        <f>Gulberg!CE13</f>
        <v>18</v>
      </c>
      <c r="H9" s="21">
        <f>Gulberg!CF13</f>
        <v>0</v>
      </c>
      <c r="I9" s="21">
        <f>Gulberg!CG13</f>
        <v>0</v>
      </c>
      <c r="J9" s="21" t="str">
        <f>Gulberg!CH13</f>
        <v>100%</v>
      </c>
      <c r="K9" s="21">
        <f>COUNTA(Gulberg!I13:CD13)-COUNTIF(Gulberg!I13:CD13,"OFF")</f>
        <v>72</v>
      </c>
      <c r="L9" s="21" t="str">
        <f t="shared" si="1"/>
        <v>✅ Excellent</v>
      </c>
    </row>
    <row r="10" ht="19.5" customHeight="1">
      <c r="A10" s="34">
        <v>6.0</v>
      </c>
      <c r="B10" s="34" t="s">
        <v>18</v>
      </c>
      <c r="C10" s="35" t="str">
        <f>Gulberg!B14</f>
        <v>Basit Ahsan</v>
      </c>
      <c r="D10" s="37" t="str">
        <f>Gulberg!C14</f>
        <v>'+923226720331</v>
      </c>
      <c r="E10" s="34" t="str">
        <f>IF(Gulberg!C14&lt;&gt;"",HYPERLINK("tel:"&amp;SUBSTITUTE(SUBSTITUTE(Gulberg!C14,"+","+")," ",""),"📞"),"")</f>
        <v>📞</v>
      </c>
      <c r="F10" s="40" t="str">
        <f>IF(Gulberg!C14&lt;&gt;"",HYPERLINK("https://wa.me/"&amp;SUBSTITUTE(SUBSTITUTE(Gulberg!C14,"+","")," ",""),"💬"),"")</f>
        <v>💬</v>
      </c>
      <c r="G10" s="34">
        <f>Gulberg!CE14</f>
        <v>18</v>
      </c>
      <c r="H10" s="34">
        <f>Gulberg!CF14</f>
        <v>0</v>
      </c>
      <c r="I10" s="34">
        <f>Gulberg!CG14</f>
        <v>0</v>
      </c>
      <c r="J10" s="34" t="str">
        <f>Gulberg!CH14</f>
        <v>100%</v>
      </c>
      <c r="K10" s="34">
        <f>COUNTA(Gulberg!I14:CD14)-COUNTIF(Gulberg!I14:CD14,"OFF")</f>
        <v>72</v>
      </c>
      <c r="L10" s="34" t="str">
        <f t="shared" si="1"/>
        <v>✅ Excellent</v>
      </c>
    </row>
    <row r="11" ht="19.5" customHeight="1">
      <c r="A11" s="21">
        <v>7.0</v>
      </c>
      <c r="B11" s="21" t="s">
        <v>18</v>
      </c>
      <c r="C11" s="25" t="str">
        <f>Gulberg!B15</f>
        <v>Abdul Kabeer</v>
      </c>
      <c r="D11" s="27" t="str">
        <f>Gulberg!C15</f>
        <v>'+923244190830</v>
      </c>
      <c r="E11" s="21" t="str">
        <f>IF(Gulberg!C15&lt;&gt;"",HYPERLINK("tel:"&amp;SUBSTITUTE(SUBSTITUTE(Gulberg!C15,"+","+")," ",""),"📞"),"")</f>
        <v>📞</v>
      </c>
      <c r="F11" s="29" t="str">
        <f>IF(Gulberg!C15&lt;&gt;"",HYPERLINK("https://wa.me/"&amp;SUBSTITUTE(SUBSTITUTE(Gulberg!C15,"+","")," ",""),"💬"),"")</f>
        <v>💬</v>
      </c>
      <c r="G11" s="21">
        <f>Gulberg!CE15</f>
        <v>15</v>
      </c>
      <c r="H11" s="21">
        <f>Gulberg!CF15</f>
        <v>1</v>
      </c>
      <c r="I11" s="21">
        <f>Gulberg!CG15</f>
        <v>2</v>
      </c>
      <c r="J11" s="21" t="str">
        <f>Gulberg!CH15</f>
        <v>94%</v>
      </c>
      <c r="K11" s="21">
        <f>COUNTA(Gulberg!I15:CD15)-COUNTIF(Gulberg!I15:CD15,"OFF")</f>
        <v>72</v>
      </c>
      <c r="L11" s="21" t="str">
        <f t="shared" si="1"/>
        <v>✅ Excellent</v>
      </c>
    </row>
    <row r="12" ht="19.5" customHeight="1">
      <c r="A12" s="34">
        <v>8.0</v>
      </c>
      <c r="B12" s="34" t="s">
        <v>18</v>
      </c>
      <c r="C12" s="35" t="str">
        <f>Gulberg!B16</f>
        <v>Abdul Rehman Munir</v>
      </c>
      <c r="D12" s="37" t="str">
        <f>Gulberg!C16</f>
        <v>'+923080114534</v>
      </c>
      <c r="E12" s="34" t="str">
        <f>IF(Gulberg!C16&lt;&gt;"",HYPERLINK("tel:"&amp;SUBSTITUTE(SUBSTITUTE(Gulberg!C16,"+","+")," ",""),"📞"),"")</f>
        <v>📞</v>
      </c>
      <c r="F12" s="40" t="str">
        <f>IF(Gulberg!C16&lt;&gt;"",HYPERLINK("https://wa.me/"&amp;SUBSTITUTE(SUBSTITUTE(Gulberg!C16,"+","")," ",""),"💬"),"")</f>
        <v>💬</v>
      </c>
      <c r="G12" s="34">
        <f>Gulberg!CE16</f>
        <v>16</v>
      </c>
      <c r="H12" s="34">
        <f>Gulberg!CF16</f>
        <v>0</v>
      </c>
      <c r="I12" s="34">
        <f>Gulberg!CG16</f>
        <v>2</v>
      </c>
      <c r="J12" s="34" t="str">
        <f>Gulberg!CH16</f>
        <v>100%</v>
      </c>
      <c r="K12" s="34">
        <f>COUNTA(Gulberg!I16:CD16)-COUNTIF(Gulberg!I16:CD16,"OFF")</f>
        <v>72</v>
      </c>
      <c r="L12" s="34" t="str">
        <f t="shared" si="1"/>
        <v>✅ Excellent</v>
      </c>
    </row>
    <row r="13" ht="19.5" customHeight="1">
      <c r="A13" s="21">
        <v>9.0</v>
      </c>
      <c r="B13" s="21" t="s">
        <v>18</v>
      </c>
      <c r="C13" s="25" t="str">
        <f>Gulberg!B17</f>
        <v>Haseeb Ahmad</v>
      </c>
      <c r="D13" s="27" t="str">
        <f>Gulberg!C17</f>
        <v>'+923114322095</v>
      </c>
      <c r="E13" s="21" t="str">
        <f>IF(Gulberg!C17&lt;&gt;"",HYPERLINK("tel:"&amp;SUBSTITUTE(SUBSTITUTE(Gulberg!C17,"+","+")," ",""),"📞"),"")</f>
        <v>📞</v>
      </c>
      <c r="F13" s="29" t="str">
        <f>IF(Gulberg!C17&lt;&gt;"",HYPERLINK("https://wa.me/"&amp;SUBSTITUTE(SUBSTITUTE(Gulberg!C17,"+","")," ",""),"💬"),"")</f>
        <v>💬</v>
      </c>
      <c r="G13" s="21">
        <f>Gulberg!CE17</f>
        <v>13</v>
      </c>
      <c r="H13" s="21">
        <f>Gulberg!CF17</f>
        <v>3</v>
      </c>
      <c r="I13" s="21">
        <f>Gulberg!CG17</f>
        <v>2</v>
      </c>
      <c r="J13" s="21" t="str">
        <f>Gulberg!CH17</f>
        <v>81%</v>
      </c>
      <c r="K13" s="21">
        <f>COUNTA(Gulberg!I17:CD17)-COUNTIF(Gulberg!I17:CD17,"OFF")</f>
        <v>72</v>
      </c>
      <c r="L13" s="21" t="str">
        <f t="shared" si="1"/>
        <v>🟡 Good</v>
      </c>
    </row>
    <row r="14" ht="19.5" customHeight="1">
      <c r="A14" s="34">
        <v>10.0</v>
      </c>
      <c r="B14" s="34" t="s">
        <v>18</v>
      </c>
      <c r="C14" s="35" t="str">
        <f>Gulberg!B18</f>
        <v>Abu Hurairah</v>
      </c>
      <c r="D14" s="37" t="str">
        <f>Gulberg!C18</f>
        <v/>
      </c>
      <c r="E14" s="34" t="str">
        <f>IF(Gulberg!C18&lt;&gt;"",HYPERLINK("tel:"&amp;SUBSTITUTE(SUBSTITUTE(Gulberg!C18,"+","+")," ",""),"📞"),"")</f>
        <v/>
      </c>
      <c r="F14" s="34" t="str">
        <f>IF(Gulberg!C18&lt;&gt;"",HYPERLINK("https://wa.me/"&amp;SUBSTITUTE(SUBSTITUTE(Gulberg!C18,"+","")," ",""),"💬"),"")</f>
        <v/>
      </c>
      <c r="G14" s="34">
        <f>Gulberg!CE18</f>
        <v>18</v>
      </c>
      <c r="H14" s="34">
        <f>Gulberg!CF18</f>
        <v>0</v>
      </c>
      <c r="I14" s="34">
        <f>Gulberg!CG18</f>
        <v>0</v>
      </c>
      <c r="J14" s="34" t="str">
        <f>Gulberg!CH18</f>
        <v>100%</v>
      </c>
      <c r="K14" s="34">
        <f>COUNTA(Gulberg!I18:CD18)-COUNTIF(Gulberg!I18:CD18,"OFF")</f>
        <v>72</v>
      </c>
      <c r="L14" s="34" t="str">
        <f t="shared" si="1"/>
        <v>✅ Excellent</v>
      </c>
    </row>
    <row r="15" ht="19.5" customHeight="1">
      <c r="A15" s="21">
        <v>11.0</v>
      </c>
      <c r="B15" s="21" t="s">
        <v>18</v>
      </c>
      <c r="C15" s="25" t="str">
        <f>Gulberg!B19</f>
        <v>Abdullah Saif</v>
      </c>
      <c r="D15" s="27" t="str">
        <f>Gulberg!C19</f>
        <v>'+923104362545</v>
      </c>
      <c r="E15" s="21" t="str">
        <f>IF(Gulberg!C19&lt;&gt;"",HYPERLINK("tel:"&amp;SUBSTITUTE(SUBSTITUTE(Gulberg!C19,"+","+")," ",""),"📞"),"")</f>
        <v>📞</v>
      </c>
      <c r="F15" s="29" t="str">
        <f>IF(Gulberg!C19&lt;&gt;"",HYPERLINK("https://wa.me/"&amp;SUBSTITUTE(SUBSTITUTE(Gulberg!C19,"+","")," ",""),"💬"),"")</f>
        <v>💬</v>
      </c>
      <c r="G15" s="21">
        <f>Gulberg!CE19</f>
        <v>8</v>
      </c>
      <c r="H15" s="21">
        <f>Gulberg!CF19</f>
        <v>5</v>
      </c>
      <c r="I15" s="21">
        <f>Gulberg!CG19</f>
        <v>5</v>
      </c>
      <c r="J15" s="21" t="str">
        <f>Gulberg!CH19</f>
        <v>62%</v>
      </c>
      <c r="K15" s="21">
        <f>COUNTA(Gulberg!I19:CD19)-COUNTIF(Gulberg!I19:CD19,"OFF")</f>
        <v>72</v>
      </c>
      <c r="L15" s="21" t="str">
        <f t="shared" si="1"/>
        <v>🟠 Average</v>
      </c>
    </row>
    <row r="16" ht="19.5" customHeight="1">
      <c r="A16" s="34">
        <v>12.0</v>
      </c>
      <c r="B16" s="34" t="s">
        <v>18</v>
      </c>
      <c r="C16" s="35" t="str">
        <f>Gulberg!B20</f>
        <v>Ameer Hamza</v>
      </c>
      <c r="D16" s="37" t="str">
        <f>Gulberg!C20</f>
        <v>+92 324 7197841</v>
      </c>
      <c r="E16" s="34" t="str">
        <f>IF(Gulberg!C20&lt;&gt;"",HYPERLINK("tel:"&amp;SUBSTITUTE(SUBSTITUTE(Gulberg!C20,"+","+")," ",""),"📞"),"")</f>
        <v>📞</v>
      </c>
      <c r="F16" s="62" t="str">
        <f>IF(Gulberg!C20&lt;&gt;"",HYPERLINK("https://wa.me/"&amp;SUBSTITUTE(SUBSTITUTE(Gulberg!C20,"+","")," ",""),"💬"),"")</f>
        <v>💬</v>
      </c>
      <c r="G16" s="34">
        <f>Gulberg!CE20</f>
        <v>8</v>
      </c>
      <c r="H16" s="34">
        <f>Gulberg!CF20</f>
        <v>1</v>
      </c>
      <c r="I16" s="34">
        <f>Gulberg!CG20</f>
        <v>1</v>
      </c>
      <c r="J16" s="34" t="str">
        <f>Gulberg!CH20</f>
        <v>89%</v>
      </c>
      <c r="K16" s="34">
        <f>COUNTA(Gulberg!I20:CD20)-COUNTIF(Gulberg!I20:CD20,"OFF")</f>
        <v>73</v>
      </c>
      <c r="L16" s="34" t="str">
        <f t="shared" si="1"/>
        <v>🟡 Good</v>
      </c>
    </row>
    <row r="17" ht="19.5" customHeight="1">
      <c r="A17" s="63">
        <f>IF(Gulberg!B21&lt;&gt;"",13,"")</f>
        <v>13</v>
      </c>
      <c r="B17" s="63" t="str">
        <f>IF(Gulberg!B21&lt;&gt;"","Gulberg","")</f>
        <v>Gulberg</v>
      </c>
      <c r="C17" s="65" t="str">
        <f>IF(Gulberg!B21&lt;&gt;"",Gulberg!B21,"")</f>
        <v>Alman</v>
      </c>
      <c r="D17" s="63" t="str">
        <f>IF(Gulberg!B21&lt;&gt;"",Gulberg!C21,"")</f>
        <v>+92 314 7364357</v>
      </c>
      <c r="E17" s="63" t="str">
        <f>IF(Gulberg!B21&lt;&gt;"",HYPERLINK("tel:"&amp;SUBSTITUTE(SUBSTITUTE(Gulberg!C21,"+","+")," ",""),"📞"),"")</f>
        <v>📞</v>
      </c>
      <c r="F17" s="66" t="str">
        <f>IF(Gulberg!B21&lt;&gt;"",HYPERLINK("https://wa.me/"&amp;SUBSTITUTE(SUBSTITUTE(Gulberg!C21,"+","")," ",""),"💬"),"")</f>
        <v>💬</v>
      </c>
      <c r="G17" s="63">
        <f>IF(Gulberg!B21&lt;&gt;"",Gulberg!CE21,"")</f>
        <v>1</v>
      </c>
      <c r="H17" s="63">
        <f>IF(Gulberg!B21&lt;&gt;"",Gulberg!CF21,"")</f>
        <v>1</v>
      </c>
      <c r="I17" s="63">
        <f>IF(Gulberg!B21&lt;&gt;"",Gulberg!CG21,"")</f>
        <v>0</v>
      </c>
      <c r="J17" s="63" t="str">
        <f>IF(Gulberg!B21&lt;&gt;"",Gulberg!CH21,"")</f>
        <v>50%</v>
      </c>
      <c r="K17" s="63">
        <f>IF(Gulberg!B21&lt;&gt;"",COUNTA(Gulberg!I21:CD21)-COUNTIF(Gulberg!I21:CD21,"OFF"),"")</f>
        <v>73</v>
      </c>
      <c r="L17" s="63" t="str">
        <f>IF(Gulberg!B21="","",IF(G17+H17=0,"No Data",IF(G17/(G17+H17)&gt;=0.9,"✅ Excellent",IF(G17/(G17+H17)&gt;=0.75,"🟡 Good",IF(G17/(G17+H17)&gt;=0.6,"🟠 Average","🔴 Low")))))</f>
        <v>🔴 Low</v>
      </c>
    </row>
    <row r="18" ht="19.5" customHeight="1">
      <c r="A18" s="63">
        <f>IF(Gulberg!B22&lt;&gt;"",14,"")</f>
        <v>14</v>
      </c>
      <c r="B18" s="63" t="str">
        <f>IF(Gulberg!B22&lt;&gt;"","Gulberg","")</f>
        <v>Gulberg</v>
      </c>
      <c r="C18" s="65" t="str">
        <f>IF(Gulberg!B22&lt;&gt;"",Gulberg!B22,"")</f>
        <v>Suhaib</v>
      </c>
      <c r="D18" s="63" t="str">
        <f>IF(Gulberg!B22&lt;&gt;"",Gulberg!C22,"")</f>
        <v/>
      </c>
      <c r="E18" s="63" t="str">
        <f>IF(Gulberg!B22&lt;&gt;"",HYPERLINK("tel:"&amp;SUBSTITUTE(SUBSTITUTE(Gulberg!C22,"+","+")," ",""),"📞"),"")</f>
        <v>📞</v>
      </c>
      <c r="F18" s="66" t="str">
        <f>IF(Gulberg!B22&lt;&gt;"",HYPERLINK("https://wa.me/"&amp;SUBSTITUTE(SUBSTITUTE(Gulberg!C22,"+","")," ",""),"💬"),"")</f>
        <v>💬</v>
      </c>
      <c r="G18" s="63">
        <f>IF(Gulberg!B22&lt;&gt;"",Gulberg!CE22,"")</f>
        <v>1</v>
      </c>
      <c r="H18" s="63">
        <f>IF(Gulberg!B22&lt;&gt;"",Gulberg!CF22,"")</f>
        <v>1</v>
      </c>
      <c r="I18" s="63">
        <f>IF(Gulberg!B22&lt;&gt;"",Gulberg!CG22,"")</f>
        <v>0</v>
      </c>
      <c r="J18" s="63" t="str">
        <f>IF(Gulberg!B22&lt;&gt;"",Gulberg!CH22,"")</f>
        <v>50%</v>
      </c>
      <c r="K18" s="63">
        <f>IF(Gulberg!B22&lt;&gt;"",COUNTA(Gulberg!I22:CD22)-COUNTIF(Gulberg!I22:CD22,"OFF"),"")</f>
        <v>73</v>
      </c>
      <c r="L18" s="63" t="str">
        <f>IF(Gulberg!B22="","",IF(G18+H18=0,"No Data",IF(G18/(G18+H18)&gt;=0.9,"✅ Excellent",IF(G18/(G18+H18)&gt;=0.75,"🟡 Good",IF(G18/(G18+H18)&gt;=0.6,"🟠 Average","🔴 Low")))))</f>
        <v>🔴 Low</v>
      </c>
    </row>
    <row r="19" ht="19.5" customHeight="1">
      <c r="A19" s="63">
        <f>IF(Gulberg!B23&lt;&gt;"",15,"")</f>
        <v>15</v>
      </c>
      <c r="B19" s="63" t="str">
        <f>IF(Gulberg!B23&lt;&gt;"","Gulberg","")</f>
        <v>Gulberg</v>
      </c>
      <c r="C19" s="65" t="str">
        <f>IF(Gulberg!B23&lt;&gt;"",Gulberg!B23,"")</f>
        <v>Nauman Imtiaz</v>
      </c>
      <c r="D19" s="63" t="str">
        <f>IF(Gulberg!B23&lt;&gt;"",Gulberg!C23,"")</f>
        <v>+92 333 4115355</v>
      </c>
      <c r="E19" s="63" t="str">
        <f>IF(Gulberg!B23&lt;&gt;"",HYPERLINK("tel:"&amp;SUBSTITUTE(SUBSTITUTE(Gulberg!C23,"+","+")," ",""),"📞"),"")</f>
        <v>📞</v>
      </c>
      <c r="F19" s="66" t="str">
        <f>IF(Gulberg!B23&lt;&gt;"",HYPERLINK("https://wa.me/"&amp;SUBSTITUTE(SUBSTITUTE(Gulberg!C23,"+","")," ",""),"💬"),"")</f>
        <v>💬</v>
      </c>
      <c r="G19" s="63">
        <f>IF(Gulberg!B23&lt;&gt;"",Gulberg!CE23,"")</f>
        <v>2</v>
      </c>
      <c r="H19" s="63">
        <f>IF(Gulberg!B23&lt;&gt;"",Gulberg!CF23,"")</f>
        <v>0</v>
      </c>
      <c r="I19" s="63">
        <f>IF(Gulberg!B23&lt;&gt;"",Gulberg!CG23,"")</f>
        <v>0</v>
      </c>
      <c r="J19" s="63" t="str">
        <f>IF(Gulberg!B23&lt;&gt;"",Gulberg!CH23,"")</f>
        <v>100%</v>
      </c>
      <c r="K19" s="63">
        <f>IF(Gulberg!B23&lt;&gt;"",COUNTA(Gulberg!I23:CD23)-COUNTIF(Gulberg!I23:CD23,"OFF"),"")</f>
        <v>73</v>
      </c>
      <c r="L19" s="63" t="str">
        <f>IF(Gulberg!B23="","",IF(G19+H19=0,"No Data",IF(G19/(G19+H19)&gt;=0.9,"✅ Excellent",IF(G19/(G19+H19)&gt;=0.75,"🟡 Good",IF(G19/(G19+H19)&gt;=0.6,"🟠 Average","🔴 Low")))))</f>
        <v>✅ Excellent</v>
      </c>
    </row>
    <row r="20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</row>
    <row r="21" ht="19.5" customHeight="1">
      <c r="A21" s="8" t="str">
        <f>"▶  Gulshan Iqbal  — "&amp;SUMPRODUCT((LEN(C22:C31)&gt;0)*1)&amp;" Murabbis"</f>
        <v>▶  Gulshan Iqbal  — 9 Murabbis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3"/>
    </row>
    <row r="22" ht="19.5" customHeight="1">
      <c r="A22" s="21">
        <v>13.0</v>
      </c>
      <c r="B22" s="21" t="s">
        <v>20</v>
      </c>
      <c r="C22" s="25" t="str">
        <f>Gulshan_Iqbal!B9</f>
        <v>Danish Qureshi</v>
      </c>
      <c r="D22" s="27" t="str">
        <f>Gulshan_Iqbal!C9</f>
        <v/>
      </c>
      <c r="E22" s="21" t="str">
        <f>IF(Gulshan_Iqbal!C9&lt;&gt;"",HYPERLINK("tel:"&amp;SUBSTITUTE(SUBSTITUTE(Gulshan_Iqbal!C9,"+","+")," ",""),"📞"),"")</f>
        <v/>
      </c>
      <c r="F22" s="21" t="str">
        <f>IF(Gulshan_Iqbal!C9&lt;&gt;"",HYPERLINK("https://wa.me/"&amp;SUBSTITUTE(SUBSTITUTE(Gulshan_Iqbal!C9,"+","")," ",""),"💬"),"")</f>
        <v/>
      </c>
      <c r="G22" s="21">
        <f>Gulshan_Iqbal!CE9</f>
        <v>16</v>
      </c>
      <c r="H22" s="21">
        <f>Gulshan_Iqbal!CF9</f>
        <v>0</v>
      </c>
      <c r="I22" s="21">
        <f>Gulshan_Iqbal!CG9</f>
        <v>0</v>
      </c>
      <c r="J22" s="21" t="str">
        <f>Gulshan_Iqbal!CH9</f>
        <v>100%</v>
      </c>
      <c r="K22" s="21">
        <f>COUNTA(Gulshan_Iqbal!I9:CD9)-COUNTIF(Gulshan_Iqbal!I9:CD9,"OFF")</f>
        <v>72</v>
      </c>
      <c r="L22" s="21" t="str">
        <f t="shared" ref="L22:L28" si="2">IF(G22+H22=0,"No Data",IF(G22/(G22+H22)&gt;=0.9,"✅ Excellent",IF(G22/(G22+H22)&gt;=0.75,"🟡 Good",IF(G22/(G22+H22)&gt;=0.6,"🟠 Average","🔴 Low"))))</f>
        <v>✅ Excellent</v>
      </c>
    </row>
    <row r="23" ht="19.5" customHeight="1">
      <c r="A23" s="34">
        <v>14.0</v>
      </c>
      <c r="B23" s="34" t="s">
        <v>20</v>
      </c>
      <c r="C23" s="35" t="str">
        <f>Gulshan_Iqbal!B10</f>
        <v>Faizan Ibrahim</v>
      </c>
      <c r="D23" s="37" t="str">
        <f>Gulshan_Iqbal!C10</f>
        <v/>
      </c>
      <c r="E23" s="34" t="str">
        <f>IF(Gulshan_Iqbal!C10&lt;&gt;"",HYPERLINK("tel:"&amp;SUBSTITUTE(SUBSTITUTE(Gulshan_Iqbal!C10,"+","+")," ",""),"📞"),"")</f>
        <v/>
      </c>
      <c r="F23" s="34" t="str">
        <f>IF(Gulshan_Iqbal!C10&lt;&gt;"",HYPERLINK("https://wa.me/"&amp;SUBSTITUTE(SUBSTITUTE(Gulshan_Iqbal!C10,"+","")," ",""),"💬"),"")</f>
        <v/>
      </c>
      <c r="G23" s="34">
        <f>Gulshan_Iqbal!CE10</f>
        <v>15</v>
      </c>
      <c r="H23" s="34">
        <f>Gulshan_Iqbal!CF10</f>
        <v>0</v>
      </c>
      <c r="I23" s="34">
        <f>Gulshan_Iqbal!CG10</f>
        <v>1</v>
      </c>
      <c r="J23" s="34" t="str">
        <f>Gulshan_Iqbal!CH10</f>
        <v>100%</v>
      </c>
      <c r="K23" s="34">
        <f>COUNTA(Gulshan_Iqbal!I10:CD10)-COUNTIF(Gulshan_Iqbal!I10:CD10,"OFF")</f>
        <v>72</v>
      </c>
      <c r="L23" s="34" t="str">
        <f t="shared" si="2"/>
        <v>✅ Excellent</v>
      </c>
    </row>
    <row r="24" ht="19.5" customHeight="1">
      <c r="A24" s="21">
        <v>15.0</v>
      </c>
      <c r="B24" s="21" t="s">
        <v>20</v>
      </c>
      <c r="C24" s="25" t="str">
        <f>Gulshan_Iqbal!B11</f>
        <v>Hamza Mehmood</v>
      </c>
      <c r="D24" s="27" t="str">
        <f>Gulshan_Iqbal!C11</f>
        <v/>
      </c>
      <c r="E24" s="21" t="str">
        <f>IF(Gulshan_Iqbal!C11&lt;&gt;"",HYPERLINK("tel:"&amp;SUBSTITUTE(SUBSTITUTE(Gulshan_Iqbal!C11,"+","+")," ",""),"📞"),"")</f>
        <v/>
      </c>
      <c r="F24" s="21" t="str">
        <f>IF(Gulshan_Iqbal!C11&lt;&gt;"",HYPERLINK("https://wa.me/"&amp;SUBSTITUTE(SUBSTITUTE(Gulshan_Iqbal!C11,"+","")," ",""),"💬"),"")</f>
        <v/>
      </c>
      <c r="G24" s="21">
        <f>Gulshan_Iqbal!CE11</f>
        <v>16</v>
      </c>
      <c r="H24" s="21">
        <f>Gulshan_Iqbal!CF11</f>
        <v>0</v>
      </c>
      <c r="I24" s="21">
        <f>Gulshan_Iqbal!CG11</f>
        <v>0</v>
      </c>
      <c r="J24" s="21" t="str">
        <f>Gulshan_Iqbal!CH11</f>
        <v>100%</v>
      </c>
      <c r="K24" s="21">
        <f>COUNTA(Gulshan_Iqbal!I11:CD11)-COUNTIF(Gulshan_Iqbal!I11:CD11,"OFF")</f>
        <v>72</v>
      </c>
      <c r="L24" s="21" t="str">
        <f t="shared" si="2"/>
        <v>✅ Excellent</v>
      </c>
    </row>
    <row r="25" ht="19.5" customHeight="1">
      <c r="A25" s="34">
        <v>16.0</v>
      </c>
      <c r="B25" s="34" t="s">
        <v>20</v>
      </c>
      <c r="C25" s="35" t="str">
        <f>Gulshan_Iqbal!B12</f>
        <v>Muhammad Hunain</v>
      </c>
      <c r="D25" s="37" t="str">
        <f>Gulshan_Iqbal!C12</f>
        <v/>
      </c>
      <c r="E25" s="34" t="str">
        <f>IF(Gulshan_Iqbal!C12&lt;&gt;"",HYPERLINK("tel:"&amp;SUBSTITUTE(SUBSTITUTE(Gulshan_Iqbal!C12,"+","+")," ",""),"📞"),"")</f>
        <v/>
      </c>
      <c r="F25" s="34" t="str">
        <f>IF(Gulshan_Iqbal!C12&lt;&gt;"",HYPERLINK("https://wa.me/"&amp;SUBSTITUTE(SUBSTITUTE(Gulshan_Iqbal!C12,"+","")," ",""),"💬"),"")</f>
        <v/>
      </c>
      <c r="G25" s="34">
        <f>Gulshan_Iqbal!CE12</f>
        <v>14</v>
      </c>
      <c r="H25" s="34">
        <f>Gulshan_Iqbal!CF12</f>
        <v>0</v>
      </c>
      <c r="I25" s="34">
        <f>Gulshan_Iqbal!CG12</f>
        <v>0</v>
      </c>
      <c r="J25" s="34" t="str">
        <f>Gulshan_Iqbal!CH12</f>
        <v>100%</v>
      </c>
      <c r="K25" s="34">
        <f>COUNTA(Gulshan_Iqbal!I12:CD12)-COUNTIF(Gulshan_Iqbal!I12:CD12,"OFF")</f>
        <v>72</v>
      </c>
      <c r="L25" s="34" t="str">
        <f t="shared" si="2"/>
        <v>✅ Excellent</v>
      </c>
    </row>
    <row r="26" ht="19.5" customHeight="1">
      <c r="A26" s="21">
        <v>17.0</v>
      </c>
      <c r="B26" s="21" t="s">
        <v>20</v>
      </c>
      <c r="C26" s="25" t="str">
        <f>Gulshan_Iqbal!B13</f>
        <v>Fayez</v>
      </c>
      <c r="D26" s="27" t="str">
        <f>Gulshan_Iqbal!C13</f>
        <v/>
      </c>
      <c r="E26" s="21" t="str">
        <f>IF(Gulshan_Iqbal!C13&lt;&gt;"",HYPERLINK("tel:"&amp;SUBSTITUTE(SUBSTITUTE(Gulshan_Iqbal!C13,"+","+")," ",""),"📞"),"")</f>
        <v/>
      </c>
      <c r="F26" s="21" t="str">
        <f>IF(Gulshan_Iqbal!C13&lt;&gt;"",HYPERLINK("https://wa.me/"&amp;SUBSTITUTE(SUBSTITUTE(Gulshan_Iqbal!C13,"+","")," ",""),"💬"),"")</f>
        <v/>
      </c>
      <c r="G26" s="21">
        <f>Gulshan_Iqbal!CE13</f>
        <v>10</v>
      </c>
      <c r="H26" s="21">
        <f>Gulshan_Iqbal!CF13</f>
        <v>1</v>
      </c>
      <c r="I26" s="21">
        <f>Gulshan_Iqbal!CG13</f>
        <v>1</v>
      </c>
      <c r="J26" s="21" t="str">
        <f>Gulshan_Iqbal!CH13</f>
        <v>91%</v>
      </c>
      <c r="K26" s="21">
        <f>COUNTA(Gulshan_Iqbal!I13:CD13)-COUNTIF(Gulshan_Iqbal!I13:CD13,"OFF")</f>
        <v>72</v>
      </c>
      <c r="L26" s="21" t="str">
        <f t="shared" si="2"/>
        <v>✅ Excellent</v>
      </c>
    </row>
    <row r="27" ht="19.5" customHeight="1">
      <c r="A27" s="34">
        <v>18.0</v>
      </c>
      <c r="B27" s="34" t="s">
        <v>20</v>
      </c>
      <c r="C27" s="35" t="str">
        <f>Gulshan_Iqbal!B14</f>
        <v>Muhammad Mateen</v>
      </c>
      <c r="D27" s="37" t="str">
        <f>Gulshan_Iqbal!C14</f>
        <v/>
      </c>
      <c r="E27" s="34" t="str">
        <f>IF(Gulshan_Iqbal!C14&lt;&gt;"",HYPERLINK("tel:"&amp;SUBSTITUTE(SUBSTITUTE(Gulshan_Iqbal!C14,"+","+")," ",""),"📞"),"")</f>
        <v/>
      </c>
      <c r="F27" s="34" t="str">
        <f>IF(Gulshan_Iqbal!C14&lt;&gt;"",HYPERLINK("https://wa.me/"&amp;SUBSTITUTE(SUBSTITUTE(Gulshan_Iqbal!C14,"+","")," ",""),"💬"),"")</f>
        <v/>
      </c>
      <c r="G27" s="34">
        <f>Gulshan_Iqbal!CE14</f>
        <v>14</v>
      </c>
      <c r="H27" s="34">
        <f>Gulshan_Iqbal!CF14</f>
        <v>0</v>
      </c>
      <c r="I27" s="34">
        <f>Gulshan_Iqbal!CG14</f>
        <v>0</v>
      </c>
      <c r="J27" s="34" t="str">
        <f>Gulshan_Iqbal!CH14</f>
        <v>100%</v>
      </c>
      <c r="K27" s="34">
        <f>COUNTA(Gulshan_Iqbal!I14:CD14)-COUNTIF(Gulshan_Iqbal!I14:CD14,"OFF")</f>
        <v>72</v>
      </c>
      <c r="L27" s="34" t="str">
        <f t="shared" si="2"/>
        <v>✅ Excellent</v>
      </c>
    </row>
    <row r="28" ht="19.5" customHeight="1">
      <c r="A28" s="21">
        <v>19.0</v>
      </c>
      <c r="B28" s="21" t="s">
        <v>20</v>
      </c>
      <c r="C28" s="25" t="str">
        <f>Gulshan_Iqbal!B15</f>
        <v>Faheem Badar</v>
      </c>
      <c r="D28" s="27" t="str">
        <f>Gulshan_Iqbal!C15</f>
        <v/>
      </c>
      <c r="E28" s="21" t="str">
        <f>IF(Gulshan_Iqbal!C15&lt;&gt;"",HYPERLINK("tel:"&amp;SUBSTITUTE(SUBSTITUTE(Gulshan_Iqbal!C15,"+","+")," ",""),"📞"),"")</f>
        <v/>
      </c>
      <c r="F28" s="21" t="str">
        <f>IF(Gulshan_Iqbal!C15&lt;&gt;"",HYPERLINK("https://wa.me/"&amp;SUBSTITUTE(SUBSTITUTE(Gulshan_Iqbal!C15,"+","")," ",""),"💬"),"")</f>
        <v/>
      </c>
      <c r="G28" s="21">
        <f>Gulshan_Iqbal!CE15</f>
        <v>9</v>
      </c>
      <c r="H28" s="21">
        <f>Gulshan_Iqbal!CF15</f>
        <v>0</v>
      </c>
      <c r="I28" s="21">
        <f>Gulshan_Iqbal!CG15</f>
        <v>0</v>
      </c>
      <c r="J28" s="21" t="str">
        <f>Gulshan_Iqbal!CH15</f>
        <v>100%</v>
      </c>
      <c r="K28" s="21">
        <f>COUNTA(Gulshan_Iqbal!I15:CD15)-COUNTIF(Gulshan_Iqbal!I15:CD15,"OFF")</f>
        <v>73</v>
      </c>
      <c r="L28" s="21" t="str">
        <f t="shared" si="2"/>
        <v>✅ Excellent</v>
      </c>
    </row>
    <row r="29" ht="19.5" customHeight="1">
      <c r="A29" s="63">
        <f>IF(Gulshan_Iqbal!B16&lt;&gt;"",8,"")</f>
        <v>8</v>
      </c>
      <c r="B29" s="63" t="str">
        <f>IF(Gulshan_Iqbal!B16&lt;&gt;"","Gulshan Iqbal","")</f>
        <v>Gulshan Iqbal</v>
      </c>
      <c r="C29" s="65" t="str">
        <f>IF(Gulshan_Iqbal!B16&lt;&gt;"",Gulshan_Iqbal!B16,"")</f>
        <v>Muhammad Musab</v>
      </c>
      <c r="D29" s="63" t="str">
        <f>IF(Gulshan_Iqbal!B16&lt;&gt;"",Gulshan_Iqbal!C16,"")</f>
        <v/>
      </c>
      <c r="E29" s="63" t="str">
        <f>IF(Gulshan_Iqbal!B16&lt;&gt;"",HYPERLINK("tel:"&amp;SUBSTITUTE(SUBSTITUTE(Gulshan_Iqbal!C16,"+","+")," ",""),"📞"),"")</f>
        <v>📞</v>
      </c>
      <c r="F29" s="66" t="str">
        <f>IF(Gulshan_Iqbal!B16&lt;&gt;"",HYPERLINK("https://wa.me/"&amp;SUBSTITUTE(SUBSTITUTE(Gulshan_Iqbal!C16,"+","")," ",""),"💬"),"")</f>
        <v>💬</v>
      </c>
      <c r="G29" s="63">
        <f>IF(Gulshan_Iqbal!B16&lt;&gt;"",Gulshan_Iqbal!CE16,"")</f>
        <v>7</v>
      </c>
      <c r="H29" s="63">
        <f>IF(Gulshan_Iqbal!B16&lt;&gt;"",Gulshan_Iqbal!CF16,"")</f>
        <v>2</v>
      </c>
      <c r="I29" s="63">
        <f>IF(Gulshan_Iqbal!B16&lt;&gt;"",Gulshan_Iqbal!CG16,"")</f>
        <v>0</v>
      </c>
      <c r="J29" s="63" t="str">
        <f>IF(Gulshan_Iqbal!B16&lt;&gt;"",Gulshan_Iqbal!CH16,"")</f>
        <v>78%</v>
      </c>
      <c r="K29" s="63">
        <f>IF(Gulshan_Iqbal!B16&lt;&gt;"",COUNTA(Gulshan_Iqbal!I16:CD16)-COUNTIF(Gulshan_Iqbal!I16:CD16,"OFF"),"")</f>
        <v>73</v>
      </c>
      <c r="L29" s="63" t="str">
        <f>IF(Gulshan_Iqbal!B16="","",IF(G29+H29=0,"No Data",IF(G29/(G29+H29)&gt;=0.9,"✅ Excellent",IF(G29/(G29+H29)&gt;=0.75,"🟡 Good",IF(G29/(G29+H29)&gt;=0.6,"🟠 Average","🔴 Low")))))</f>
        <v>🟡 Good</v>
      </c>
    </row>
    <row r="30" ht="19.5" customHeight="1">
      <c r="A30" s="63">
        <f>IF(Gulshan_Iqbal!B17&lt;&gt;"",9,"")</f>
        <v>9</v>
      </c>
      <c r="B30" s="63" t="str">
        <f>IF(Gulshan_Iqbal!B17&lt;&gt;"","Gulshan Iqbal","")</f>
        <v>Gulshan Iqbal</v>
      </c>
      <c r="C30" s="65" t="str">
        <f>IF(Gulshan_Iqbal!B17&lt;&gt;"",Gulshan_Iqbal!B17,"")</f>
        <v>Muhammad Hammad</v>
      </c>
      <c r="D30" s="63" t="str">
        <f>IF(Gulshan_Iqbal!B17&lt;&gt;"",Gulshan_Iqbal!C17,"")</f>
        <v/>
      </c>
      <c r="E30" s="63" t="str">
        <f>IF(Gulshan_Iqbal!B17&lt;&gt;"",HYPERLINK("tel:"&amp;SUBSTITUTE(SUBSTITUTE(Gulshan_Iqbal!C17,"+","+")," ",""),"📞"),"")</f>
        <v>📞</v>
      </c>
      <c r="F30" s="66" t="str">
        <f>IF(Gulshan_Iqbal!B17&lt;&gt;"",HYPERLINK("https://wa.me/"&amp;SUBSTITUTE(SUBSTITUTE(Gulshan_Iqbal!C17,"+","")," ",""),"💬"),"")</f>
        <v>💬</v>
      </c>
      <c r="G30" s="63">
        <f>IF(Gulshan_Iqbal!B17&lt;&gt;"",Gulshan_Iqbal!CE17,"")</f>
        <v>5</v>
      </c>
      <c r="H30" s="63">
        <f>IF(Gulshan_Iqbal!B17&lt;&gt;"",Gulshan_Iqbal!CF17,"")</f>
        <v>4</v>
      </c>
      <c r="I30" s="63">
        <f>IF(Gulshan_Iqbal!B17&lt;&gt;"",Gulshan_Iqbal!CG17,"")</f>
        <v>0</v>
      </c>
      <c r="J30" s="63" t="str">
        <f>IF(Gulshan_Iqbal!B17&lt;&gt;"",Gulshan_Iqbal!CH17,"")</f>
        <v>56%</v>
      </c>
      <c r="K30" s="63">
        <f>IF(Gulshan_Iqbal!B17&lt;&gt;"",COUNTA(Gulshan_Iqbal!I17:CD17)-COUNTIF(Gulshan_Iqbal!I17:CD17,"OFF"),"")</f>
        <v>73</v>
      </c>
      <c r="L30" s="63" t="str">
        <f>IF(Gulshan_Iqbal!B17="","",IF(G30+H30=0,"No Data",IF(G30/(G30+H30)&gt;=0.9,"✅ Excellent",IF(G30/(G30+H30)&gt;=0.75,"🟡 Good",IF(G30/(G30+H30)&gt;=0.6,"🟠 Average","🔴 Low")))))</f>
        <v>🔴 Low</v>
      </c>
    </row>
    <row r="31" ht="19.5" customHeight="1">
      <c r="A31" s="63" t="str">
        <f>IF(Gulshan_Iqbal!B18&lt;&gt;"",10,"")</f>
        <v/>
      </c>
      <c r="B31" s="63" t="str">
        <f>IF(Gulshan_Iqbal!B18&lt;&gt;"","Gulshan Iqbal","")</f>
        <v/>
      </c>
      <c r="C31" s="65" t="str">
        <f>IF(Gulshan_Iqbal!B18&lt;&gt;"",Gulshan_Iqbal!B18,"")</f>
        <v/>
      </c>
      <c r="D31" s="63" t="str">
        <f>IF(Gulshan_Iqbal!B18&lt;&gt;"",Gulshan_Iqbal!C18,"")</f>
        <v/>
      </c>
      <c r="E31" s="63" t="str">
        <f>IF(Gulshan_Iqbal!B18&lt;&gt;"",HYPERLINK("tel:"&amp;SUBSTITUTE(SUBSTITUTE(Gulshan_Iqbal!C18,"+","+")," ",""),"📞"),"")</f>
        <v/>
      </c>
      <c r="F31" s="63" t="str">
        <f>IF(Gulshan_Iqbal!B18&lt;&gt;"",HYPERLINK("https://wa.me/"&amp;SUBSTITUTE(SUBSTITUTE(Gulshan_Iqbal!C18,"+","")," ",""),"💬"),"")</f>
        <v/>
      </c>
      <c r="G31" s="63" t="str">
        <f>IF(Gulshan_Iqbal!B18&lt;&gt;"",Gulshan_Iqbal!CE18,"")</f>
        <v/>
      </c>
      <c r="H31" s="63" t="str">
        <f>IF(Gulshan_Iqbal!B18&lt;&gt;"",Gulshan_Iqbal!CF18,"")</f>
        <v/>
      </c>
      <c r="I31" s="63" t="str">
        <f>IF(Gulshan_Iqbal!B18&lt;&gt;"",Gulshan_Iqbal!CG18,"")</f>
        <v/>
      </c>
      <c r="J31" s="63" t="str">
        <f>IF(Gulshan_Iqbal!B18&lt;&gt;"",Gulshan_Iqbal!CH18,"")</f>
        <v/>
      </c>
      <c r="K31" s="63" t="str">
        <f>IF(Gulshan_Iqbal!B18&lt;&gt;"",COUNTA(Gulshan_Iqbal!I18:CD18)-COUNTIF(Gulshan_Iqbal!I18:CD18,"OFF"),"")</f>
        <v/>
      </c>
      <c r="L31" s="63" t="str">
        <f>IF(Gulshan_Iqbal!B18="","",IF(G31+H31=0,"No Data",IF(G31/(G31+H31)&gt;=0.9,"✅ Excellent",IF(G31/(G31+H31)&gt;=0.75,"🟡 Good",IF(G31/(G31+H31)&gt;=0.6,"🟠 Average","🔴 Low")))))</f>
        <v/>
      </c>
    </row>
    <row r="32" ht="15.75" customHeight="1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</row>
    <row r="33" ht="19.5" customHeight="1">
      <c r="A33" s="8" t="str">
        <f>"▶  Griffin  — "&amp;SUMPRODUCT((LEN(C34:C38)&gt;0)*1)&amp;" Murabbis"</f>
        <v>▶  Griffin  — 3 Murabbis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3"/>
    </row>
    <row r="34" ht="19.5" customHeight="1">
      <c r="A34" s="21">
        <v>20.0</v>
      </c>
      <c r="B34" s="21" t="s">
        <v>23</v>
      </c>
      <c r="C34" s="25" t="str">
        <f>Griffin!B9</f>
        <v>Fahad bhai</v>
      </c>
      <c r="D34" s="27" t="str">
        <f>Griffin!C9</f>
        <v/>
      </c>
      <c r="E34" s="21" t="str">
        <f>IF(Griffin!C9&lt;&gt;"",HYPERLINK("tel:"&amp;SUBSTITUTE(SUBSTITUTE(Griffin!C9,"+","+")," ",""),"📞"),"")</f>
        <v/>
      </c>
      <c r="F34" s="21" t="str">
        <f>IF(Griffin!C9&lt;&gt;"",HYPERLINK("https://wa.me/"&amp;SUBSTITUTE(SUBSTITUTE(Griffin!C9,"+","")," ",""),"💬"),"")</f>
        <v/>
      </c>
      <c r="G34" s="21">
        <f>Griffin!CE9</f>
        <v>18</v>
      </c>
      <c r="H34" s="21">
        <f>Griffin!CF9</f>
        <v>0</v>
      </c>
      <c r="I34" s="21">
        <f>Griffin!CG9</f>
        <v>0</v>
      </c>
      <c r="J34" s="21" t="str">
        <f>Griffin!CH9</f>
        <v>100%</v>
      </c>
      <c r="K34" s="21">
        <f>COUNTA(Griffin!I9:CD9)-COUNTIF(Griffin!I9:CD9,"OFF")</f>
        <v>72</v>
      </c>
      <c r="L34" s="21" t="str">
        <f t="shared" ref="L34:L35" si="3">IF(G34+H34=0,"No Data",IF(G34/(G34+H34)&gt;=0.9,"✅ Excellent",IF(G34/(G34+H34)&gt;=0.75,"🟡 Good",IF(G34/(G34+H34)&gt;=0.6,"🟠 Average","🔴 Low"))))</f>
        <v>✅ Excellent</v>
      </c>
    </row>
    <row r="35" ht="19.5" customHeight="1">
      <c r="A35" s="34">
        <v>21.0</v>
      </c>
      <c r="B35" s="34" t="s">
        <v>23</v>
      </c>
      <c r="C35" s="35" t="str">
        <f>Griffin!B10</f>
        <v>Bilal bhai</v>
      </c>
      <c r="D35" s="37" t="str">
        <f>Griffin!C10</f>
        <v/>
      </c>
      <c r="E35" s="34" t="str">
        <f>IF(Griffin!C10&lt;&gt;"",HYPERLINK("tel:"&amp;SUBSTITUTE(SUBSTITUTE(Griffin!C10,"+","+")," ",""),"📞"),"")</f>
        <v/>
      </c>
      <c r="F35" s="34" t="str">
        <f>IF(Griffin!C10&lt;&gt;"",HYPERLINK("https://wa.me/"&amp;SUBSTITUTE(SUBSTITUTE(Griffin!C10,"+","")," ",""),"💬"),"")</f>
        <v/>
      </c>
      <c r="G35" s="34">
        <f>Griffin!CE10</f>
        <v>14</v>
      </c>
      <c r="H35" s="34">
        <f>Griffin!CF10</f>
        <v>0</v>
      </c>
      <c r="I35" s="34">
        <f>Griffin!CG10</f>
        <v>4</v>
      </c>
      <c r="J35" s="34" t="str">
        <f>Griffin!CH10</f>
        <v>100%</v>
      </c>
      <c r="K35" s="34">
        <f>COUNTA(Griffin!I10:CD10)-COUNTIF(Griffin!I10:CD10,"OFF")</f>
        <v>72</v>
      </c>
      <c r="L35" s="34" t="str">
        <f t="shared" si="3"/>
        <v>✅ Excellent</v>
      </c>
    </row>
    <row r="36" ht="19.5" customHeight="1">
      <c r="A36" s="63">
        <f>IF(Griffin!B11&lt;&gt;"",3,"")</f>
        <v>3</v>
      </c>
      <c r="B36" s="63" t="str">
        <f>IF(Griffin!B11&lt;&gt;"","Griffin","")</f>
        <v>Griffin</v>
      </c>
      <c r="C36" s="65" t="str">
        <f>IF(Griffin!B11&lt;&gt;"",Griffin!B11,"")</f>
        <v>Talha Afridi Bhai</v>
      </c>
      <c r="D36" s="63" t="str">
        <f>IF(Griffin!B11&lt;&gt;"",Griffin!C11,"")</f>
        <v/>
      </c>
      <c r="E36" s="63" t="str">
        <f>IF(Griffin!B11&lt;&gt;"",HYPERLINK("tel:"&amp;SUBSTITUTE(SUBSTITUTE(Griffin!C11,"+","+")," ",""),"📞"),"")</f>
        <v>📞</v>
      </c>
      <c r="F36" s="66" t="str">
        <f>IF(Griffin!B11&lt;&gt;"",HYPERLINK("https://wa.me/"&amp;SUBSTITUTE(SUBSTITUTE(Griffin!C11,"+","")," ",""),"💬"),"")</f>
        <v>💬</v>
      </c>
      <c r="G36" s="63">
        <f>IF(Griffin!B11&lt;&gt;"",Griffin!CE11,"")</f>
        <v>4</v>
      </c>
      <c r="H36" s="63">
        <f>IF(Griffin!B11&lt;&gt;"",Griffin!CF11,"")</f>
        <v>0</v>
      </c>
      <c r="I36" s="63">
        <f>IF(Griffin!B11&lt;&gt;"",Griffin!CG11,"")</f>
        <v>0</v>
      </c>
      <c r="J36" s="63" t="str">
        <f>IF(Griffin!B11&lt;&gt;"",Griffin!CH11,"")</f>
        <v>100%</v>
      </c>
      <c r="K36" s="63">
        <f>IF(Griffin!B11&lt;&gt;"",COUNTA(Griffin!I11:CD11)-COUNTIF(Griffin!I11:CD11,"OFF"),"")</f>
        <v>73</v>
      </c>
      <c r="L36" s="63" t="str">
        <f>IF(Griffin!B11="","",IF(G36+H36=0,"No Data",IF(G36/(G36+H36)&gt;=0.9,"✅ Excellent",IF(G36/(G36+H36)&gt;=0.75,"🟡 Good",IF(G36/(G36+H36)&gt;=0.6,"🟠 Average","🔴 Low")))))</f>
        <v>✅ Excellent</v>
      </c>
    </row>
    <row r="37" ht="19.5" customHeight="1">
      <c r="A37" s="63" t="str">
        <f>IF(Griffin!B12&lt;&gt;"",4,"")</f>
        <v/>
      </c>
      <c r="B37" s="63" t="str">
        <f>IF(Griffin!B12&lt;&gt;"","Griffin","")</f>
        <v/>
      </c>
      <c r="C37" s="65" t="str">
        <f>IF(Griffin!B12&lt;&gt;"",Griffin!B12,"")</f>
        <v/>
      </c>
      <c r="D37" s="63" t="str">
        <f>IF(Griffin!B12&lt;&gt;"",Griffin!C12,"")</f>
        <v/>
      </c>
      <c r="E37" s="63" t="str">
        <f>IF(Griffin!B12&lt;&gt;"",HYPERLINK("tel:"&amp;SUBSTITUTE(SUBSTITUTE(Griffin!C12,"+","+")," ",""),"📞"),"")</f>
        <v/>
      </c>
      <c r="F37" s="63" t="str">
        <f>IF(Griffin!B12&lt;&gt;"",HYPERLINK("https://wa.me/"&amp;SUBSTITUTE(SUBSTITUTE(Griffin!C12,"+","")," ",""),"💬"),"")</f>
        <v/>
      </c>
      <c r="G37" s="63" t="str">
        <f>IF(Griffin!B12&lt;&gt;"",Griffin!CE12,"")</f>
        <v/>
      </c>
      <c r="H37" s="63" t="str">
        <f>IF(Griffin!B12&lt;&gt;"",Griffin!CF12,"")</f>
        <v/>
      </c>
      <c r="I37" s="63" t="str">
        <f>IF(Griffin!B12&lt;&gt;"",Griffin!CG12,"")</f>
        <v/>
      </c>
      <c r="J37" s="63" t="str">
        <f>IF(Griffin!B12&lt;&gt;"",Griffin!CH12,"")</f>
        <v/>
      </c>
      <c r="K37" s="63" t="str">
        <f>IF(Griffin!B12&lt;&gt;"",COUNTA(Griffin!I12:CD12)-COUNTIF(Griffin!I12:CD12,"OFF"),"")</f>
        <v/>
      </c>
      <c r="L37" s="63" t="str">
        <f>IF(Griffin!B12="","",IF(G37+H37=0,"No Data",IF(G37/(G37+H37)&gt;=0.9,"✅ Excellent",IF(G37/(G37+H37)&gt;=0.75,"🟡 Good",IF(G37/(G37+H37)&gt;=0.6,"🟠 Average","🔴 Low")))))</f>
        <v/>
      </c>
    </row>
    <row r="38" ht="19.5" customHeight="1">
      <c r="A38" s="63" t="str">
        <f>IF(Griffin!B13&lt;&gt;"",5,"")</f>
        <v/>
      </c>
      <c r="B38" s="63" t="str">
        <f>IF(Griffin!B13&lt;&gt;"","Griffin","")</f>
        <v/>
      </c>
      <c r="C38" s="65" t="str">
        <f>IF(Griffin!B13&lt;&gt;"",Griffin!B13,"")</f>
        <v/>
      </c>
      <c r="D38" s="63" t="str">
        <f>IF(Griffin!B13&lt;&gt;"",Griffin!C13,"")</f>
        <v/>
      </c>
      <c r="E38" s="63" t="str">
        <f>IF(Griffin!B13&lt;&gt;"",HYPERLINK("tel:"&amp;SUBSTITUTE(SUBSTITUTE(Griffin!C13,"+","+")," ",""),"📞"),"")</f>
        <v/>
      </c>
      <c r="F38" s="63" t="str">
        <f>IF(Griffin!B13&lt;&gt;"",HYPERLINK("https://wa.me/"&amp;SUBSTITUTE(SUBSTITUTE(Griffin!C13,"+","")," ",""),"💬"),"")</f>
        <v/>
      </c>
      <c r="G38" s="63" t="str">
        <f>IF(Griffin!B13&lt;&gt;"",Griffin!CE13,"")</f>
        <v/>
      </c>
      <c r="H38" s="63" t="str">
        <f>IF(Griffin!B13&lt;&gt;"",Griffin!CF13,"")</f>
        <v/>
      </c>
      <c r="I38" s="63" t="str">
        <f>IF(Griffin!B13&lt;&gt;"",Griffin!CG13,"")</f>
        <v/>
      </c>
      <c r="J38" s="63" t="str">
        <f>IF(Griffin!B13&lt;&gt;"",Griffin!CH13,"")</f>
        <v/>
      </c>
      <c r="K38" s="63" t="str">
        <f>IF(Griffin!B13&lt;&gt;"",COUNTA(Griffin!I13:CD13)-COUNTIF(Griffin!I13:CD13,"OFF"),"")</f>
        <v/>
      </c>
      <c r="L38" s="63" t="str">
        <f>IF(Griffin!B13="","",IF(G38+H38=0,"No Data",IF(G38/(G38+H38)&gt;=0.9,"✅ Excellent",IF(G38/(G38+H38)&gt;=0.75,"🟡 Good",IF(G38/(G38+H38)&gt;=0.6,"🟠 Average","🔴 Low")))))</f>
        <v/>
      </c>
    </row>
    <row r="39" ht="15.75" customHeight="1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</row>
    <row r="40" ht="19.5" customHeight="1">
      <c r="A40" s="8" t="str">
        <f>"▶  Johar Town  — "&amp;SUMPRODUCT((LEN(C41:C50)&gt;0)*1)&amp;" Murabbis"</f>
        <v>▶  Johar Town  — 10 Murabbis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3"/>
    </row>
    <row r="41" ht="19.5" customHeight="1">
      <c r="A41" s="21">
        <v>22.0</v>
      </c>
      <c r="B41" s="21" t="s">
        <v>24</v>
      </c>
      <c r="C41" s="25" t="str">
        <f>Johar_Town!B9</f>
        <v>Hamza Badar</v>
      </c>
      <c r="D41" s="27" t="str">
        <f>Johar_Town!C9</f>
        <v>'+923228498237</v>
      </c>
      <c r="E41" s="21" t="str">
        <f>IF(Johar_Town!C9&lt;&gt;"",HYPERLINK("tel:"&amp;SUBSTITUTE(SUBSTITUTE(Johar_Town!C9,"+","+")," ",""),"📞"),"")</f>
        <v>📞</v>
      </c>
      <c r="F41" s="29" t="str">
        <f>IF(Johar_Town!C9&lt;&gt;"",HYPERLINK("https://wa.me/"&amp;SUBSTITUTE(SUBSTITUTE(Johar_Town!C9,"+","")," ",""),"💬"),"")</f>
        <v>💬</v>
      </c>
      <c r="G41" s="21">
        <f>Johar_Town!CE9</f>
        <v>16</v>
      </c>
      <c r="H41" s="21">
        <f>Johar_Town!CF9</f>
        <v>0</v>
      </c>
      <c r="I41" s="21">
        <f>Johar_Town!CG9</f>
        <v>2</v>
      </c>
      <c r="J41" s="21" t="str">
        <f>Johar_Town!CH9</f>
        <v>100%</v>
      </c>
      <c r="K41" s="21">
        <f>COUNTA(Johar_Town!I9:CD9)-COUNTIF(Johar_Town!I9:CD9,"OFF")</f>
        <v>72</v>
      </c>
      <c r="L41" s="21" t="str">
        <f t="shared" ref="L41:L47" si="4">IF(G41+H41=0,"No Data",IF(G41/(G41+H41)&gt;=0.9,"✅ Excellent",IF(G41/(G41+H41)&gt;=0.75,"🟡 Good",IF(G41/(G41+H41)&gt;=0.6,"🟠 Average","🔴 Low"))))</f>
        <v>✅ Excellent</v>
      </c>
    </row>
    <row r="42" ht="19.5" customHeight="1">
      <c r="A42" s="34">
        <v>23.0</v>
      </c>
      <c r="B42" s="34" t="s">
        <v>24</v>
      </c>
      <c r="C42" s="35" t="str">
        <f>Johar_Town!B10</f>
        <v>Hassan Basil</v>
      </c>
      <c r="D42" s="37" t="str">
        <f>Johar_Town!C10</f>
        <v>'+923331047726</v>
      </c>
      <c r="E42" s="34" t="str">
        <f>IF(Johar_Town!C10&lt;&gt;"",HYPERLINK("tel:"&amp;SUBSTITUTE(SUBSTITUTE(Johar_Town!C10,"+","+")," ",""),"📞"),"")</f>
        <v>📞</v>
      </c>
      <c r="F42" s="40" t="str">
        <f>IF(Johar_Town!C10&lt;&gt;"",HYPERLINK("https://wa.me/"&amp;SUBSTITUTE(SUBSTITUTE(Johar_Town!C10,"+","")," ",""),"💬"),"")</f>
        <v>💬</v>
      </c>
      <c r="G42" s="34">
        <f>Johar_Town!CE10</f>
        <v>1</v>
      </c>
      <c r="H42" s="34">
        <f>Johar_Town!CF10</f>
        <v>11</v>
      </c>
      <c r="I42" s="34">
        <f>Johar_Town!CG10</f>
        <v>6</v>
      </c>
      <c r="J42" s="34" t="str">
        <f>Johar_Town!CH10</f>
        <v>8%</v>
      </c>
      <c r="K42" s="34">
        <f>COUNTA(Johar_Town!I10:CD10)-COUNTIF(Johar_Town!I10:CD10,"OFF")</f>
        <v>72</v>
      </c>
      <c r="L42" s="34" t="str">
        <f t="shared" si="4"/>
        <v>🔴 Low</v>
      </c>
    </row>
    <row r="43" ht="19.5" customHeight="1">
      <c r="A43" s="21">
        <v>24.0</v>
      </c>
      <c r="B43" s="21" t="s">
        <v>24</v>
      </c>
      <c r="C43" s="25" t="str">
        <f>Johar_Town!B11</f>
        <v>Abdullah Rizwan</v>
      </c>
      <c r="D43" s="27" t="str">
        <f>Johar_Town!C11</f>
        <v>'+923254419155</v>
      </c>
      <c r="E43" s="21" t="str">
        <f>IF(Johar_Town!C11&lt;&gt;"",HYPERLINK("tel:"&amp;SUBSTITUTE(SUBSTITUTE(Johar_Town!C11,"+","+")," ",""),"📞"),"")</f>
        <v>📞</v>
      </c>
      <c r="F43" s="29" t="str">
        <f>IF(Johar_Town!C11&lt;&gt;"",HYPERLINK("https://wa.me/"&amp;SUBSTITUTE(SUBSTITUTE(Johar_Town!C11,"+","")," ",""),"💬"),"")</f>
        <v>💬</v>
      </c>
      <c r="G43" s="21">
        <f>Johar_Town!CE11</f>
        <v>4</v>
      </c>
      <c r="H43" s="21">
        <f>Johar_Town!CF11</f>
        <v>11</v>
      </c>
      <c r="I43" s="21">
        <f>Johar_Town!CG11</f>
        <v>3</v>
      </c>
      <c r="J43" s="21" t="str">
        <f>Johar_Town!CH11</f>
        <v>27%</v>
      </c>
      <c r="K43" s="21">
        <f>COUNTA(Johar_Town!I11:CD11)-COUNTIF(Johar_Town!I11:CD11,"OFF")</f>
        <v>72</v>
      </c>
      <c r="L43" s="21" t="str">
        <f t="shared" si="4"/>
        <v>🔴 Low</v>
      </c>
    </row>
    <row r="44" ht="19.5" customHeight="1">
      <c r="A44" s="34">
        <v>25.0</v>
      </c>
      <c r="B44" s="34" t="s">
        <v>24</v>
      </c>
      <c r="C44" s="35" t="str">
        <f>Johar_Town!B12</f>
        <v>Musab Bin Umair</v>
      </c>
      <c r="D44" s="37" t="str">
        <f>Johar_Town!C12</f>
        <v>'+923092693885</v>
      </c>
      <c r="E44" s="34" t="str">
        <f>IF(Johar_Town!C12&lt;&gt;"",HYPERLINK("tel:"&amp;SUBSTITUTE(SUBSTITUTE(Johar_Town!C12,"+","+")," ",""),"📞"),"")</f>
        <v>📞</v>
      </c>
      <c r="F44" s="40" t="str">
        <f>IF(Johar_Town!C12&lt;&gt;"",HYPERLINK("https://wa.me/"&amp;SUBSTITUTE(SUBSTITUTE(Johar_Town!C12,"+","")," ",""),"💬"),"")</f>
        <v>💬</v>
      </c>
      <c r="G44" s="34">
        <f>Johar_Town!CE12</f>
        <v>7</v>
      </c>
      <c r="H44" s="34">
        <f>Johar_Town!CF12</f>
        <v>8</v>
      </c>
      <c r="I44" s="34">
        <f>Johar_Town!CG12</f>
        <v>3</v>
      </c>
      <c r="J44" s="34" t="str">
        <f>Johar_Town!CH12</f>
        <v>47%</v>
      </c>
      <c r="K44" s="34">
        <f>COUNTA(Johar_Town!I12:CD12)-COUNTIF(Johar_Town!I12:CD12,"OFF")</f>
        <v>72</v>
      </c>
      <c r="L44" s="34" t="str">
        <f t="shared" si="4"/>
        <v>🔴 Low</v>
      </c>
    </row>
    <row r="45" ht="19.5" customHeight="1">
      <c r="A45" s="21">
        <v>26.0</v>
      </c>
      <c r="B45" s="21" t="s">
        <v>24</v>
      </c>
      <c r="C45" s="25" t="str">
        <f>Johar_Town!B13</f>
        <v>Abdullah Saqib</v>
      </c>
      <c r="D45" s="27" t="str">
        <f>Johar_Town!C13</f>
        <v/>
      </c>
      <c r="E45" s="21" t="str">
        <f>IF(Johar_Town!C13&lt;&gt;"",HYPERLINK("tel:"&amp;SUBSTITUTE(SUBSTITUTE(Johar_Town!C13,"+","+")," ",""),"📞"),"")</f>
        <v/>
      </c>
      <c r="F45" s="21" t="str">
        <f>IF(Johar_Town!C13&lt;&gt;"",HYPERLINK("https://wa.me/"&amp;SUBSTITUTE(SUBSTITUTE(Johar_Town!C13,"+","")," ",""),"💬"),"")</f>
        <v/>
      </c>
      <c r="G45" s="21">
        <f>Johar_Town!CE13</f>
        <v>16</v>
      </c>
      <c r="H45" s="21">
        <f>Johar_Town!CF13</f>
        <v>2</v>
      </c>
      <c r="I45" s="21">
        <f>Johar_Town!CG13</f>
        <v>0</v>
      </c>
      <c r="J45" s="21" t="str">
        <f>Johar_Town!CH13</f>
        <v>89%</v>
      </c>
      <c r="K45" s="21">
        <f>COUNTA(Johar_Town!I13:CD13)-COUNTIF(Johar_Town!I13:CD13,"OFF")</f>
        <v>72</v>
      </c>
      <c r="L45" s="21" t="str">
        <f t="shared" si="4"/>
        <v>🟡 Good</v>
      </c>
    </row>
    <row r="46" ht="19.5" customHeight="1">
      <c r="A46" s="34">
        <v>27.0</v>
      </c>
      <c r="B46" s="34" t="s">
        <v>24</v>
      </c>
      <c r="C46" s="35" t="str">
        <f>Johar_Town!B14</f>
        <v>Hashir</v>
      </c>
      <c r="D46" s="37" t="str">
        <f>Johar_Town!C14</f>
        <v/>
      </c>
      <c r="E46" s="34" t="str">
        <f>IF(Johar_Town!C14&lt;&gt;"",HYPERLINK("tel:"&amp;SUBSTITUTE(SUBSTITUTE(Johar_Town!C14,"+","+")," ",""),"📞"),"")</f>
        <v/>
      </c>
      <c r="F46" s="34" t="str">
        <f>IF(Johar_Town!C14&lt;&gt;"",HYPERLINK("https://wa.me/"&amp;SUBSTITUTE(SUBSTITUTE(Johar_Town!C14,"+","")," ",""),"💬"),"")</f>
        <v/>
      </c>
      <c r="G46" s="34">
        <f>Johar_Town!CE14</f>
        <v>7</v>
      </c>
      <c r="H46" s="34">
        <f>Johar_Town!CF14</f>
        <v>4</v>
      </c>
      <c r="I46" s="34">
        <f>Johar_Town!CG14</f>
        <v>7</v>
      </c>
      <c r="J46" s="34" t="str">
        <f>Johar_Town!CH14</f>
        <v>64%</v>
      </c>
      <c r="K46" s="34">
        <f>COUNTA(Johar_Town!I14:CD14)-COUNTIF(Johar_Town!I14:CD14,"OFF")</f>
        <v>72</v>
      </c>
      <c r="L46" s="34" t="str">
        <f t="shared" si="4"/>
        <v>🟠 Average</v>
      </c>
    </row>
    <row r="47" ht="19.5" customHeight="1">
      <c r="A47" s="21">
        <v>28.0</v>
      </c>
      <c r="B47" s="21" t="s">
        <v>24</v>
      </c>
      <c r="C47" s="25" t="str">
        <f>Johar_Town!B15</f>
        <v>Abuzar</v>
      </c>
      <c r="D47" s="27" t="str">
        <f>Johar_Town!C15</f>
        <v/>
      </c>
      <c r="E47" s="21" t="str">
        <f>IF(Johar_Town!C15&lt;&gt;"",HYPERLINK("tel:"&amp;SUBSTITUTE(SUBSTITUTE(Johar_Town!C15,"+","+")," ",""),"📞"),"")</f>
        <v/>
      </c>
      <c r="F47" s="21" t="str">
        <f>IF(Johar_Town!C15&lt;&gt;"",HYPERLINK("https://wa.me/"&amp;SUBSTITUTE(SUBSTITUTE(Johar_Town!C15,"+","")," ",""),"💬"),"")</f>
        <v/>
      </c>
      <c r="G47" s="21">
        <f>Johar_Town!CE15</f>
        <v>4</v>
      </c>
      <c r="H47" s="21">
        <f>Johar_Town!CF15</f>
        <v>7</v>
      </c>
      <c r="I47" s="21">
        <f>Johar_Town!CG15</f>
        <v>0</v>
      </c>
      <c r="J47" s="21" t="str">
        <f>Johar_Town!CH15</f>
        <v>36%</v>
      </c>
      <c r="K47" s="21">
        <f>COUNTA(Johar_Town!I15:CD15)-COUNTIF(Johar_Town!I15:CD15,"OFF")</f>
        <v>73</v>
      </c>
      <c r="L47" s="21" t="str">
        <f t="shared" si="4"/>
        <v>🔴 Low</v>
      </c>
    </row>
    <row r="48" ht="19.5" customHeight="1">
      <c r="A48" s="63">
        <f>IF(Johar_Town!B16&lt;&gt;"",8,"")</f>
        <v>8</v>
      </c>
      <c r="B48" s="63" t="str">
        <f>IF(Johar_Town!B16&lt;&gt;"","Johar Town","")</f>
        <v>Johar Town</v>
      </c>
      <c r="C48" s="65" t="str">
        <f>IF(Johar_Town!B16&lt;&gt;"",Johar_Town!B16,"")</f>
        <v>Abdul Rafay</v>
      </c>
      <c r="D48" s="63" t="str">
        <f>IF(Johar_Town!B16&lt;&gt;"",Johar_Town!C16,"")</f>
        <v/>
      </c>
      <c r="E48" s="63" t="str">
        <f>IF(Johar_Town!B16&lt;&gt;"",HYPERLINK("tel:"&amp;SUBSTITUTE(SUBSTITUTE(Johar_Town!C16,"+","+")," ",""),"📞"),"")</f>
        <v>📞</v>
      </c>
      <c r="F48" s="66" t="str">
        <f>IF(Johar_Town!B16&lt;&gt;"",HYPERLINK("https://wa.me/"&amp;SUBSTITUTE(SUBSTITUTE(Johar_Town!C16,"+","")," ",""),"💬"),"")</f>
        <v>💬</v>
      </c>
      <c r="G48" s="63">
        <f>IF(Johar_Town!B16&lt;&gt;"",Johar_Town!CE16,"")</f>
        <v>1</v>
      </c>
      <c r="H48" s="63">
        <f>IF(Johar_Town!B16&lt;&gt;"",Johar_Town!CF16,"")</f>
        <v>8</v>
      </c>
      <c r="I48" s="63">
        <f>IF(Johar_Town!B16&lt;&gt;"",Johar_Town!CG16,"")</f>
        <v>0</v>
      </c>
      <c r="J48" s="63" t="str">
        <f>IF(Johar_Town!B16&lt;&gt;"",Johar_Town!CH16,"")</f>
        <v>11%</v>
      </c>
      <c r="K48" s="63">
        <f>IF(Johar_Town!B16&lt;&gt;"",COUNTA(Johar_Town!I16:CD16)-COUNTIF(Johar_Town!I16:CD16,"OFF"),"")</f>
        <v>73</v>
      </c>
      <c r="L48" s="63" t="str">
        <f>IF(Johar_Town!B16="","",IF(G48+H48=0,"No Data",IF(G48/(G48+H48)&gt;=0.9,"✅ Excellent",IF(G48/(G48+H48)&gt;=0.75,"🟡 Good",IF(G48/(G48+H48)&gt;=0.6,"🟠 Average","🔴 Low")))))</f>
        <v>🔴 Low</v>
      </c>
    </row>
    <row r="49" ht="19.5" customHeight="1">
      <c r="A49" s="63">
        <f>IF(Johar_Town!B17&lt;&gt;"",9,"")</f>
        <v>9</v>
      </c>
      <c r="B49" s="63" t="str">
        <f>IF(Johar_Town!B17&lt;&gt;"","Johar Town","")</f>
        <v>Johar Town</v>
      </c>
      <c r="C49" s="65" t="str">
        <f>IF(Johar_Town!B17&lt;&gt;"",Johar_Town!B17,"")</f>
        <v>Affan</v>
      </c>
      <c r="D49" s="63" t="str">
        <f>IF(Johar_Town!B17&lt;&gt;"",Johar_Town!C17,"")</f>
        <v/>
      </c>
      <c r="E49" s="63" t="str">
        <f>IF(Johar_Town!B17&lt;&gt;"",HYPERLINK("tel:"&amp;SUBSTITUTE(SUBSTITUTE(Johar_Town!C17,"+","+")," ",""),"📞"),"")</f>
        <v>📞</v>
      </c>
      <c r="F49" s="66" t="str">
        <f>IF(Johar_Town!B17&lt;&gt;"",HYPERLINK("https://wa.me/"&amp;SUBSTITUTE(SUBSTITUTE(Johar_Town!C17,"+","")," ",""),"💬"),"")</f>
        <v>💬</v>
      </c>
      <c r="G49" s="63">
        <f>IF(Johar_Town!B17&lt;&gt;"",Johar_Town!CE17,"")</f>
        <v>8</v>
      </c>
      <c r="H49" s="63">
        <f>IF(Johar_Town!B17&lt;&gt;"",Johar_Town!CF17,"")</f>
        <v>1</v>
      </c>
      <c r="I49" s="63">
        <f>IF(Johar_Town!B17&lt;&gt;"",Johar_Town!CG17,"")</f>
        <v>0</v>
      </c>
      <c r="J49" s="63" t="str">
        <f>IF(Johar_Town!B17&lt;&gt;"",Johar_Town!CH17,"")</f>
        <v>89%</v>
      </c>
      <c r="K49" s="63">
        <f>IF(Johar_Town!B17&lt;&gt;"",COUNTA(Johar_Town!I17:CD17)-COUNTIF(Johar_Town!I17:CD17,"OFF"),"")</f>
        <v>73</v>
      </c>
      <c r="L49" s="63" t="str">
        <f>IF(Johar_Town!B17="","",IF(G49+H49=0,"No Data",IF(G49/(G49+H49)&gt;=0.9,"✅ Excellent",IF(G49/(G49+H49)&gt;=0.75,"🟡 Good",IF(G49/(G49+H49)&gt;=0.6,"🟠 Average","🔴 Low")))))</f>
        <v>🟡 Good</v>
      </c>
    </row>
    <row r="50" ht="19.5" customHeight="1">
      <c r="A50" s="63">
        <f>IF(Johar_Town!B18&lt;&gt;"",10,"")</f>
        <v>10</v>
      </c>
      <c r="B50" s="63" t="str">
        <f>IF(Johar_Town!B18&lt;&gt;"","Johar Town","")</f>
        <v>Johar Town</v>
      </c>
      <c r="C50" s="65" t="str">
        <f>IF(Johar_Town!B18&lt;&gt;"",Johar_Town!B18,"")</f>
        <v>Anas Ibrahim</v>
      </c>
      <c r="D50" s="63" t="str">
        <f>IF(Johar_Town!B18&lt;&gt;"",Johar_Town!C18,"")</f>
        <v/>
      </c>
      <c r="E50" s="63" t="str">
        <f>IF(Johar_Town!B18&lt;&gt;"",HYPERLINK("tel:"&amp;SUBSTITUTE(SUBSTITUTE(Johar_Town!C18,"+","+")," ",""),"📞"),"")</f>
        <v>📞</v>
      </c>
      <c r="F50" s="66" t="str">
        <f>IF(Johar_Town!B18&lt;&gt;"",HYPERLINK("https://wa.me/"&amp;SUBSTITUTE(SUBSTITUTE(Johar_Town!C18,"+","")," ",""),"💬"),"")</f>
        <v>💬</v>
      </c>
      <c r="G50" s="63">
        <f>IF(Johar_Town!B18&lt;&gt;"",Johar_Town!CE18,"")</f>
        <v>2</v>
      </c>
      <c r="H50" s="63">
        <f>IF(Johar_Town!B18&lt;&gt;"",Johar_Town!CF18,"")</f>
        <v>0</v>
      </c>
      <c r="I50" s="63">
        <f>IF(Johar_Town!B18&lt;&gt;"",Johar_Town!CG18,"")</f>
        <v>0</v>
      </c>
      <c r="J50" s="63" t="str">
        <f>IF(Johar_Town!B18&lt;&gt;"",Johar_Town!CH18,"")</f>
        <v>100%</v>
      </c>
      <c r="K50" s="63">
        <f>IF(Johar_Town!B18&lt;&gt;"",COUNTA(Johar_Town!I18:CD18)-COUNTIF(Johar_Town!I18:CD18,"OFF"),"")</f>
        <v>73</v>
      </c>
      <c r="L50" s="63" t="str">
        <f>IF(Johar_Town!B18="","",IF(G50+H50=0,"No Data",IF(G50/(G50+H50)&gt;=0.9,"✅ Excellent",IF(G50/(G50+H50)&gt;=0.75,"🟡 Good",IF(G50/(G50+H50)&gt;=0.6,"🟠 Average","🔴 Low")))))</f>
        <v>✅ Excellent</v>
      </c>
    </row>
    <row r="51" ht="15.75" customHeight="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</row>
    <row r="52" ht="19.5" customHeight="1">
      <c r="A52" s="8" t="str">
        <f>"▶  Gulshan Ravi  — "&amp;SUMPRODUCT((LEN(C53:C64)&gt;0)*1)&amp;" Murabbis"</f>
        <v>▶  Gulshan Ravi  — 10 Murabbis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3"/>
    </row>
    <row r="53" ht="19.5" customHeight="1">
      <c r="A53" s="21">
        <v>29.0</v>
      </c>
      <c r="B53" s="21" t="s">
        <v>26</v>
      </c>
      <c r="C53" s="25" t="str">
        <f>Gulshan_Ravi!B9</f>
        <v>Muhammad Bin shahid</v>
      </c>
      <c r="D53" s="27" t="str">
        <f>Gulshan_Ravi!C9</f>
        <v/>
      </c>
      <c r="E53" s="21" t="str">
        <f>IF(Gulshan_Ravi!C9&lt;&gt;"",HYPERLINK("tel:"&amp;SUBSTITUTE(SUBSTITUTE(Gulshan_Ravi!C9,"+","+")," ",""),"📞"),"")</f>
        <v/>
      </c>
      <c r="F53" s="21" t="str">
        <f>IF(Gulshan_Ravi!C9&lt;&gt;"",HYPERLINK("https://wa.me/"&amp;SUBSTITUTE(SUBSTITUTE(Gulshan_Ravi!C9,"+","")," ",""),"💬"),"")</f>
        <v/>
      </c>
      <c r="G53" s="21">
        <f>Gulshan_Ravi!CE9</f>
        <v>16</v>
      </c>
      <c r="H53" s="21">
        <f>Gulshan_Ravi!CF9</f>
        <v>0</v>
      </c>
      <c r="I53" s="21">
        <f>Gulshan_Ravi!CG9</f>
        <v>1</v>
      </c>
      <c r="J53" s="21" t="str">
        <f>Gulshan_Ravi!CH9</f>
        <v>100%</v>
      </c>
      <c r="K53" s="21">
        <f>COUNTA(Gulshan_Ravi!I9:CD9)-COUNTIF(Gulshan_Ravi!I9:CD9,"OFF")</f>
        <v>72</v>
      </c>
      <c r="L53" s="21" t="str">
        <f t="shared" ref="L53:L61" si="5">IF(G53+H53=0,"No Data",IF(G53/(G53+H53)&gt;=0.9,"✅ Excellent",IF(G53/(G53+H53)&gt;=0.75,"🟡 Good",IF(G53/(G53+H53)&gt;=0.6,"🟠 Average","🔴 Low"))))</f>
        <v>✅ Excellent</v>
      </c>
    </row>
    <row r="54" ht="19.5" customHeight="1">
      <c r="A54" s="34">
        <v>30.0</v>
      </c>
      <c r="B54" s="34" t="s">
        <v>26</v>
      </c>
      <c r="C54" s="35" t="str">
        <f>Gulshan_Ravi!B10</f>
        <v>Abdullah Tauseef</v>
      </c>
      <c r="D54" s="37" t="str">
        <f>Gulshan_Ravi!C10</f>
        <v>'+923357360424</v>
      </c>
      <c r="E54" s="34" t="str">
        <f>IF(Gulshan_Ravi!C10&lt;&gt;"",HYPERLINK("tel:"&amp;SUBSTITUTE(SUBSTITUTE(Gulshan_Ravi!C10,"+","+")," ",""),"📞"),"")</f>
        <v>📞</v>
      </c>
      <c r="F54" s="40" t="str">
        <f>IF(Gulshan_Ravi!C10&lt;&gt;"",HYPERLINK("https://wa.me/"&amp;SUBSTITUTE(SUBSTITUTE(Gulshan_Ravi!C10,"+","")," ",""),"💬"),"")</f>
        <v>💬</v>
      </c>
      <c r="G54" s="34">
        <f>Gulshan_Ravi!CE10</f>
        <v>16</v>
      </c>
      <c r="H54" s="34">
        <f>Gulshan_Ravi!CF10</f>
        <v>0</v>
      </c>
      <c r="I54" s="34">
        <f>Gulshan_Ravi!CG10</f>
        <v>1</v>
      </c>
      <c r="J54" s="34" t="str">
        <f>Gulshan_Ravi!CH10</f>
        <v>100%</v>
      </c>
      <c r="K54" s="34">
        <f>COUNTA(Gulshan_Ravi!I10:CD10)-COUNTIF(Gulshan_Ravi!I10:CD10,"OFF")</f>
        <v>72</v>
      </c>
      <c r="L54" s="34" t="str">
        <f t="shared" si="5"/>
        <v>✅ Excellent</v>
      </c>
    </row>
    <row r="55" ht="19.5" customHeight="1">
      <c r="A55" s="21">
        <v>31.0</v>
      </c>
      <c r="B55" s="21" t="s">
        <v>26</v>
      </c>
      <c r="C55" s="25" t="str">
        <f>Gulshan_Ravi!B11</f>
        <v>Ghulam nabi</v>
      </c>
      <c r="D55" s="27" t="str">
        <f>Gulshan_Ravi!C11</f>
        <v/>
      </c>
      <c r="E55" s="21" t="str">
        <f>IF(Gulshan_Ravi!C11&lt;&gt;"",HYPERLINK("tel:"&amp;SUBSTITUTE(SUBSTITUTE(Gulshan_Ravi!C11,"+","+")," ",""),"📞"),"")</f>
        <v/>
      </c>
      <c r="F55" s="21" t="str">
        <f>IF(Gulshan_Ravi!C11&lt;&gt;"",HYPERLINK("https://wa.me/"&amp;SUBSTITUTE(SUBSTITUTE(Gulshan_Ravi!C11,"+","")," ",""),"💬"),"")</f>
        <v/>
      </c>
      <c r="G55" s="21">
        <f>Gulshan_Ravi!CE11</f>
        <v>8</v>
      </c>
      <c r="H55" s="21">
        <f>Gulshan_Ravi!CF11</f>
        <v>4</v>
      </c>
      <c r="I55" s="21">
        <f>Gulshan_Ravi!CG11</f>
        <v>5</v>
      </c>
      <c r="J55" s="21" t="str">
        <f>Gulshan_Ravi!CH11</f>
        <v>67%</v>
      </c>
      <c r="K55" s="21">
        <f>COUNTA(Gulshan_Ravi!I11:CD11)-COUNTIF(Gulshan_Ravi!I11:CD11,"OFF")</f>
        <v>72</v>
      </c>
      <c r="L55" s="21" t="str">
        <f t="shared" si="5"/>
        <v>🟠 Average</v>
      </c>
    </row>
    <row r="56" ht="19.5" customHeight="1">
      <c r="A56" s="34">
        <v>32.0</v>
      </c>
      <c r="B56" s="34" t="s">
        <v>26</v>
      </c>
      <c r="C56" s="35" t="str">
        <f>Gulshan_Ravi!B12</f>
        <v>Abdullah Qasim</v>
      </c>
      <c r="D56" s="37" t="str">
        <f>Gulshan_Ravi!C12</f>
        <v/>
      </c>
      <c r="E56" s="34" t="str">
        <f>IF(Gulshan_Ravi!C12&lt;&gt;"",HYPERLINK("tel:"&amp;SUBSTITUTE(SUBSTITUTE(Gulshan_Ravi!C12,"+","+")," ",""),"📞"),"")</f>
        <v/>
      </c>
      <c r="F56" s="34" t="str">
        <f>IF(Gulshan_Ravi!C12&lt;&gt;"",HYPERLINK("https://wa.me/"&amp;SUBSTITUTE(SUBSTITUTE(Gulshan_Ravi!C12,"+","")," ",""),"💬"),"")</f>
        <v/>
      </c>
      <c r="G56" s="34">
        <f>Gulshan_Ravi!CE12</f>
        <v>12</v>
      </c>
      <c r="H56" s="34">
        <f>Gulshan_Ravi!CF12</f>
        <v>2</v>
      </c>
      <c r="I56" s="34">
        <f>Gulshan_Ravi!CG12</f>
        <v>3</v>
      </c>
      <c r="J56" s="34" t="str">
        <f>Gulshan_Ravi!CH12</f>
        <v>86%</v>
      </c>
      <c r="K56" s="34">
        <f>COUNTA(Gulshan_Ravi!I12:CD12)-COUNTIF(Gulshan_Ravi!I12:CD12,"OFF")</f>
        <v>72</v>
      </c>
      <c r="L56" s="34" t="str">
        <f t="shared" si="5"/>
        <v>🟡 Good</v>
      </c>
    </row>
    <row r="57" ht="19.5" customHeight="1">
      <c r="A57" s="21">
        <v>33.0</v>
      </c>
      <c r="B57" s="21" t="s">
        <v>26</v>
      </c>
      <c r="C57" s="25" t="str">
        <f>Gulshan_Ravi!B13</f>
        <v>Usarim</v>
      </c>
      <c r="D57" s="27" t="str">
        <f>Gulshan_Ravi!C13</f>
        <v/>
      </c>
      <c r="E57" s="21" t="str">
        <f>IF(Gulshan_Ravi!C13&lt;&gt;"",HYPERLINK("tel:"&amp;SUBSTITUTE(SUBSTITUTE(Gulshan_Ravi!C13,"+","+")," ",""),"📞"),"")</f>
        <v/>
      </c>
      <c r="F57" s="21" t="str">
        <f>IF(Gulshan_Ravi!C13&lt;&gt;"",HYPERLINK("https://wa.me/"&amp;SUBSTITUTE(SUBSTITUTE(Gulshan_Ravi!C13,"+","")," ",""),"💬"),"")</f>
        <v/>
      </c>
      <c r="G57" s="21">
        <f>Gulshan_Ravi!CE13</f>
        <v>11</v>
      </c>
      <c r="H57" s="21">
        <f>Gulshan_Ravi!CF13</f>
        <v>1</v>
      </c>
      <c r="I57" s="21">
        <f>Gulshan_Ravi!CG13</f>
        <v>5</v>
      </c>
      <c r="J57" s="21" t="str">
        <f>Gulshan_Ravi!CH13</f>
        <v>92%</v>
      </c>
      <c r="K57" s="21">
        <f>COUNTA(Gulshan_Ravi!I13:CD13)-COUNTIF(Gulshan_Ravi!I13:CD13,"OFF")</f>
        <v>72</v>
      </c>
      <c r="L57" s="21" t="str">
        <f t="shared" si="5"/>
        <v>✅ Excellent</v>
      </c>
    </row>
    <row r="58" ht="19.5" customHeight="1">
      <c r="A58" s="34">
        <v>34.0</v>
      </c>
      <c r="B58" s="34" t="s">
        <v>26</v>
      </c>
      <c r="C58" s="35" t="str">
        <f>Gulshan_Ravi!B14</f>
        <v>AbuBakr</v>
      </c>
      <c r="D58" s="37" t="str">
        <f>Gulshan_Ravi!C14</f>
        <v/>
      </c>
      <c r="E58" s="34" t="str">
        <f>IF(Gulshan_Ravi!C14&lt;&gt;"",HYPERLINK("tel:"&amp;SUBSTITUTE(SUBSTITUTE(Gulshan_Ravi!C14,"+","+")," ",""),"📞"),"")</f>
        <v/>
      </c>
      <c r="F58" s="34" t="str">
        <f>IF(Gulshan_Ravi!C14&lt;&gt;"",HYPERLINK("https://wa.me/"&amp;SUBSTITUTE(SUBSTITUTE(Gulshan_Ravi!C14,"+","")," ",""),"💬"),"")</f>
        <v/>
      </c>
      <c r="G58" s="34">
        <f>Gulshan_Ravi!CE14</f>
        <v>3</v>
      </c>
      <c r="H58" s="34">
        <f>Gulshan_Ravi!CF14</f>
        <v>12</v>
      </c>
      <c r="I58" s="34">
        <f>Gulshan_Ravi!CG14</f>
        <v>2</v>
      </c>
      <c r="J58" s="34" t="str">
        <f>Gulshan_Ravi!CH14</f>
        <v>20%</v>
      </c>
      <c r="K58" s="34">
        <f>COUNTA(Gulshan_Ravi!I14:CD14)-COUNTIF(Gulshan_Ravi!I14:CD14,"OFF")</f>
        <v>72</v>
      </c>
      <c r="L58" s="34" t="str">
        <f t="shared" si="5"/>
        <v>🔴 Low</v>
      </c>
    </row>
    <row r="59" ht="19.5" customHeight="1">
      <c r="A59" s="21">
        <v>35.0</v>
      </c>
      <c r="B59" s="21" t="s">
        <v>26</v>
      </c>
      <c r="C59" s="25" t="str">
        <f>Gulshan_Ravi!B15</f>
        <v>Hafiz Ubaidullah Zahid</v>
      </c>
      <c r="D59" s="27" t="str">
        <f>Gulshan_Ravi!C15</f>
        <v/>
      </c>
      <c r="E59" s="21" t="str">
        <f>IF(Gulshan_Ravi!C15&lt;&gt;"",HYPERLINK("tel:"&amp;SUBSTITUTE(SUBSTITUTE(Gulshan_Ravi!C15,"+","+")," ",""),"📞"),"")</f>
        <v/>
      </c>
      <c r="F59" s="21" t="str">
        <f>IF(Gulshan_Ravi!C15&lt;&gt;"",HYPERLINK("https://wa.me/"&amp;SUBSTITUTE(SUBSTITUTE(Gulshan_Ravi!C15,"+","")," ",""),"💬"),"")</f>
        <v/>
      </c>
      <c r="G59" s="21">
        <f>Gulshan_Ravi!CE15</f>
        <v>9</v>
      </c>
      <c r="H59" s="21">
        <f>Gulshan_Ravi!CF15</f>
        <v>3</v>
      </c>
      <c r="I59" s="21">
        <f>Gulshan_Ravi!CG15</f>
        <v>2</v>
      </c>
      <c r="J59" s="21" t="str">
        <f>Gulshan_Ravi!CH15</f>
        <v>75%</v>
      </c>
      <c r="K59" s="21">
        <f>COUNTA(Gulshan_Ravi!I15:CD15)-COUNTIF(Gulshan_Ravi!I15:CD15,"OFF")</f>
        <v>72</v>
      </c>
      <c r="L59" s="21" t="str">
        <f t="shared" si="5"/>
        <v>🟡 Good</v>
      </c>
    </row>
    <row r="60" ht="19.5" customHeight="1">
      <c r="A60" s="34">
        <v>36.0</v>
      </c>
      <c r="B60" s="34" t="s">
        <v>26</v>
      </c>
      <c r="C60" s="35" t="str">
        <f>Gulshan_Ravi!B16</f>
        <v>Hafiz Abdul Hadi Zahid</v>
      </c>
      <c r="D60" s="37" t="str">
        <f>Gulshan_Ravi!C16</f>
        <v/>
      </c>
      <c r="E60" s="34" t="str">
        <f>IF(Gulshan_Ravi!C16&lt;&gt;"",HYPERLINK("tel:"&amp;SUBSTITUTE(SUBSTITUTE(Gulshan_Ravi!C16,"+","+")," ",""),"📞"),"")</f>
        <v/>
      </c>
      <c r="F60" s="34" t="str">
        <f>IF(Gulshan_Ravi!C16&lt;&gt;"",HYPERLINK("https://wa.me/"&amp;SUBSTITUTE(SUBSTITUTE(Gulshan_Ravi!C16,"+","")," ",""),"💬"),"")</f>
        <v/>
      </c>
      <c r="G60" s="34">
        <f>Gulshan_Ravi!CE16</f>
        <v>10</v>
      </c>
      <c r="H60" s="34">
        <f>Gulshan_Ravi!CF16</f>
        <v>2</v>
      </c>
      <c r="I60" s="34">
        <f>Gulshan_Ravi!CG16</f>
        <v>2</v>
      </c>
      <c r="J60" s="34" t="str">
        <f>Gulshan_Ravi!CH16</f>
        <v>83%</v>
      </c>
      <c r="K60" s="34">
        <f>COUNTA(Gulshan_Ravi!I16:CD16)-COUNTIF(Gulshan_Ravi!I16:CD16,"OFF")</f>
        <v>72</v>
      </c>
      <c r="L60" s="34" t="str">
        <f t="shared" si="5"/>
        <v>🟡 Good</v>
      </c>
    </row>
    <row r="61" ht="19.5" customHeight="1">
      <c r="A61" s="21">
        <v>37.0</v>
      </c>
      <c r="B61" s="21" t="s">
        <v>26</v>
      </c>
      <c r="C61" s="25" t="str">
        <f>Gulshan_Ravi!B17</f>
        <v>Ayan</v>
      </c>
      <c r="D61" s="27" t="str">
        <f>Gulshan_Ravi!C17</f>
        <v/>
      </c>
      <c r="E61" s="21" t="str">
        <f>IF(Gulshan_Ravi!C17&lt;&gt;"",HYPERLINK("tel:"&amp;SUBSTITUTE(SUBSTITUTE(Gulshan_Ravi!C17,"+","+")," ",""),"📞"),"")</f>
        <v/>
      </c>
      <c r="F61" s="21" t="str">
        <f>IF(Gulshan_Ravi!C17&lt;&gt;"",HYPERLINK("https://wa.me/"&amp;SUBSTITUTE(SUBSTITUTE(Gulshan_Ravi!C17,"+","")," ",""),"💬"),"")</f>
        <v/>
      </c>
      <c r="G61" s="21">
        <f>Gulshan_Ravi!CE17</f>
        <v>11</v>
      </c>
      <c r="H61" s="21">
        <f>Gulshan_Ravi!CF17</f>
        <v>1</v>
      </c>
      <c r="I61" s="21">
        <f>Gulshan_Ravi!CG17</f>
        <v>0</v>
      </c>
      <c r="J61" s="21" t="str">
        <f>Gulshan_Ravi!CH17</f>
        <v>92%</v>
      </c>
      <c r="K61" s="21">
        <f>COUNTA(Gulshan_Ravi!I17:CD17)-COUNTIF(Gulshan_Ravi!I17:CD17,"OFF")</f>
        <v>72</v>
      </c>
      <c r="L61" s="21" t="str">
        <f t="shared" si="5"/>
        <v>✅ Excellent</v>
      </c>
    </row>
    <row r="62" ht="19.5" customHeight="1">
      <c r="A62" s="63">
        <f>IF(Gulshan_Ravi!B18&lt;&gt;"",10,"")</f>
        <v>10</v>
      </c>
      <c r="B62" s="63" t="str">
        <f>IF(Gulshan_Ravi!B18&lt;&gt;"","Gulshan Ravi","")</f>
        <v>Gulshan Ravi</v>
      </c>
      <c r="C62" s="65" t="str">
        <f>IF(Gulshan_Ravi!B18&lt;&gt;"",Gulshan_Ravi!B18,"")</f>
        <v>Mahd</v>
      </c>
      <c r="D62" s="63" t="str">
        <f>IF(Gulshan_Ravi!B18&lt;&gt;"",Gulshan_Ravi!C18,"")</f>
        <v/>
      </c>
      <c r="E62" s="63" t="str">
        <f>IF(Gulshan_Ravi!B18&lt;&gt;"",HYPERLINK("tel:"&amp;SUBSTITUTE(SUBSTITUTE(Gulshan_Ravi!C18,"+","+")," ",""),"📞"),"")</f>
        <v>📞</v>
      </c>
      <c r="F62" s="66" t="str">
        <f>IF(Gulshan_Ravi!B18&lt;&gt;"",HYPERLINK("https://wa.me/"&amp;SUBSTITUTE(SUBSTITUTE(Gulshan_Ravi!C18,"+","")," ",""),"💬"),"")</f>
        <v>💬</v>
      </c>
      <c r="G62" s="63">
        <f>IF(Gulshan_Ravi!B18&lt;&gt;"",Gulshan_Ravi!CE18,"")</f>
        <v>2</v>
      </c>
      <c r="H62" s="63">
        <f>IF(Gulshan_Ravi!B18&lt;&gt;"",Gulshan_Ravi!CF18,"")</f>
        <v>3</v>
      </c>
      <c r="I62" s="63">
        <f>IF(Gulshan_Ravi!B18&lt;&gt;"",Gulshan_Ravi!CG18,"")</f>
        <v>0</v>
      </c>
      <c r="J62" s="63" t="str">
        <f>IF(Gulshan_Ravi!B18&lt;&gt;"",Gulshan_Ravi!CH18,"")</f>
        <v>40%</v>
      </c>
      <c r="K62" s="63">
        <f>IF(Gulshan_Ravi!B18&lt;&gt;"",COUNTA(Gulshan_Ravi!I18:CD18)-COUNTIF(Gulshan_Ravi!I18:CD18,"OFF"),"")</f>
        <v>73</v>
      </c>
      <c r="L62" s="63" t="str">
        <f>IF(Gulshan_Ravi!B18="","",IF(G62+H62=0,"No Data",IF(G62/(G62+H62)&gt;=0.9,"✅ Excellent",IF(G62/(G62+H62)&gt;=0.75,"🟡 Good",IF(G62/(G62+H62)&gt;=0.6,"🟠 Average","🔴 Low")))))</f>
        <v>🔴 Low</v>
      </c>
    </row>
    <row r="63" ht="19.5" customHeight="1">
      <c r="A63" s="63" t="str">
        <f>IF(Gulshan_Ravi!B19&lt;&gt;"",11,"")</f>
        <v/>
      </c>
      <c r="B63" s="63" t="str">
        <f>IF(Gulshan_Ravi!B19&lt;&gt;"","Gulshan Ravi","")</f>
        <v/>
      </c>
      <c r="C63" s="65" t="str">
        <f>IF(Gulshan_Ravi!B19&lt;&gt;"",Gulshan_Ravi!B19,"")</f>
        <v/>
      </c>
      <c r="D63" s="63" t="str">
        <f>IF(Gulshan_Ravi!B19&lt;&gt;"",Gulshan_Ravi!C19,"")</f>
        <v/>
      </c>
      <c r="E63" s="63" t="str">
        <f>IF(Gulshan_Ravi!B19&lt;&gt;"",HYPERLINK("tel:"&amp;SUBSTITUTE(SUBSTITUTE(Gulshan_Ravi!C19,"+","+")," ",""),"📞"),"")</f>
        <v/>
      </c>
      <c r="F63" s="63" t="str">
        <f>IF(Gulshan_Ravi!B19&lt;&gt;"",HYPERLINK("https://wa.me/"&amp;SUBSTITUTE(SUBSTITUTE(Gulshan_Ravi!C19,"+","")," ",""),"💬"),"")</f>
        <v/>
      </c>
      <c r="G63" s="63" t="str">
        <f>IF(Gulshan_Ravi!B19&lt;&gt;"",Gulshan_Ravi!CE19,"")</f>
        <v/>
      </c>
      <c r="H63" s="63" t="str">
        <f>IF(Gulshan_Ravi!B19&lt;&gt;"",Gulshan_Ravi!CF19,"")</f>
        <v/>
      </c>
      <c r="I63" s="63" t="str">
        <f>IF(Gulshan_Ravi!B19&lt;&gt;"",Gulshan_Ravi!CG19,"")</f>
        <v/>
      </c>
      <c r="J63" s="63" t="str">
        <f>IF(Gulshan_Ravi!B19&lt;&gt;"",Gulshan_Ravi!CH19,"")</f>
        <v/>
      </c>
      <c r="K63" s="63" t="str">
        <f>IF(Gulshan_Ravi!B19&lt;&gt;"",COUNTA(Gulshan_Ravi!I19:CD19)-COUNTIF(Gulshan_Ravi!I19:CD19,"OFF"),"")</f>
        <v/>
      </c>
      <c r="L63" s="63" t="str">
        <f>IF(Gulshan_Ravi!B19="","",IF(G63+H63=0,"No Data",IF(G63/(G63+H63)&gt;=0.9,"✅ Excellent",IF(G63/(G63+H63)&gt;=0.75,"🟡 Good",IF(G63/(G63+H63)&gt;=0.6,"🟠 Average","🔴 Low")))))</f>
        <v/>
      </c>
    </row>
    <row r="64" ht="19.5" customHeight="1">
      <c r="A64" s="63" t="str">
        <f>IF(Gulshan_Ravi!B20&lt;&gt;"",12,"")</f>
        <v/>
      </c>
      <c r="B64" s="63" t="str">
        <f>IF(Gulshan_Ravi!B20&lt;&gt;"","Gulshan Ravi","")</f>
        <v/>
      </c>
      <c r="C64" s="65" t="str">
        <f>IF(Gulshan_Ravi!B20&lt;&gt;"",Gulshan_Ravi!B20,"")</f>
        <v/>
      </c>
      <c r="D64" s="63" t="str">
        <f>IF(Gulshan_Ravi!B20&lt;&gt;"",Gulshan_Ravi!C20,"")</f>
        <v/>
      </c>
      <c r="E64" s="63" t="str">
        <f>IF(Gulshan_Ravi!B20&lt;&gt;"",HYPERLINK("tel:"&amp;SUBSTITUTE(SUBSTITUTE(Gulshan_Ravi!C20,"+","+")," ",""),"📞"),"")</f>
        <v/>
      </c>
      <c r="F64" s="63" t="str">
        <f>IF(Gulshan_Ravi!B20&lt;&gt;"",HYPERLINK("https://wa.me/"&amp;SUBSTITUTE(SUBSTITUTE(Gulshan_Ravi!C20,"+","")," ",""),"💬"),"")</f>
        <v/>
      </c>
      <c r="G64" s="63" t="str">
        <f>IF(Gulshan_Ravi!B20&lt;&gt;"",Gulshan_Ravi!CE20,"")</f>
        <v/>
      </c>
      <c r="H64" s="63" t="str">
        <f>IF(Gulshan_Ravi!B20&lt;&gt;"",Gulshan_Ravi!CF20,"")</f>
        <v/>
      </c>
      <c r="I64" s="63" t="str">
        <f>IF(Gulshan_Ravi!B20&lt;&gt;"",Gulshan_Ravi!CG20,"")</f>
        <v/>
      </c>
      <c r="J64" s="63" t="str">
        <f>IF(Gulshan_Ravi!B20&lt;&gt;"",Gulshan_Ravi!CH20,"")</f>
        <v/>
      </c>
      <c r="K64" s="63" t="str">
        <f>IF(Gulshan_Ravi!B20&lt;&gt;"",COUNTA(Gulshan_Ravi!I20:CD20)-COUNTIF(Gulshan_Ravi!I20:CD20,"OFF"),"")</f>
        <v/>
      </c>
      <c r="L64" s="63" t="str">
        <f>IF(Gulshan_Ravi!B20="","",IF(G64+H64=0,"No Data",IF(G64/(G64+H64)&gt;=0.9,"✅ Excellent",IF(G64/(G64+H64)&gt;=0.75,"🟡 Good",IF(G64/(G64+H64)&gt;=0.6,"🟠 Average","🔴 Low")))))</f>
        <v/>
      </c>
    </row>
    <row r="65" ht="15.75" customHeight="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</row>
    <row r="66" ht="19.5" customHeight="1">
      <c r="A66" s="8" t="str">
        <f>"▶  State Life  — "&amp;SUMPRODUCT((LEN(C67:C73)&gt;0)*1)&amp;" Murabbis"</f>
        <v>▶  State Life  — 4 Murabbis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3"/>
    </row>
    <row r="67" ht="19.5" customHeight="1">
      <c r="A67" s="21">
        <v>38.0</v>
      </c>
      <c r="B67" s="21" t="s">
        <v>30</v>
      </c>
      <c r="C67" s="25" t="str">
        <f>State_Life!B9</f>
        <v>Hanzala Sarfaraz</v>
      </c>
      <c r="D67" s="27" t="str">
        <f>State_Life!C9</f>
        <v/>
      </c>
      <c r="E67" s="21" t="str">
        <f>IF(State_Life!C9&lt;&gt;"",HYPERLINK("tel:"&amp;SUBSTITUTE(SUBSTITUTE(State_Life!C9,"+","+")," ",""),"📞"),"")</f>
        <v/>
      </c>
      <c r="F67" s="21" t="str">
        <f>IF(State_Life!C9&lt;&gt;"",HYPERLINK("https://wa.me/"&amp;SUBSTITUTE(SUBSTITUTE(State_Life!C9,"+","")," ",""),"💬"),"")</f>
        <v/>
      </c>
      <c r="G67" s="21">
        <f>State_Life!CE9</f>
        <v>17</v>
      </c>
      <c r="H67" s="21">
        <f>State_Life!CF9</f>
        <v>0</v>
      </c>
      <c r="I67" s="21">
        <f>State_Life!CG9</f>
        <v>2</v>
      </c>
      <c r="J67" s="21" t="str">
        <f>State_Life!CH9</f>
        <v>100%</v>
      </c>
      <c r="K67" s="21">
        <f>COUNTA(State_Life!I9:CD9)-COUNTIF(State_Life!I9:CD9,"OFF")</f>
        <v>72</v>
      </c>
      <c r="L67" s="21" t="str">
        <f t="shared" ref="L67:L70" si="6">IF(G67+H67=0,"No Data",IF(G67/(G67+H67)&gt;=0.9,"✅ Excellent",IF(G67/(G67+H67)&gt;=0.75,"🟡 Good",IF(G67/(G67+H67)&gt;=0.6,"🟠 Average","🔴 Low"))))</f>
        <v>✅ Excellent</v>
      </c>
    </row>
    <row r="68" ht="19.5" customHeight="1">
      <c r="A68" s="34">
        <v>39.0</v>
      </c>
      <c r="B68" s="34" t="s">
        <v>30</v>
      </c>
      <c r="C68" s="35" t="str">
        <f>State_Life!B10</f>
        <v>Molana Asakir</v>
      </c>
      <c r="D68" s="37" t="str">
        <f>State_Life!C10</f>
        <v/>
      </c>
      <c r="E68" s="34" t="str">
        <f>IF(State_Life!C10&lt;&gt;"",HYPERLINK("tel:"&amp;SUBSTITUTE(SUBSTITUTE(State_Life!C10,"+","+")," ",""),"📞"),"")</f>
        <v/>
      </c>
      <c r="F68" s="34" t="str">
        <f>IF(State_Life!C10&lt;&gt;"",HYPERLINK("https://wa.me/"&amp;SUBSTITUTE(SUBSTITUTE(State_Life!C10,"+","")," ",""),"💬"),"")</f>
        <v/>
      </c>
      <c r="G68" s="34">
        <f>State_Life!CE10</f>
        <v>3</v>
      </c>
      <c r="H68" s="34">
        <f>State_Life!CF10</f>
        <v>3</v>
      </c>
      <c r="I68" s="34">
        <f>State_Life!CG10</f>
        <v>0</v>
      </c>
      <c r="J68" s="34" t="str">
        <f>State_Life!CH10</f>
        <v>50%</v>
      </c>
      <c r="K68" s="34">
        <f>COUNTA(State_Life!I10:CD10)-COUNTIF(State_Life!I10:CD10,"OFF")</f>
        <v>72</v>
      </c>
      <c r="L68" s="34" t="str">
        <f t="shared" si="6"/>
        <v>🔴 Low</v>
      </c>
    </row>
    <row r="69" ht="19.5" customHeight="1">
      <c r="A69" s="21">
        <v>40.0</v>
      </c>
      <c r="B69" s="21" t="s">
        <v>30</v>
      </c>
      <c r="C69" s="25" t="str">
        <f>State_Life!B11</f>
        <v>Faizan Ali</v>
      </c>
      <c r="D69" s="27" t="str">
        <f>State_Life!C11</f>
        <v/>
      </c>
      <c r="E69" s="21" t="str">
        <f>IF(State_Life!C11&lt;&gt;"",HYPERLINK("tel:"&amp;SUBSTITUTE(SUBSTITUTE(State_Life!C11,"+","+")," ",""),"📞"),"")</f>
        <v/>
      </c>
      <c r="F69" s="21" t="str">
        <f>IF(State_Life!C11&lt;&gt;"",HYPERLINK("https://wa.me/"&amp;SUBSTITUTE(SUBSTITUTE(State_Life!C11,"+","")," ",""),"💬"),"")</f>
        <v/>
      </c>
      <c r="G69" s="21">
        <f>State_Life!CE11</f>
        <v>17</v>
      </c>
      <c r="H69" s="21">
        <f>State_Life!CF11</f>
        <v>1</v>
      </c>
      <c r="I69" s="21">
        <f>State_Life!CG11</f>
        <v>0</v>
      </c>
      <c r="J69" s="21" t="str">
        <f>State_Life!CH11</f>
        <v>94%</v>
      </c>
      <c r="K69" s="21">
        <f>COUNTA(State_Life!I11:CD11)-COUNTIF(State_Life!I11:CD11,"OFF")</f>
        <v>72</v>
      </c>
      <c r="L69" s="21" t="str">
        <f t="shared" si="6"/>
        <v>✅ Excellent</v>
      </c>
    </row>
    <row r="70" ht="19.5" customHeight="1">
      <c r="A70" s="34">
        <v>41.0</v>
      </c>
      <c r="B70" s="34" t="s">
        <v>30</v>
      </c>
      <c r="C70" s="35" t="str">
        <f>State_Life!B12</f>
        <v>Huzaifa Sarfaraz</v>
      </c>
      <c r="D70" s="37" t="str">
        <f>State_Life!C12</f>
        <v/>
      </c>
      <c r="E70" s="34" t="str">
        <f>IF(State_Life!C12&lt;&gt;"",HYPERLINK("tel:"&amp;SUBSTITUTE(SUBSTITUTE(State_Life!C12,"+","+")," ",""),"📞"),"")</f>
        <v/>
      </c>
      <c r="F70" s="34" t="str">
        <f>IF(State_Life!C12&lt;&gt;"",HYPERLINK("https://wa.me/"&amp;SUBSTITUTE(SUBSTITUTE(State_Life!C12,"+","")," ",""),"💬"),"")</f>
        <v/>
      </c>
      <c r="G70" s="34">
        <f>State_Life!CE12</f>
        <v>12</v>
      </c>
      <c r="H70" s="34">
        <f>State_Life!CF12</f>
        <v>0</v>
      </c>
      <c r="I70" s="34">
        <f>State_Life!CG12</f>
        <v>7</v>
      </c>
      <c r="J70" s="34" t="str">
        <f>State_Life!CH12</f>
        <v>100%</v>
      </c>
      <c r="K70" s="34">
        <f>COUNTA(State_Life!I12:CD12)-COUNTIF(State_Life!I12:CD12,"OFF")</f>
        <v>72</v>
      </c>
      <c r="L70" s="34" t="str">
        <f t="shared" si="6"/>
        <v>✅ Excellent</v>
      </c>
    </row>
    <row r="71" ht="19.5" customHeight="1">
      <c r="A71" s="63" t="str">
        <f>IF(State_Life!B13&lt;&gt;"",5,"")</f>
        <v/>
      </c>
      <c r="B71" s="63" t="str">
        <f>IF(State_Life!B13&lt;&gt;"","State Life","")</f>
        <v/>
      </c>
      <c r="C71" s="65" t="str">
        <f>IF(State_Life!B13&lt;&gt;"",State_Life!B13,"")</f>
        <v/>
      </c>
      <c r="D71" s="63" t="str">
        <f>IF(State_Life!B13&lt;&gt;"",State_Life!C13,"")</f>
        <v/>
      </c>
      <c r="E71" s="63" t="str">
        <f>IF(State_Life!B13&lt;&gt;"",HYPERLINK("tel:"&amp;SUBSTITUTE(SUBSTITUTE(State_Life!C13,"+","+")," ",""),"📞"),"")</f>
        <v/>
      </c>
      <c r="F71" s="63" t="str">
        <f>IF(State_Life!B13&lt;&gt;"",HYPERLINK("https://wa.me/"&amp;SUBSTITUTE(SUBSTITUTE(State_Life!C13,"+","")," ",""),"💬"),"")</f>
        <v/>
      </c>
      <c r="G71" s="63" t="str">
        <f>IF(State_Life!B13&lt;&gt;"",State_Life!CE13,"")</f>
        <v/>
      </c>
      <c r="H71" s="63" t="str">
        <f>IF(State_Life!B13&lt;&gt;"",State_Life!CF13,"")</f>
        <v/>
      </c>
      <c r="I71" s="63" t="str">
        <f>IF(State_Life!B13&lt;&gt;"",State_Life!CG13,"")</f>
        <v/>
      </c>
      <c r="J71" s="63" t="str">
        <f>IF(State_Life!B13&lt;&gt;"",State_Life!CH13,"")</f>
        <v/>
      </c>
      <c r="K71" s="63" t="str">
        <f>IF(State_Life!B13&lt;&gt;"",COUNTA(State_Life!I13:CD13)-COUNTIF(State_Life!I13:CD13,"OFF"),"")</f>
        <v/>
      </c>
      <c r="L71" s="63" t="str">
        <f>IF(State_Life!B13="","",IF(G71+H71=0,"No Data",IF(G71/(G71+H71)&gt;=0.9,"✅ Excellent",IF(G71/(G71+H71)&gt;=0.75,"🟡 Good",IF(G71/(G71+H71)&gt;=0.6,"🟠 Average","🔴 Low")))))</f>
        <v/>
      </c>
    </row>
    <row r="72" ht="19.5" customHeight="1">
      <c r="A72" s="63" t="str">
        <f>IF(State_Life!B14&lt;&gt;"",6,"")</f>
        <v/>
      </c>
      <c r="B72" s="63" t="str">
        <f>IF(State_Life!B14&lt;&gt;"","State Life","")</f>
        <v/>
      </c>
      <c r="C72" s="65" t="str">
        <f>IF(State_Life!B14&lt;&gt;"",State_Life!B14,"")</f>
        <v/>
      </c>
      <c r="D72" s="63" t="str">
        <f>IF(State_Life!B14&lt;&gt;"",State_Life!C14,"")</f>
        <v/>
      </c>
      <c r="E72" s="63" t="str">
        <f>IF(State_Life!B14&lt;&gt;"",HYPERLINK("tel:"&amp;SUBSTITUTE(SUBSTITUTE(State_Life!C14,"+","+")," ",""),"📞"),"")</f>
        <v/>
      </c>
      <c r="F72" s="63" t="str">
        <f>IF(State_Life!B14&lt;&gt;"",HYPERLINK("https://wa.me/"&amp;SUBSTITUTE(SUBSTITUTE(State_Life!C14,"+","")," ",""),"💬"),"")</f>
        <v/>
      </c>
      <c r="G72" s="63" t="str">
        <f>IF(State_Life!B14&lt;&gt;"",State_Life!CE14,"")</f>
        <v/>
      </c>
      <c r="H72" s="63" t="str">
        <f>IF(State_Life!B14&lt;&gt;"",State_Life!CF14,"")</f>
        <v/>
      </c>
      <c r="I72" s="63" t="str">
        <f>IF(State_Life!B14&lt;&gt;"",State_Life!CG14,"")</f>
        <v/>
      </c>
      <c r="J72" s="63" t="str">
        <f>IF(State_Life!B14&lt;&gt;"",State_Life!CH14,"")</f>
        <v/>
      </c>
      <c r="K72" s="63" t="str">
        <f>IF(State_Life!B14&lt;&gt;"",COUNTA(State_Life!I14:CD14)-COUNTIF(State_Life!I14:CD14,"OFF"),"")</f>
        <v/>
      </c>
      <c r="L72" s="63" t="str">
        <f>IF(State_Life!B14="","",IF(G72+H72=0,"No Data",IF(G72/(G72+H72)&gt;=0.9,"✅ Excellent",IF(G72/(G72+H72)&gt;=0.75,"🟡 Good",IF(G72/(G72+H72)&gt;=0.6,"🟠 Average","🔴 Low")))))</f>
        <v/>
      </c>
    </row>
    <row r="73" ht="19.5" customHeight="1">
      <c r="A73" s="63" t="str">
        <f>IF(State_Life!B15&lt;&gt;"",7,"")</f>
        <v/>
      </c>
      <c r="B73" s="63" t="str">
        <f>IF(State_Life!B15&lt;&gt;"","State Life","")</f>
        <v/>
      </c>
      <c r="C73" s="65" t="str">
        <f>IF(State_Life!B15&lt;&gt;"",State_Life!B15,"")</f>
        <v/>
      </c>
      <c r="D73" s="63" t="str">
        <f>IF(State_Life!B15&lt;&gt;"",State_Life!C15,"")</f>
        <v/>
      </c>
      <c r="E73" s="63" t="str">
        <f>IF(State_Life!B15&lt;&gt;"",HYPERLINK("tel:"&amp;SUBSTITUTE(SUBSTITUTE(State_Life!C15,"+","+")," ",""),"📞"),"")</f>
        <v/>
      </c>
      <c r="F73" s="63" t="str">
        <f>IF(State_Life!B15&lt;&gt;"",HYPERLINK("https://wa.me/"&amp;SUBSTITUTE(SUBSTITUTE(State_Life!C15,"+","")," ",""),"💬"),"")</f>
        <v/>
      </c>
      <c r="G73" s="63" t="str">
        <f>IF(State_Life!B15&lt;&gt;"",State_Life!CE15,"")</f>
        <v/>
      </c>
      <c r="H73" s="63" t="str">
        <f>IF(State_Life!B15&lt;&gt;"",State_Life!CF15,"")</f>
        <v/>
      </c>
      <c r="I73" s="63" t="str">
        <f>IF(State_Life!B15&lt;&gt;"",State_Life!CG15,"")</f>
        <v/>
      </c>
      <c r="J73" s="63" t="str">
        <f>IF(State_Life!B15&lt;&gt;"",State_Life!CH15,"")</f>
        <v/>
      </c>
      <c r="K73" s="63" t="str">
        <f>IF(State_Life!B15&lt;&gt;"",COUNTA(State_Life!I15:CD15)-COUNTIF(State_Life!I15:CD15,"OFF"),"")</f>
        <v/>
      </c>
      <c r="L73" s="63" t="str">
        <f>IF(State_Life!B15="","",IF(G73+H73=0,"No Data",IF(G73/(G73+H73)&gt;=0.9,"✅ Excellent",IF(G73/(G73+H73)&gt;=0.75,"🟡 Good",IF(G73/(G73+H73)&gt;=0.6,"🟠 Average","🔴 Low")))))</f>
        <v/>
      </c>
    </row>
    <row r="74" ht="15.75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</row>
    <row r="75" ht="21.75" customHeight="1">
      <c r="A75" s="83" t="str">
        <f>"TOTAL MURABBIS: "&amp;SUMPRODUCT((LEN(C5:C73)&gt;0)*1)</f>
        <v>TOTAL MURABBIS: 51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3"/>
    </row>
    <row r="76" ht="15.75" customHeight="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</row>
    <row r="77" ht="15.75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</row>
    <row r="78" ht="15.75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</row>
    <row r="79" ht="15.75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</row>
    <row r="80" ht="15.75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</row>
    <row r="81" ht="15.75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</row>
    <row r="82" ht="15.75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</row>
    <row r="83" ht="15.75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</row>
    <row r="84" ht="15.75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</row>
    <row r="85" ht="15.75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</row>
    <row r="86" ht="15.75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</row>
    <row r="87" ht="15.75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</row>
    <row r="88" ht="15.75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</row>
    <row r="89" ht="15.75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</row>
    <row r="90" ht="15.75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</row>
    <row r="91" ht="15.75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</row>
    <row r="92" ht="15.75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</row>
    <row r="93" ht="15.75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</row>
    <row r="94" ht="15.75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</row>
    <row r="95" ht="15.75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</row>
    <row r="96" ht="15.75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</row>
    <row r="97" ht="15.75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</row>
    <row r="98" ht="15.75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</row>
    <row r="99" ht="15.75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</row>
    <row r="100" ht="15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</row>
    <row r="101" ht="15.7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</row>
    <row r="102" ht="15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</row>
    <row r="103" ht="15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</row>
    <row r="104" ht="15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</row>
    <row r="105" ht="15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</row>
    <row r="106" ht="15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</row>
    <row r="107" ht="15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</row>
    <row r="108" ht="15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</row>
    <row r="109" ht="15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</row>
    <row r="110" ht="15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</row>
    <row r="111" ht="15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</row>
    <row r="112" ht="15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</row>
    <row r="113" ht="15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</row>
    <row r="114" ht="15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</row>
    <row r="115" ht="15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</row>
    <row r="116" ht="15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</row>
    <row r="117" ht="15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</row>
    <row r="118" ht="15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</row>
    <row r="119" ht="15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</row>
    <row r="120" ht="15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</row>
    <row r="121" ht="15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</row>
    <row r="122" ht="15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</row>
    <row r="123" ht="15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</row>
    <row r="124" ht="15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</row>
    <row r="125" ht="15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</row>
    <row r="126" ht="15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</row>
    <row r="127" ht="15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</row>
    <row r="128" ht="15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</row>
    <row r="129" ht="15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</row>
    <row r="130" ht="15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</row>
    <row r="131" ht="15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</row>
    <row r="132" ht="15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</row>
    <row r="133" ht="15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</row>
    <row r="134" ht="15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</row>
    <row r="135" ht="15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</row>
    <row r="136" ht="15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</row>
    <row r="137" ht="15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</row>
    <row r="138" ht="15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</row>
    <row r="139" ht="15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</row>
    <row r="140" ht="15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</row>
    <row r="141" ht="15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</row>
    <row r="142" ht="15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</row>
    <row r="143" ht="15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</row>
    <row r="144" ht="15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</row>
    <row r="145" ht="15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</row>
    <row r="146" ht="15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</row>
    <row r="147" ht="15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</row>
    <row r="148" ht="15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</row>
    <row r="149" ht="15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</row>
    <row r="150" ht="15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</row>
    <row r="151" ht="15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</row>
    <row r="152" ht="15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</row>
    <row r="153" ht="15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</row>
    <row r="154" ht="15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</row>
    <row r="155" ht="15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</row>
    <row r="156" ht="15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</row>
    <row r="157" ht="15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</row>
    <row r="158" ht="15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</row>
    <row r="159" ht="15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</row>
    <row r="160" ht="15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</row>
    <row r="161" ht="15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</row>
    <row r="162" ht="15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</row>
    <row r="163" ht="15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</row>
    <row r="164" ht="15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</row>
    <row r="165" ht="15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</row>
    <row r="166" ht="15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</row>
    <row r="167" ht="15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</row>
    <row r="168" ht="15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</row>
    <row r="169" ht="15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</row>
    <row r="170" ht="15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</row>
    <row r="171" ht="15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</row>
    <row r="172" ht="15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</row>
    <row r="173" ht="15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</row>
    <row r="174" ht="15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</row>
    <row r="175" ht="15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</row>
    <row r="176" ht="15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</row>
    <row r="177" ht="15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</row>
    <row r="178" ht="15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</row>
    <row r="179" ht="15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</row>
    <row r="180" ht="15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</row>
    <row r="181" ht="15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</row>
    <row r="182" ht="15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</row>
    <row r="183" ht="15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</row>
    <row r="184" ht="15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</row>
    <row r="185" ht="15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</row>
    <row r="186" ht="15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</row>
    <row r="187" ht="15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</row>
    <row r="188" ht="15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</row>
    <row r="189" ht="15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</row>
    <row r="190" ht="15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</row>
    <row r="191" ht="15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</row>
    <row r="192" ht="15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</row>
    <row r="193" ht="15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</row>
    <row r="194" ht="15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</row>
    <row r="195" ht="15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</row>
    <row r="196" ht="15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</row>
    <row r="197" ht="15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</row>
    <row r="198" ht="15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</row>
    <row r="199" ht="15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</row>
    <row r="200" ht="15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</row>
    <row r="201" ht="15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</row>
    <row r="202" ht="15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</row>
    <row r="203" ht="15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</row>
    <row r="204" ht="15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</row>
    <row r="205" ht="15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</row>
    <row r="206" ht="15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</row>
    <row r="207" ht="15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</row>
    <row r="208" ht="15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</row>
    <row r="209" ht="15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</row>
    <row r="210" ht="15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</row>
    <row r="211" ht="15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</row>
    <row r="212" ht="15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</row>
    <row r="213" ht="15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</row>
    <row r="214" ht="15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</row>
    <row r="215" ht="15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</row>
    <row r="216" ht="15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</row>
    <row r="217" ht="15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</row>
    <row r="218" ht="15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</row>
    <row r="219" ht="15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</row>
    <row r="220" ht="15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</row>
    <row r="221" ht="15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</row>
    <row r="222" ht="15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</row>
    <row r="223" ht="15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</row>
    <row r="224" ht="15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</row>
    <row r="225" ht="15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</row>
    <row r="226" ht="15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</row>
    <row r="227" ht="15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</row>
    <row r="228" ht="15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</row>
    <row r="229" ht="15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</row>
    <row r="230" ht="15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</row>
    <row r="231" ht="15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</row>
    <row r="232" ht="15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</row>
    <row r="233" ht="15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</row>
    <row r="234" ht="15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</row>
    <row r="235" ht="15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</row>
    <row r="236" ht="15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</row>
    <row r="237" ht="15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</row>
    <row r="238" ht="15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</row>
    <row r="239" ht="15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</row>
    <row r="240" ht="15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</row>
    <row r="241" ht="15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</row>
    <row r="242" ht="15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</row>
    <row r="243" ht="15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</row>
    <row r="244" ht="15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</row>
    <row r="245" ht="15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</row>
    <row r="246" ht="15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</row>
    <row r="247" ht="15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</row>
    <row r="248" ht="15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</row>
    <row r="249" ht="15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</row>
    <row r="250" ht="15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</row>
    <row r="251" ht="15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</row>
    <row r="252" ht="15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</row>
    <row r="253" ht="15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</row>
    <row r="254" ht="15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</row>
    <row r="255" ht="15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</row>
    <row r="256" ht="15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</row>
    <row r="257" ht="15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</row>
    <row r="258" ht="15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</row>
    <row r="259" ht="15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</row>
    <row r="260" ht="15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</row>
    <row r="261" ht="15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</row>
    <row r="262" ht="15.7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</row>
    <row r="263" ht="15.7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</row>
    <row r="264" ht="15.7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</row>
    <row r="265" ht="15.7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</row>
    <row r="266" ht="15.7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</row>
    <row r="267" ht="15.7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</row>
    <row r="268" ht="15.7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</row>
    <row r="269" ht="15.7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</row>
    <row r="270" ht="15.7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</row>
    <row r="271" ht="15.7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</row>
    <row r="272" ht="15.7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</row>
    <row r="273" ht="15.7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</row>
    <row r="274" ht="15.7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</row>
    <row r="275" ht="15.7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66:L66"/>
    <mergeCell ref="A75:L75"/>
    <mergeCell ref="A1:L1"/>
    <mergeCell ref="A2:L2"/>
    <mergeCell ref="A4:L4"/>
    <mergeCell ref="A21:L21"/>
    <mergeCell ref="A33:L33"/>
    <mergeCell ref="A40:L40"/>
    <mergeCell ref="A52:L5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7F17"/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5.0"/>
    <col customWidth="1" min="2" max="2" width="14.0"/>
    <col customWidth="1" min="3" max="3" width="11.0"/>
    <col customWidth="1" min="4" max="33" width="7.0"/>
    <col customWidth="1" min="34" max="37" width="10.0"/>
    <col customWidth="1" min="38" max="38" width="8.71"/>
  </cols>
  <sheetData>
    <row r="1" ht="30.0" customHeight="1">
      <c r="A1" s="4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</row>
    <row r="2" ht="21.75" customHeight="1">
      <c r="D2" s="7" t="s">
        <v>18</v>
      </c>
      <c r="E2" s="2"/>
      <c r="F2" s="2"/>
      <c r="G2" s="2"/>
      <c r="H2" s="3"/>
      <c r="I2" s="9" t="s">
        <v>20</v>
      </c>
      <c r="J2" s="2"/>
      <c r="K2" s="2"/>
      <c r="L2" s="2"/>
      <c r="M2" s="3"/>
      <c r="N2" s="11" t="s">
        <v>23</v>
      </c>
      <c r="O2" s="2"/>
      <c r="P2" s="2"/>
      <c r="Q2" s="2"/>
      <c r="R2" s="3"/>
      <c r="S2" s="13" t="s">
        <v>24</v>
      </c>
      <c r="T2" s="2"/>
      <c r="U2" s="2"/>
      <c r="V2" s="2"/>
      <c r="W2" s="3"/>
      <c r="X2" s="15" t="s">
        <v>26</v>
      </c>
      <c r="Y2" s="2"/>
      <c r="Z2" s="2"/>
      <c r="AA2" s="2"/>
      <c r="AB2" s="3"/>
      <c r="AC2" s="16" t="s">
        <v>30</v>
      </c>
      <c r="AD2" s="2"/>
      <c r="AE2" s="2"/>
      <c r="AF2" s="2"/>
      <c r="AG2" s="3"/>
      <c r="AH2" s="9" t="s">
        <v>31</v>
      </c>
      <c r="AI2" s="2"/>
      <c r="AJ2" s="2"/>
      <c r="AK2" s="3"/>
    </row>
    <row r="3" ht="21.75" customHeight="1">
      <c r="A3" s="5" t="s">
        <v>3</v>
      </c>
      <c r="B3" s="5" t="s">
        <v>32</v>
      </c>
      <c r="C3" s="5" t="s">
        <v>33</v>
      </c>
      <c r="D3" s="5" t="s">
        <v>34</v>
      </c>
      <c r="E3" s="5" t="s">
        <v>35</v>
      </c>
      <c r="F3" s="5" t="s">
        <v>36</v>
      </c>
      <c r="G3" s="5" t="s">
        <v>37</v>
      </c>
      <c r="H3" s="5" t="s">
        <v>38</v>
      </c>
      <c r="I3" s="5" t="s">
        <v>34</v>
      </c>
      <c r="J3" s="5" t="s">
        <v>35</v>
      </c>
      <c r="K3" s="5" t="s">
        <v>36</v>
      </c>
      <c r="L3" s="5" t="s">
        <v>37</v>
      </c>
      <c r="M3" s="5" t="s">
        <v>38</v>
      </c>
      <c r="N3" s="5" t="s">
        <v>34</v>
      </c>
      <c r="O3" s="5" t="s">
        <v>35</v>
      </c>
      <c r="P3" s="5" t="s">
        <v>36</v>
      </c>
      <c r="Q3" s="5" t="s">
        <v>37</v>
      </c>
      <c r="R3" s="5" t="s">
        <v>38</v>
      </c>
      <c r="S3" s="5" t="s">
        <v>34</v>
      </c>
      <c r="T3" s="5" t="s">
        <v>35</v>
      </c>
      <c r="U3" s="5" t="s">
        <v>36</v>
      </c>
      <c r="V3" s="5" t="s">
        <v>37</v>
      </c>
      <c r="W3" s="5" t="s">
        <v>38</v>
      </c>
      <c r="X3" s="5" t="s">
        <v>34</v>
      </c>
      <c r="Y3" s="5" t="s">
        <v>35</v>
      </c>
      <c r="Z3" s="5" t="s">
        <v>36</v>
      </c>
      <c r="AA3" s="5" t="s">
        <v>37</v>
      </c>
      <c r="AB3" s="5" t="s">
        <v>38</v>
      </c>
      <c r="AC3" s="5" t="s">
        <v>34</v>
      </c>
      <c r="AD3" s="5" t="s">
        <v>35</v>
      </c>
      <c r="AE3" s="5" t="s">
        <v>36</v>
      </c>
      <c r="AF3" s="5" t="s">
        <v>37</v>
      </c>
      <c r="AG3" s="5" t="s">
        <v>38</v>
      </c>
      <c r="AH3" s="5" t="s">
        <v>19</v>
      </c>
      <c r="AI3" s="5" t="s">
        <v>21</v>
      </c>
      <c r="AJ3" s="5" t="s">
        <v>25</v>
      </c>
      <c r="AK3" s="5" t="s">
        <v>14</v>
      </c>
    </row>
    <row r="4" ht="18.0" customHeight="1">
      <c r="A4" s="10">
        <v>1.0</v>
      </c>
      <c r="B4" s="10" t="s">
        <v>74</v>
      </c>
      <c r="C4" s="10" t="s">
        <v>76</v>
      </c>
      <c r="D4" s="30">
        <f>COUNTIFS(Gulberg!B26:B149,"&lt;&gt;",Gulberg!I26:I149,"Present")</f>
        <v>18</v>
      </c>
      <c r="E4" s="31">
        <f>COUNTIFS(Gulberg!B26:B149,"&lt;&gt;",Gulberg!I26:I149,"Absent")</f>
        <v>26</v>
      </c>
      <c r="F4" s="32">
        <f>COUNTIFS(Gulberg!B26:B149,"&lt;&gt;",Gulberg!I26:I149,"Leave")</f>
        <v>1</v>
      </c>
      <c r="G4" s="33">
        <f>COUNTIFS(Gulberg!B26:B149,"&lt;&gt;",Gulberg!I26:I149,"Late")</f>
        <v>0</v>
      </c>
      <c r="H4" s="36" t="str">
        <f t="shared" ref="H4:H77" si="2">IF(D4+E4+G4=0,"-",TEXT((D4+G4)/(D4+E4+G4),"0%"))</f>
        <v>41%</v>
      </c>
      <c r="I4" s="30">
        <f>COUNTIFS(Gulshan_Iqbal!B21:B150,"&lt;&gt;",Gulshan_Iqbal!I21:I150,"Present")</f>
        <v>13</v>
      </c>
      <c r="J4" s="31">
        <f>COUNTIFS(Gulshan_Iqbal!B21:B150,"&lt;&gt;",Gulshan_Iqbal!I21:I150,"Absent")</f>
        <v>27</v>
      </c>
      <c r="K4" s="32">
        <f>COUNTIFS(Gulshan_Iqbal!B21:B150,"&lt;&gt;",Gulshan_Iqbal!I21:I150,"Leave")</f>
        <v>0</v>
      </c>
      <c r="L4" s="33">
        <f>COUNTIFS(Gulshan_Iqbal!B21:B150,"&lt;&gt;",Gulshan_Iqbal!I21:I150,"Late")</f>
        <v>0</v>
      </c>
      <c r="M4" s="36" t="str">
        <f t="shared" ref="M4:M77" si="3">IF(I4+J4+L4=0,"-",TEXT((I4+L4)/(I4+J4+L4),"0%"))</f>
        <v>33%</v>
      </c>
      <c r="N4" s="30">
        <f>COUNTIFS(Griffin!B16:B152,"&lt;&gt;",Griffin!I16:I152,"Present")</f>
        <v>10</v>
      </c>
      <c r="O4" s="31">
        <f>COUNTIFS(Griffin!B16:B152,"&lt;&gt;",Griffin!I16:I152,"Absent")</f>
        <v>6</v>
      </c>
      <c r="P4" s="32">
        <f>COUNTIFS(Griffin!B16:B152,"&lt;&gt;",Griffin!I16:I152,"Leave")</f>
        <v>0</v>
      </c>
      <c r="Q4" s="33">
        <f>COUNTIFS(Griffin!B16:B152,"&lt;&gt;",Griffin!I16:I152,"Late")</f>
        <v>8</v>
      </c>
      <c r="R4" s="36" t="str">
        <f t="shared" ref="R4:R77" si="4">IF(N4+O4+Q4=0,"-",TEXT((N4+Q4)/(N4+O4+Q4),"0%"))</f>
        <v>75%</v>
      </c>
      <c r="S4" s="30">
        <f>COUNTIFS(Johar_Town!B21:B164,"&lt;&gt;",Johar_Town!I21:I164,"Present")</f>
        <v>0</v>
      </c>
      <c r="T4" s="31">
        <f>COUNTIFS(Johar_Town!B21:B164,"&lt;&gt;",Johar_Town!I21:I164,"Absent")</f>
        <v>13</v>
      </c>
      <c r="U4" s="32">
        <f>COUNTIFS(Johar_Town!B21:B164,"&lt;&gt;",Johar_Town!I21:I164,"Leave")</f>
        <v>1</v>
      </c>
      <c r="V4" s="33">
        <f>COUNTIFS(Johar_Town!B21:B164,"&lt;&gt;",Johar_Town!I21:I164,"Late")</f>
        <v>14</v>
      </c>
      <c r="W4" s="36" t="str">
        <f t="shared" ref="W4:W77" si="5">IF(S4+T4+V4=0,"-",TEXT((S4+V4)/(S4+T4+V4),"0%"))</f>
        <v>52%</v>
      </c>
      <c r="X4" s="30">
        <f>COUNTIFS(Gulshan_Ravi!B23:B150,"&lt;&gt;",Gulshan_Ravi!I23:I150,"Present")</f>
        <v>13</v>
      </c>
      <c r="Y4" s="31">
        <f>COUNTIFS(Gulshan_Ravi!B23:B150,"&lt;&gt;",Gulshan_Ravi!I23:I150,"Absent")</f>
        <v>11</v>
      </c>
      <c r="Z4" s="32">
        <f>COUNTIFS(Gulshan_Ravi!B23:B150,"&lt;&gt;",Gulshan_Ravi!I23:I150,"Leave")</f>
        <v>0</v>
      </c>
      <c r="AA4" s="33">
        <f>COUNTIFS(Gulshan_Ravi!B23:B150,"&lt;&gt;",Gulshan_Ravi!I23:I150,"Late")</f>
        <v>0</v>
      </c>
      <c r="AB4" s="36" t="str">
        <f t="shared" ref="AB4:AB77" si="6">IF(X4+Y4+AA4=0,"-",TEXT((X4+AA4)/(X4+Y4+AA4),"0%"))</f>
        <v>54%</v>
      </c>
      <c r="AC4" s="30">
        <f>COUNTIFS(State_Life!B18:B150,"&lt;&gt;",State_Life!I18:I150,"Present")</f>
        <v>8</v>
      </c>
      <c r="AD4" s="31">
        <f>COUNTIFS(State_Life!B18:B150,"&lt;&gt;",State_Life!I18:I150,"Absent")</f>
        <v>5</v>
      </c>
      <c r="AE4" s="32">
        <f>COUNTIFS(State_Life!B18:B150,"&lt;&gt;",State_Life!I18:I150,"Leave")</f>
        <v>0</v>
      </c>
      <c r="AF4" s="33">
        <f>COUNTIFS(State_Life!B18:B150,"&lt;&gt;",State_Life!I18:I150,"Late")</f>
        <v>3</v>
      </c>
      <c r="AG4" s="36" t="str">
        <f t="shared" ref="AG4:AG77" si="7">IF(AC4+AD4+AF4=0,"-",TEXT((AC4+AF4)/(AC4+AD4+AF4),"0%"))</f>
        <v>69%</v>
      </c>
      <c r="AH4" s="51">
        <f t="shared" ref="AH4:AJ4" si="1">D4+I4+N4+S4+X4+AC4</f>
        <v>62</v>
      </c>
      <c r="AI4" s="51">
        <f t="shared" si="1"/>
        <v>88</v>
      </c>
      <c r="AJ4" s="51">
        <f t="shared" si="1"/>
        <v>2</v>
      </c>
      <c r="AK4" s="55" t="str">
        <f t="shared" ref="AK4:AK77" si="9">IF(AH4+AI4=0,"-",TEXT((AH4+(G4+L4+Q4+V4+AA4+AF4))/((D4+I4+N4+S4+X4+AC4)+(G4+L4+Q4+V4+AA4+AF4)+(E4+J4+O4+T4+Y4+AD4)),"0%"))</f>
        <v>50%</v>
      </c>
    </row>
    <row r="5" ht="18.0" customHeight="1">
      <c r="A5" s="20">
        <v>2.0</v>
      </c>
      <c r="B5" s="20" t="s">
        <v>199</v>
      </c>
      <c r="C5" s="20" t="s">
        <v>200</v>
      </c>
      <c r="D5" s="30">
        <f>COUNTIFS(Gulberg!B26:B149,"&lt;&gt;",Gulberg!J26:J149,"Present")</f>
        <v>25</v>
      </c>
      <c r="E5" s="31">
        <f>COUNTIFS(Gulberg!B26:B149,"&lt;&gt;",Gulberg!J26:J149,"Absent")</f>
        <v>20</v>
      </c>
      <c r="F5" s="32">
        <f>COUNTIFS(Gulberg!B26:B149,"&lt;&gt;",Gulberg!J26:J149,"Leave")</f>
        <v>0</v>
      </c>
      <c r="G5" s="33">
        <f>COUNTIFS(Gulberg!B26:B149,"&lt;&gt;",Gulberg!J26:J149,"Late")</f>
        <v>0</v>
      </c>
      <c r="H5" s="36" t="str">
        <f t="shared" si="2"/>
        <v>56%</v>
      </c>
      <c r="I5" s="30">
        <f>COUNTIFS(Gulshan_Iqbal!B21:B150,"&lt;&gt;",Gulshan_Iqbal!J21:J150,"Present")</f>
        <v>14</v>
      </c>
      <c r="J5" s="31">
        <f>COUNTIFS(Gulshan_Iqbal!B21:B150,"&lt;&gt;",Gulshan_Iqbal!J21:J150,"Absent")</f>
        <v>22</v>
      </c>
      <c r="K5" s="32">
        <f>COUNTIFS(Gulshan_Iqbal!B21:B150,"&lt;&gt;",Gulshan_Iqbal!J21:J150,"Leave")</f>
        <v>2</v>
      </c>
      <c r="L5" s="33">
        <f>COUNTIFS(Gulshan_Iqbal!B21:B150,"&lt;&gt;",Gulshan_Iqbal!J21:J150,"Late")</f>
        <v>2</v>
      </c>
      <c r="M5" s="36" t="str">
        <f t="shared" si="3"/>
        <v>42%</v>
      </c>
      <c r="N5" s="30">
        <f>COUNTIFS(Griffin!B16:B152,"&lt;&gt;",Griffin!J16:J152,"Present")</f>
        <v>12</v>
      </c>
      <c r="O5" s="31">
        <f>COUNTIFS(Griffin!B16:B152,"&lt;&gt;",Griffin!J16:J152,"Absent")</f>
        <v>14</v>
      </c>
      <c r="P5" s="32">
        <f>COUNTIFS(Griffin!B16:B152,"&lt;&gt;",Griffin!J16:J152,"Leave")</f>
        <v>0</v>
      </c>
      <c r="Q5" s="33">
        <f>COUNTIFS(Griffin!B16:B152,"&lt;&gt;",Griffin!J16:J152,"Late")</f>
        <v>0</v>
      </c>
      <c r="R5" s="36" t="str">
        <f t="shared" si="4"/>
        <v>46%</v>
      </c>
      <c r="S5" s="30">
        <f>COUNTIFS(Johar_Town!B21:B164,"&lt;&gt;",Johar_Town!J21:J164,"Present")</f>
        <v>0</v>
      </c>
      <c r="T5" s="31">
        <f>COUNTIFS(Johar_Town!B21:B164,"&lt;&gt;",Johar_Town!J21:J164,"Absent")</f>
        <v>10</v>
      </c>
      <c r="U5" s="32">
        <f>COUNTIFS(Johar_Town!B21:B164,"&lt;&gt;",Johar_Town!J21:J164,"Leave")</f>
        <v>2</v>
      </c>
      <c r="V5" s="33">
        <f>COUNTIFS(Johar_Town!B21:B164,"&lt;&gt;",Johar_Town!J21:J164,"Late")</f>
        <v>18</v>
      </c>
      <c r="W5" s="36" t="str">
        <f t="shared" si="5"/>
        <v>64%</v>
      </c>
      <c r="X5" s="30">
        <f>COUNTIFS(Gulshan_Ravi!B23:B150,"&lt;&gt;",Gulshan_Ravi!J23:J150,"Present")</f>
        <v>2</v>
      </c>
      <c r="Y5" s="31">
        <f>COUNTIFS(Gulshan_Ravi!B23:B150,"&lt;&gt;",Gulshan_Ravi!J23:J150,"Absent")</f>
        <v>13</v>
      </c>
      <c r="Z5" s="32">
        <f>COUNTIFS(Gulshan_Ravi!B23:B150,"&lt;&gt;",Gulshan_Ravi!J23:J150,"Leave")</f>
        <v>0</v>
      </c>
      <c r="AA5" s="33">
        <f>COUNTIFS(Gulshan_Ravi!B23:B150,"&lt;&gt;",Gulshan_Ravi!J23:J150,"Late")</f>
        <v>9</v>
      </c>
      <c r="AB5" s="36" t="str">
        <f t="shared" si="6"/>
        <v>46%</v>
      </c>
      <c r="AC5" s="30">
        <f>COUNTIFS(State_Life!B18:B150,"&lt;&gt;",State_Life!J18:J150,"Present")</f>
        <v>8</v>
      </c>
      <c r="AD5" s="31">
        <f>COUNTIFS(State_Life!B18:B150,"&lt;&gt;",State_Life!J18:J150,"Absent")</f>
        <v>4</v>
      </c>
      <c r="AE5" s="32">
        <f>COUNTIFS(State_Life!B18:B150,"&lt;&gt;",State_Life!J18:J150,"Leave")</f>
        <v>1</v>
      </c>
      <c r="AF5" s="33">
        <f>COUNTIFS(State_Life!B18:B150,"&lt;&gt;",State_Life!J18:J150,"Late")</f>
        <v>3</v>
      </c>
      <c r="AG5" s="36" t="str">
        <f t="shared" si="7"/>
        <v>73%</v>
      </c>
      <c r="AH5" s="51">
        <f t="shared" ref="AH5:AJ5" si="8">D5+I5+N5+S5+X5+AC5</f>
        <v>61</v>
      </c>
      <c r="AI5" s="51">
        <f t="shared" si="8"/>
        <v>83</v>
      </c>
      <c r="AJ5" s="51">
        <f t="shared" si="8"/>
        <v>5</v>
      </c>
      <c r="AK5" s="55" t="str">
        <f t="shared" si="9"/>
        <v>53%</v>
      </c>
    </row>
    <row r="6" ht="18.0" customHeight="1">
      <c r="A6" s="10">
        <v>3.0</v>
      </c>
      <c r="B6" s="10" t="s">
        <v>201</v>
      </c>
      <c r="C6" s="10" t="s">
        <v>76</v>
      </c>
      <c r="D6" s="30">
        <f>COUNTIFS(Gulberg!B26:B149,"&lt;&gt;",Gulberg!K26:K149,"Present")</f>
        <v>0</v>
      </c>
      <c r="E6" s="31">
        <f>COUNTIFS(Gulberg!B26:B149,"&lt;&gt;",Gulberg!K26:K149,"Absent")</f>
        <v>0</v>
      </c>
      <c r="F6" s="32">
        <f>COUNTIFS(Gulberg!B26:B149,"&lt;&gt;",Gulberg!K26:K149,"Leave")</f>
        <v>0</v>
      </c>
      <c r="G6" s="33">
        <f>COUNTIFS(Gulberg!B26:B149,"&lt;&gt;",Gulberg!K26:K149,"Late")</f>
        <v>0</v>
      </c>
      <c r="H6" s="36" t="str">
        <f t="shared" si="2"/>
        <v>-</v>
      </c>
      <c r="I6" s="30">
        <f>COUNTIFS(Gulshan_Iqbal!B21:B150,"&lt;&gt;",Gulshan_Iqbal!K21:K150,"Present")</f>
        <v>0</v>
      </c>
      <c r="J6" s="31">
        <f>COUNTIFS(Gulshan_Iqbal!B21:B150,"&lt;&gt;",Gulshan_Iqbal!K21:K150,"Absent")</f>
        <v>0</v>
      </c>
      <c r="K6" s="32">
        <f>COUNTIFS(Gulshan_Iqbal!B21:B150,"&lt;&gt;",Gulshan_Iqbal!K21:K150,"Leave")</f>
        <v>0</v>
      </c>
      <c r="L6" s="33">
        <f>COUNTIFS(Gulshan_Iqbal!B21:B150,"&lt;&gt;",Gulshan_Iqbal!K21:K150,"Late")</f>
        <v>0</v>
      </c>
      <c r="M6" s="36" t="str">
        <f t="shared" si="3"/>
        <v>-</v>
      </c>
      <c r="N6" s="30">
        <f>COUNTIFS(Griffin!B16:B152,"&lt;&gt;",Griffin!K16:K152,"Present")</f>
        <v>0</v>
      </c>
      <c r="O6" s="31">
        <f>COUNTIFS(Griffin!B16:B152,"&lt;&gt;",Griffin!K16:K152,"Absent")</f>
        <v>0</v>
      </c>
      <c r="P6" s="32">
        <f>COUNTIFS(Griffin!B16:B152,"&lt;&gt;",Griffin!K16:K152,"Leave")</f>
        <v>0</v>
      </c>
      <c r="Q6" s="33">
        <f>COUNTIFS(Griffin!B16:B152,"&lt;&gt;",Griffin!K16:K152,"Late")</f>
        <v>0</v>
      </c>
      <c r="R6" s="36" t="str">
        <f t="shared" si="4"/>
        <v>-</v>
      </c>
      <c r="S6" s="30">
        <f>COUNTIFS(Johar_Town!B21:B164,"&lt;&gt;",Johar_Town!K21:K164,"Present")</f>
        <v>0</v>
      </c>
      <c r="T6" s="31">
        <f>COUNTIFS(Johar_Town!B21:B164,"&lt;&gt;",Johar_Town!K21:K164,"Absent")</f>
        <v>0</v>
      </c>
      <c r="U6" s="32">
        <f>COUNTIFS(Johar_Town!B21:B164,"&lt;&gt;",Johar_Town!K21:K164,"Leave")</f>
        <v>0</v>
      </c>
      <c r="V6" s="33">
        <f>COUNTIFS(Johar_Town!B21:B164,"&lt;&gt;",Johar_Town!K21:K164,"Late")</f>
        <v>0</v>
      </c>
      <c r="W6" s="36" t="str">
        <f t="shared" si="5"/>
        <v>-</v>
      </c>
      <c r="X6" s="30">
        <f>COUNTIFS(Gulshan_Ravi!B23:B150,"&lt;&gt;",Gulshan_Ravi!K23:K150,"Present")</f>
        <v>0</v>
      </c>
      <c r="Y6" s="31">
        <f>COUNTIFS(Gulshan_Ravi!B23:B150,"&lt;&gt;",Gulshan_Ravi!K23:K150,"Absent")</f>
        <v>0</v>
      </c>
      <c r="Z6" s="32">
        <f>COUNTIFS(Gulshan_Ravi!B23:B150,"&lt;&gt;",Gulshan_Ravi!K23:K150,"Leave")</f>
        <v>0</v>
      </c>
      <c r="AA6" s="33">
        <f>COUNTIFS(Gulshan_Ravi!B23:B150,"&lt;&gt;",Gulshan_Ravi!K23:K150,"Late")</f>
        <v>0</v>
      </c>
      <c r="AB6" s="36" t="str">
        <f t="shared" si="6"/>
        <v>-</v>
      </c>
      <c r="AC6" s="30">
        <f>COUNTIFS(State_Life!B18:B150,"&lt;&gt;",State_Life!K18:K150,"Present")</f>
        <v>0</v>
      </c>
      <c r="AD6" s="31">
        <f>COUNTIFS(State_Life!B18:B150,"&lt;&gt;",State_Life!K18:K150,"Absent")</f>
        <v>0</v>
      </c>
      <c r="AE6" s="32">
        <f>COUNTIFS(State_Life!B18:B150,"&lt;&gt;",State_Life!K18:K150,"Leave")</f>
        <v>0</v>
      </c>
      <c r="AF6" s="33">
        <f>COUNTIFS(State_Life!B18:B150,"&lt;&gt;",State_Life!K18:K150,"Late")</f>
        <v>0</v>
      </c>
      <c r="AG6" s="36" t="str">
        <f t="shared" si="7"/>
        <v>-</v>
      </c>
      <c r="AH6" s="51">
        <f t="shared" ref="AH6:AJ6" si="10">D6+I6+N6+S6+X6+AC6</f>
        <v>0</v>
      </c>
      <c r="AI6" s="51">
        <f t="shared" si="10"/>
        <v>0</v>
      </c>
      <c r="AJ6" s="51">
        <f t="shared" si="10"/>
        <v>0</v>
      </c>
      <c r="AK6" s="55" t="str">
        <f t="shared" si="9"/>
        <v>-</v>
      </c>
    </row>
    <row r="7" ht="18.0" customHeight="1">
      <c r="A7" s="20">
        <v>4.0</v>
      </c>
      <c r="B7" s="20" t="s">
        <v>202</v>
      </c>
      <c r="C7" s="20" t="s">
        <v>200</v>
      </c>
      <c r="D7" s="30">
        <f>COUNTIFS(Gulberg!B26:B149,"&lt;&gt;",Gulberg!L26:L149,"Present")</f>
        <v>24</v>
      </c>
      <c r="E7" s="31">
        <f>COUNTIFS(Gulberg!B26:B149,"&lt;&gt;",Gulberg!L26:L149,"Absent")</f>
        <v>17</v>
      </c>
      <c r="F7" s="32">
        <f>COUNTIFS(Gulberg!B26:B149,"&lt;&gt;",Gulberg!L26:L149,"Leave")</f>
        <v>6</v>
      </c>
      <c r="G7" s="33">
        <f>COUNTIFS(Gulberg!B26:B149,"&lt;&gt;",Gulberg!L26:L149,"Late")</f>
        <v>0</v>
      </c>
      <c r="H7" s="36" t="str">
        <f t="shared" si="2"/>
        <v>59%</v>
      </c>
      <c r="I7" s="30">
        <f>COUNTIFS(Gulshan_Iqbal!B21:B150,"&lt;&gt;",Gulshan_Iqbal!L21:L150,"Present")</f>
        <v>12</v>
      </c>
      <c r="J7" s="31">
        <f>COUNTIFS(Gulshan_Iqbal!B21:B150,"&lt;&gt;",Gulshan_Iqbal!L21:L150,"Absent")</f>
        <v>13</v>
      </c>
      <c r="K7" s="32">
        <f>COUNTIFS(Gulshan_Iqbal!B21:B150,"&lt;&gt;",Gulshan_Iqbal!L21:L150,"Leave")</f>
        <v>7</v>
      </c>
      <c r="L7" s="33">
        <f>COUNTIFS(Gulshan_Iqbal!B21:B150,"&lt;&gt;",Gulshan_Iqbal!L21:L150,"Late")</f>
        <v>8</v>
      </c>
      <c r="M7" s="36" t="str">
        <f t="shared" si="3"/>
        <v>61%</v>
      </c>
      <c r="N7" s="30">
        <f>COUNTIFS(Griffin!B16:B152,"&lt;&gt;",Griffin!L16:L152,"Present")</f>
        <v>0</v>
      </c>
      <c r="O7" s="31">
        <f>COUNTIFS(Griffin!B16:B152,"&lt;&gt;",Griffin!L16:L152,"Absent")</f>
        <v>12</v>
      </c>
      <c r="P7" s="32">
        <f>COUNTIFS(Griffin!B16:B152,"&lt;&gt;",Griffin!L16:L152,"Leave")</f>
        <v>1</v>
      </c>
      <c r="Q7" s="33">
        <f>COUNTIFS(Griffin!B16:B152,"&lt;&gt;",Griffin!L16:L152,"Late")</f>
        <v>13</v>
      </c>
      <c r="R7" s="36" t="str">
        <f t="shared" si="4"/>
        <v>52%</v>
      </c>
      <c r="S7" s="30">
        <f>COUNTIFS(Johar_Town!B21:B164,"&lt;&gt;",Johar_Town!L21:L164,"Present")</f>
        <v>2</v>
      </c>
      <c r="T7" s="31">
        <f>COUNTIFS(Johar_Town!B21:B164,"&lt;&gt;",Johar_Town!L21:L164,"Absent")</f>
        <v>16</v>
      </c>
      <c r="U7" s="32">
        <f>COUNTIFS(Johar_Town!B21:B164,"&lt;&gt;",Johar_Town!L21:L164,"Leave")</f>
        <v>5</v>
      </c>
      <c r="V7" s="33">
        <f>COUNTIFS(Johar_Town!B21:B164,"&lt;&gt;",Johar_Town!L21:L164,"Late")</f>
        <v>7</v>
      </c>
      <c r="W7" s="36" t="str">
        <f t="shared" si="5"/>
        <v>36%</v>
      </c>
      <c r="X7" s="30">
        <f>COUNTIFS(Gulshan_Ravi!B23:B150,"&lt;&gt;",Gulshan_Ravi!L23:L150,"Present")</f>
        <v>5</v>
      </c>
      <c r="Y7" s="31">
        <f>COUNTIFS(Gulshan_Ravi!B23:B150,"&lt;&gt;",Gulshan_Ravi!L23:L150,"Absent")</f>
        <v>8</v>
      </c>
      <c r="Z7" s="32">
        <f>COUNTIFS(Gulshan_Ravi!B23:B150,"&lt;&gt;",Gulshan_Ravi!L23:L150,"Leave")</f>
        <v>2</v>
      </c>
      <c r="AA7" s="33">
        <f>COUNTIFS(Gulshan_Ravi!B23:B150,"&lt;&gt;",Gulshan_Ravi!L23:L150,"Late")</f>
        <v>9</v>
      </c>
      <c r="AB7" s="36" t="str">
        <f t="shared" si="6"/>
        <v>64%</v>
      </c>
      <c r="AC7" s="30">
        <f>COUNTIFS(State_Life!B18:B150,"&lt;&gt;",State_Life!L18:L150,"Present")</f>
        <v>6</v>
      </c>
      <c r="AD7" s="31">
        <f>COUNTIFS(State_Life!B18:B150,"&lt;&gt;",State_Life!L18:L150,"Absent")</f>
        <v>7</v>
      </c>
      <c r="AE7" s="32">
        <f>COUNTIFS(State_Life!B18:B150,"&lt;&gt;",State_Life!L18:L150,"Leave")</f>
        <v>0</v>
      </c>
      <c r="AF7" s="33">
        <f>COUNTIFS(State_Life!B18:B150,"&lt;&gt;",State_Life!L18:L150,"Late")</f>
        <v>3</v>
      </c>
      <c r="AG7" s="36" t="str">
        <f t="shared" si="7"/>
        <v>56%</v>
      </c>
      <c r="AH7" s="51">
        <f t="shared" ref="AH7:AJ7" si="11">D7+I7+N7+S7+X7+AC7</f>
        <v>49</v>
      </c>
      <c r="AI7" s="51">
        <f t="shared" si="11"/>
        <v>73</v>
      </c>
      <c r="AJ7" s="51">
        <f t="shared" si="11"/>
        <v>21</v>
      </c>
      <c r="AK7" s="55" t="str">
        <f t="shared" si="9"/>
        <v>55%</v>
      </c>
    </row>
    <row r="8" ht="18.0" customHeight="1">
      <c r="A8" s="10">
        <v>5.0</v>
      </c>
      <c r="B8" s="10" t="s">
        <v>208</v>
      </c>
      <c r="C8" s="10" t="s">
        <v>76</v>
      </c>
      <c r="D8" s="30">
        <f>COUNTIFS(Gulberg!B26:B149,"&lt;&gt;",Gulberg!M26:M149,"Present")</f>
        <v>9</v>
      </c>
      <c r="E8" s="31">
        <f>COUNTIFS(Gulberg!B26:B149,"&lt;&gt;",Gulberg!M26:M149,"Absent")</f>
        <v>17</v>
      </c>
      <c r="F8" s="32">
        <f>COUNTIFS(Gulberg!B26:B149,"&lt;&gt;",Gulberg!M26:M149,"Leave")</f>
        <v>6</v>
      </c>
      <c r="G8" s="33">
        <f>COUNTIFS(Gulberg!B26:B149,"&lt;&gt;",Gulberg!M26:M149,"Late")</f>
        <v>15</v>
      </c>
      <c r="H8" s="36" t="str">
        <f t="shared" si="2"/>
        <v>59%</v>
      </c>
      <c r="I8" s="30">
        <f>COUNTIFS(Gulshan_Iqbal!B21:B150,"&lt;&gt;",Gulshan_Iqbal!M21:M150,"Present")</f>
        <v>11</v>
      </c>
      <c r="J8" s="31">
        <f>COUNTIFS(Gulshan_Iqbal!B21:B150,"&lt;&gt;",Gulshan_Iqbal!M21:M150,"Absent")</f>
        <v>20</v>
      </c>
      <c r="K8" s="32">
        <f>COUNTIFS(Gulshan_Iqbal!B21:B150,"&lt;&gt;",Gulshan_Iqbal!M21:M150,"Leave")</f>
        <v>4</v>
      </c>
      <c r="L8" s="33">
        <f>COUNTIFS(Gulshan_Iqbal!B21:B150,"&lt;&gt;",Gulshan_Iqbal!M21:M150,"Late")</f>
        <v>5</v>
      </c>
      <c r="M8" s="36" t="str">
        <f t="shared" si="3"/>
        <v>44%</v>
      </c>
      <c r="N8" s="30">
        <f>COUNTIFS(Griffin!B16:B152,"&lt;&gt;",Griffin!M16:M152,"Present")</f>
        <v>13</v>
      </c>
      <c r="O8" s="31">
        <f>COUNTIFS(Griffin!B16:B152,"&lt;&gt;",Griffin!M16:M152,"Absent")</f>
        <v>12</v>
      </c>
      <c r="P8" s="32">
        <f>COUNTIFS(Griffin!B16:B152,"&lt;&gt;",Griffin!M16:M152,"Leave")</f>
        <v>0</v>
      </c>
      <c r="Q8" s="33">
        <f>COUNTIFS(Griffin!B16:B152,"&lt;&gt;",Griffin!M16:M152,"Late")</f>
        <v>1</v>
      </c>
      <c r="R8" s="36" t="str">
        <f t="shared" si="4"/>
        <v>54%</v>
      </c>
      <c r="S8" s="30">
        <f>COUNTIFS(Johar_Town!B21:B164,"&lt;&gt;",Johar_Town!M21:M164,"Present")</f>
        <v>5</v>
      </c>
      <c r="T8" s="31">
        <f>COUNTIFS(Johar_Town!B21:B164,"&lt;&gt;",Johar_Town!M21:M164,"Absent")</f>
        <v>7</v>
      </c>
      <c r="U8" s="32">
        <f>COUNTIFS(Johar_Town!B21:B164,"&lt;&gt;",Johar_Town!M21:M164,"Leave")</f>
        <v>7</v>
      </c>
      <c r="V8" s="33">
        <f>COUNTIFS(Johar_Town!B21:B164,"&lt;&gt;",Johar_Town!M21:M164,"Late")</f>
        <v>13</v>
      </c>
      <c r="W8" s="36" t="str">
        <f t="shared" si="5"/>
        <v>72%</v>
      </c>
      <c r="X8" s="30">
        <f>COUNTIFS(Gulshan_Ravi!B23:B150,"&lt;&gt;",Gulshan_Ravi!M23:M150,"Present")</f>
        <v>12</v>
      </c>
      <c r="Y8" s="31">
        <f>COUNTIFS(Gulshan_Ravi!B23:B150,"&lt;&gt;",Gulshan_Ravi!M23:M150,"Absent")</f>
        <v>4</v>
      </c>
      <c r="Z8" s="32">
        <f>COUNTIFS(Gulshan_Ravi!B23:B150,"&lt;&gt;",Gulshan_Ravi!M23:M150,"Leave")</f>
        <v>0</v>
      </c>
      <c r="AA8" s="33">
        <f>COUNTIFS(Gulshan_Ravi!B23:B150,"&lt;&gt;",Gulshan_Ravi!M23:M150,"Late")</f>
        <v>13</v>
      </c>
      <c r="AB8" s="36" t="str">
        <f t="shared" si="6"/>
        <v>86%</v>
      </c>
      <c r="AC8" s="30">
        <f>COUNTIFS(State_Life!B18:B150,"&lt;&gt;",State_Life!M18:M150,"Present")</f>
        <v>9</v>
      </c>
      <c r="AD8" s="31">
        <f>COUNTIFS(State_Life!B18:B150,"&lt;&gt;",State_Life!M18:M150,"Absent")</f>
        <v>5</v>
      </c>
      <c r="AE8" s="32">
        <f>COUNTIFS(State_Life!B18:B150,"&lt;&gt;",State_Life!M18:M150,"Leave")</f>
        <v>1</v>
      </c>
      <c r="AF8" s="33">
        <f>COUNTIFS(State_Life!B18:B150,"&lt;&gt;",State_Life!M18:M150,"Late")</f>
        <v>2</v>
      </c>
      <c r="AG8" s="36" t="str">
        <f t="shared" si="7"/>
        <v>69%</v>
      </c>
      <c r="AH8" s="51">
        <f t="shared" ref="AH8:AJ8" si="12">D8+I8+N8+S8+X8+AC8</f>
        <v>59</v>
      </c>
      <c r="AI8" s="51">
        <f t="shared" si="12"/>
        <v>65</v>
      </c>
      <c r="AJ8" s="51">
        <f t="shared" si="12"/>
        <v>18</v>
      </c>
      <c r="AK8" s="55" t="str">
        <f t="shared" si="9"/>
        <v>62%</v>
      </c>
    </row>
    <row r="9" ht="18.0" customHeight="1">
      <c r="A9" s="20">
        <v>6.0</v>
      </c>
      <c r="B9" s="20" t="s">
        <v>209</v>
      </c>
      <c r="C9" s="20" t="s">
        <v>200</v>
      </c>
      <c r="D9" s="30">
        <f>COUNTIFS(Gulberg!B26:B149,"&lt;&gt;",Gulberg!N26:N149,"Present")</f>
        <v>10</v>
      </c>
      <c r="E9" s="31">
        <f>COUNTIFS(Gulberg!B26:B149,"&lt;&gt;",Gulberg!N26:N149,"Absent")</f>
        <v>11</v>
      </c>
      <c r="F9" s="32">
        <f>COUNTIFS(Gulberg!B26:B149,"&lt;&gt;",Gulberg!N26:N149,"Leave")</f>
        <v>6</v>
      </c>
      <c r="G9" s="33">
        <f>COUNTIFS(Gulberg!B26:B149,"&lt;&gt;",Gulberg!N26:N149,"Late")</f>
        <v>24</v>
      </c>
      <c r="H9" s="36" t="str">
        <f t="shared" si="2"/>
        <v>76%</v>
      </c>
      <c r="I9" s="30">
        <f>COUNTIFS(Gulshan_Iqbal!B21:B150,"&lt;&gt;",Gulshan_Iqbal!N21:N150,"Present")</f>
        <v>13</v>
      </c>
      <c r="J9" s="31">
        <f>COUNTIFS(Gulshan_Iqbal!B21:B150,"&lt;&gt;",Gulshan_Iqbal!N21:N150,"Absent")</f>
        <v>19</v>
      </c>
      <c r="K9" s="32">
        <f>COUNTIFS(Gulshan_Iqbal!B21:B150,"&lt;&gt;",Gulshan_Iqbal!N21:N150,"Leave")</f>
        <v>4</v>
      </c>
      <c r="L9" s="33">
        <f>COUNTIFS(Gulshan_Iqbal!B21:B150,"&lt;&gt;",Gulshan_Iqbal!N21:N150,"Late")</f>
        <v>6</v>
      </c>
      <c r="M9" s="36" t="str">
        <f t="shared" si="3"/>
        <v>50%</v>
      </c>
      <c r="N9" s="30">
        <f>COUNTIFS(Griffin!B16:B152,"&lt;&gt;",Griffin!N16:N152,"Present")</f>
        <v>2</v>
      </c>
      <c r="O9" s="31">
        <f>COUNTIFS(Griffin!B16:B152,"&lt;&gt;",Griffin!N16:N152,"Absent")</f>
        <v>14</v>
      </c>
      <c r="P9" s="32">
        <f>COUNTIFS(Griffin!B16:B152,"&lt;&gt;",Griffin!N16:N152,"Leave")</f>
        <v>0</v>
      </c>
      <c r="Q9" s="33">
        <f>COUNTIFS(Griffin!B16:B152,"&lt;&gt;",Griffin!N16:N152,"Late")</f>
        <v>13</v>
      </c>
      <c r="R9" s="36" t="str">
        <f t="shared" si="4"/>
        <v>52%</v>
      </c>
      <c r="S9" s="30">
        <f>COUNTIFS(Johar_Town!B21:B164,"&lt;&gt;",Johar_Town!N21:N164,"Present")</f>
        <v>6</v>
      </c>
      <c r="T9" s="31">
        <f>COUNTIFS(Johar_Town!B21:B164,"&lt;&gt;",Johar_Town!N21:N164,"Absent")</f>
        <v>8</v>
      </c>
      <c r="U9" s="32">
        <f>COUNTIFS(Johar_Town!B21:B164,"&lt;&gt;",Johar_Town!N21:N164,"Leave")</f>
        <v>3</v>
      </c>
      <c r="V9" s="33">
        <f>COUNTIFS(Johar_Town!B21:B164,"&lt;&gt;",Johar_Town!N21:N164,"Late")</f>
        <v>16</v>
      </c>
      <c r="W9" s="36" t="str">
        <f t="shared" si="5"/>
        <v>73%</v>
      </c>
      <c r="X9" s="30">
        <f>COUNTIFS(Gulshan_Ravi!B23:B150,"&lt;&gt;",Gulshan_Ravi!N23:N150,"Present")</f>
        <v>13</v>
      </c>
      <c r="Y9" s="31">
        <f>COUNTIFS(Gulshan_Ravi!B23:B150,"&lt;&gt;",Gulshan_Ravi!N23:N150,"Absent")</f>
        <v>5</v>
      </c>
      <c r="Z9" s="32">
        <f>COUNTIFS(Gulshan_Ravi!B23:B150,"&lt;&gt;",Gulshan_Ravi!N23:N150,"Leave")</f>
        <v>0</v>
      </c>
      <c r="AA9" s="33">
        <f>COUNTIFS(Gulshan_Ravi!B23:B150,"&lt;&gt;",Gulshan_Ravi!N23:N150,"Late")</f>
        <v>11</v>
      </c>
      <c r="AB9" s="36" t="str">
        <f t="shared" si="6"/>
        <v>83%</v>
      </c>
      <c r="AC9" s="30">
        <f>COUNTIFS(State_Life!B18:B150,"&lt;&gt;",State_Life!N18:N150,"Present")</f>
        <v>3</v>
      </c>
      <c r="AD9" s="31">
        <f>COUNTIFS(State_Life!B18:B150,"&lt;&gt;",State_Life!N18:N150,"Absent")</f>
        <v>7</v>
      </c>
      <c r="AE9" s="32">
        <f>COUNTIFS(State_Life!B18:B150,"&lt;&gt;",State_Life!N18:N150,"Leave")</f>
        <v>0</v>
      </c>
      <c r="AF9" s="33">
        <f>COUNTIFS(State_Life!B18:B150,"&lt;&gt;",State_Life!N18:N150,"Late")</f>
        <v>7</v>
      </c>
      <c r="AG9" s="36" t="str">
        <f t="shared" si="7"/>
        <v>59%</v>
      </c>
      <c r="AH9" s="51">
        <f t="shared" ref="AH9:AJ9" si="13">D9+I9+N9+S9+X9+AC9</f>
        <v>47</v>
      </c>
      <c r="AI9" s="51">
        <f t="shared" si="13"/>
        <v>64</v>
      </c>
      <c r="AJ9" s="51">
        <f t="shared" si="13"/>
        <v>13</v>
      </c>
      <c r="AK9" s="55" t="str">
        <f t="shared" si="9"/>
        <v>66%</v>
      </c>
    </row>
    <row r="10" ht="18.0" customHeight="1">
      <c r="A10" s="10">
        <v>7.0</v>
      </c>
      <c r="B10" s="10" t="s">
        <v>213</v>
      </c>
      <c r="C10" s="10" t="s">
        <v>76</v>
      </c>
      <c r="D10" s="30">
        <f>COUNTIFS(Gulberg!B26:B149,"&lt;&gt;",Gulberg!O26:O149,"Present")</f>
        <v>5</v>
      </c>
      <c r="E10" s="31">
        <f>COUNTIFS(Gulberg!B26:B149,"&lt;&gt;",Gulberg!O26:O149,"Absent")</f>
        <v>19</v>
      </c>
      <c r="F10" s="32">
        <f>COUNTIFS(Gulberg!B26:B149,"&lt;&gt;",Gulberg!O26:O149,"Leave")</f>
        <v>6</v>
      </c>
      <c r="G10" s="33">
        <f>COUNTIFS(Gulberg!B26:B149,"&lt;&gt;",Gulberg!O26:O149,"Late")</f>
        <v>16</v>
      </c>
      <c r="H10" s="36" t="str">
        <f t="shared" si="2"/>
        <v>53%</v>
      </c>
      <c r="I10" s="30">
        <f>COUNTIFS(Gulshan_Iqbal!B21:B150,"&lt;&gt;",Gulshan_Iqbal!O21:O150,"Present")</f>
        <v>9</v>
      </c>
      <c r="J10" s="31">
        <f>COUNTIFS(Gulshan_Iqbal!B21:B150,"&lt;&gt;",Gulshan_Iqbal!O21:O150,"Absent")</f>
        <v>15</v>
      </c>
      <c r="K10" s="32">
        <f>COUNTIFS(Gulshan_Iqbal!B21:B150,"&lt;&gt;",Gulshan_Iqbal!O21:O150,"Leave")</f>
        <v>16</v>
      </c>
      <c r="L10" s="33">
        <f>COUNTIFS(Gulshan_Iqbal!B21:B150,"&lt;&gt;",Gulshan_Iqbal!O21:O150,"Late")</f>
        <v>10</v>
      </c>
      <c r="M10" s="36" t="str">
        <f t="shared" si="3"/>
        <v>56%</v>
      </c>
      <c r="N10" s="30">
        <f>COUNTIFS(Griffin!B16:B152,"&lt;&gt;",Griffin!O16:O152,"Present")</f>
        <v>2</v>
      </c>
      <c r="O10" s="31">
        <f>COUNTIFS(Griffin!B16:B152,"&lt;&gt;",Griffin!O16:O152,"Absent")</f>
        <v>2</v>
      </c>
      <c r="P10" s="32">
        <f>COUNTIFS(Griffin!B16:B152,"&lt;&gt;",Griffin!O16:O152,"Leave")</f>
        <v>2</v>
      </c>
      <c r="Q10" s="33">
        <f>COUNTIFS(Griffin!B16:B152,"&lt;&gt;",Griffin!O16:O152,"Late")</f>
        <v>9</v>
      </c>
      <c r="R10" s="36" t="str">
        <f t="shared" si="4"/>
        <v>85%</v>
      </c>
      <c r="S10" s="30">
        <f>COUNTIFS(Johar_Town!B21:B164,"&lt;&gt;",Johar_Town!O21:O164,"Present")</f>
        <v>6</v>
      </c>
      <c r="T10" s="31">
        <f>COUNTIFS(Johar_Town!B21:B164,"&lt;&gt;",Johar_Town!O21:O164,"Absent")</f>
        <v>14</v>
      </c>
      <c r="U10" s="32">
        <f>COUNTIFS(Johar_Town!B21:B164,"&lt;&gt;",Johar_Town!O21:O164,"Leave")</f>
        <v>2</v>
      </c>
      <c r="V10" s="33">
        <f>COUNTIFS(Johar_Town!B21:B164,"&lt;&gt;",Johar_Town!O21:O164,"Late")</f>
        <v>10</v>
      </c>
      <c r="W10" s="36" t="str">
        <f t="shared" si="5"/>
        <v>53%</v>
      </c>
      <c r="X10" s="30">
        <f>COUNTIFS(Gulshan_Ravi!B23:B150,"&lt;&gt;",Gulshan_Ravi!O23:O150,"Present")</f>
        <v>13</v>
      </c>
      <c r="Y10" s="31">
        <f>COUNTIFS(Gulshan_Ravi!B23:B150,"&lt;&gt;",Gulshan_Ravi!O23:O150,"Absent")</f>
        <v>12</v>
      </c>
      <c r="Z10" s="32">
        <f>COUNTIFS(Gulshan_Ravi!B23:B150,"&lt;&gt;",Gulshan_Ravi!O23:O150,"Leave")</f>
        <v>2</v>
      </c>
      <c r="AA10" s="33">
        <f>COUNTIFS(Gulshan_Ravi!B23:B150,"&lt;&gt;",Gulshan_Ravi!O23:O150,"Late")</f>
        <v>5</v>
      </c>
      <c r="AB10" s="36" t="str">
        <f t="shared" si="6"/>
        <v>60%</v>
      </c>
      <c r="AC10" s="30">
        <f>COUNTIFS(State_Life!B18:B150,"&lt;&gt;",State_Life!O18:O150,"Present")</f>
        <v>7</v>
      </c>
      <c r="AD10" s="31">
        <f>COUNTIFS(State_Life!B18:B150,"&lt;&gt;",State_Life!O18:O150,"Absent")</f>
        <v>10</v>
      </c>
      <c r="AE10" s="32">
        <f>COUNTIFS(State_Life!B18:B150,"&lt;&gt;",State_Life!O18:O150,"Leave")</f>
        <v>1</v>
      </c>
      <c r="AF10" s="33">
        <f>COUNTIFS(State_Life!B18:B150,"&lt;&gt;",State_Life!O18:O150,"Late")</f>
        <v>0</v>
      </c>
      <c r="AG10" s="36" t="str">
        <f t="shared" si="7"/>
        <v>41%</v>
      </c>
      <c r="AH10" s="51">
        <f t="shared" ref="AH10:AJ10" si="14">D10+I10+N10+S10+X10+AC10</f>
        <v>42</v>
      </c>
      <c r="AI10" s="51">
        <f t="shared" si="14"/>
        <v>72</v>
      </c>
      <c r="AJ10" s="51">
        <f t="shared" si="14"/>
        <v>29</v>
      </c>
      <c r="AK10" s="55" t="str">
        <f t="shared" si="9"/>
        <v>56%</v>
      </c>
    </row>
    <row r="11" ht="18.0" customHeight="1">
      <c r="A11" s="20">
        <v>8.0</v>
      </c>
      <c r="B11" s="20" t="s">
        <v>214</v>
      </c>
      <c r="C11" s="20" t="s">
        <v>200</v>
      </c>
      <c r="D11" s="30">
        <f>COUNTIFS(Gulberg!B26:B149,"&lt;&gt;",Gulberg!P26:P149,"Present")</f>
        <v>17</v>
      </c>
      <c r="E11" s="31">
        <f>COUNTIFS(Gulberg!B26:B149,"&lt;&gt;",Gulberg!P26:P149,"Absent")</f>
        <v>12</v>
      </c>
      <c r="F11" s="32">
        <f>COUNTIFS(Gulberg!B26:B149,"&lt;&gt;",Gulberg!P26:P149,"Leave")</f>
        <v>10</v>
      </c>
      <c r="G11" s="33">
        <f>COUNTIFS(Gulberg!B26:B149,"&lt;&gt;",Gulberg!P26:P149,"Late")</f>
        <v>16</v>
      </c>
      <c r="H11" s="36" t="str">
        <f t="shared" si="2"/>
        <v>73%</v>
      </c>
      <c r="I11" s="30">
        <f>COUNTIFS(Gulshan_Iqbal!B21:B150,"&lt;&gt;",Gulshan_Iqbal!P21:P150,"Present")</f>
        <v>7</v>
      </c>
      <c r="J11" s="31">
        <f>COUNTIFS(Gulshan_Iqbal!B21:B150,"&lt;&gt;",Gulshan_Iqbal!P21:P150,"Absent")</f>
        <v>18</v>
      </c>
      <c r="K11" s="32">
        <f>COUNTIFS(Gulshan_Iqbal!B21:B150,"&lt;&gt;",Gulshan_Iqbal!P21:P150,"Leave")</f>
        <v>11</v>
      </c>
      <c r="L11" s="33">
        <f>COUNTIFS(Gulshan_Iqbal!B21:B150,"&lt;&gt;",Gulshan_Iqbal!P21:P150,"Late")</f>
        <v>17</v>
      </c>
      <c r="M11" s="36" t="str">
        <f t="shared" si="3"/>
        <v>57%</v>
      </c>
      <c r="N11" s="30">
        <f>COUNTIFS(Griffin!B16:B152,"&lt;&gt;",Griffin!P16:P152,"Present")</f>
        <v>10</v>
      </c>
      <c r="O11" s="31">
        <f>COUNTIFS(Griffin!B16:B152,"&lt;&gt;",Griffin!P16:P152,"Absent")</f>
        <v>4</v>
      </c>
      <c r="P11" s="32">
        <f>COUNTIFS(Griffin!B16:B152,"&lt;&gt;",Griffin!P16:P152,"Leave")</f>
        <v>1</v>
      </c>
      <c r="Q11" s="33">
        <f>COUNTIFS(Griffin!B16:B152,"&lt;&gt;",Griffin!P16:P152,"Late")</f>
        <v>0</v>
      </c>
      <c r="R11" s="36" t="str">
        <f t="shared" si="4"/>
        <v>71%</v>
      </c>
      <c r="S11" s="30">
        <f>COUNTIFS(Johar_Town!B21:B164,"&lt;&gt;",Johar_Town!P21:P164,"Present")</f>
        <v>11</v>
      </c>
      <c r="T11" s="31">
        <f>COUNTIFS(Johar_Town!B21:B164,"&lt;&gt;",Johar_Town!P21:P164,"Absent")</f>
        <v>9</v>
      </c>
      <c r="U11" s="32">
        <f>COUNTIFS(Johar_Town!B21:B164,"&lt;&gt;",Johar_Town!P21:P164,"Leave")</f>
        <v>0</v>
      </c>
      <c r="V11" s="33">
        <f>COUNTIFS(Johar_Town!B21:B164,"&lt;&gt;",Johar_Town!P21:P164,"Late")</f>
        <v>14</v>
      </c>
      <c r="W11" s="36" t="str">
        <f t="shared" si="5"/>
        <v>74%</v>
      </c>
      <c r="X11" s="30">
        <f>COUNTIFS(Gulshan_Ravi!B23:B150,"&lt;&gt;",Gulshan_Ravi!P23:P150,"Present")</f>
        <v>12</v>
      </c>
      <c r="Y11" s="31">
        <f>COUNTIFS(Gulshan_Ravi!B23:B150,"&lt;&gt;",Gulshan_Ravi!P23:P150,"Absent")</f>
        <v>11</v>
      </c>
      <c r="Z11" s="32">
        <f>COUNTIFS(Gulshan_Ravi!B23:B150,"&lt;&gt;",Gulshan_Ravi!P23:P150,"Leave")</f>
        <v>2</v>
      </c>
      <c r="AA11" s="33">
        <f>COUNTIFS(Gulshan_Ravi!B23:B150,"&lt;&gt;",Gulshan_Ravi!P23:P150,"Late")</f>
        <v>9</v>
      </c>
      <c r="AB11" s="36" t="str">
        <f t="shared" si="6"/>
        <v>66%</v>
      </c>
      <c r="AC11" s="30">
        <f>COUNTIFS(State_Life!B18:B150,"&lt;&gt;",State_Life!P18:P150,"Present")</f>
        <v>2</v>
      </c>
      <c r="AD11" s="31">
        <f>COUNTIFS(State_Life!B18:B150,"&lt;&gt;",State_Life!P18:P150,"Absent")</f>
        <v>9</v>
      </c>
      <c r="AE11" s="32">
        <f>COUNTIFS(State_Life!B18:B150,"&lt;&gt;",State_Life!P18:P150,"Leave")</f>
        <v>0</v>
      </c>
      <c r="AF11" s="33">
        <f>COUNTIFS(State_Life!B18:B150,"&lt;&gt;",State_Life!P18:P150,"Late")</f>
        <v>7</v>
      </c>
      <c r="AG11" s="36" t="str">
        <f t="shared" si="7"/>
        <v>50%</v>
      </c>
      <c r="AH11" s="51">
        <f t="shared" ref="AH11:AJ11" si="15">D11+I11+N11+S11+X11+AC11</f>
        <v>59</v>
      </c>
      <c r="AI11" s="51">
        <f t="shared" si="15"/>
        <v>63</v>
      </c>
      <c r="AJ11" s="51">
        <f t="shared" si="15"/>
        <v>24</v>
      </c>
      <c r="AK11" s="55" t="str">
        <f t="shared" si="9"/>
        <v>66%</v>
      </c>
    </row>
    <row r="12" ht="18.0" customHeight="1">
      <c r="A12" s="10">
        <v>9.0</v>
      </c>
      <c r="B12" s="10" t="s">
        <v>218</v>
      </c>
      <c r="C12" s="10" t="s">
        <v>76</v>
      </c>
      <c r="D12" s="30">
        <f>COUNTIFS(Gulberg!B26:B149,"&lt;&gt;",Gulberg!Q26:Q149,"Present")</f>
        <v>19</v>
      </c>
      <c r="E12" s="31">
        <f>COUNTIFS(Gulberg!B26:B149,"&lt;&gt;",Gulberg!Q26:Q149,"Absent")</f>
        <v>17</v>
      </c>
      <c r="F12" s="32">
        <f>COUNTIFS(Gulberg!B26:B149,"&lt;&gt;",Gulberg!Q26:Q149,"Leave")</f>
        <v>10</v>
      </c>
      <c r="G12" s="33">
        <f>COUNTIFS(Gulberg!B26:B149,"&lt;&gt;",Gulberg!Q26:Q149,"Late")</f>
        <v>10</v>
      </c>
      <c r="H12" s="36" t="str">
        <f t="shared" si="2"/>
        <v>63%</v>
      </c>
      <c r="I12" s="30">
        <f>COUNTIFS(Gulshan_Iqbal!B21:B150,"&lt;&gt;",Gulshan_Iqbal!Q21:Q150,"Present")</f>
        <v>10</v>
      </c>
      <c r="J12" s="31">
        <f>COUNTIFS(Gulshan_Iqbal!B21:B150,"&lt;&gt;",Gulshan_Iqbal!Q21:Q150,"Absent")</f>
        <v>29</v>
      </c>
      <c r="K12" s="32">
        <f>COUNTIFS(Gulshan_Iqbal!B21:B150,"&lt;&gt;",Gulshan_Iqbal!Q21:Q150,"Leave")</f>
        <v>8</v>
      </c>
      <c r="L12" s="33">
        <f>COUNTIFS(Gulshan_Iqbal!B21:B150,"&lt;&gt;",Gulshan_Iqbal!Q21:Q150,"Late")</f>
        <v>5</v>
      </c>
      <c r="M12" s="36" t="str">
        <f t="shared" si="3"/>
        <v>34%</v>
      </c>
      <c r="N12" s="30">
        <f>COUNTIFS(Griffin!B16:B152,"&lt;&gt;",Griffin!Q16:Q152,"Present")</f>
        <v>10</v>
      </c>
      <c r="O12" s="31">
        <f>COUNTIFS(Griffin!B16:B152,"&lt;&gt;",Griffin!Q16:Q152,"Absent")</f>
        <v>15</v>
      </c>
      <c r="P12" s="32">
        <f>COUNTIFS(Griffin!B16:B152,"&lt;&gt;",Griffin!Q16:Q152,"Leave")</f>
        <v>2</v>
      </c>
      <c r="Q12" s="33">
        <f>COUNTIFS(Griffin!B16:B152,"&lt;&gt;",Griffin!Q16:Q152,"Late")</f>
        <v>6</v>
      </c>
      <c r="R12" s="36" t="str">
        <f t="shared" si="4"/>
        <v>52%</v>
      </c>
      <c r="S12" s="30">
        <f>COUNTIFS(Johar_Town!B21:B164,"&lt;&gt;",Johar_Town!Q21:Q164,"Present")</f>
        <v>13</v>
      </c>
      <c r="T12" s="31">
        <f>COUNTIFS(Johar_Town!B21:B164,"&lt;&gt;",Johar_Town!Q21:Q164,"Absent")</f>
        <v>5</v>
      </c>
      <c r="U12" s="32">
        <f>COUNTIFS(Johar_Town!B21:B164,"&lt;&gt;",Johar_Town!Q21:Q164,"Leave")</f>
        <v>4</v>
      </c>
      <c r="V12" s="33">
        <f>COUNTIFS(Johar_Town!B21:B164,"&lt;&gt;",Johar_Town!Q21:Q164,"Late")</f>
        <v>13</v>
      </c>
      <c r="W12" s="36" t="str">
        <f t="shared" si="5"/>
        <v>84%</v>
      </c>
      <c r="X12" s="30">
        <f>COUNTIFS(Gulshan_Ravi!B23:B150,"&lt;&gt;",Gulshan_Ravi!Q23:Q150,"Present")</f>
        <v>17</v>
      </c>
      <c r="Y12" s="31">
        <f>COUNTIFS(Gulshan_Ravi!B23:B150,"&lt;&gt;",Gulshan_Ravi!Q23:Q150,"Absent")</f>
        <v>9</v>
      </c>
      <c r="Z12" s="32">
        <f>COUNTIFS(Gulshan_Ravi!B23:B150,"&lt;&gt;",Gulshan_Ravi!Q23:Q150,"Leave")</f>
        <v>3</v>
      </c>
      <c r="AA12" s="33">
        <f>COUNTIFS(Gulshan_Ravi!B23:B150,"&lt;&gt;",Gulshan_Ravi!Q23:Q150,"Late")</f>
        <v>6</v>
      </c>
      <c r="AB12" s="36" t="str">
        <f t="shared" si="6"/>
        <v>72%</v>
      </c>
      <c r="AC12" s="30">
        <f>COUNTIFS(State_Life!B18:B150,"&lt;&gt;",State_Life!Q18:Q150,"Present")</f>
        <v>0</v>
      </c>
      <c r="AD12" s="31">
        <f>COUNTIFS(State_Life!B18:B150,"&lt;&gt;",State_Life!Q18:Q150,"Absent")</f>
        <v>9</v>
      </c>
      <c r="AE12" s="32">
        <f>COUNTIFS(State_Life!B18:B150,"&lt;&gt;",State_Life!Q18:Q150,"Leave")</f>
        <v>3</v>
      </c>
      <c r="AF12" s="33">
        <f>COUNTIFS(State_Life!B18:B150,"&lt;&gt;",State_Life!Q18:Q150,"Late")</f>
        <v>6</v>
      </c>
      <c r="AG12" s="36" t="str">
        <f t="shared" si="7"/>
        <v>40%</v>
      </c>
      <c r="AH12" s="51">
        <f t="shared" ref="AH12:AJ12" si="16">D12+I12+N12+S12+X12+AC12</f>
        <v>69</v>
      </c>
      <c r="AI12" s="51">
        <f t="shared" si="16"/>
        <v>84</v>
      </c>
      <c r="AJ12" s="51">
        <f t="shared" si="16"/>
        <v>30</v>
      </c>
      <c r="AK12" s="55" t="str">
        <f t="shared" si="9"/>
        <v>58%</v>
      </c>
    </row>
    <row r="13" ht="18.0" customHeight="1">
      <c r="A13" s="20">
        <v>10.0</v>
      </c>
      <c r="B13" s="20" t="s">
        <v>224</v>
      </c>
      <c r="C13" s="20" t="s">
        <v>200</v>
      </c>
      <c r="D13" s="30">
        <f>COUNTIFS(Gulberg!B26:B149,"&lt;&gt;",Gulberg!R26:R149,"Present")</f>
        <v>21</v>
      </c>
      <c r="E13" s="31">
        <f>COUNTIFS(Gulberg!B26:B149,"&lt;&gt;",Gulberg!R26:R149,"Absent")</f>
        <v>9</v>
      </c>
      <c r="F13" s="32">
        <f>COUNTIFS(Gulberg!B26:B149,"&lt;&gt;",Gulberg!R26:R149,"Leave")</f>
        <v>8</v>
      </c>
      <c r="G13" s="33">
        <f>COUNTIFS(Gulberg!B26:B149,"&lt;&gt;",Gulberg!R26:R149,"Late")</f>
        <v>17</v>
      </c>
      <c r="H13" s="36" t="str">
        <f t="shared" si="2"/>
        <v>81%</v>
      </c>
      <c r="I13" s="30">
        <f>COUNTIFS(Gulshan_Iqbal!B21:B150,"&lt;&gt;",Gulshan_Iqbal!R21:R150,"Present")</f>
        <v>10</v>
      </c>
      <c r="J13" s="31">
        <f>COUNTIFS(Gulshan_Iqbal!B21:B150,"&lt;&gt;",Gulshan_Iqbal!R21:R150,"Absent")</f>
        <v>32</v>
      </c>
      <c r="K13" s="32">
        <f>COUNTIFS(Gulshan_Iqbal!B21:B150,"&lt;&gt;",Gulshan_Iqbal!R21:R150,"Leave")</f>
        <v>8</v>
      </c>
      <c r="L13" s="33">
        <f>COUNTIFS(Gulshan_Iqbal!B21:B150,"&lt;&gt;",Gulshan_Iqbal!R21:R150,"Late")</f>
        <v>4</v>
      </c>
      <c r="M13" s="36" t="str">
        <f t="shared" si="3"/>
        <v>30%</v>
      </c>
      <c r="N13" s="30">
        <f>COUNTIFS(Griffin!B16:B152,"&lt;&gt;",Griffin!R16:R152,"Present")</f>
        <v>5</v>
      </c>
      <c r="O13" s="31">
        <f>COUNTIFS(Griffin!B16:B152,"&lt;&gt;",Griffin!R16:R152,"Absent")</f>
        <v>18</v>
      </c>
      <c r="P13" s="32">
        <f>COUNTIFS(Griffin!B16:B152,"&lt;&gt;",Griffin!R16:R152,"Leave")</f>
        <v>1</v>
      </c>
      <c r="Q13" s="33">
        <f>COUNTIFS(Griffin!B16:B152,"&lt;&gt;",Griffin!R16:R152,"Late")</f>
        <v>9</v>
      </c>
      <c r="R13" s="36" t="str">
        <f t="shared" si="4"/>
        <v>44%</v>
      </c>
      <c r="S13" s="30">
        <f>COUNTIFS(Johar_Town!B21:B164,"&lt;&gt;",Johar_Town!R21:R164,"Present")</f>
        <v>9</v>
      </c>
      <c r="T13" s="31">
        <f>COUNTIFS(Johar_Town!B21:B164,"&lt;&gt;",Johar_Town!R21:R164,"Absent")</f>
        <v>8</v>
      </c>
      <c r="U13" s="32">
        <f>COUNTIFS(Johar_Town!B21:B164,"&lt;&gt;",Johar_Town!R21:R164,"Leave")</f>
        <v>6</v>
      </c>
      <c r="V13" s="33">
        <f>COUNTIFS(Johar_Town!B21:B164,"&lt;&gt;",Johar_Town!R21:R164,"Late")</f>
        <v>13</v>
      </c>
      <c r="W13" s="36" t="str">
        <f t="shared" si="5"/>
        <v>73%</v>
      </c>
      <c r="X13" s="30">
        <f>COUNTIFS(Gulshan_Ravi!B23:B150,"&lt;&gt;",Gulshan_Ravi!R23:R150,"Present")</f>
        <v>17</v>
      </c>
      <c r="Y13" s="31">
        <f>COUNTIFS(Gulshan_Ravi!B23:B150,"&lt;&gt;",Gulshan_Ravi!R23:R150,"Absent")</f>
        <v>9</v>
      </c>
      <c r="Z13" s="32">
        <f>COUNTIFS(Gulshan_Ravi!B23:B150,"&lt;&gt;",Gulshan_Ravi!R23:R150,"Leave")</f>
        <v>4</v>
      </c>
      <c r="AA13" s="33">
        <f>COUNTIFS(Gulshan_Ravi!B23:B150,"&lt;&gt;",Gulshan_Ravi!R23:R150,"Late")</f>
        <v>5</v>
      </c>
      <c r="AB13" s="36" t="str">
        <f t="shared" si="6"/>
        <v>71%</v>
      </c>
      <c r="AC13" s="30">
        <f>COUNTIFS(State_Life!B18:B150,"&lt;&gt;",State_Life!R18:R150,"Present")</f>
        <v>0</v>
      </c>
      <c r="AD13" s="31">
        <f>COUNTIFS(State_Life!B18:B150,"&lt;&gt;",State_Life!R18:R150,"Absent")</f>
        <v>9</v>
      </c>
      <c r="AE13" s="32">
        <f>COUNTIFS(State_Life!B18:B150,"&lt;&gt;",State_Life!R18:R150,"Leave")</f>
        <v>3</v>
      </c>
      <c r="AF13" s="33">
        <f>COUNTIFS(State_Life!B18:B150,"&lt;&gt;",State_Life!R18:R150,"Late")</f>
        <v>6</v>
      </c>
      <c r="AG13" s="36" t="str">
        <f t="shared" si="7"/>
        <v>40%</v>
      </c>
      <c r="AH13" s="51">
        <f t="shared" ref="AH13:AJ13" si="17">D13+I13+N13+S13+X13+AC13</f>
        <v>62</v>
      </c>
      <c r="AI13" s="51">
        <f t="shared" si="17"/>
        <v>85</v>
      </c>
      <c r="AJ13" s="51">
        <f t="shared" si="17"/>
        <v>30</v>
      </c>
      <c r="AK13" s="55" t="str">
        <f t="shared" si="9"/>
        <v>58%</v>
      </c>
    </row>
    <row r="14" ht="18.0" customHeight="1">
      <c r="A14" s="10">
        <v>11.0</v>
      </c>
      <c r="B14" s="10" t="s">
        <v>228</v>
      </c>
      <c r="C14" s="10" t="s">
        <v>76</v>
      </c>
      <c r="D14" s="30">
        <f>COUNTIFS(Gulberg!B26:B149,"&lt;&gt;",Gulberg!S26:S149,"Present")</f>
        <v>14</v>
      </c>
      <c r="E14" s="31">
        <f>COUNTIFS(Gulberg!B26:B149,"&lt;&gt;",Gulberg!S26:S149,"Absent")</f>
        <v>19</v>
      </c>
      <c r="F14" s="32">
        <f>COUNTIFS(Gulberg!B26:B149,"&lt;&gt;",Gulberg!S26:S149,"Leave")</f>
        <v>14</v>
      </c>
      <c r="G14" s="33">
        <f>COUNTIFS(Gulberg!B26:B149,"&lt;&gt;",Gulberg!S26:S149,"Late")</f>
        <v>10</v>
      </c>
      <c r="H14" s="36" t="str">
        <f t="shared" si="2"/>
        <v>56%</v>
      </c>
      <c r="I14" s="30">
        <f>COUNTIFS(Gulshan_Iqbal!B21:B150,"&lt;&gt;",Gulshan_Iqbal!S21:S150,"Present")</f>
        <v>4</v>
      </c>
      <c r="J14" s="31">
        <f>COUNTIFS(Gulshan_Iqbal!B21:B150,"&lt;&gt;",Gulshan_Iqbal!S21:S150,"Absent")</f>
        <v>31</v>
      </c>
      <c r="K14" s="32">
        <f>COUNTIFS(Gulshan_Iqbal!B21:B150,"&lt;&gt;",Gulshan_Iqbal!S21:S150,"Leave")</f>
        <v>8</v>
      </c>
      <c r="L14" s="33">
        <f>COUNTIFS(Gulshan_Iqbal!B21:B150,"&lt;&gt;",Gulshan_Iqbal!S21:S150,"Late")</f>
        <v>7</v>
      </c>
      <c r="M14" s="36" t="str">
        <f t="shared" si="3"/>
        <v>26%</v>
      </c>
      <c r="N14" s="30">
        <f>COUNTIFS(Griffin!B16:B152,"&lt;&gt;",Griffin!S16:S152,"Present")</f>
        <v>6</v>
      </c>
      <c r="O14" s="31">
        <f>COUNTIFS(Griffin!B16:B152,"&lt;&gt;",Griffin!S16:S152,"Absent")</f>
        <v>16</v>
      </c>
      <c r="P14" s="32">
        <f>COUNTIFS(Griffin!B16:B152,"&lt;&gt;",Griffin!S16:S152,"Leave")</f>
        <v>3</v>
      </c>
      <c r="Q14" s="33">
        <f>COUNTIFS(Griffin!B16:B152,"&lt;&gt;",Griffin!S16:S152,"Late")</f>
        <v>14</v>
      </c>
      <c r="R14" s="36" t="str">
        <f t="shared" si="4"/>
        <v>56%</v>
      </c>
      <c r="S14" s="30">
        <f>COUNTIFS(Johar_Town!B21:B164,"&lt;&gt;",Johar_Town!S21:S164,"Present")</f>
        <v>8</v>
      </c>
      <c r="T14" s="31">
        <f>COUNTIFS(Johar_Town!B21:B164,"&lt;&gt;",Johar_Town!S21:S164,"Absent")</f>
        <v>9</v>
      </c>
      <c r="U14" s="32">
        <f>COUNTIFS(Johar_Town!B21:B164,"&lt;&gt;",Johar_Town!S21:S164,"Leave")</f>
        <v>3</v>
      </c>
      <c r="V14" s="33">
        <f>COUNTIFS(Johar_Town!B21:B164,"&lt;&gt;",Johar_Town!S21:S164,"Late")</f>
        <v>16</v>
      </c>
      <c r="W14" s="36" t="str">
        <f t="shared" si="5"/>
        <v>73%</v>
      </c>
      <c r="X14" s="30">
        <f>COUNTIFS(Gulshan_Ravi!B23:B150,"&lt;&gt;",Gulshan_Ravi!S23:S150,"Present")</f>
        <v>19</v>
      </c>
      <c r="Y14" s="31">
        <f>COUNTIFS(Gulshan_Ravi!B23:B150,"&lt;&gt;",Gulshan_Ravi!S23:S150,"Absent")</f>
        <v>13</v>
      </c>
      <c r="Z14" s="32">
        <f>COUNTIFS(Gulshan_Ravi!B23:B150,"&lt;&gt;",Gulshan_Ravi!S23:S150,"Leave")</f>
        <v>0</v>
      </c>
      <c r="AA14" s="33">
        <f>COUNTIFS(Gulshan_Ravi!B23:B150,"&lt;&gt;",Gulshan_Ravi!S23:S150,"Late")</f>
        <v>6</v>
      </c>
      <c r="AB14" s="36" t="str">
        <f t="shared" si="6"/>
        <v>66%</v>
      </c>
      <c r="AC14" s="30">
        <f>COUNTIFS(State_Life!B18:B150,"&lt;&gt;",State_Life!S18:S150,"Present")</f>
        <v>3</v>
      </c>
      <c r="AD14" s="31">
        <f>COUNTIFS(State_Life!B18:B150,"&lt;&gt;",State_Life!S18:S150,"Absent")</f>
        <v>8</v>
      </c>
      <c r="AE14" s="32">
        <f>COUNTIFS(State_Life!B18:B150,"&lt;&gt;",State_Life!S18:S150,"Leave")</f>
        <v>3</v>
      </c>
      <c r="AF14" s="33">
        <f>COUNTIFS(State_Life!B18:B150,"&lt;&gt;",State_Life!S18:S150,"Late")</f>
        <v>4</v>
      </c>
      <c r="AG14" s="36" t="str">
        <f t="shared" si="7"/>
        <v>47%</v>
      </c>
      <c r="AH14" s="51">
        <f t="shared" ref="AH14:AJ14" si="18">D14+I14+N14+S14+X14+AC14</f>
        <v>54</v>
      </c>
      <c r="AI14" s="51">
        <f t="shared" si="18"/>
        <v>96</v>
      </c>
      <c r="AJ14" s="51">
        <f t="shared" si="18"/>
        <v>31</v>
      </c>
      <c r="AK14" s="55" t="str">
        <f t="shared" si="9"/>
        <v>54%</v>
      </c>
    </row>
    <row r="15" ht="18.0" customHeight="1">
      <c r="A15" s="20">
        <v>12.0</v>
      </c>
      <c r="B15" s="20" t="s">
        <v>232</v>
      </c>
      <c r="C15" s="20" t="s">
        <v>200</v>
      </c>
      <c r="D15" s="30">
        <f>COUNTIFS(Gulberg!B26:B149,"&lt;&gt;",Gulberg!T26:T149,"Present")</f>
        <v>25</v>
      </c>
      <c r="E15" s="31">
        <f>COUNTIFS(Gulberg!B26:B149,"&lt;&gt;",Gulberg!T26:T149,"Absent")</f>
        <v>12</v>
      </c>
      <c r="F15" s="32">
        <f>COUNTIFS(Gulberg!B26:B149,"&lt;&gt;",Gulberg!T26:T149,"Leave")</f>
        <v>18</v>
      </c>
      <c r="G15" s="33">
        <f>COUNTIFS(Gulberg!B26:B149,"&lt;&gt;",Gulberg!T26:T149,"Late")</f>
        <v>0</v>
      </c>
      <c r="H15" s="36" t="str">
        <f t="shared" si="2"/>
        <v>68%</v>
      </c>
      <c r="I15" s="30">
        <f>COUNTIFS(Gulshan_Iqbal!B21:B150,"&lt;&gt;",Gulshan_Iqbal!T21:T150,"Present")</f>
        <v>26</v>
      </c>
      <c r="J15" s="31">
        <f>COUNTIFS(Gulshan_Iqbal!B21:B150,"&lt;&gt;",Gulshan_Iqbal!T21:T150,"Absent")</f>
        <v>24</v>
      </c>
      <c r="K15" s="32">
        <f>COUNTIFS(Gulshan_Iqbal!B21:B150,"&lt;&gt;",Gulshan_Iqbal!T21:T150,"Leave")</f>
        <v>4</v>
      </c>
      <c r="L15" s="33">
        <f>COUNTIFS(Gulshan_Iqbal!B21:B150,"&lt;&gt;",Gulshan_Iqbal!T21:T150,"Late")</f>
        <v>0</v>
      </c>
      <c r="M15" s="36" t="str">
        <f t="shared" si="3"/>
        <v>52%</v>
      </c>
      <c r="N15" s="30">
        <f>COUNTIFS(Griffin!B16:B152,"&lt;&gt;",Griffin!T16:T152,"Present")</f>
        <v>22</v>
      </c>
      <c r="O15" s="31">
        <f>COUNTIFS(Griffin!B16:B152,"&lt;&gt;",Griffin!T16:T152,"Absent")</f>
        <v>16</v>
      </c>
      <c r="P15" s="32">
        <f>COUNTIFS(Griffin!B16:B152,"&lt;&gt;",Griffin!T16:T152,"Leave")</f>
        <v>2</v>
      </c>
      <c r="Q15" s="33">
        <f>COUNTIFS(Griffin!B16:B152,"&lt;&gt;",Griffin!T16:T152,"Late")</f>
        <v>0</v>
      </c>
      <c r="R15" s="36" t="str">
        <f t="shared" si="4"/>
        <v>58%</v>
      </c>
      <c r="S15" s="30">
        <f>COUNTIFS(Johar_Town!B21:B164,"&lt;&gt;",Johar_Town!T21:T164,"Present")</f>
        <v>27</v>
      </c>
      <c r="T15" s="31">
        <f>COUNTIFS(Johar_Town!B21:B164,"&lt;&gt;",Johar_Town!T21:T164,"Absent")</f>
        <v>6</v>
      </c>
      <c r="U15" s="32">
        <f>COUNTIFS(Johar_Town!B21:B164,"&lt;&gt;",Johar_Town!T21:T164,"Leave")</f>
        <v>3</v>
      </c>
      <c r="V15" s="33">
        <f>COUNTIFS(Johar_Town!B21:B164,"&lt;&gt;",Johar_Town!T21:T164,"Late")</f>
        <v>0</v>
      </c>
      <c r="W15" s="36" t="str">
        <f t="shared" si="5"/>
        <v>82%</v>
      </c>
      <c r="X15" s="30">
        <f>COUNTIFS(Gulshan_Ravi!B23:B150,"&lt;&gt;",Gulshan_Ravi!T23:T150,"Present")</f>
        <v>26</v>
      </c>
      <c r="Y15" s="31">
        <f>COUNTIFS(Gulshan_Ravi!B23:B150,"&lt;&gt;",Gulshan_Ravi!T23:T150,"Absent")</f>
        <v>7</v>
      </c>
      <c r="Z15" s="32">
        <f>COUNTIFS(Gulshan_Ravi!B23:B150,"&lt;&gt;",Gulshan_Ravi!T23:T150,"Leave")</f>
        <v>2</v>
      </c>
      <c r="AA15" s="33">
        <f>COUNTIFS(Gulshan_Ravi!B23:B150,"&lt;&gt;",Gulshan_Ravi!T23:T150,"Late")</f>
        <v>0</v>
      </c>
      <c r="AB15" s="36" t="str">
        <f t="shared" si="6"/>
        <v>79%</v>
      </c>
      <c r="AC15" s="30">
        <f>COUNTIFS(State_Life!B18:B150,"&lt;&gt;",State_Life!T18:T150,"Present")</f>
        <v>8</v>
      </c>
      <c r="AD15" s="31">
        <f>COUNTIFS(State_Life!B18:B150,"&lt;&gt;",State_Life!T18:T150,"Absent")</f>
        <v>5</v>
      </c>
      <c r="AE15" s="32">
        <f>COUNTIFS(State_Life!B18:B150,"&lt;&gt;",State_Life!T18:T150,"Leave")</f>
        <v>2</v>
      </c>
      <c r="AF15" s="33">
        <f>COUNTIFS(State_Life!B18:B150,"&lt;&gt;",State_Life!T18:T150,"Late")</f>
        <v>3</v>
      </c>
      <c r="AG15" s="36" t="str">
        <f t="shared" si="7"/>
        <v>69%</v>
      </c>
      <c r="AH15" s="51">
        <f t="shared" ref="AH15:AJ15" si="19">D15+I15+N15+S15+X15+AC15</f>
        <v>134</v>
      </c>
      <c r="AI15" s="51">
        <f t="shared" si="19"/>
        <v>70</v>
      </c>
      <c r="AJ15" s="51">
        <f t="shared" si="19"/>
        <v>31</v>
      </c>
      <c r="AK15" s="55" t="str">
        <f t="shared" si="9"/>
        <v>66%</v>
      </c>
    </row>
    <row r="16" ht="18.0" customHeight="1">
      <c r="A16" s="10">
        <v>13.0</v>
      </c>
      <c r="B16" s="10" t="s">
        <v>236</v>
      </c>
      <c r="C16" s="10" t="s">
        <v>76</v>
      </c>
      <c r="D16" s="30">
        <f>COUNTIFS(Gulberg!B26:B149,"&lt;&gt;",Gulberg!U26:U149,"Present")</f>
        <v>13</v>
      </c>
      <c r="E16" s="31">
        <f>COUNTIFS(Gulberg!B26:B149,"&lt;&gt;",Gulberg!U26:U149,"Absent")</f>
        <v>15</v>
      </c>
      <c r="F16" s="32">
        <f>COUNTIFS(Gulberg!B26:B149,"&lt;&gt;",Gulberg!U26:U149,"Leave")</f>
        <v>13</v>
      </c>
      <c r="G16" s="33">
        <f>COUNTIFS(Gulberg!B26:B149,"&lt;&gt;",Gulberg!U26:U149,"Late")</f>
        <v>12</v>
      </c>
      <c r="H16" s="36" t="str">
        <f t="shared" si="2"/>
        <v>63%</v>
      </c>
      <c r="I16" s="30">
        <f>COUNTIFS(Gulshan_Iqbal!B21:B150,"&lt;&gt;",Gulshan_Iqbal!U21:U150,"Present")</f>
        <v>9</v>
      </c>
      <c r="J16" s="31">
        <f>COUNTIFS(Gulshan_Iqbal!B21:B150,"&lt;&gt;",Gulshan_Iqbal!U21:U150,"Absent")</f>
        <v>29</v>
      </c>
      <c r="K16" s="32">
        <f>COUNTIFS(Gulshan_Iqbal!B21:B150,"&lt;&gt;",Gulshan_Iqbal!U21:U150,"Leave")</f>
        <v>5</v>
      </c>
      <c r="L16" s="33">
        <f>COUNTIFS(Gulshan_Iqbal!B21:B150,"&lt;&gt;",Gulshan_Iqbal!U21:U150,"Late")</f>
        <v>8</v>
      </c>
      <c r="M16" s="36" t="str">
        <f t="shared" si="3"/>
        <v>37%</v>
      </c>
      <c r="N16" s="30">
        <f>COUNTIFS(Griffin!B16:B152,"&lt;&gt;",Griffin!U16:U152,"Present")</f>
        <v>4</v>
      </c>
      <c r="O16" s="31">
        <f>COUNTIFS(Griffin!B16:B152,"&lt;&gt;",Griffin!U16:U152,"Absent")</f>
        <v>15</v>
      </c>
      <c r="P16" s="32">
        <f>COUNTIFS(Griffin!B16:B152,"&lt;&gt;",Griffin!U16:U152,"Leave")</f>
        <v>2</v>
      </c>
      <c r="Q16" s="33">
        <f>COUNTIFS(Griffin!B16:B152,"&lt;&gt;",Griffin!U16:U152,"Late")</f>
        <v>19</v>
      </c>
      <c r="R16" s="36" t="str">
        <f t="shared" si="4"/>
        <v>61%</v>
      </c>
      <c r="S16" s="30">
        <f>COUNTIFS(Johar_Town!B21:B164,"&lt;&gt;",Johar_Town!U21:U164,"Present")</f>
        <v>4</v>
      </c>
      <c r="T16" s="31">
        <f>COUNTIFS(Johar_Town!B21:B164,"&lt;&gt;",Johar_Town!U21:U164,"Absent")</f>
        <v>18</v>
      </c>
      <c r="U16" s="32">
        <f>COUNTIFS(Johar_Town!B21:B164,"&lt;&gt;",Johar_Town!U21:U164,"Leave")</f>
        <v>4</v>
      </c>
      <c r="V16" s="33">
        <f>COUNTIFS(Johar_Town!B21:B164,"&lt;&gt;",Johar_Town!U21:U164,"Late")</f>
        <v>10</v>
      </c>
      <c r="W16" s="36" t="str">
        <f t="shared" si="5"/>
        <v>44%</v>
      </c>
      <c r="X16" s="30">
        <f>COUNTIFS(Gulshan_Ravi!B23:B150,"&lt;&gt;",Gulshan_Ravi!U23:U150,"Present")</f>
        <v>11</v>
      </c>
      <c r="Y16" s="31">
        <f>COUNTIFS(Gulshan_Ravi!B23:B150,"&lt;&gt;",Gulshan_Ravi!U23:U150,"Absent")</f>
        <v>21</v>
      </c>
      <c r="Z16" s="32">
        <f>COUNTIFS(Gulshan_Ravi!B23:B150,"&lt;&gt;",Gulshan_Ravi!U23:U150,"Leave")</f>
        <v>5</v>
      </c>
      <c r="AA16" s="33">
        <f>COUNTIFS(Gulshan_Ravi!B23:B150,"&lt;&gt;",Gulshan_Ravi!U23:U150,"Late")</f>
        <v>2</v>
      </c>
      <c r="AB16" s="36" t="str">
        <f t="shared" si="6"/>
        <v>38%</v>
      </c>
      <c r="AC16" s="30">
        <f>COUNTIFS(State_Life!B18:B150,"&lt;&gt;",State_Life!U18:U150,"Present")</f>
        <v>1</v>
      </c>
      <c r="AD16" s="31">
        <f>COUNTIFS(State_Life!B18:B150,"&lt;&gt;",State_Life!U18:U150,"Absent")</f>
        <v>9</v>
      </c>
      <c r="AE16" s="32">
        <f>COUNTIFS(State_Life!B18:B150,"&lt;&gt;",State_Life!U18:U150,"Leave")</f>
        <v>1</v>
      </c>
      <c r="AF16" s="33">
        <f>COUNTIFS(State_Life!B18:B150,"&lt;&gt;",State_Life!U18:U150,"Late")</f>
        <v>5</v>
      </c>
      <c r="AG16" s="36" t="str">
        <f t="shared" si="7"/>
        <v>40%</v>
      </c>
      <c r="AH16" s="51">
        <f t="shared" ref="AH16:AJ16" si="20">D16+I16+N16+S16+X16+AC16</f>
        <v>42</v>
      </c>
      <c r="AI16" s="51">
        <f t="shared" si="20"/>
        <v>107</v>
      </c>
      <c r="AJ16" s="51">
        <f t="shared" si="20"/>
        <v>30</v>
      </c>
      <c r="AK16" s="55" t="str">
        <f t="shared" si="9"/>
        <v>48%</v>
      </c>
    </row>
    <row r="17" ht="18.0" customHeight="1">
      <c r="A17" s="20">
        <v>14.0</v>
      </c>
      <c r="B17" s="20" t="s">
        <v>237</v>
      </c>
      <c r="C17" s="20" t="s">
        <v>200</v>
      </c>
      <c r="D17" s="30">
        <f>COUNTIFS(Gulberg!B26:B149,"&lt;&gt;",Gulberg!V26:V149,"Present")</f>
        <v>15</v>
      </c>
      <c r="E17" s="31">
        <f>COUNTIFS(Gulberg!B26:B149,"&lt;&gt;",Gulberg!V26:V149,"Absent")</f>
        <v>13</v>
      </c>
      <c r="F17" s="32">
        <f>COUNTIFS(Gulberg!B26:B149,"&lt;&gt;",Gulberg!V26:V149,"Leave")</f>
        <v>16</v>
      </c>
      <c r="G17" s="33">
        <f>COUNTIFS(Gulberg!B26:B149,"&lt;&gt;",Gulberg!V26:V149,"Late")</f>
        <v>12</v>
      </c>
      <c r="H17" s="36" t="str">
        <f t="shared" si="2"/>
        <v>68%</v>
      </c>
      <c r="I17" s="30">
        <f>COUNTIFS(Gulshan_Iqbal!B21:B150,"&lt;&gt;",Gulshan_Iqbal!V21:V150,"Present")</f>
        <v>12</v>
      </c>
      <c r="J17" s="31">
        <f>COUNTIFS(Gulshan_Iqbal!B21:B150,"&lt;&gt;",Gulshan_Iqbal!V21:V150,"Absent")</f>
        <v>36</v>
      </c>
      <c r="K17" s="32">
        <f>COUNTIFS(Gulshan_Iqbal!B21:B150,"&lt;&gt;",Gulshan_Iqbal!V21:V150,"Leave")</f>
        <v>2</v>
      </c>
      <c r="L17" s="33">
        <f>COUNTIFS(Gulshan_Iqbal!B21:B150,"&lt;&gt;",Gulshan_Iqbal!V21:V150,"Late")</f>
        <v>4</v>
      </c>
      <c r="M17" s="36" t="str">
        <f t="shared" si="3"/>
        <v>31%</v>
      </c>
      <c r="N17" s="30">
        <f>COUNTIFS(Griffin!B16:B152,"&lt;&gt;",Griffin!V16:V152,"Present")</f>
        <v>13</v>
      </c>
      <c r="O17" s="31">
        <f>COUNTIFS(Griffin!B16:B152,"&lt;&gt;",Griffin!V16:V152,"Absent")</f>
        <v>15</v>
      </c>
      <c r="P17" s="32">
        <f>COUNTIFS(Griffin!B16:B152,"&lt;&gt;",Griffin!V16:V152,"Leave")</f>
        <v>6</v>
      </c>
      <c r="Q17" s="33">
        <f>COUNTIFS(Griffin!B16:B152,"&lt;&gt;",Griffin!V16:V152,"Late")</f>
        <v>7</v>
      </c>
      <c r="R17" s="36" t="str">
        <f t="shared" si="4"/>
        <v>57%</v>
      </c>
      <c r="S17" s="30">
        <f>COUNTIFS(Johar_Town!B21:B164,"&lt;&gt;",Johar_Town!V21:V164,"Present")</f>
        <v>9</v>
      </c>
      <c r="T17" s="31">
        <f>COUNTIFS(Johar_Town!B21:B164,"&lt;&gt;",Johar_Town!V21:V164,"Absent")</f>
        <v>14</v>
      </c>
      <c r="U17" s="32">
        <f>COUNTIFS(Johar_Town!B21:B164,"&lt;&gt;",Johar_Town!V21:V164,"Leave")</f>
        <v>6</v>
      </c>
      <c r="V17" s="33">
        <f>COUNTIFS(Johar_Town!B21:B164,"&lt;&gt;",Johar_Town!V21:V164,"Late")</f>
        <v>7</v>
      </c>
      <c r="W17" s="36" t="str">
        <f t="shared" si="5"/>
        <v>53%</v>
      </c>
      <c r="X17" s="30">
        <f>COUNTIFS(Gulshan_Ravi!B23:B150,"&lt;&gt;",Gulshan_Ravi!V23:V150,"Present")</f>
        <v>15</v>
      </c>
      <c r="Y17" s="31">
        <f>COUNTIFS(Gulshan_Ravi!B23:B150,"&lt;&gt;",Gulshan_Ravi!V23:V150,"Absent")</f>
        <v>18</v>
      </c>
      <c r="Z17" s="32">
        <f>COUNTIFS(Gulshan_Ravi!B23:B150,"&lt;&gt;",Gulshan_Ravi!V23:V150,"Leave")</f>
        <v>4</v>
      </c>
      <c r="AA17" s="33">
        <f>COUNTIFS(Gulshan_Ravi!B23:B150,"&lt;&gt;",Gulshan_Ravi!V23:V150,"Late")</f>
        <v>1</v>
      </c>
      <c r="AB17" s="36" t="str">
        <f t="shared" si="6"/>
        <v>47%</v>
      </c>
      <c r="AC17" s="30">
        <f>COUNTIFS(State_Life!B18:B150,"&lt;&gt;",State_Life!V18:V150,"Present")</f>
        <v>1</v>
      </c>
      <c r="AD17" s="31">
        <f>COUNTIFS(State_Life!B18:B150,"&lt;&gt;",State_Life!V18:V150,"Absent")</f>
        <v>11</v>
      </c>
      <c r="AE17" s="32">
        <f>COUNTIFS(State_Life!B18:B150,"&lt;&gt;",State_Life!V18:V150,"Leave")</f>
        <v>1</v>
      </c>
      <c r="AF17" s="33">
        <f>COUNTIFS(State_Life!B18:B150,"&lt;&gt;",State_Life!V18:V150,"Late")</f>
        <v>3</v>
      </c>
      <c r="AG17" s="36" t="str">
        <f t="shared" si="7"/>
        <v>27%</v>
      </c>
      <c r="AH17" s="51">
        <f t="shared" ref="AH17:AJ17" si="21">D17+I17+N17+S17+X17+AC17</f>
        <v>65</v>
      </c>
      <c r="AI17" s="51">
        <f t="shared" si="21"/>
        <v>107</v>
      </c>
      <c r="AJ17" s="51">
        <f t="shared" si="21"/>
        <v>35</v>
      </c>
      <c r="AK17" s="55" t="str">
        <f t="shared" si="9"/>
        <v>48%</v>
      </c>
    </row>
    <row r="18" ht="18.0" customHeight="1">
      <c r="A18" s="10">
        <v>15.0</v>
      </c>
      <c r="B18" s="10" t="s">
        <v>241</v>
      </c>
      <c r="C18" s="10" t="s">
        <v>76</v>
      </c>
      <c r="D18" s="30">
        <f>COUNTIFS(Gulberg!B26:B149,"&lt;&gt;",Gulberg!W26:W149,"Present")</f>
        <v>0</v>
      </c>
      <c r="E18" s="31">
        <f>COUNTIFS(Gulberg!B26:B149,"&lt;&gt;",Gulberg!W26:W149,"Absent")</f>
        <v>1</v>
      </c>
      <c r="F18" s="32">
        <f>COUNTIFS(Gulberg!B26:B149,"&lt;&gt;",Gulberg!W26:W149,"Leave")</f>
        <v>4</v>
      </c>
      <c r="G18" s="33">
        <f>COUNTIFS(Gulberg!B26:B149,"&lt;&gt;",Gulberg!W26:W149,"Late")</f>
        <v>0</v>
      </c>
      <c r="H18" s="36" t="str">
        <f t="shared" si="2"/>
        <v>0%</v>
      </c>
      <c r="I18" s="30">
        <f>COUNTIFS(Gulshan_Iqbal!B21:B150,"&lt;&gt;",Gulshan_Iqbal!W21:W150,"Present")</f>
        <v>0</v>
      </c>
      <c r="J18" s="31">
        <f>COUNTIFS(Gulshan_Iqbal!B21:B150,"&lt;&gt;",Gulshan_Iqbal!W21:W150,"Absent")</f>
        <v>0</v>
      </c>
      <c r="K18" s="32">
        <f>COUNTIFS(Gulshan_Iqbal!B21:B150,"&lt;&gt;",Gulshan_Iqbal!W21:W150,"Leave")</f>
        <v>0</v>
      </c>
      <c r="L18" s="33">
        <f>COUNTIFS(Gulshan_Iqbal!B21:B150,"&lt;&gt;",Gulshan_Iqbal!W21:W150,"Late")</f>
        <v>0</v>
      </c>
      <c r="M18" s="36" t="str">
        <f t="shared" si="3"/>
        <v>-</v>
      </c>
      <c r="N18" s="30">
        <f>COUNTIFS(Griffin!B16:B152,"&lt;&gt;",Griffin!W16:W152,"Present")</f>
        <v>0</v>
      </c>
      <c r="O18" s="31">
        <f>COUNTIFS(Griffin!B16:B152,"&lt;&gt;",Griffin!W16:W152,"Absent")</f>
        <v>0</v>
      </c>
      <c r="P18" s="32">
        <f>COUNTIFS(Griffin!B16:B152,"&lt;&gt;",Griffin!W16:W152,"Leave")</f>
        <v>0</v>
      </c>
      <c r="Q18" s="33">
        <f>COUNTIFS(Griffin!B16:B152,"&lt;&gt;",Griffin!W16:W152,"Late")</f>
        <v>0</v>
      </c>
      <c r="R18" s="36" t="str">
        <f t="shared" si="4"/>
        <v>-</v>
      </c>
      <c r="S18" s="30">
        <f>COUNTIFS(Johar_Town!B21:B164,"&lt;&gt;",Johar_Town!W21:W164,"Present")</f>
        <v>0</v>
      </c>
      <c r="T18" s="31">
        <f>COUNTIFS(Johar_Town!B21:B164,"&lt;&gt;",Johar_Town!W21:W164,"Absent")</f>
        <v>0</v>
      </c>
      <c r="U18" s="32">
        <f>COUNTIFS(Johar_Town!B21:B164,"&lt;&gt;",Johar_Town!W21:W164,"Leave")</f>
        <v>0</v>
      </c>
      <c r="V18" s="33">
        <f>COUNTIFS(Johar_Town!B21:B164,"&lt;&gt;",Johar_Town!W21:W164,"Late")</f>
        <v>0</v>
      </c>
      <c r="W18" s="36" t="str">
        <f t="shared" si="5"/>
        <v>-</v>
      </c>
      <c r="X18" s="30">
        <f>COUNTIFS(Gulshan_Ravi!B23:B150,"&lt;&gt;",Gulshan_Ravi!W23:W150,"Present")</f>
        <v>0</v>
      </c>
      <c r="Y18" s="31">
        <f>COUNTIFS(Gulshan_Ravi!B23:B150,"&lt;&gt;",Gulshan_Ravi!W23:W150,"Absent")</f>
        <v>0</v>
      </c>
      <c r="Z18" s="32">
        <f>COUNTIFS(Gulshan_Ravi!B23:B150,"&lt;&gt;",Gulshan_Ravi!W23:W150,"Leave")</f>
        <v>0</v>
      </c>
      <c r="AA18" s="33">
        <f>COUNTIFS(Gulshan_Ravi!B23:B150,"&lt;&gt;",Gulshan_Ravi!W23:W150,"Late")</f>
        <v>0</v>
      </c>
      <c r="AB18" s="36" t="str">
        <f t="shared" si="6"/>
        <v>-</v>
      </c>
      <c r="AC18" s="30">
        <f>COUNTIFS(State_Life!B18:B150,"&lt;&gt;",State_Life!W18:W150,"Present")</f>
        <v>0</v>
      </c>
      <c r="AD18" s="31">
        <f>COUNTIFS(State_Life!B18:B150,"&lt;&gt;",State_Life!W18:W150,"Absent")</f>
        <v>0</v>
      </c>
      <c r="AE18" s="32">
        <f>COUNTIFS(State_Life!B18:B150,"&lt;&gt;",State_Life!W18:W150,"Leave")</f>
        <v>0</v>
      </c>
      <c r="AF18" s="33">
        <f>COUNTIFS(State_Life!B18:B150,"&lt;&gt;",State_Life!W18:W150,"Late")</f>
        <v>0</v>
      </c>
      <c r="AG18" s="36" t="str">
        <f t="shared" si="7"/>
        <v>-</v>
      </c>
      <c r="AH18" s="51">
        <f t="shared" ref="AH18:AJ18" si="22">D18+I18+N18+S18+X18+AC18</f>
        <v>0</v>
      </c>
      <c r="AI18" s="51">
        <f t="shared" si="22"/>
        <v>1</v>
      </c>
      <c r="AJ18" s="51">
        <f t="shared" si="22"/>
        <v>4</v>
      </c>
      <c r="AK18" s="55" t="str">
        <f t="shared" si="9"/>
        <v>0%</v>
      </c>
    </row>
    <row r="19" ht="18.0" customHeight="1">
      <c r="A19" s="20">
        <v>16.0</v>
      </c>
      <c r="B19" s="20" t="s">
        <v>245</v>
      </c>
      <c r="C19" s="20" t="s">
        <v>200</v>
      </c>
      <c r="D19" s="30">
        <f>COUNTIFS(Gulberg!B26:B149,"&lt;&gt;",Gulberg!X26:X149,"Present")</f>
        <v>8</v>
      </c>
      <c r="E19" s="31">
        <f>COUNTIFS(Gulberg!B26:B149,"&lt;&gt;",Gulberg!X26:X149,"Absent")</f>
        <v>19</v>
      </c>
      <c r="F19" s="32">
        <f>COUNTIFS(Gulberg!B26:B149,"&lt;&gt;",Gulberg!X26:X149,"Leave")</f>
        <v>6</v>
      </c>
      <c r="G19" s="33">
        <f>COUNTIFS(Gulberg!B26:B149,"&lt;&gt;",Gulberg!X26:X149,"Late")</f>
        <v>21</v>
      </c>
      <c r="H19" s="36" t="str">
        <f t="shared" si="2"/>
        <v>60%</v>
      </c>
      <c r="I19" s="30">
        <f>COUNTIFS(Gulshan_Iqbal!B21:B150,"&lt;&gt;",Gulshan_Iqbal!X21:X150,"Present")</f>
        <v>6</v>
      </c>
      <c r="J19" s="31">
        <f>COUNTIFS(Gulshan_Iqbal!B21:B150,"&lt;&gt;",Gulshan_Iqbal!X21:X150,"Absent")</f>
        <v>30</v>
      </c>
      <c r="K19" s="32">
        <f>COUNTIFS(Gulshan_Iqbal!B21:B150,"&lt;&gt;",Gulshan_Iqbal!X21:X150,"Leave")</f>
        <v>6</v>
      </c>
      <c r="L19" s="33">
        <f>COUNTIFS(Gulshan_Iqbal!B21:B150,"&lt;&gt;",Gulshan_Iqbal!X21:X150,"Late")</f>
        <v>10</v>
      </c>
      <c r="M19" s="36" t="str">
        <f t="shared" si="3"/>
        <v>35%</v>
      </c>
      <c r="N19" s="30">
        <f>COUNTIFS(Griffin!B16:B152,"&lt;&gt;",Griffin!X16:X152,"Present")</f>
        <v>15</v>
      </c>
      <c r="O19" s="31">
        <f>COUNTIFS(Griffin!B16:B152,"&lt;&gt;",Griffin!X16:X152,"Absent")</f>
        <v>18</v>
      </c>
      <c r="P19" s="32">
        <f>COUNTIFS(Griffin!B16:B152,"&lt;&gt;",Griffin!X16:X152,"Leave")</f>
        <v>2</v>
      </c>
      <c r="Q19" s="33">
        <f>COUNTIFS(Griffin!B16:B152,"&lt;&gt;",Griffin!X16:X152,"Late")</f>
        <v>6</v>
      </c>
      <c r="R19" s="36" t="str">
        <f t="shared" si="4"/>
        <v>54%</v>
      </c>
      <c r="S19" s="30">
        <f>COUNTIFS(Johar_Town!B21:B164,"&lt;&gt;",Johar_Town!X21:X164,"Present")</f>
        <v>6</v>
      </c>
      <c r="T19" s="31">
        <f>COUNTIFS(Johar_Town!B21:B164,"&lt;&gt;",Johar_Town!X21:X164,"Absent")</f>
        <v>21</v>
      </c>
      <c r="U19" s="32">
        <f>COUNTIFS(Johar_Town!B21:B164,"&lt;&gt;",Johar_Town!X21:X164,"Leave")</f>
        <v>5</v>
      </c>
      <c r="V19" s="33">
        <f>COUNTIFS(Johar_Town!B21:B164,"&lt;&gt;",Johar_Town!X21:X164,"Late")</f>
        <v>4</v>
      </c>
      <c r="W19" s="36" t="str">
        <f t="shared" si="5"/>
        <v>32%</v>
      </c>
      <c r="X19" s="30">
        <f>COUNTIFS(Gulshan_Ravi!B23:B150,"&lt;&gt;",Gulshan_Ravi!X23:X150,"Present")</f>
        <v>11</v>
      </c>
      <c r="Y19" s="31">
        <f>COUNTIFS(Gulshan_Ravi!B23:B150,"&lt;&gt;",Gulshan_Ravi!X23:X150,"Absent")</f>
        <v>20</v>
      </c>
      <c r="Z19" s="32">
        <f>COUNTIFS(Gulshan_Ravi!B23:B150,"&lt;&gt;",Gulshan_Ravi!X23:X150,"Leave")</f>
        <v>4</v>
      </c>
      <c r="AA19" s="33">
        <f>COUNTIFS(Gulshan_Ravi!B23:B150,"&lt;&gt;",Gulshan_Ravi!X23:X150,"Late")</f>
        <v>5</v>
      </c>
      <c r="AB19" s="36" t="str">
        <f t="shared" si="6"/>
        <v>44%</v>
      </c>
      <c r="AC19" s="30">
        <f>COUNTIFS(State_Life!B18:B150,"&lt;&gt;",State_Life!X18:X150,"Present")</f>
        <v>1</v>
      </c>
      <c r="AD19" s="31">
        <f>COUNTIFS(State_Life!B18:B150,"&lt;&gt;",State_Life!X18:X150,"Absent")</f>
        <v>10</v>
      </c>
      <c r="AE19" s="32">
        <f>COUNTIFS(State_Life!B18:B150,"&lt;&gt;",State_Life!X18:X150,"Leave")</f>
        <v>1</v>
      </c>
      <c r="AF19" s="33">
        <f>COUNTIFS(State_Life!B18:B150,"&lt;&gt;",State_Life!X18:X150,"Late")</f>
        <v>4</v>
      </c>
      <c r="AG19" s="36" t="str">
        <f t="shared" si="7"/>
        <v>33%</v>
      </c>
      <c r="AH19" s="51">
        <f t="shared" ref="AH19:AJ19" si="23">D19+I19+N19+S19+X19+AC19</f>
        <v>47</v>
      </c>
      <c r="AI19" s="51">
        <f t="shared" si="23"/>
        <v>118</v>
      </c>
      <c r="AJ19" s="51">
        <f t="shared" si="23"/>
        <v>24</v>
      </c>
      <c r="AK19" s="55" t="str">
        <f t="shared" si="9"/>
        <v>45%</v>
      </c>
    </row>
    <row r="20" ht="18.0" customHeight="1">
      <c r="A20" s="10">
        <v>17.0</v>
      </c>
      <c r="B20" s="10" t="s">
        <v>246</v>
      </c>
      <c r="C20" s="10" t="s">
        <v>76</v>
      </c>
      <c r="D20" s="30">
        <f>COUNTIFS(Gulberg!B26:B149,"&lt;&gt;",Gulberg!Y26:Y149,"Present")</f>
        <v>8</v>
      </c>
      <c r="E20" s="31">
        <f>COUNTIFS(Gulberg!B26:B149,"&lt;&gt;",Gulberg!Y26:Y149,"Absent")</f>
        <v>15</v>
      </c>
      <c r="F20" s="32">
        <f>COUNTIFS(Gulberg!B26:B149,"&lt;&gt;",Gulberg!Y26:Y149,"Leave")</f>
        <v>13</v>
      </c>
      <c r="G20" s="33">
        <f>COUNTIFS(Gulberg!B26:B149,"&lt;&gt;",Gulberg!Y26:Y149,"Late")</f>
        <v>14</v>
      </c>
      <c r="H20" s="36" t="str">
        <f t="shared" si="2"/>
        <v>59%</v>
      </c>
      <c r="I20" s="30">
        <f>COUNTIFS(Gulshan_Iqbal!B21:B150,"&lt;&gt;",Gulshan_Iqbal!Y21:Y150,"Present")</f>
        <v>12</v>
      </c>
      <c r="J20" s="31">
        <f>COUNTIFS(Gulshan_Iqbal!B21:B150,"&lt;&gt;",Gulshan_Iqbal!Y21:Y150,"Absent")</f>
        <v>24</v>
      </c>
      <c r="K20" s="32">
        <f>COUNTIFS(Gulshan_Iqbal!B21:B150,"&lt;&gt;",Gulshan_Iqbal!Y21:Y150,"Leave")</f>
        <v>4</v>
      </c>
      <c r="L20" s="33">
        <f>COUNTIFS(Gulshan_Iqbal!B21:B150,"&lt;&gt;",Gulshan_Iqbal!Y21:Y150,"Late")</f>
        <v>10</v>
      </c>
      <c r="M20" s="36" t="str">
        <f t="shared" si="3"/>
        <v>48%</v>
      </c>
      <c r="N20" s="30">
        <f>COUNTIFS(Griffin!B16:B152,"&lt;&gt;",Griffin!Y16:Y152,"Present")</f>
        <v>2</v>
      </c>
      <c r="O20" s="31">
        <f>COUNTIFS(Griffin!B16:B152,"&lt;&gt;",Griffin!Y16:Y152,"Absent")</f>
        <v>19</v>
      </c>
      <c r="P20" s="32">
        <f>COUNTIFS(Griffin!B16:B152,"&lt;&gt;",Griffin!Y16:Y152,"Leave")</f>
        <v>3</v>
      </c>
      <c r="Q20" s="33">
        <f>COUNTIFS(Griffin!B16:B152,"&lt;&gt;",Griffin!Y16:Y152,"Late")</f>
        <v>17</v>
      </c>
      <c r="R20" s="36" t="str">
        <f t="shared" si="4"/>
        <v>50%</v>
      </c>
      <c r="S20" s="30">
        <f>COUNTIFS(Johar_Town!B21:B164,"&lt;&gt;",Johar_Town!Y21:Y164,"Present")</f>
        <v>3</v>
      </c>
      <c r="T20" s="31">
        <f>COUNTIFS(Johar_Town!B21:B164,"&lt;&gt;",Johar_Town!Y21:Y164,"Absent")</f>
        <v>13</v>
      </c>
      <c r="U20" s="32">
        <f>COUNTIFS(Johar_Town!B21:B164,"&lt;&gt;",Johar_Town!Y21:Y164,"Leave")</f>
        <v>7</v>
      </c>
      <c r="V20" s="33">
        <f>COUNTIFS(Johar_Town!B21:B164,"&lt;&gt;",Johar_Town!Y21:Y164,"Late")</f>
        <v>13</v>
      </c>
      <c r="W20" s="36" t="str">
        <f t="shared" si="5"/>
        <v>55%</v>
      </c>
      <c r="X20" s="30">
        <f>COUNTIFS(Gulshan_Ravi!B23:B150,"&lt;&gt;",Gulshan_Ravi!Y23:Y150,"Present")</f>
        <v>12</v>
      </c>
      <c r="Y20" s="31">
        <f>COUNTIFS(Gulshan_Ravi!B23:B150,"&lt;&gt;",Gulshan_Ravi!Y23:Y150,"Absent")</f>
        <v>14</v>
      </c>
      <c r="Z20" s="32">
        <f>COUNTIFS(Gulshan_Ravi!B23:B150,"&lt;&gt;",Gulshan_Ravi!Y23:Y150,"Leave")</f>
        <v>3</v>
      </c>
      <c r="AA20" s="33">
        <f>COUNTIFS(Gulshan_Ravi!B23:B150,"&lt;&gt;",Gulshan_Ravi!Y23:Y150,"Late")</f>
        <v>6</v>
      </c>
      <c r="AB20" s="36" t="str">
        <f t="shared" si="6"/>
        <v>56%</v>
      </c>
      <c r="AC20" s="30">
        <f>COUNTIFS(State_Life!B18:B150,"&lt;&gt;",State_Life!Y18:Y150,"Present")</f>
        <v>1</v>
      </c>
      <c r="AD20" s="31">
        <f>COUNTIFS(State_Life!B18:B150,"&lt;&gt;",State_Life!Y18:Y150,"Absent")</f>
        <v>11</v>
      </c>
      <c r="AE20" s="32">
        <f>COUNTIFS(State_Life!B18:B150,"&lt;&gt;",State_Life!Y18:Y150,"Leave")</f>
        <v>1</v>
      </c>
      <c r="AF20" s="33">
        <f>COUNTIFS(State_Life!B18:B150,"&lt;&gt;",State_Life!Y18:Y150,"Late")</f>
        <v>4</v>
      </c>
      <c r="AG20" s="36" t="str">
        <f t="shared" si="7"/>
        <v>31%</v>
      </c>
      <c r="AH20" s="51">
        <f t="shared" ref="AH20:AJ20" si="24">D20+I20+N20+S20+X20+AC20</f>
        <v>38</v>
      </c>
      <c r="AI20" s="51">
        <f t="shared" si="24"/>
        <v>96</v>
      </c>
      <c r="AJ20" s="51">
        <f t="shared" si="24"/>
        <v>31</v>
      </c>
      <c r="AK20" s="55" t="str">
        <f t="shared" si="9"/>
        <v>52%</v>
      </c>
    </row>
    <row r="21" ht="18.0" customHeight="1">
      <c r="A21" s="20">
        <v>18.0</v>
      </c>
      <c r="B21" s="20" t="s">
        <v>248</v>
      </c>
      <c r="C21" s="20" t="s">
        <v>200</v>
      </c>
      <c r="D21" s="30">
        <f>COUNTIFS(Gulberg!B26:B149,"&lt;&gt;",Gulberg!Z26:Z149,"Present")</f>
        <v>8</v>
      </c>
      <c r="E21" s="31">
        <f>COUNTIFS(Gulberg!B26:B149,"&lt;&gt;",Gulberg!Z26:Z149,"Absent")</f>
        <v>19</v>
      </c>
      <c r="F21" s="32">
        <f>COUNTIFS(Gulberg!B26:B149,"&lt;&gt;",Gulberg!Z26:Z149,"Leave")</f>
        <v>12</v>
      </c>
      <c r="G21" s="33">
        <f>COUNTIFS(Gulberg!B26:B149,"&lt;&gt;",Gulberg!Z26:Z149,"Late")</f>
        <v>13</v>
      </c>
      <c r="H21" s="36" t="str">
        <f t="shared" si="2"/>
        <v>53%</v>
      </c>
      <c r="I21" s="30">
        <f>COUNTIFS(Gulshan_Iqbal!B21:B150,"&lt;&gt;",Gulshan_Iqbal!Z21:Z150,"Present")</f>
        <v>3</v>
      </c>
      <c r="J21" s="31">
        <f>COUNTIFS(Gulshan_Iqbal!B21:B150,"&lt;&gt;",Gulshan_Iqbal!Z21:Z150,"Absent")</f>
        <v>34</v>
      </c>
      <c r="K21" s="32">
        <f>COUNTIFS(Gulshan_Iqbal!B21:B150,"&lt;&gt;",Gulshan_Iqbal!Z21:Z150,"Leave")</f>
        <v>1</v>
      </c>
      <c r="L21" s="33">
        <f>COUNTIFS(Gulshan_Iqbal!B21:B150,"&lt;&gt;",Gulshan_Iqbal!Z21:Z150,"Late")</f>
        <v>15</v>
      </c>
      <c r="M21" s="36" t="str">
        <f t="shared" si="3"/>
        <v>35%</v>
      </c>
      <c r="N21" s="30">
        <f>COUNTIFS(Griffin!B16:B152,"&lt;&gt;",Griffin!Z16:Z152,"Present")</f>
        <v>1</v>
      </c>
      <c r="O21" s="31">
        <f>COUNTIFS(Griffin!B16:B152,"&lt;&gt;",Griffin!Z16:Z152,"Absent")</f>
        <v>19</v>
      </c>
      <c r="P21" s="32">
        <f>COUNTIFS(Griffin!B16:B152,"&lt;&gt;",Griffin!Z16:Z152,"Leave")</f>
        <v>5</v>
      </c>
      <c r="Q21" s="33">
        <f>COUNTIFS(Griffin!B16:B152,"&lt;&gt;",Griffin!Z16:Z152,"Late")</f>
        <v>16</v>
      </c>
      <c r="R21" s="36" t="str">
        <f t="shared" si="4"/>
        <v>47%</v>
      </c>
      <c r="S21" s="30">
        <f>COUNTIFS(Johar_Town!B21:B164,"&lt;&gt;",Johar_Town!Z21:Z164,"Present")</f>
        <v>4</v>
      </c>
      <c r="T21" s="31">
        <f>COUNTIFS(Johar_Town!B21:B164,"&lt;&gt;",Johar_Town!Z21:Z164,"Absent")</f>
        <v>18</v>
      </c>
      <c r="U21" s="32">
        <f>COUNTIFS(Johar_Town!B21:B164,"&lt;&gt;",Johar_Town!Z21:Z164,"Leave")</f>
        <v>6</v>
      </c>
      <c r="V21" s="33">
        <f>COUNTIFS(Johar_Town!B21:B164,"&lt;&gt;",Johar_Town!Z21:Z164,"Late")</f>
        <v>8</v>
      </c>
      <c r="W21" s="36" t="str">
        <f t="shared" si="5"/>
        <v>40%</v>
      </c>
      <c r="X21" s="30">
        <f>COUNTIFS(Gulshan_Ravi!B23:B150,"&lt;&gt;",Gulshan_Ravi!Z23:Z150,"Present")</f>
        <v>15</v>
      </c>
      <c r="Y21" s="31">
        <f>COUNTIFS(Gulshan_Ravi!B23:B150,"&lt;&gt;",Gulshan_Ravi!Z23:Z150,"Absent")</f>
        <v>15</v>
      </c>
      <c r="Z21" s="32">
        <f>COUNTIFS(Gulshan_Ravi!B23:B150,"&lt;&gt;",Gulshan_Ravi!Z23:Z150,"Leave")</f>
        <v>5</v>
      </c>
      <c r="AA21" s="33">
        <f>COUNTIFS(Gulshan_Ravi!B23:B150,"&lt;&gt;",Gulshan_Ravi!Z23:Z150,"Late")</f>
        <v>3</v>
      </c>
      <c r="AB21" s="36" t="str">
        <f t="shared" si="6"/>
        <v>55%</v>
      </c>
      <c r="AC21" s="30">
        <f>COUNTIFS(State_Life!B18:B150,"&lt;&gt;",State_Life!Z18:Z150,"Present")</f>
        <v>5</v>
      </c>
      <c r="AD21" s="31">
        <f>COUNTIFS(State_Life!B18:B150,"&lt;&gt;",State_Life!Z18:Z150,"Absent")</f>
        <v>8</v>
      </c>
      <c r="AE21" s="32">
        <f>COUNTIFS(State_Life!B18:B150,"&lt;&gt;",State_Life!Z18:Z150,"Leave")</f>
        <v>1</v>
      </c>
      <c r="AF21" s="33">
        <f>COUNTIFS(State_Life!B18:B150,"&lt;&gt;",State_Life!Z18:Z150,"Late")</f>
        <v>4</v>
      </c>
      <c r="AG21" s="36" t="str">
        <f t="shared" si="7"/>
        <v>53%</v>
      </c>
      <c r="AH21" s="51">
        <f t="shared" ref="AH21:AJ21" si="25">D21+I21+N21+S21+X21+AC21</f>
        <v>36</v>
      </c>
      <c r="AI21" s="51">
        <f t="shared" si="25"/>
        <v>113</v>
      </c>
      <c r="AJ21" s="51">
        <f t="shared" si="25"/>
        <v>30</v>
      </c>
      <c r="AK21" s="55" t="str">
        <f t="shared" si="9"/>
        <v>46%</v>
      </c>
    </row>
    <row r="22" ht="18.0" customHeight="1">
      <c r="A22" s="10">
        <v>19.0</v>
      </c>
      <c r="B22" s="10" t="s">
        <v>249</v>
      </c>
      <c r="C22" s="10" t="s">
        <v>76</v>
      </c>
      <c r="D22" s="30">
        <f>COUNTIFS(Gulberg!B26:B149,"&lt;&gt;",Gulberg!AA26:AA149,"Present")</f>
        <v>6</v>
      </c>
      <c r="E22" s="31">
        <f>COUNTIFS(Gulberg!B26:B149,"&lt;&gt;",Gulberg!AA26:AA149,"Absent")</f>
        <v>22</v>
      </c>
      <c r="F22" s="32">
        <f>COUNTIFS(Gulberg!B26:B149,"&lt;&gt;",Gulberg!AA26:AA149,"Leave")</f>
        <v>10</v>
      </c>
      <c r="G22" s="33">
        <f>COUNTIFS(Gulberg!B26:B149,"&lt;&gt;",Gulberg!AA26:AA149,"Late")</f>
        <v>8</v>
      </c>
      <c r="H22" s="36" t="str">
        <f t="shared" si="2"/>
        <v>39%</v>
      </c>
      <c r="I22" s="30">
        <f>COUNTIFS(Gulshan_Iqbal!B21:B150,"&lt;&gt;",Gulshan_Iqbal!AA21:AA150,"Present")</f>
        <v>13</v>
      </c>
      <c r="J22" s="31">
        <f>COUNTIFS(Gulshan_Iqbal!B21:B150,"&lt;&gt;",Gulshan_Iqbal!AA21:AA150,"Absent")</f>
        <v>36</v>
      </c>
      <c r="K22" s="32">
        <f>COUNTIFS(Gulshan_Iqbal!B21:B150,"&lt;&gt;",Gulshan_Iqbal!AA21:AA150,"Leave")</f>
        <v>1</v>
      </c>
      <c r="L22" s="33">
        <f>COUNTIFS(Gulshan_Iqbal!B21:B150,"&lt;&gt;",Gulshan_Iqbal!AA21:AA150,"Late")</f>
        <v>0</v>
      </c>
      <c r="M22" s="36" t="str">
        <f t="shared" si="3"/>
        <v>27%</v>
      </c>
      <c r="N22" s="30">
        <f>COUNTIFS(Griffin!B16:B152,"&lt;&gt;",Griffin!AA16:AA152,"Present")</f>
        <v>2</v>
      </c>
      <c r="O22" s="31">
        <f>COUNTIFS(Griffin!B16:B152,"&lt;&gt;",Griffin!AA16:AA152,"Absent")</f>
        <v>25</v>
      </c>
      <c r="P22" s="32">
        <f>COUNTIFS(Griffin!B16:B152,"&lt;&gt;",Griffin!AA16:AA152,"Leave")</f>
        <v>2</v>
      </c>
      <c r="Q22" s="33">
        <f>COUNTIFS(Griffin!B16:B152,"&lt;&gt;",Griffin!AA16:AA152,"Late")</f>
        <v>13</v>
      </c>
      <c r="R22" s="36" t="str">
        <f t="shared" si="4"/>
        <v>38%</v>
      </c>
      <c r="S22" s="30">
        <f>COUNTIFS(Johar_Town!B21:B164,"&lt;&gt;",Johar_Town!AA21:AA164,"Present")</f>
        <v>7</v>
      </c>
      <c r="T22" s="31">
        <f>COUNTIFS(Johar_Town!B21:B164,"&lt;&gt;",Johar_Town!AA21:AA164,"Absent")</f>
        <v>19</v>
      </c>
      <c r="U22" s="32">
        <f>COUNTIFS(Johar_Town!B21:B164,"&lt;&gt;",Johar_Town!AA21:AA164,"Leave")</f>
        <v>6</v>
      </c>
      <c r="V22" s="33">
        <f>COUNTIFS(Johar_Town!B21:B164,"&lt;&gt;",Johar_Town!AA21:AA164,"Late")</f>
        <v>3</v>
      </c>
      <c r="W22" s="36" t="str">
        <f t="shared" si="5"/>
        <v>34%</v>
      </c>
      <c r="X22" s="30">
        <f>COUNTIFS(Gulshan_Ravi!B23:B150,"&lt;&gt;",Gulshan_Ravi!AA23:AA150,"Present")</f>
        <v>9</v>
      </c>
      <c r="Y22" s="31">
        <f>COUNTIFS(Gulshan_Ravi!B23:B150,"&lt;&gt;",Gulshan_Ravi!AA23:AA150,"Absent")</f>
        <v>14</v>
      </c>
      <c r="Z22" s="32">
        <f>COUNTIFS(Gulshan_Ravi!B23:B150,"&lt;&gt;",Gulshan_Ravi!AA23:AA150,"Leave")</f>
        <v>4</v>
      </c>
      <c r="AA22" s="33">
        <f>COUNTIFS(Gulshan_Ravi!B23:B150,"&lt;&gt;",Gulshan_Ravi!AA23:AA150,"Late")</f>
        <v>0</v>
      </c>
      <c r="AB22" s="36" t="str">
        <f t="shared" si="6"/>
        <v>39%</v>
      </c>
      <c r="AC22" s="30">
        <f>COUNTIFS(State_Life!B18:B150,"&lt;&gt;",State_Life!AA18:AA150,"Present")</f>
        <v>2</v>
      </c>
      <c r="AD22" s="31">
        <f>COUNTIFS(State_Life!B18:B150,"&lt;&gt;",State_Life!AA18:AA150,"Absent")</f>
        <v>13</v>
      </c>
      <c r="AE22" s="32">
        <f>COUNTIFS(State_Life!B18:B150,"&lt;&gt;",State_Life!AA18:AA150,"Leave")</f>
        <v>1</v>
      </c>
      <c r="AF22" s="33">
        <f>COUNTIFS(State_Life!B18:B150,"&lt;&gt;",State_Life!AA18:AA150,"Late")</f>
        <v>3</v>
      </c>
      <c r="AG22" s="36" t="str">
        <f t="shared" si="7"/>
        <v>28%</v>
      </c>
      <c r="AH22" s="51">
        <f t="shared" ref="AH22:AJ22" si="26">D22+I22+N22+S22+X22+AC22</f>
        <v>39</v>
      </c>
      <c r="AI22" s="51">
        <f t="shared" si="26"/>
        <v>129</v>
      </c>
      <c r="AJ22" s="51">
        <f t="shared" si="26"/>
        <v>24</v>
      </c>
      <c r="AK22" s="55" t="str">
        <f t="shared" si="9"/>
        <v>34%</v>
      </c>
    </row>
    <row r="23" ht="18.0" customHeight="1">
      <c r="A23" s="20">
        <v>20.0</v>
      </c>
      <c r="B23" s="20" t="s">
        <v>253</v>
      </c>
      <c r="C23" s="20" t="s">
        <v>200</v>
      </c>
      <c r="D23" s="30">
        <f>COUNTIFS(Gulberg!B26:B149,"&lt;&gt;",Gulberg!AB26:AB149,"Present")</f>
        <v>8</v>
      </c>
      <c r="E23" s="31">
        <f>COUNTIFS(Gulberg!B26:B149,"&lt;&gt;",Gulberg!AB26:AB149,"Absent")</f>
        <v>25</v>
      </c>
      <c r="F23" s="32">
        <f>COUNTIFS(Gulberg!B26:B149,"&lt;&gt;",Gulberg!AB26:AB149,"Leave")</f>
        <v>5</v>
      </c>
      <c r="G23" s="33">
        <f>COUNTIFS(Gulberg!B26:B149,"&lt;&gt;",Gulberg!AB26:AB149,"Late")</f>
        <v>13</v>
      </c>
      <c r="H23" s="36" t="str">
        <f t="shared" si="2"/>
        <v>46%</v>
      </c>
      <c r="I23" s="30">
        <f>COUNTIFS(Gulshan_Iqbal!B21:B150,"&lt;&gt;",Gulshan_Iqbal!AB21:AB150,"Present")</f>
        <v>3</v>
      </c>
      <c r="J23" s="31">
        <f>COUNTIFS(Gulshan_Iqbal!B21:B150,"&lt;&gt;",Gulshan_Iqbal!AB21:AB150,"Absent")</f>
        <v>37</v>
      </c>
      <c r="K23" s="32">
        <f>COUNTIFS(Gulshan_Iqbal!B21:B150,"&lt;&gt;",Gulshan_Iqbal!AB21:AB150,"Leave")</f>
        <v>3</v>
      </c>
      <c r="L23" s="33">
        <f>COUNTIFS(Gulshan_Iqbal!B21:B150,"&lt;&gt;",Gulshan_Iqbal!AB21:AB150,"Late")</f>
        <v>9</v>
      </c>
      <c r="M23" s="36" t="str">
        <f t="shared" si="3"/>
        <v>24%</v>
      </c>
      <c r="N23" s="30">
        <f>COUNTIFS(Griffin!B16:B152,"&lt;&gt;",Griffin!AB16:AB152,"Present")</f>
        <v>0</v>
      </c>
      <c r="O23" s="31">
        <f>COUNTIFS(Griffin!B16:B152,"&lt;&gt;",Griffin!AB16:AB152,"Absent")</f>
        <v>25</v>
      </c>
      <c r="P23" s="32">
        <f>COUNTIFS(Griffin!B16:B152,"&lt;&gt;",Griffin!AB16:AB152,"Leave")</f>
        <v>4</v>
      </c>
      <c r="Q23" s="33">
        <f>COUNTIFS(Griffin!B16:B152,"&lt;&gt;",Griffin!AB16:AB152,"Late")</f>
        <v>13</v>
      </c>
      <c r="R23" s="36" t="str">
        <f t="shared" si="4"/>
        <v>34%</v>
      </c>
      <c r="S23" s="30">
        <f>COUNTIFS(Johar_Town!B21:B164,"&lt;&gt;",Johar_Town!AB21:AB164,"Present")</f>
        <v>6</v>
      </c>
      <c r="T23" s="31">
        <f>COUNTIFS(Johar_Town!B21:B164,"&lt;&gt;",Johar_Town!AB21:AB164,"Absent")</f>
        <v>16</v>
      </c>
      <c r="U23" s="32">
        <f>COUNTIFS(Johar_Town!B21:B164,"&lt;&gt;",Johar_Town!AB21:AB164,"Leave")</f>
        <v>4</v>
      </c>
      <c r="V23" s="33">
        <f>COUNTIFS(Johar_Town!B21:B164,"&lt;&gt;",Johar_Town!AB21:AB164,"Late")</f>
        <v>9</v>
      </c>
      <c r="W23" s="36" t="str">
        <f t="shared" si="5"/>
        <v>48%</v>
      </c>
      <c r="X23" s="30">
        <f>COUNTIFS(Gulshan_Ravi!B23:B150,"&lt;&gt;",Gulshan_Ravi!AB23:AB150,"Present")</f>
        <v>10</v>
      </c>
      <c r="Y23" s="31">
        <f>COUNTIFS(Gulshan_Ravi!B23:B150,"&lt;&gt;",Gulshan_Ravi!AB23:AB150,"Absent")</f>
        <v>13</v>
      </c>
      <c r="Z23" s="32">
        <f>COUNTIFS(Gulshan_Ravi!B23:B150,"&lt;&gt;",Gulshan_Ravi!AB23:AB150,"Leave")</f>
        <v>1</v>
      </c>
      <c r="AA23" s="33">
        <f>COUNTIFS(Gulshan_Ravi!B23:B150,"&lt;&gt;",Gulshan_Ravi!AB23:AB150,"Late")</f>
        <v>1</v>
      </c>
      <c r="AB23" s="36" t="str">
        <f t="shared" si="6"/>
        <v>46%</v>
      </c>
      <c r="AC23" s="30">
        <f>COUNTIFS(State_Life!B18:B150,"&lt;&gt;",State_Life!AB18:AB150,"Present")</f>
        <v>0</v>
      </c>
      <c r="AD23" s="31">
        <f>COUNTIFS(State_Life!B18:B150,"&lt;&gt;",State_Life!AB18:AB150,"Absent")</f>
        <v>4</v>
      </c>
      <c r="AE23" s="32">
        <f>COUNTIFS(State_Life!B18:B150,"&lt;&gt;",State_Life!AB18:AB150,"Leave")</f>
        <v>1</v>
      </c>
      <c r="AF23" s="33">
        <f>COUNTIFS(State_Life!B18:B150,"&lt;&gt;",State_Life!AB18:AB150,"Late")</f>
        <v>7</v>
      </c>
      <c r="AG23" s="36" t="str">
        <f t="shared" si="7"/>
        <v>64%</v>
      </c>
      <c r="AH23" s="51">
        <f t="shared" ref="AH23:AJ23" si="27">D23+I23+N23+S23+X23+AC23</f>
        <v>27</v>
      </c>
      <c r="AI23" s="51">
        <f t="shared" si="27"/>
        <v>120</v>
      </c>
      <c r="AJ23" s="51">
        <f t="shared" si="27"/>
        <v>18</v>
      </c>
      <c r="AK23" s="55" t="str">
        <f t="shared" si="9"/>
        <v>40%</v>
      </c>
    </row>
    <row r="24" ht="18.0" customHeight="1">
      <c r="A24" s="10">
        <v>21.0</v>
      </c>
      <c r="B24" s="10" t="s">
        <v>254</v>
      </c>
      <c r="C24" s="10" t="s">
        <v>76</v>
      </c>
      <c r="D24" s="30">
        <f>COUNTIFS(Gulberg!B26:B149,"&lt;&gt;",Gulberg!AC26:AC149,"Present")</f>
        <v>0</v>
      </c>
      <c r="E24" s="31">
        <f>COUNTIFS(Gulberg!B26:B149,"&lt;&gt;",Gulberg!AC26:AC149,"Absent")</f>
        <v>0</v>
      </c>
      <c r="F24" s="32">
        <f>COUNTIFS(Gulberg!B26:B149,"&lt;&gt;",Gulberg!AC26:AC149,"Leave")</f>
        <v>0</v>
      </c>
      <c r="G24" s="33">
        <f>COUNTIFS(Gulberg!B26:B149,"&lt;&gt;",Gulberg!AC26:AC149,"Late")</f>
        <v>0</v>
      </c>
      <c r="H24" s="36" t="str">
        <f t="shared" si="2"/>
        <v>-</v>
      </c>
      <c r="I24" s="30">
        <f>COUNTIFS(Gulshan_Iqbal!B21:B150,"&lt;&gt;",Gulshan_Iqbal!AC21:AC150,"Present")</f>
        <v>0</v>
      </c>
      <c r="J24" s="31">
        <f>COUNTIFS(Gulshan_Iqbal!B21:B150,"&lt;&gt;",Gulshan_Iqbal!AC21:AC150,"Absent")</f>
        <v>0</v>
      </c>
      <c r="K24" s="32">
        <f>COUNTIFS(Gulshan_Iqbal!B21:B150,"&lt;&gt;",Gulshan_Iqbal!AC21:AC150,"Leave")</f>
        <v>1</v>
      </c>
      <c r="L24" s="33">
        <f>COUNTIFS(Gulshan_Iqbal!B21:B150,"&lt;&gt;",Gulshan_Iqbal!AC21:AC150,"Late")</f>
        <v>0</v>
      </c>
      <c r="M24" s="36" t="str">
        <f t="shared" si="3"/>
        <v>-</v>
      </c>
      <c r="N24" s="30">
        <f>COUNTIFS(Griffin!B16:B152,"&lt;&gt;",Griffin!AC16:AC152,"Present")</f>
        <v>0</v>
      </c>
      <c r="O24" s="31">
        <f>COUNTIFS(Griffin!B16:B152,"&lt;&gt;",Griffin!AC16:AC152,"Absent")</f>
        <v>0</v>
      </c>
      <c r="P24" s="32">
        <f>COUNTIFS(Griffin!B16:B152,"&lt;&gt;",Griffin!AC16:AC152,"Leave")</f>
        <v>0</v>
      </c>
      <c r="Q24" s="33">
        <f>COUNTIFS(Griffin!B16:B152,"&lt;&gt;",Griffin!AC16:AC152,"Late")</f>
        <v>0</v>
      </c>
      <c r="R24" s="36" t="str">
        <f t="shared" si="4"/>
        <v>-</v>
      </c>
      <c r="S24" s="30">
        <f>COUNTIFS(Johar_Town!B21:B164,"&lt;&gt;",Johar_Town!AC21:AC164,"Present")</f>
        <v>0</v>
      </c>
      <c r="T24" s="31">
        <f>COUNTIFS(Johar_Town!B21:B164,"&lt;&gt;",Johar_Town!AC21:AC164,"Absent")</f>
        <v>0</v>
      </c>
      <c r="U24" s="32">
        <f>COUNTIFS(Johar_Town!B21:B164,"&lt;&gt;",Johar_Town!AC21:AC164,"Leave")</f>
        <v>0</v>
      </c>
      <c r="V24" s="33">
        <f>COUNTIFS(Johar_Town!B21:B164,"&lt;&gt;",Johar_Town!AC21:AC164,"Late")</f>
        <v>0</v>
      </c>
      <c r="W24" s="36" t="str">
        <f t="shared" si="5"/>
        <v>-</v>
      </c>
      <c r="X24" s="30">
        <f>COUNTIFS(Gulshan_Ravi!B23:B150,"&lt;&gt;",Gulshan_Ravi!AC23:AC150,"Present")</f>
        <v>0</v>
      </c>
      <c r="Y24" s="31">
        <f>COUNTIFS(Gulshan_Ravi!B23:B150,"&lt;&gt;",Gulshan_Ravi!AC23:AC150,"Absent")</f>
        <v>0</v>
      </c>
      <c r="Z24" s="32">
        <f>COUNTIFS(Gulshan_Ravi!B23:B150,"&lt;&gt;",Gulshan_Ravi!AC23:AC150,"Leave")</f>
        <v>0</v>
      </c>
      <c r="AA24" s="33">
        <f>COUNTIFS(Gulshan_Ravi!B23:B150,"&lt;&gt;",Gulshan_Ravi!AC23:AC150,"Late")</f>
        <v>0</v>
      </c>
      <c r="AB24" s="36" t="str">
        <f t="shared" si="6"/>
        <v>-</v>
      </c>
      <c r="AC24" s="30">
        <f>COUNTIFS(State_Life!B18:B150,"&lt;&gt;",State_Life!AC18:AC150,"Present")</f>
        <v>0</v>
      </c>
      <c r="AD24" s="31">
        <f>COUNTIFS(State_Life!B18:B150,"&lt;&gt;",State_Life!AC18:AC150,"Absent")</f>
        <v>0</v>
      </c>
      <c r="AE24" s="32">
        <f>COUNTIFS(State_Life!B18:B150,"&lt;&gt;",State_Life!AC18:AC150,"Leave")</f>
        <v>0</v>
      </c>
      <c r="AF24" s="33">
        <f>COUNTIFS(State_Life!B18:B150,"&lt;&gt;",State_Life!AC18:AC150,"Late")</f>
        <v>0</v>
      </c>
      <c r="AG24" s="36" t="str">
        <f t="shared" si="7"/>
        <v>-</v>
      </c>
      <c r="AH24" s="51">
        <f t="shared" ref="AH24:AJ24" si="28">D24+I24+N24+S24+X24+AC24</f>
        <v>0</v>
      </c>
      <c r="AI24" s="51">
        <f t="shared" si="28"/>
        <v>0</v>
      </c>
      <c r="AJ24" s="51">
        <f t="shared" si="28"/>
        <v>1</v>
      </c>
      <c r="AK24" s="55" t="str">
        <f t="shared" si="9"/>
        <v>-</v>
      </c>
    </row>
    <row r="25" ht="18.0" customHeight="1">
      <c r="A25" s="20">
        <v>22.0</v>
      </c>
      <c r="B25" s="20" t="s">
        <v>257</v>
      </c>
      <c r="C25" s="20" t="s">
        <v>200</v>
      </c>
      <c r="D25" s="30">
        <f>COUNTIFS(Gulberg!B26:B149,"&lt;&gt;",Gulberg!AD26:AD149,"Present")</f>
        <v>0</v>
      </c>
      <c r="E25" s="31">
        <f>COUNTIFS(Gulberg!B26:B149,"&lt;&gt;",Gulberg!AD26:AD149,"Absent")</f>
        <v>0</v>
      </c>
      <c r="F25" s="32">
        <f>COUNTIFS(Gulberg!B26:B149,"&lt;&gt;",Gulberg!AD26:AD149,"Leave")</f>
        <v>0</v>
      </c>
      <c r="G25" s="33">
        <f>COUNTIFS(Gulberg!B26:B149,"&lt;&gt;",Gulberg!AD26:AD149,"Late")</f>
        <v>0</v>
      </c>
      <c r="H25" s="36" t="str">
        <f t="shared" si="2"/>
        <v>-</v>
      </c>
      <c r="I25" s="30">
        <f>COUNTIFS(Gulshan_Iqbal!B21:B150,"&lt;&gt;",Gulshan_Iqbal!AD21:AD150,"Present")</f>
        <v>0</v>
      </c>
      <c r="J25" s="31">
        <f>COUNTIFS(Gulshan_Iqbal!B21:B150,"&lt;&gt;",Gulshan_Iqbal!AD21:AD150,"Absent")</f>
        <v>0</v>
      </c>
      <c r="K25" s="32">
        <f>COUNTIFS(Gulshan_Iqbal!B21:B150,"&lt;&gt;",Gulshan_Iqbal!AD21:AD150,"Leave")</f>
        <v>1</v>
      </c>
      <c r="L25" s="33">
        <f>COUNTIFS(Gulshan_Iqbal!B21:B150,"&lt;&gt;",Gulshan_Iqbal!AD21:AD150,"Late")</f>
        <v>0</v>
      </c>
      <c r="M25" s="36" t="str">
        <f t="shared" si="3"/>
        <v>-</v>
      </c>
      <c r="N25" s="30">
        <f>COUNTIFS(Griffin!B16:B152,"&lt;&gt;",Griffin!AD16:AD152,"Present")</f>
        <v>0</v>
      </c>
      <c r="O25" s="31">
        <f>COUNTIFS(Griffin!B16:B152,"&lt;&gt;",Griffin!AD16:AD152,"Absent")</f>
        <v>0</v>
      </c>
      <c r="P25" s="32">
        <f>COUNTIFS(Griffin!B16:B152,"&lt;&gt;",Griffin!AD16:AD152,"Leave")</f>
        <v>0</v>
      </c>
      <c r="Q25" s="33">
        <f>COUNTIFS(Griffin!B16:B152,"&lt;&gt;",Griffin!AD16:AD152,"Late")</f>
        <v>0</v>
      </c>
      <c r="R25" s="36" t="str">
        <f t="shared" si="4"/>
        <v>-</v>
      </c>
      <c r="S25" s="30">
        <f>COUNTIFS(Johar_Town!B21:B164,"&lt;&gt;",Johar_Town!AD21:AD164,"Present")</f>
        <v>0</v>
      </c>
      <c r="T25" s="31">
        <f>COUNTIFS(Johar_Town!B21:B164,"&lt;&gt;",Johar_Town!AD21:AD164,"Absent")</f>
        <v>0</v>
      </c>
      <c r="U25" s="32">
        <f>COUNTIFS(Johar_Town!B21:B164,"&lt;&gt;",Johar_Town!AD21:AD164,"Leave")</f>
        <v>0</v>
      </c>
      <c r="V25" s="33">
        <f>COUNTIFS(Johar_Town!B21:B164,"&lt;&gt;",Johar_Town!AD21:AD164,"Late")</f>
        <v>0</v>
      </c>
      <c r="W25" s="36" t="str">
        <f t="shared" si="5"/>
        <v>-</v>
      </c>
      <c r="X25" s="30">
        <f>COUNTIFS(Gulshan_Ravi!B23:B150,"&lt;&gt;",Gulshan_Ravi!AD23:AD150,"Present")</f>
        <v>0</v>
      </c>
      <c r="Y25" s="31">
        <f>COUNTIFS(Gulshan_Ravi!B23:B150,"&lt;&gt;",Gulshan_Ravi!AD23:AD150,"Absent")</f>
        <v>0</v>
      </c>
      <c r="Z25" s="32">
        <f>COUNTIFS(Gulshan_Ravi!B23:B150,"&lt;&gt;",Gulshan_Ravi!AD23:AD150,"Leave")</f>
        <v>0</v>
      </c>
      <c r="AA25" s="33">
        <f>COUNTIFS(Gulshan_Ravi!B23:B150,"&lt;&gt;",Gulshan_Ravi!AD23:AD150,"Late")</f>
        <v>0</v>
      </c>
      <c r="AB25" s="36" t="str">
        <f t="shared" si="6"/>
        <v>-</v>
      </c>
      <c r="AC25" s="30">
        <f>COUNTIFS(State_Life!B18:B150,"&lt;&gt;",State_Life!AD18:AD150,"Present")</f>
        <v>0</v>
      </c>
      <c r="AD25" s="31">
        <f>COUNTIFS(State_Life!B18:B150,"&lt;&gt;",State_Life!AD18:AD150,"Absent")</f>
        <v>0</v>
      </c>
      <c r="AE25" s="32">
        <f>COUNTIFS(State_Life!B18:B150,"&lt;&gt;",State_Life!AD18:AD150,"Leave")</f>
        <v>0</v>
      </c>
      <c r="AF25" s="33">
        <f>COUNTIFS(State_Life!B18:B150,"&lt;&gt;",State_Life!AD18:AD150,"Late")</f>
        <v>0</v>
      </c>
      <c r="AG25" s="36" t="str">
        <f t="shared" si="7"/>
        <v>-</v>
      </c>
      <c r="AH25" s="51">
        <f t="shared" ref="AH25:AJ25" si="29">D25+I25+N25+S25+X25+AC25</f>
        <v>0</v>
      </c>
      <c r="AI25" s="51">
        <f t="shared" si="29"/>
        <v>0</v>
      </c>
      <c r="AJ25" s="51">
        <f t="shared" si="29"/>
        <v>1</v>
      </c>
      <c r="AK25" s="55" t="str">
        <f t="shared" si="9"/>
        <v>-</v>
      </c>
    </row>
    <row r="26" ht="18.0" customHeight="1">
      <c r="A26" s="10">
        <v>23.0</v>
      </c>
      <c r="B26" s="10" t="s">
        <v>260</v>
      </c>
      <c r="C26" s="10" t="s">
        <v>76</v>
      </c>
      <c r="D26" s="30">
        <f>COUNTIFS(Gulberg!B26:B149,"&lt;&gt;",Gulberg!AE26:AE149,"Present")</f>
        <v>0</v>
      </c>
      <c r="E26" s="31">
        <f>COUNTIFS(Gulberg!B26:B149,"&lt;&gt;",Gulberg!AE26:AE149,"Absent")</f>
        <v>0</v>
      </c>
      <c r="F26" s="32">
        <f>COUNTIFS(Gulberg!B26:B149,"&lt;&gt;",Gulberg!AE26:AE149,"Leave")</f>
        <v>0</v>
      </c>
      <c r="G26" s="33">
        <f>COUNTIFS(Gulberg!B26:B149,"&lt;&gt;",Gulberg!AE26:AE149,"Late")</f>
        <v>0</v>
      </c>
      <c r="H26" s="36" t="str">
        <f t="shared" si="2"/>
        <v>-</v>
      </c>
      <c r="I26" s="30">
        <f>COUNTIFS(Gulshan_Iqbal!B21:B150,"&lt;&gt;",Gulshan_Iqbal!AE21:AE150,"Present")</f>
        <v>0</v>
      </c>
      <c r="J26" s="31">
        <f>COUNTIFS(Gulshan_Iqbal!B21:B150,"&lt;&gt;",Gulshan_Iqbal!AE21:AE150,"Absent")</f>
        <v>0</v>
      </c>
      <c r="K26" s="32">
        <f>COUNTIFS(Gulshan_Iqbal!B21:B150,"&lt;&gt;",Gulshan_Iqbal!AE21:AE150,"Leave")</f>
        <v>1</v>
      </c>
      <c r="L26" s="33">
        <f>COUNTIFS(Gulshan_Iqbal!B21:B150,"&lt;&gt;",Gulshan_Iqbal!AE21:AE150,"Late")</f>
        <v>0</v>
      </c>
      <c r="M26" s="36" t="str">
        <f t="shared" si="3"/>
        <v>-</v>
      </c>
      <c r="N26" s="30">
        <f>COUNTIFS(Griffin!B16:B152,"&lt;&gt;",Griffin!AE16:AE152,"Present")</f>
        <v>0</v>
      </c>
      <c r="O26" s="31">
        <f>COUNTIFS(Griffin!B16:B152,"&lt;&gt;",Griffin!AE16:AE152,"Absent")</f>
        <v>0</v>
      </c>
      <c r="P26" s="32">
        <f>COUNTIFS(Griffin!B16:B152,"&lt;&gt;",Griffin!AE16:AE152,"Leave")</f>
        <v>0</v>
      </c>
      <c r="Q26" s="33">
        <f>COUNTIFS(Griffin!B16:B152,"&lt;&gt;",Griffin!AE16:AE152,"Late")</f>
        <v>0</v>
      </c>
      <c r="R26" s="36" t="str">
        <f t="shared" si="4"/>
        <v>-</v>
      </c>
      <c r="S26" s="30">
        <f>COUNTIFS(Johar_Town!B21:B164,"&lt;&gt;",Johar_Town!AE21:AE164,"Present")</f>
        <v>0</v>
      </c>
      <c r="T26" s="31">
        <f>COUNTIFS(Johar_Town!B21:B164,"&lt;&gt;",Johar_Town!AE21:AE164,"Absent")</f>
        <v>0</v>
      </c>
      <c r="U26" s="32">
        <f>COUNTIFS(Johar_Town!B21:B164,"&lt;&gt;",Johar_Town!AE21:AE164,"Leave")</f>
        <v>0</v>
      </c>
      <c r="V26" s="33">
        <f>COUNTIFS(Johar_Town!B21:B164,"&lt;&gt;",Johar_Town!AE21:AE164,"Late")</f>
        <v>0</v>
      </c>
      <c r="W26" s="36" t="str">
        <f t="shared" si="5"/>
        <v>-</v>
      </c>
      <c r="X26" s="30">
        <f>COUNTIFS(Gulshan_Ravi!B23:B150,"&lt;&gt;",Gulshan_Ravi!AE23:AE150,"Present")</f>
        <v>0</v>
      </c>
      <c r="Y26" s="31">
        <f>COUNTIFS(Gulshan_Ravi!B23:B150,"&lt;&gt;",Gulshan_Ravi!AE23:AE150,"Absent")</f>
        <v>0</v>
      </c>
      <c r="Z26" s="32">
        <f>COUNTIFS(Gulshan_Ravi!B23:B150,"&lt;&gt;",Gulshan_Ravi!AE23:AE150,"Leave")</f>
        <v>0</v>
      </c>
      <c r="AA26" s="33">
        <f>COUNTIFS(Gulshan_Ravi!B23:B150,"&lt;&gt;",Gulshan_Ravi!AE23:AE150,"Late")</f>
        <v>0</v>
      </c>
      <c r="AB26" s="36" t="str">
        <f t="shared" si="6"/>
        <v>-</v>
      </c>
      <c r="AC26" s="30">
        <f>COUNTIFS(State_Life!B18:B150,"&lt;&gt;",State_Life!AE18:AE150,"Present")</f>
        <v>0</v>
      </c>
      <c r="AD26" s="31">
        <f>COUNTIFS(State_Life!B18:B150,"&lt;&gt;",State_Life!AE18:AE150,"Absent")</f>
        <v>0</v>
      </c>
      <c r="AE26" s="32">
        <f>COUNTIFS(State_Life!B18:B150,"&lt;&gt;",State_Life!AE18:AE150,"Leave")</f>
        <v>0</v>
      </c>
      <c r="AF26" s="33">
        <f>COUNTIFS(State_Life!B18:B150,"&lt;&gt;",State_Life!AE18:AE150,"Late")</f>
        <v>0</v>
      </c>
      <c r="AG26" s="36" t="str">
        <f t="shared" si="7"/>
        <v>-</v>
      </c>
      <c r="AH26" s="51">
        <f t="shared" ref="AH26:AJ26" si="30">D26+I26+N26+S26+X26+AC26</f>
        <v>0</v>
      </c>
      <c r="AI26" s="51">
        <f t="shared" si="30"/>
        <v>0</v>
      </c>
      <c r="AJ26" s="51">
        <f t="shared" si="30"/>
        <v>1</v>
      </c>
      <c r="AK26" s="55" t="str">
        <f t="shared" si="9"/>
        <v>-</v>
      </c>
    </row>
    <row r="27" ht="18.0" customHeight="1">
      <c r="A27" s="20">
        <v>24.0</v>
      </c>
      <c r="B27" s="20" t="s">
        <v>261</v>
      </c>
      <c r="C27" s="20" t="s">
        <v>200</v>
      </c>
      <c r="D27" s="30">
        <f>COUNTIFS(Gulberg!B26:B149,"&lt;&gt;",Gulberg!AF26:AF149,"Present")</f>
        <v>0</v>
      </c>
      <c r="E27" s="31">
        <f>COUNTIFS(Gulberg!B26:B149,"&lt;&gt;",Gulberg!AF26:AF149,"Absent")</f>
        <v>0</v>
      </c>
      <c r="F27" s="32">
        <f>COUNTIFS(Gulberg!B26:B149,"&lt;&gt;",Gulberg!AF26:AF149,"Leave")</f>
        <v>0</v>
      </c>
      <c r="G27" s="33">
        <f>COUNTIFS(Gulberg!B26:B149,"&lt;&gt;",Gulberg!AF26:AF149,"Late")</f>
        <v>0</v>
      </c>
      <c r="H27" s="36" t="str">
        <f t="shared" si="2"/>
        <v>-</v>
      </c>
      <c r="I27" s="30">
        <f>COUNTIFS(Gulshan_Iqbal!B21:B150,"&lt;&gt;",Gulshan_Iqbal!AF21:AF150,"Present")</f>
        <v>0</v>
      </c>
      <c r="J27" s="31">
        <f>COUNTIFS(Gulshan_Iqbal!B21:B150,"&lt;&gt;",Gulshan_Iqbal!AF21:AF150,"Absent")</f>
        <v>0</v>
      </c>
      <c r="K27" s="32">
        <f>COUNTIFS(Gulshan_Iqbal!B21:B150,"&lt;&gt;",Gulshan_Iqbal!AF21:AF150,"Leave")</f>
        <v>1</v>
      </c>
      <c r="L27" s="33">
        <f>COUNTIFS(Gulshan_Iqbal!B21:B150,"&lt;&gt;",Gulshan_Iqbal!AF21:AF150,"Late")</f>
        <v>0</v>
      </c>
      <c r="M27" s="36" t="str">
        <f t="shared" si="3"/>
        <v>-</v>
      </c>
      <c r="N27" s="30">
        <f>COUNTIFS(Griffin!B16:B152,"&lt;&gt;",Griffin!AF16:AF152,"Present")</f>
        <v>0</v>
      </c>
      <c r="O27" s="31">
        <f>COUNTIFS(Griffin!B16:B152,"&lt;&gt;",Griffin!AF16:AF152,"Absent")</f>
        <v>0</v>
      </c>
      <c r="P27" s="32">
        <f>COUNTIFS(Griffin!B16:B152,"&lt;&gt;",Griffin!AF16:AF152,"Leave")</f>
        <v>0</v>
      </c>
      <c r="Q27" s="33">
        <f>COUNTIFS(Griffin!B16:B152,"&lt;&gt;",Griffin!AF16:AF152,"Late")</f>
        <v>0</v>
      </c>
      <c r="R27" s="36" t="str">
        <f t="shared" si="4"/>
        <v>-</v>
      </c>
      <c r="S27" s="30">
        <f>COUNTIFS(Johar_Town!B21:B164,"&lt;&gt;",Johar_Town!AF21:AF164,"Present")</f>
        <v>0</v>
      </c>
      <c r="T27" s="31">
        <f>COUNTIFS(Johar_Town!B21:B164,"&lt;&gt;",Johar_Town!AF21:AF164,"Absent")</f>
        <v>0</v>
      </c>
      <c r="U27" s="32">
        <f>COUNTIFS(Johar_Town!B21:B164,"&lt;&gt;",Johar_Town!AF21:AF164,"Leave")</f>
        <v>0</v>
      </c>
      <c r="V27" s="33">
        <f>COUNTIFS(Johar_Town!B21:B164,"&lt;&gt;",Johar_Town!AF21:AF164,"Late")</f>
        <v>0</v>
      </c>
      <c r="W27" s="36" t="str">
        <f t="shared" si="5"/>
        <v>-</v>
      </c>
      <c r="X27" s="30">
        <f>COUNTIFS(Gulshan_Ravi!B23:B150,"&lt;&gt;",Gulshan_Ravi!AF23:AF150,"Present")</f>
        <v>0</v>
      </c>
      <c r="Y27" s="31">
        <f>COUNTIFS(Gulshan_Ravi!B23:B150,"&lt;&gt;",Gulshan_Ravi!AF23:AF150,"Absent")</f>
        <v>0</v>
      </c>
      <c r="Z27" s="32">
        <f>COUNTIFS(Gulshan_Ravi!B23:B150,"&lt;&gt;",Gulshan_Ravi!AF23:AF150,"Leave")</f>
        <v>0</v>
      </c>
      <c r="AA27" s="33">
        <f>COUNTIFS(Gulshan_Ravi!B23:B150,"&lt;&gt;",Gulshan_Ravi!AF23:AF150,"Late")</f>
        <v>0</v>
      </c>
      <c r="AB27" s="36" t="str">
        <f t="shared" si="6"/>
        <v>-</v>
      </c>
      <c r="AC27" s="30">
        <f>COUNTIFS(State_Life!B18:B150,"&lt;&gt;",State_Life!AF18:AF150,"Present")</f>
        <v>0</v>
      </c>
      <c r="AD27" s="31">
        <f>COUNTIFS(State_Life!B18:B150,"&lt;&gt;",State_Life!AF18:AF150,"Absent")</f>
        <v>0</v>
      </c>
      <c r="AE27" s="32">
        <f>COUNTIFS(State_Life!B18:B150,"&lt;&gt;",State_Life!AF18:AF150,"Leave")</f>
        <v>0</v>
      </c>
      <c r="AF27" s="33">
        <f>COUNTIFS(State_Life!B18:B150,"&lt;&gt;",State_Life!AF18:AF150,"Late")</f>
        <v>0</v>
      </c>
      <c r="AG27" s="36" t="str">
        <f t="shared" si="7"/>
        <v>-</v>
      </c>
      <c r="AH27" s="51">
        <f t="shared" ref="AH27:AJ27" si="31">D27+I27+N27+S27+X27+AC27</f>
        <v>0</v>
      </c>
      <c r="AI27" s="51">
        <f t="shared" si="31"/>
        <v>0</v>
      </c>
      <c r="AJ27" s="51">
        <f t="shared" si="31"/>
        <v>1</v>
      </c>
      <c r="AK27" s="55" t="str">
        <f t="shared" si="9"/>
        <v>-</v>
      </c>
    </row>
    <row r="28" ht="18.0" customHeight="1">
      <c r="A28" s="10">
        <v>25.0</v>
      </c>
      <c r="B28" s="10" t="s">
        <v>262</v>
      </c>
      <c r="C28" s="10" t="s">
        <v>76</v>
      </c>
      <c r="D28" s="30">
        <f>COUNTIFS(Gulberg!B26:B149,"&lt;&gt;",Gulberg!AG26:AG149,"Present")</f>
        <v>0</v>
      </c>
      <c r="E28" s="31">
        <f>COUNTIFS(Gulberg!B26:B149,"&lt;&gt;",Gulberg!AG26:AG149,"Absent")</f>
        <v>0</v>
      </c>
      <c r="F28" s="32">
        <f>COUNTIFS(Gulberg!B26:B149,"&lt;&gt;",Gulberg!AG26:AG149,"Leave")</f>
        <v>0</v>
      </c>
      <c r="G28" s="33">
        <f>COUNTIFS(Gulberg!B26:B149,"&lt;&gt;",Gulberg!AG26:AG149,"Late")</f>
        <v>0</v>
      </c>
      <c r="H28" s="36" t="str">
        <f t="shared" si="2"/>
        <v>-</v>
      </c>
      <c r="I28" s="30">
        <f>COUNTIFS(Gulshan_Iqbal!B21:B150,"&lt;&gt;",Gulshan_Iqbal!AG21:AG150,"Present")</f>
        <v>0</v>
      </c>
      <c r="J28" s="31">
        <f>COUNTIFS(Gulshan_Iqbal!B21:B150,"&lt;&gt;",Gulshan_Iqbal!AG21:AG150,"Absent")</f>
        <v>0</v>
      </c>
      <c r="K28" s="32">
        <f>COUNTIFS(Gulshan_Iqbal!B21:B150,"&lt;&gt;",Gulshan_Iqbal!AG21:AG150,"Leave")</f>
        <v>1</v>
      </c>
      <c r="L28" s="33">
        <f>COUNTIFS(Gulshan_Iqbal!B21:B150,"&lt;&gt;",Gulshan_Iqbal!AG21:AG150,"Late")</f>
        <v>0</v>
      </c>
      <c r="M28" s="36" t="str">
        <f t="shared" si="3"/>
        <v>-</v>
      </c>
      <c r="N28" s="30">
        <f>COUNTIFS(Griffin!B16:B152,"&lt;&gt;",Griffin!AG16:AG152,"Present")</f>
        <v>0</v>
      </c>
      <c r="O28" s="31">
        <f>COUNTIFS(Griffin!B16:B152,"&lt;&gt;",Griffin!AG16:AG152,"Absent")</f>
        <v>0</v>
      </c>
      <c r="P28" s="32">
        <f>COUNTIFS(Griffin!B16:B152,"&lt;&gt;",Griffin!AG16:AG152,"Leave")</f>
        <v>0</v>
      </c>
      <c r="Q28" s="33">
        <f>COUNTIFS(Griffin!B16:B152,"&lt;&gt;",Griffin!AG16:AG152,"Late")</f>
        <v>0</v>
      </c>
      <c r="R28" s="36" t="str">
        <f t="shared" si="4"/>
        <v>-</v>
      </c>
      <c r="S28" s="30">
        <f>COUNTIFS(Johar_Town!B21:B164,"&lt;&gt;",Johar_Town!AG21:AG164,"Present")</f>
        <v>0</v>
      </c>
      <c r="T28" s="31">
        <f>COUNTIFS(Johar_Town!B21:B164,"&lt;&gt;",Johar_Town!AG21:AG164,"Absent")</f>
        <v>0</v>
      </c>
      <c r="U28" s="32">
        <f>COUNTIFS(Johar_Town!B21:B164,"&lt;&gt;",Johar_Town!AG21:AG164,"Leave")</f>
        <v>0</v>
      </c>
      <c r="V28" s="33">
        <f>COUNTIFS(Johar_Town!B21:B164,"&lt;&gt;",Johar_Town!AG21:AG164,"Late")</f>
        <v>0</v>
      </c>
      <c r="W28" s="36" t="str">
        <f t="shared" si="5"/>
        <v>-</v>
      </c>
      <c r="X28" s="30">
        <f>COUNTIFS(Gulshan_Ravi!B23:B150,"&lt;&gt;",Gulshan_Ravi!AG23:AG150,"Present")</f>
        <v>0</v>
      </c>
      <c r="Y28" s="31">
        <f>COUNTIFS(Gulshan_Ravi!B23:B150,"&lt;&gt;",Gulshan_Ravi!AG23:AG150,"Absent")</f>
        <v>0</v>
      </c>
      <c r="Z28" s="32">
        <f>COUNTIFS(Gulshan_Ravi!B23:B150,"&lt;&gt;",Gulshan_Ravi!AG23:AG150,"Leave")</f>
        <v>0</v>
      </c>
      <c r="AA28" s="33">
        <f>COUNTIFS(Gulshan_Ravi!B23:B150,"&lt;&gt;",Gulshan_Ravi!AG23:AG150,"Late")</f>
        <v>0</v>
      </c>
      <c r="AB28" s="36" t="str">
        <f t="shared" si="6"/>
        <v>-</v>
      </c>
      <c r="AC28" s="30">
        <f>COUNTIFS(State_Life!B18:B150,"&lt;&gt;",State_Life!AG18:AG150,"Present")</f>
        <v>0</v>
      </c>
      <c r="AD28" s="31">
        <f>COUNTIFS(State_Life!B18:B150,"&lt;&gt;",State_Life!AG18:AG150,"Absent")</f>
        <v>0</v>
      </c>
      <c r="AE28" s="32">
        <f>COUNTIFS(State_Life!B18:B150,"&lt;&gt;",State_Life!AG18:AG150,"Leave")</f>
        <v>0</v>
      </c>
      <c r="AF28" s="33">
        <f>COUNTIFS(State_Life!B18:B150,"&lt;&gt;",State_Life!AG18:AG150,"Late")</f>
        <v>0</v>
      </c>
      <c r="AG28" s="36" t="str">
        <f t="shared" si="7"/>
        <v>-</v>
      </c>
      <c r="AH28" s="51">
        <f t="shared" ref="AH28:AJ28" si="32">D28+I28+N28+S28+X28+AC28</f>
        <v>0</v>
      </c>
      <c r="AI28" s="51">
        <f t="shared" si="32"/>
        <v>0</v>
      </c>
      <c r="AJ28" s="51">
        <f t="shared" si="32"/>
        <v>1</v>
      </c>
      <c r="AK28" s="55" t="str">
        <f t="shared" si="9"/>
        <v>-</v>
      </c>
    </row>
    <row r="29" ht="18.0" customHeight="1">
      <c r="A29" s="20">
        <v>26.0</v>
      </c>
      <c r="B29" s="20" t="s">
        <v>264</v>
      </c>
      <c r="C29" s="20" t="s">
        <v>200</v>
      </c>
      <c r="D29" s="30">
        <f>COUNTIFS(Gulberg!B26:B149,"&lt;&gt;",Gulberg!AH26:AH149,"Present")</f>
        <v>0</v>
      </c>
      <c r="E29" s="31">
        <f>COUNTIFS(Gulberg!B26:B149,"&lt;&gt;",Gulberg!AH26:AH149,"Absent")</f>
        <v>0</v>
      </c>
      <c r="F29" s="32">
        <f>COUNTIFS(Gulberg!B26:B149,"&lt;&gt;",Gulberg!AH26:AH149,"Leave")</f>
        <v>0</v>
      </c>
      <c r="G29" s="33">
        <f>COUNTIFS(Gulberg!B26:B149,"&lt;&gt;",Gulberg!AH26:AH149,"Late")</f>
        <v>0</v>
      </c>
      <c r="H29" s="36" t="str">
        <f t="shared" si="2"/>
        <v>-</v>
      </c>
      <c r="I29" s="30">
        <f>COUNTIFS(Gulshan_Iqbal!B21:B150,"&lt;&gt;",Gulshan_Iqbal!AH21:AH150,"Present")</f>
        <v>0</v>
      </c>
      <c r="J29" s="31">
        <f>COUNTIFS(Gulshan_Iqbal!B21:B150,"&lt;&gt;",Gulshan_Iqbal!AH21:AH150,"Absent")</f>
        <v>0</v>
      </c>
      <c r="K29" s="32">
        <f>COUNTIFS(Gulshan_Iqbal!B21:B150,"&lt;&gt;",Gulshan_Iqbal!AH21:AH150,"Leave")</f>
        <v>1</v>
      </c>
      <c r="L29" s="33">
        <f>COUNTIFS(Gulshan_Iqbal!B21:B150,"&lt;&gt;",Gulshan_Iqbal!AH21:AH150,"Late")</f>
        <v>0</v>
      </c>
      <c r="M29" s="36" t="str">
        <f t="shared" si="3"/>
        <v>-</v>
      </c>
      <c r="N29" s="30">
        <f>COUNTIFS(Griffin!B16:B152,"&lt;&gt;",Griffin!AH16:AH152,"Present")</f>
        <v>0</v>
      </c>
      <c r="O29" s="31">
        <f>COUNTIFS(Griffin!B16:B152,"&lt;&gt;",Griffin!AH16:AH152,"Absent")</f>
        <v>0</v>
      </c>
      <c r="P29" s="32">
        <f>COUNTIFS(Griffin!B16:B152,"&lt;&gt;",Griffin!AH16:AH152,"Leave")</f>
        <v>0</v>
      </c>
      <c r="Q29" s="33">
        <f>COUNTIFS(Griffin!B16:B152,"&lt;&gt;",Griffin!AH16:AH152,"Late")</f>
        <v>0</v>
      </c>
      <c r="R29" s="36" t="str">
        <f t="shared" si="4"/>
        <v>-</v>
      </c>
      <c r="S29" s="30">
        <f>COUNTIFS(Johar_Town!B21:B164,"&lt;&gt;",Johar_Town!AH21:AH164,"Present")</f>
        <v>0</v>
      </c>
      <c r="T29" s="31">
        <f>COUNTIFS(Johar_Town!B21:B164,"&lt;&gt;",Johar_Town!AH21:AH164,"Absent")</f>
        <v>0</v>
      </c>
      <c r="U29" s="32">
        <f>COUNTIFS(Johar_Town!B21:B164,"&lt;&gt;",Johar_Town!AH21:AH164,"Leave")</f>
        <v>0</v>
      </c>
      <c r="V29" s="33">
        <f>COUNTIFS(Johar_Town!B21:B164,"&lt;&gt;",Johar_Town!AH21:AH164,"Late")</f>
        <v>0</v>
      </c>
      <c r="W29" s="36" t="str">
        <f t="shared" si="5"/>
        <v>-</v>
      </c>
      <c r="X29" s="30">
        <f>COUNTIFS(Gulshan_Ravi!B23:B150,"&lt;&gt;",Gulshan_Ravi!AH23:AH150,"Present")</f>
        <v>0</v>
      </c>
      <c r="Y29" s="31">
        <f>COUNTIFS(Gulshan_Ravi!B23:B150,"&lt;&gt;",Gulshan_Ravi!AH23:AH150,"Absent")</f>
        <v>0</v>
      </c>
      <c r="Z29" s="32">
        <f>COUNTIFS(Gulshan_Ravi!B23:B150,"&lt;&gt;",Gulshan_Ravi!AH23:AH150,"Leave")</f>
        <v>0</v>
      </c>
      <c r="AA29" s="33">
        <f>COUNTIFS(Gulshan_Ravi!B23:B150,"&lt;&gt;",Gulshan_Ravi!AH23:AH150,"Late")</f>
        <v>0</v>
      </c>
      <c r="AB29" s="36" t="str">
        <f t="shared" si="6"/>
        <v>-</v>
      </c>
      <c r="AC29" s="30">
        <f>COUNTIFS(State_Life!B18:B150,"&lt;&gt;",State_Life!AH18:AH150,"Present")</f>
        <v>0</v>
      </c>
      <c r="AD29" s="31">
        <f>COUNTIFS(State_Life!B18:B150,"&lt;&gt;",State_Life!AH18:AH150,"Absent")</f>
        <v>0</v>
      </c>
      <c r="AE29" s="32">
        <f>COUNTIFS(State_Life!B18:B150,"&lt;&gt;",State_Life!AH18:AH150,"Leave")</f>
        <v>0</v>
      </c>
      <c r="AF29" s="33">
        <f>COUNTIFS(State_Life!B18:B150,"&lt;&gt;",State_Life!AH18:AH150,"Late")</f>
        <v>0</v>
      </c>
      <c r="AG29" s="36" t="str">
        <f t="shared" si="7"/>
        <v>-</v>
      </c>
      <c r="AH29" s="51">
        <f t="shared" ref="AH29:AJ29" si="33">D29+I29+N29+S29+X29+AC29</f>
        <v>0</v>
      </c>
      <c r="AI29" s="51">
        <f t="shared" si="33"/>
        <v>0</v>
      </c>
      <c r="AJ29" s="51">
        <f t="shared" si="33"/>
        <v>1</v>
      </c>
      <c r="AK29" s="55" t="str">
        <f t="shared" si="9"/>
        <v>-</v>
      </c>
    </row>
    <row r="30" ht="18.0" customHeight="1">
      <c r="A30" s="10">
        <v>27.0</v>
      </c>
      <c r="B30" s="10" t="s">
        <v>265</v>
      </c>
      <c r="C30" s="10" t="s">
        <v>76</v>
      </c>
      <c r="D30" s="30">
        <f>COUNTIFS(Gulberg!B26:B149,"&lt;&gt;",Gulberg!AI26:AI149,"Present")</f>
        <v>0</v>
      </c>
      <c r="E30" s="31">
        <f>COUNTIFS(Gulberg!B26:B149,"&lt;&gt;",Gulberg!AI26:AI149,"Absent")</f>
        <v>0</v>
      </c>
      <c r="F30" s="32">
        <f>COUNTIFS(Gulberg!B26:B149,"&lt;&gt;",Gulberg!AI26:AI149,"Leave")</f>
        <v>0</v>
      </c>
      <c r="G30" s="33">
        <f>COUNTIFS(Gulberg!B26:B149,"&lt;&gt;",Gulberg!AI26:AI149,"Late")</f>
        <v>0</v>
      </c>
      <c r="H30" s="36" t="str">
        <f t="shared" si="2"/>
        <v>-</v>
      </c>
      <c r="I30" s="30">
        <f>COUNTIFS(Gulshan_Iqbal!B21:B150,"&lt;&gt;",Gulshan_Iqbal!AI21:AI150,"Present")</f>
        <v>0</v>
      </c>
      <c r="J30" s="31">
        <f>COUNTIFS(Gulshan_Iqbal!B21:B150,"&lt;&gt;",Gulshan_Iqbal!AI21:AI150,"Absent")</f>
        <v>0</v>
      </c>
      <c r="K30" s="32">
        <f>COUNTIFS(Gulshan_Iqbal!B21:B150,"&lt;&gt;",Gulshan_Iqbal!AI21:AI150,"Leave")</f>
        <v>1</v>
      </c>
      <c r="L30" s="33">
        <f>COUNTIFS(Gulshan_Iqbal!B21:B150,"&lt;&gt;",Gulshan_Iqbal!AI21:AI150,"Late")</f>
        <v>0</v>
      </c>
      <c r="M30" s="36" t="str">
        <f t="shared" si="3"/>
        <v>-</v>
      </c>
      <c r="N30" s="30">
        <f>COUNTIFS(Griffin!B16:B152,"&lt;&gt;",Griffin!AI16:AI152,"Present")</f>
        <v>0</v>
      </c>
      <c r="O30" s="31">
        <f>COUNTIFS(Griffin!B16:B152,"&lt;&gt;",Griffin!AI16:AI152,"Absent")</f>
        <v>0</v>
      </c>
      <c r="P30" s="32">
        <f>COUNTIFS(Griffin!B16:B152,"&lt;&gt;",Griffin!AI16:AI152,"Leave")</f>
        <v>0</v>
      </c>
      <c r="Q30" s="33">
        <f>COUNTIFS(Griffin!B16:B152,"&lt;&gt;",Griffin!AI16:AI152,"Late")</f>
        <v>0</v>
      </c>
      <c r="R30" s="36" t="str">
        <f t="shared" si="4"/>
        <v>-</v>
      </c>
      <c r="S30" s="30">
        <f>COUNTIFS(Johar_Town!B21:B164,"&lt;&gt;",Johar_Town!AI21:AI164,"Present")</f>
        <v>0</v>
      </c>
      <c r="T30" s="31">
        <f>COUNTIFS(Johar_Town!B21:B164,"&lt;&gt;",Johar_Town!AI21:AI164,"Absent")</f>
        <v>0</v>
      </c>
      <c r="U30" s="32">
        <f>COUNTIFS(Johar_Town!B21:B164,"&lt;&gt;",Johar_Town!AI21:AI164,"Leave")</f>
        <v>0</v>
      </c>
      <c r="V30" s="33">
        <f>COUNTIFS(Johar_Town!B21:B164,"&lt;&gt;",Johar_Town!AI21:AI164,"Late")</f>
        <v>0</v>
      </c>
      <c r="W30" s="36" t="str">
        <f t="shared" si="5"/>
        <v>-</v>
      </c>
      <c r="X30" s="30">
        <f>COUNTIFS(Gulshan_Ravi!B23:B150,"&lt;&gt;",Gulshan_Ravi!AI23:AI150,"Present")</f>
        <v>0</v>
      </c>
      <c r="Y30" s="31">
        <f>COUNTIFS(Gulshan_Ravi!B23:B150,"&lt;&gt;",Gulshan_Ravi!AI23:AI150,"Absent")</f>
        <v>0</v>
      </c>
      <c r="Z30" s="32">
        <f>COUNTIFS(Gulshan_Ravi!B23:B150,"&lt;&gt;",Gulshan_Ravi!AI23:AI150,"Leave")</f>
        <v>0</v>
      </c>
      <c r="AA30" s="33">
        <f>COUNTIFS(Gulshan_Ravi!B23:B150,"&lt;&gt;",Gulshan_Ravi!AI23:AI150,"Late")</f>
        <v>0</v>
      </c>
      <c r="AB30" s="36" t="str">
        <f t="shared" si="6"/>
        <v>-</v>
      </c>
      <c r="AC30" s="30">
        <f>COUNTIFS(State_Life!B18:B150,"&lt;&gt;",State_Life!AI18:AI150,"Present")</f>
        <v>0</v>
      </c>
      <c r="AD30" s="31">
        <f>COUNTIFS(State_Life!B18:B150,"&lt;&gt;",State_Life!AI18:AI150,"Absent")</f>
        <v>0</v>
      </c>
      <c r="AE30" s="32">
        <f>COUNTIFS(State_Life!B18:B150,"&lt;&gt;",State_Life!AI18:AI150,"Leave")</f>
        <v>0</v>
      </c>
      <c r="AF30" s="33">
        <f>COUNTIFS(State_Life!B18:B150,"&lt;&gt;",State_Life!AI18:AI150,"Late")</f>
        <v>0</v>
      </c>
      <c r="AG30" s="36" t="str">
        <f t="shared" si="7"/>
        <v>-</v>
      </c>
      <c r="AH30" s="51">
        <f t="shared" ref="AH30:AJ30" si="34">D30+I30+N30+S30+X30+AC30</f>
        <v>0</v>
      </c>
      <c r="AI30" s="51">
        <f t="shared" si="34"/>
        <v>0</v>
      </c>
      <c r="AJ30" s="51">
        <f t="shared" si="34"/>
        <v>1</v>
      </c>
      <c r="AK30" s="55" t="str">
        <f t="shared" si="9"/>
        <v>-</v>
      </c>
    </row>
    <row r="31" ht="18.0" customHeight="1">
      <c r="A31" s="20">
        <v>28.0</v>
      </c>
      <c r="B31" s="20" t="s">
        <v>269</v>
      </c>
      <c r="C31" s="20" t="s">
        <v>200</v>
      </c>
      <c r="D31" s="30">
        <f>COUNTIFS(Gulberg!B26:B149,"&lt;&gt;",Gulberg!AJ26:AJ149,"Present")</f>
        <v>0</v>
      </c>
      <c r="E31" s="31">
        <f>COUNTIFS(Gulberg!B26:B149,"&lt;&gt;",Gulberg!AJ26:AJ149,"Absent")</f>
        <v>0</v>
      </c>
      <c r="F31" s="32">
        <f>COUNTIFS(Gulberg!B26:B149,"&lt;&gt;",Gulberg!AJ26:AJ149,"Leave")</f>
        <v>0</v>
      </c>
      <c r="G31" s="33">
        <f>COUNTIFS(Gulberg!B26:B149,"&lt;&gt;",Gulberg!AJ26:AJ149,"Late")</f>
        <v>0</v>
      </c>
      <c r="H31" s="36" t="str">
        <f t="shared" si="2"/>
        <v>-</v>
      </c>
      <c r="I31" s="30">
        <f>COUNTIFS(Gulshan_Iqbal!B21:B150,"&lt;&gt;",Gulshan_Iqbal!AJ21:AJ150,"Present")</f>
        <v>0</v>
      </c>
      <c r="J31" s="31">
        <f>COUNTIFS(Gulshan_Iqbal!B21:B150,"&lt;&gt;",Gulshan_Iqbal!AJ21:AJ150,"Absent")</f>
        <v>0</v>
      </c>
      <c r="K31" s="32">
        <f>COUNTIFS(Gulshan_Iqbal!B21:B150,"&lt;&gt;",Gulshan_Iqbal!AJ21:AJ150,"Leave")</f>
        <v>1</v>
      </c>
      <c r="L31" s="33">
        <f>COUNTIFS(Gulshan_Iqbal!B21:B150,"&lt;&gt;",Gulshan_Iqbal!AJ21:AJ150,"Late")</f>
        <v>0</v>
      </c>
      <c r="M31" s="36" t="str">
        <f t="shared" si="3"/>
        <v>-</v>
      </c>
      <c r="N31" s="30">
        <f>COUNTIFS(Griffin!B16:B152,"&lt;&gt;",Griffin!AJ16:AJ152,"Present")</f>
        <v>0</v>
      </c>
      <c r="O31" s="31">
        <f>COUNTIFS(Griffin!B16:B152,"&lt;&gt;",Griffin!AJ16:AJ152,"Absent")</f>
        <v>0</v>
      </c>
      <c r="P31" s="32">
        <f>COUNTIFS(Griffin!B16:B152,"&lt;&gt;",Griffin!AJ16:AJ152,"Leave")</f>
        <v>0</v>
      </c>
      <c r="Q31" s="33">
        <f>COUNTIFS(Griffin!B16:B152,"&lt;&gt;",Griffin!AJ16:AJ152,"Late")</f>
        <v>0</v>
      </c>
      <c r="R31" s="36" t="str">
        <f t="shared" si="4"/>
        <v>-</v>
      </c>
      <c r="S31" s="30">
        <f>COUNTIFS(Johar_Town!B21:B164,"&lt;&gt;",Johar_Town!AJ21:AJ164,"Present")</f>
        <v>0</v>
      </c>
      <c r="T31" s="31">
        <f>COUNTIFS(Johar_Town!B21:B164,"&lt;&gt;",Johar_Town!AJ21:AJ164,"Absent")</f>
        <v>0</v>
      </c>
      <c r="U31" s="32">
        <f>COUNTIFS(Johar_Town!B21:B164,"&lt;&gt;",Johar_Town!AJ21:AJ164,"Leave")</f>
        <v>0</v>
      </c>
      <c r="V31" s="33">
        <f>COUNTIFS(Johar_Town!B21:B164,"&lt;&gt;",Johar_Town!AJ21:AJ164,"Late")</f>
        <v>0</v>
      </c>
      <c r="W31" s="36" t="str">
        <f t="shared" si="5"/>
        <v>-</v>
      </c>
      <c r="X31" s="30">
        <f>COUNTIFS(Gulshan_Ravi!B23:B150,"&lt;&gt;",Gulshan_Ravi!AJ23:AJ150,"Present")</f>
        <v>0</v>
      </c>
      <c r="Y31" s="31">
        <f>COUNTIFS(Gulshan_Ravi!B23:B150,"&lt;&gt;",Gulshan_Ravi!AJ23:AJ150,"Absent")</f>
        <v>0</v>
      </c>
      <c r="Z31" s="32">
        <f>COUNTIFS(Gulshan_Ravi!B23:B150,"&lt;&gt;",Gulshan_Ravi!AJ23:AJ150,"Leave")</f>
        <v>0</v>
      </c>
      <c r="AA31" s="33">
        <f>COUNTIFS(Gulshan_Ravi!B23:B150,"&lt;&gt;",Gulshan_Ravi!AJ23:AJ150,"Late")</f>
        <v>0</v>
      </c>
      <c r="AB31" s="36" t="str">
        <f t="shared" si="6"/>
        <v>-</v>
      </c>
      <c r="AC31" s="30">
        <f>COUNTIFS(State_Life!B18:B150,"&lt;&gt;",State_Life!AJ18:AJ150,"Present")</f>
        <v>0</v>
      </c>
      <c r="AD31" s="31">
        <f>COUNTIFS(State_Life!B18:B150,"&lt;&gt;",State_Life!AJ18:AJ150,"Absent")</f>
        <v>0</v>
      </c>
      <c r="AE31" s="32">
        <f>COUNTIFS(State_Life!B18:B150,"&lt;&gt;",State_Life!AJ18:AJ150,"Leave")</f>
        <v>0</v>
      </c>
      <c r="AF31" s="33">
        <f>COUNTIFS(State_Life!B18:B150,"&lt;&gt;",State_Life!AJ18:AJ150,"Late")</f>
        <v>0</v>
      </c>
      <c r="AG31" s="36" t="str">
        <f t="shared" si="7"/>
        <v>-</v>
      </c>
      <c r="AH31" s="51">
        <f t="shared" ref="AH31:AJ31" si="35">D31+I31+N31+S31+X31+AC31</f>
        <v>0</v>
      </c>
      <c r="AI31" s="51">
        <f t="shared" si="35"/>
        <v>0</v>
      </c>
      <c r="AJ31" s="51">
        <f t="shared" si="35"/>
        <v>1</v>
      </c>
      <c r="AK31" s="55" t="str">
        <f t="shared" si="9"/>
        <v>-</v>
      </c>
    </row>
    <row r="32" ht="18.0" customHeight="1">
      <c r="A32" s="10">
        <v>29.0</v>
      </c>
      <c r="B32" s="10" t="s">
        <v>270</v>
      </c>
      <c r="C32" s="10" t="s">
        <v>76</v>
      </c>
      <c r="D32" s="30">
        <f>COUNTIFS(Gulberg!B26:B149,"&lt;&gt;",Gulberg!AK26:AK149,"Present")</f>
        <v>0</v>
      </c>
      <c r="E32" s="31">
        <f>COUNTIFS(Gulberg!B26:B149,"&lt;&gt;",Gulberg!AK26:AK149,"Absent")</f>
        <v>0</v>
      </c>
      <c r="F32" s="32">
        <f>COUNTIFS(Gulberg!B26:B149,"&lt;&gt;",Gulberg!AK26:AK149,"Leave")</f>
        <v>0</v>
      </c>
      <c r="G32" s="33">
        <f>COUNTIFS(Gulberg!B26:B149,"&lt;&gt;",Gulberg!AK26:AK149,"Late")</f>
        <v>0</v>
      </c>
      <c r="H32" s="36" t="str">
        <f t="shared" si="2"/>
        <v>-</v>
      </c>
      <c r="I32" s="30">
        <f>COUNTIFS(Gulshan_Iqbal!B21:B150,"&lt;&gt;",Gulshan_Iqbal!AK21:AK150,"Present")</f>
        <v>0</v>
      </c>
      <c r="J32" s="31">
        <f>COUNTIFS(Gulshan_Iqbal!B21:B150,"&lt;&gt;",Gulshan_Iqbal!AK21:AK150,"Absent")</f>
        <v>0</v>
      </c>
      <c r="K32" s="32">
        <f>COUNTIFS(Gulshan_Iqbal!B21:B150,"&lt;&gt;",Gulshan_Iqbal!AK21:AK150,"Leave")</f>
        <v>1</v>
      </c>
      <c r="L32" s="33">
        <f>COUNTIFS(Gulshan_Iqbal!B21:B150,"&lt;&gt;",Gulshan_Iqbal!AK21:AK150,"Late")</f>
        <v>0</v>
      </c>
      <c r="M32" s="36" t="str">
        <f t="shared" si="3"/>
        <v>-</v>
      </c>
      <c r="N32" s="30">
        <f>COUNTIFS(Griffin!B16:B152,"&lt;&gt;",Griffin!AK16:AK152,"Present")</f>
        <v>0</v>
      </c>
      <c r="O32" s="31">
        <f>COUNTIFS(Griffin!B16:B152,"&lt;&gt;",Griffin!AK16:AK152,"Absent")</f>
        <v>0</v>
      </c>
      <c r="P32" s="32">
        <f>COUNTIFS(Griffin!B16:B152,"&lt;&gt;",Griffin!AK16:AK152,"Leave")</f>
        <v>0</v>
      </c>
      <c r="Q32" s="33">
        <f>COUNTIFS(Griffin!B16:B152,"&lt;&gt;",Griffin!AK16:AK152,"Late")</f>
        <v>0</v>
      </c>
      <c r="R32" s="36" t="str">
        <f t="shared" si="4"/>
        <v>-</v>
      </c>
      <c r="S32" s="30">
        <f>COUNTIFS(Johar_Town!B21:B164,"&lt;&gt;",Johar_Town!AK21:AK164,"Present")</f>
        <v>0</v>
      </c>
      <c r="T32" s="31">
        <f>COUNTIFS(Johar_Town!B21:B164,"&lt;&gt;",Johar_Town!AK21:AK164,"Absent")</f>
        <v>0</v>
      </c>
      <c r="U32" s="32">
        <f>COUNTIFS(Johar_Town!B21:B164,"&lt;&gt;",Johar_Town!AK21:AK164,"Leave")</f>
        <v>0</v>
      </c>
      <c r="V32" s="33">
        <f>COUNTIFS(Johar_Town!B21:B164,"&lt;&gt;",Johar_Town!AK21:AK164,"Late")</f>
        <v>0</v>
      </c>
      <c r="W32" s="36" t="str">
        <f t="shared" si="5"/>
        <v>-</v>
      </c>
      <c r="X32" s="30">
        <f>COUNTIFS(Gulshan_Ravi!B23:B150,"&lt;&gt;",Gulshan_Ravi!AK23:AK150,"Present")</f>
        <v>0</v>
      </c>
      <c r="Y32" s="31">
        <f>COUNTIFS(Gulshan_Ravi!B23:B150,"&lt;&gt;",Gulshan_Ravi!AK23:AK150,"Absent")</f>
        <v>0</v>
      </c>
      <c r="Z32" s="32">
        <f>COUNTIFS(Gulshan_Ravi!B23:B150,"&lt;&gt;",Gulshan_Ravi!AK23:AK150,"Leave")</f>
        <v>0</v>
      </c>
      <c r="AA32" s="33">
        <f>COUNTIFS(Gulshan_Ravi!B23:B150,"&lt;&gt;",Gulshan_Ravi!AK23:AK150,"Late")</f>
        <v>0</v>
      </c>
      <c r="AB32" s="36" t="str">
        <f t="shared" si="6"/>
        <v>-</v>
      </c>
      <c r="AC32" s="30">
        <f>COUNTIFS(State_Life!B18:B150,"&lt;&gt;",State_Life!AK18:AK150,"Present")</f>
        <v>0</v>
      </c>
      <c r="AD32" s="31">
        <f>COUNTIFS(State_Life!B18:B150,"&lt;&gt;",State_Life!AK18:AK150,"Absent")</f>
        <v>0</v>
      </c>
      <c r="AE32" s="32">
        <f>COUNTIFS(State_Life!B18:B150,"&lt;&gt;",State_Life!AK18:AK150,"Leave")</f>
        <v>0</v>
      </c>
      <c r="AF32" s="33">
        <f>COUNTIFS(State_Life!B18:B150,"&lt;&gt;",State_Life!AK18:AK150,"Late")</f>
        <v>0</v>
      </c>
      <c r="AG32" s="36" t="str">
        <f t="shared" si="7"/>
        <v>-</v>
      </c>
      <c r="AH32" s="51">
        <f t="shared" ref="AH32:AJ32" si="36">D32+I32+N32+S32+X32+AC32</f>
        <v>0</v>
      </c>
      <c r="AI32" s="51">
        <f t="shared" si="36"/>
        <v>0</v>
      </c>
      <c r="AJ32" s="51">
        <f t="shared" si="36"/>
        <v>1</v>
      </c>
      <c r="AK32" s="55" t="str">
        <f t="shared" si="9"/>
        <v>-</v>
      </c>
    </row>
    <row r="33" ht="18.0" customHeight="1">
      <c r="A33" s="20">
        <v>30.0</v>
      </c>
      <c r="B33" s="20" t="s">
        <v>274</v>
      </c>
      <c r="C33" s="20" t="s">
        <v>200</v>
      </c>
      <c r="D33" s="30">
        <f>COUNTIFS(Gulberg!B26:B149,"&lt;&gt;",Gulberg!AL26:AL149,"Present")</f>
        <v>0</v>
      </c>
      <c r="E33" s="31">
        <f>COUNTIFS(Gulberg!B26:B149,"&lt;&gt;",Gulberg!AL26:AL149,"Absent")</f>
        <v>0</v>
      </c>
      <c r="F33" s="32">
        <f>COUNTIFS(Gulberg!B26:B149,"&lt;&gt;",Gulberg!AL26:AL149,"Leave")</f>
        <v>0</v>
      </c>
      <c r="G33" s="33">
        <f>COUNTIFS(Gulberg!B26:B149,"&lt;&gt;",Gulberg!AL26:AL149,"Late")</f>
        <v>0</v>
      </c>
      <c r="H33" s="36" t="str">
        <f t="shared" si="2"/>
        <v>-</v>
      </c>
      <c r="I33" s="30">
        <f>COUNTIFS(Gulshan_Iqbal!B21:B150,"&lt;&gt;",Gulshan_Iqbal!AL21:AL150,"Present")</f>
        <v>0</v>
      </c>
      <c r="J33" s="31">
        <f>COUNTIFS(Gulshan_Iqbal!B21:B150,"&lt;&gt;",Gulshan_Iqbal!AL21:AL150,"Absent")</f>
        <v>0</v>
      </c>
      <c r="K33" s="32">
        <f>COUNTIFS(Gulshan_Iqbal!B21:B150,"&lt;&gt;",Gulshan_Iqbal!AL21:AL150,"Leave")</f>
        <v>1</v>
      </c>
      <c r="L33" s="33">
        <f>COUNTIFS(Gulshan_Iqbal!B21:B150,"&lt;&gt;",Gulshan_Iqbal!AL21:AL150,"Late")</f>
        <v>0</v>
      </c>
      <c r="M33" s="36" t="str">
        <f t="shared" si="3"/>
        <v>-</v>
      </c>
      <c r="N33" s="30">
        <f>COUNTIFS(Griffin!B16:B152,"&lt;&gt;",Griffin!AL16:AL152,"Present")</f>
        <v>0</v>
      </c>
      <c r="O33" s="31">
        <f>COUNTIFS(Griffin!B16:B152,"&lt;&gt;",Griffin!AL16:AL152,"Absent")</f>
        <v>0</v>
      </c>
      <c r="P33" s="32">
        <f>COUNTIFS(Griffin!B16:B152,"&lt;&gt;",Griffin!AL16:AL152,"Leave")</f>
        <v>0</v>
      </c>
      <c r="Q33" s="33">
        <f>COUNTIFS(Griffin!B16:B152,"&lt;&gt;",Griffin!AL16:AL152,"Late")</f>
        <v>0</v>
      </c>
      <c r="R33" s="36" t="str">
        <f t="shared" si="4"/>
        <v>-</v>
      </c>
      <c r="S33" s="30">
        <f>COUNTIFS(Johar_Town!B21:B164,"&lt;&gt;",Johar_Town!AL21:AL164,"Present")</f>
        <v>0</v>
      </c>
      <c r="T33" s="31">
        <f>COUNTIFS(Johar_Town!B21:B164,"&lt;&gt;",Johar_Town!AL21:AL164,"Absent")</f>
        <v>0</v>
      </c>
      <c r="U33" s="32">
        <f>COUNTIFS(Johar_Town!B21:B164,"&lt;&gt;",Johar_Town!AL21:AL164,"Leave")</f>
        <v>0</v>
      </c>
      <c r="V33" s="33">
        <f>COUNTIFS(Johar_Town!B21:B164,"&lt;&gt;",Johar_Town!AL21:AL164,"Late")</f>
        <v>0</v>
      </c>
      <c r="W33" s="36" t="str">
        <f t="shared" si="5"/>
        <v>-</v>
      </c>
      <c r="X33" s="30">
        <f>COUNTIFS(Gulshan_Ravi!B23:B150,"&lt;&gt;",Gulshan_Ravi!AL23:AL150,"Present")</f>
        <v>0</v>
      </c>
      <c r="Y33" s="31">
        <f>COUNTIFS(Gulshan_Ravi!B23:B150,"&lt;&gt;",Gulshan_Ravi!AL23:AL150,"Absent")</f>
        <v>0</v>
      </c>
      <c r="Z33" s="32">
        <f>COUNTIFS(Gulshan_Ravi!B23:B150,"&lt;&gt;",Gulshan_Ravi!AL23:AL150,"Leave")</f>
        <v>0</v>
      </c>
      <c r="AA33" s="33">
        <f>COUNTIFS(Gulshan_Ravi!B23:B150,"&lt;&gt;",Gulshan_Ravi!AL23:AL150,"Late")</f>
        <v>0</v>
      </c>
      <c r="AB33" s="36" t="str">
        <f t="shared" si="6"/>
        <v>-</v>
      </c>
      <c r="AC33" s="30">
        <f>COUNTIFS(State_Life!B18:B150,"&lt;&gt;",State_Life!AL18:AL150,"Present")</f>
        <v>0</v>
      </c>
      <c r="AD33" s="31">
        <f>COUNTIFS(State_Life!B18:B150,"&lt;&gt;",State_Life!AL18:AL150,"Absent")</f>
        <v>0</v>
      </c>
      <c r="AE33" s="32">
        <f>COUNTIFS(State_Life!B18:B150,"&lt;&gt;",State_Life!AL18:AL150,"Leave")</f>
        <v>0</v>
      </c>
      <c r="AF33" s="33">
        <f>COUNTIFS(State_Life!B18:B150,"&lt;&gt;",State_Life!AL18:AL150,"Late")</f>
        <v>0</v>
      </c>
      <c r="AG33" s="36" t="str">
        <f t="shared" si="7"/>
        <v>-</v>
      </c>
      <c r="AH33" s="51">
        <f t="shared" ref="AH33:AJ33" si="37">D33+I33+N33+S33+X33+AC33</f>
        <v>0</v>
      </c>
      <c r="AI33" s="51">
        <f t="shared" si="37"/>
        <v>0</v>
      </c>
      <c r="AJ33" s="51">
        <f t="shared" si="37"/>
        <v>1</v>
      </c>
      <c r="AK33" s="55" t="str">
        <f t="shared" si="9"/>
        <v>-</v>
      </c>
    </row>
    <row r="34" ht="18.0" customHeight="1">
      <c r="A34" s="10">
        <v>31.0</v>
      </c>
      <c r="B34" s="10" t="s">
        <v>276</v>
      </c>
      <c r="C34" s="10" t="s">
        <v>76</v>
      </c>
      <c r="D34" s="30">
        <f>COUNTIFS(Gulberg!B26:B149,"&lt;&gt;",Gulberg!AM26:AM149,"Present")</f>
        <v>0</v>
      </c>
      <c r="E34" s="31">
        <f>COUNTIFS(Gulberg!B26:B149,"&lt;&gt;",Gulberg!AM26:AM149,"Absent")</f>
        <v>0</v>
      </c>
      <c r="F34" s="32">
        <f>COUNTIFS(Gulberg!B26:B149,"&lt;&gt;",Gulberg!AM26:AM149,"Leave")</f>
        <v>0</v>
      </c>
      <c r="G34" s="33">
        <f>COUNTIFS(Gulberg!B26:B149,"&lt;&gt;",Gulberg!AM26:AM149,"Late")</f>
        <v>0</v>
      </c>
      <c r="H34" s="36" t="str">
        <f t="shared" si="2"/>
        <v>-</v>
      </c>
      <c r="I34" s="30">
        <f>COUNTIFS(Gulshan_Iqbal!B21:B150,"&lt;&gt;",Gulshan_Iqbal!AM21:AM150,"Present")</f>
        <v>0</v>
      </c>
      <c r="J34" s="31">
        <f>COUNTIFS(Gulshan_Iqbal!B21:B150,"&lt;&gt;",Gulshan_Iqbal!AM21:AM150,"Absent")</f>
        <v>0</v>
      </c>
      <c r="K34" s="32">
        <f>COUNTIFS(Gulshan_Iqbal!B21:B150,"&lt;&gt;",Gulshan_Iqbal!AM21:AM150,"Leave")</f>
        <v>0</v>
      </c>
      <c r="L34" s="33">
        <f>COUNTIFS(Gulshan_Iqbal!B21:B150,"&lt;&gt;",Gulshan_Iqbal!AM21:AM150,"Late")</f>
        <v>0</v>
      </c>
      <c r="M34" s="36" t="str">
        <f t="shared" si="3"/>
        <v>-</v>
      </c>
      <c r="N34" s="30">
        <f>COUNTIFS(Griffin!B16:B152,"&lt;&gt;",Griffin!AM16:AM152,"Present")</f>
        <v>0</v>
      </c>
      <c r="O34" s="31">
        <f>COUNTIFS(Griffin!B16:B152,"&lt;&gt;",Griffin!AM16:AM152,"Absent")</f>
        <v>0</v>
      </c>
      <c r="P34" s="32">
        <f>COUNTIFS(Griffin!B16:B152,"&lt;&gt;",Griffin!AM16:AM152,"Leave")</f>
        <v>0</v>
      </c>
      <c r="Q34" s="33">
        <f>COUNTIFS(Griffin!B16:B152,"&lt;&gt;",Griffin!AM16:AM152,"Late")</f>
        <v>0</v>
      </c>
      <c r="R34" s="36" t="str">
        <f t="shared" si="4"/>
        <v>-</v>
      </c>
      <c r="S34" s="30">
        <f>COUNTIFS(Johar_Town!B21:B164,"&lt;&gt;",Johar_Town!AM21:AM164,"Present")</f>
        <v>0</v>
      </c>
      <c r="T34" s="31">
        <f>COUNTIFS(Johar_Town!B21:B164,"&lt;&gt;",Johar_Town!AM21:AM164,"Absent")</f>
        <v>0</v>
      </c>
      <c r="U34" s="32">
        <f>COUNTIFS(Johar_Town!B21:B164,"&lt;&gt;",Johar_Town!AM21:AM164,"Leave")</f>
        <v>0</v>
      </c>
      <c r="V34" s="33">
        <f>COUNTIFS(Johar_Town!B21:B164,"&lt;&gt;",Johar_Town!AM21:AM164,"Late")</f>
        <v>0</v>
      </c>
      <c r="W34" s="36" t="str">
        <f t="shared" si="5"/>
        <v>-</v>
      </c>
      <c r="X34" s="30">
        <f>COUNTIFS(Gulshan_Ravi!B23:B150,"&lt;&gt;",Gulshan_Ravi!AM23:AM150,"Present")</f>
        <v>0</v>
      </c>
      <c r="Y34" s="31">
        <f>COUNTIFS(Gulshan_Ravi!B23:B150,"&lt;&gt;",Gulshan_Ravi!AM23:AM150,"Absent")</f>
        <v>0</v>
      </c>
      <c r="Z34" s="32">
        <f>COUNTIFS(Gulshan_Ravi!B23:B150,"&lt;&gt;",Gulshan_Ravi!AM23:AM150,"Leave")</f>
        <v>0</v>
      </c>
      <c r="AA34" s="33">
        <f>COUNTIFS(Gulshan_Ravi!B23:B150,"&lt;&gt;",Gulshan_Ravi!AM23:AM150,"Late")</f>
        <v>0</v>
      </c>
      <c r="AB34" s="36" t="str">
        <f t="shared" si="6"/>
        <v>-</v>
      </c>
      <c r="AC34" s="30">
        <f>COUNTIFS(State_Life!B18:B150,"&lt;&gt;",State_Life!AM18:AM150,"Present")</f>
        <v>0</v>
      </c>
      <c r="AD34" s="31">
        <f>COUNTIFS(State_Life!B18:B150,"&lt;&gt;",State_Life!AM18:AM150,"Absent")</f>
        <v>0</v>
      </c>
      <c r="AE34" s="32">
        <f>COUNTIFS(State_Life!B18:B150,"&lt;&gt;",State_Life!AM18:AM150,"Leave")</f>
        <v>0</v>
      </c>
      <c r="AF34" s="33">
        <f>COUNTIFS(State_Life!B18:B150,"&lt;&gt;",State_Life!AM18:AM150,"Late")</f>
        <v>0</v>
      </c>
      <c r="AG34" s="36" t="str">
        <f t="shared" si="7"/>
        <v>-</v>
      </c>
      <c r="AH34" s="51">
        <f t="shared" ref="AH34:AJ34" si="38">D34+I34+N34+S34+X34+AC34</f>
        <v>0</v>
      </c>
      <c r="AI34" s="51">
        <f t="shared" si="38"/>
        <v>0</v>
      </c>
      <c r="AJ34" s="51">
        <f t="shared" si="38"/>
        <v>0</v>
      </c>
      <c r="AK34" s="55" t="str">
        <f t="shared" si="9"/>
        <v>-</v>
      </c>
    </row>
    <row r="35" ht="18.0" customHeight="1">
      <c r="A35" s="20">
        <v>32.0</v>
      </c>
      <c r="B35" s="20" t="s">
        <v>279</v>
      </c>
      <c r="C35" s="20" t="s">
        <v>200</v>
      </c>
      <c r="D35" s="30">
        <f>COUNTIFS(Gulberg!B26:B149,"&lt;&gt;",Gulberg!AN26:AN149,"Present")</f>
        <v>0</v>
      </c>
      <c r="E35" s="31">
        <f>COUNTIFS(Gulberg!B26:B149,"&lt;&gt;",Gulberg!AN26:AN149,"Absent")</f>
        <v>0</v>
      </c>
      <c r="F35" s="32">
        <f>COUNTIFS(Gulberg!B26:B149,"&lt;&gt;",Gulberg!AN26:AN149,"Leave")</f>
        <v>0</v>
      </c>
      <c r="G35" s="33">
        <f>COUNTIFS(Gulberg!B26:B149,"&lt;&gt;",Gulberg!AN26:AN149,"Late")</f>
        <v>0</v>
      </c>
      <c r="H35" s="36" t="str">
        <f t="shared" si="2"/>
        <v>-</v>
      </c>
      <c r="I35" s="30">
        <f>COUNTIFS(Gulshan_Iqbal!B21:B150,"&lt;&gt;",Gulshan_Iqbal!AN21:AN150,"Present")</f>
        <v>0</v>
      </c>
      <c r="J35" s="31">
        <f>COUNTIFS(Gulshan_Iqbal!B21:B150,"&lt;&gt;",Gulshan_Iqbal!AN21:AN150,"Absent")</f>
        <v>0</v>
      </c>
      <c r="K35" s="32">
        <f>COUNTIFS(Gulshan_Iqbal!B21:B150,"&lt;&gt;",Gulshan_Iqbal!AN21:AN150,"Leave")</f>
        <v>0</v>
      </c>
      <c r="L35" s="33">
        <f>COUNTIFS(Gulshan_Iqbal!B21:B150,"&lt;&gt;",Gulshan_Iqbal!AN21:AN150,"Late")</f>
        <v>0</v>
      </c>
      <c r="M35" s="36" t="str">
        <f t="shared" si="3"/>
        <v>-</v>
      </c>
      <c r="N35" s="30">
        <f>COUNTIFS(Griffin!B16:B152,"&lt;&gt;",Griffin!AN16:AN152,"Present")</f>
        <v>0</v>
      </c>
      <c r="O35" s="31">
        <f>COUNTIFS(Griffin!B16:B152,"&lt;&gt;",Griffin!AN16:AN152,"Absent")</f>
        <v>0</v>
      </c>
      <c r="P35" s="32">
        <f>COUNTIFS(Griffin!B16:B152,"&lt;&gt;",Griffin!AN16:AN152,"Leave")</f>
        <v>0</v>
      </c>
      <c r="Q35" s="33">
        <f>COUNTIFS(Griffin!B16:B152,"&lt;&gt;",Griffin!AN16:AN152,"Late")</f>
        <v>0</v>
      </c>
      <c r="R35" s="36" t="str">
        <f t="shared" si="4"/>
        <v>-</v>
      </c>
      <c r="S35" s="30">
        <f>COUNTIFS(Johar_Town!B21:B164,"&lt;&gt;",Johar_Town!AN21:AN164,"Present")</f>
        <v>0</v>
      </c>
      <c r="T35" s="31">
        <f>COUNTIFS(Johar_Town!B21:B164,"&lt;&gt;",Johar_Town!AN21:AN164,"Absent")</f>
        <v>0</v>
      </c>
      <c r="U35" s="32">
        <f>COUNTIFS(Johar_Town!B21:B164,"&lt;&gt;",Johar_Town!AN21:AN164,"Leave")</f>
        <v>0</v>
      </c>
      <c r="V35" s="33">
        <f>COUNTIFS(Johar_Town!B21:B164,"&lt;&gt;",Johar_Town!AN21:AN164,"Late")</f>
        <v>0</v>
      </c>
      <c r="W35" s="36" t="str">
        <f t="shared" si="5"/>
        <v>-</v>
      </c>
      <c r="X35" s="30">
        <f>COUNTIFS(Gulshan_Ravi!B23:B150,"&lt;&gt;",Gulshan_Ravi!AN23:AN150,"Present")</f>
        <v>0</v>
      </c>
      <c r="Y35" s="31">
        <f>COUNTIFS(Gulshan_Ravi!B23:B150,"&lt;&gt;",Gulshan_Ravi!AN23:AN150,"Absent")</f>
        <v>0</v>
      </c>
      <c r="Z35" s="32">
        <f>COUNTIFS(Gulshan_Ravi!B23:B150,"&lt;&gt;",Gulshan_Ravi!AN23:AN150,"Leave")</f>
        <v>0</v>
      </c>
      <c r="AA35" s="33">
        <f>COUNTIFS(Gulshan_Ravi!B23:B150,"&lt;&gt;",Gulshan_Ravi!AN23:AN150,"Late")</f>
        <v>0</v>
      </c>
      <c r="AB35" s="36" t="str">
        <f t="shared" si="6"/>
        <v>-</v>
      </c>
      <c r="AC35" s="30">
        <f>COUNTIFS(State_Life!B18:B150,"&lt;&gt;",State_Life!AN18:AN150,"Present")</f>
        <v>0</v>
      </c>
      <c r="AD35" s="31">
        <f>COUNTIFS(State_Life!B18:B150,"&lt;&gt;",State_Life!AN18:AN150,"Absent")</f>
        <v>0</v>
      </c>
      <c r="AE35" s="32">
        <f>COUNTIFS(State_Life!B18:B150,"&lt;&gt;",State_Life!AN18:AN150,"Leave")</f>
        <v>0</v>
      </c>
      <c r="AF35" s="33">
        <f>COUNTIFS(State_Life!B18:B150,"&lt;&gt;",State_Life!AN18:AN150,"Late")</f>
        <v>0</v>
      </c>
      <c r="AG35" s="36" t="str">
        <f t="shared" si="7"/>
        <v>-</v>
      </c>
      <c r="AH35" s="51">
        <f t="shared" ref="AH35:AJ35" si="39">D35+I35+N35+S35+X35+AC35</f>
        <v>0</v>
      </c>
      <c r="AI35" s="51">
        <f t="shared" si="39"/>
        <v>0</v>
      </c>
      <c r="AJ35" s="51">
        <f t="shared" si="39"/>
        <v>0</v>
      </c>
      <c r="AK35" s="55" t="str">
        <f t="shared" si="9"/>
        <v>-</v>
      </c>
    </row>
    <row r="36" ht="18.0" customHeight="1">
      <c r="A36" s="10">
        <v>33.0</v>
      </c>
      <c r="B36" s="10" t="s">
        <v>283</v>
      </c>
      <c r="C36" s="10" t="s">
        <v>76</v>
      </c>
      <c r="D36" s="30">
        <f>COUNTIFS(Gulberg!B26:B149,"&lt;&gt;",Gulberg!AO26:AO149,"Present")</f>
        <v>0</v>
      </c>
      <c r="E36" s="31">
        <f>COUNTIFS(Gulberg!B26:B149,"&lt;&gt;",Gulberg!AO26:AO149,"Absent")</f>
        <v>0</v>
      </c>
      <c r="F36" s="32">
        <f>COUNTIFS(Gulberg!B26:B149,"&lt;&gt;",Gulberg!AO26:AO149,"Leave")</f>
        <v>0</v>
      </c>
      <c r="G36" s="33">
        <f>COUNTIFS(Gulberg!B26:B149,"&lt;&gt;",Gulberg!AO26:AO149,"Late")</f>
        <v>0</v>
      </c>
      <c r="H36" s="36" t="str">
        <f t="shared" si="2"/>
        <v>-</v>
      </c>
      <c r="I36" s="30">
        <f>COUNTIFS(Gulshan_Iqbal!B21:B150,"&lt;&gt;",Gulshan_Iqbal!AO21:AO150,"Present")</f>
        <v>0</v>
      </c>
      <c r="J36" s="31">
        <f>COUNTIFS(Gulshan_Iqbal!B21:B150,"&lt;&gt;",Gulshan_Iqbal!AO21:AO150,"Absent")</f>
        <v>0</v>
      </c>
      <c r="K36" s="32">
        <f>COUNTIFS(Gulshan_Iqbal!B21:B150,"&lt;&gt;",Gulshan_Iqbal!AO21:AO150,"Leave")</f>
        <v>0</v>
      </c>
      <c r="L36" s="33">
        <f>COUNTIFS(Gulshan_Iqbal!B21:B150,"&lt;&gt;",Gulshan_Iqbal!AO21:AO150,"Late")</f>
        <v>0</v>
      </c>
      <c r="M36" s="36" t="str">
        <f t="shared" si="3"/>
        <v>-</v>
      </c>
      <c r="N36" s="30">
        <f>COUNTIFS(Griffin!B16:B152,"&lt;&gt;",Griffin!AO16:AO152,"Present")</f>
        <v>0</v>
      </c>
      <c r="O36" s="31">
        <f>COUNTIFS(Griffin!B16:B152,"&lt;&gt;",Griffin!AO16:AO152,"Absent")</f>
        <v>0</v>
      </c>
      <c r="P36" s="32">
        <f>COUNTIFS(Griffin!B16:B152,"&lt;&gt;",Griffin!AO16:AO152,"Leave")</f>
        <v>0</v>
      </c>
      <c r="Q36" s="33">
        <f>COUNTIFS(Griffin!B16:B152,"&lt;&gt;",Griffin!AO16:AO152,"Late")</f>
        <v>0</v>
      </c>
      <c r="R36" s="36" t="str">
        <f t="shared" si="4"/>
        <v>-</v>
      </c>
      <c r="S36" s="30">
        <f>COUNTIFS(Johar_Town!B21:B164,"&lt;&gt;",Johar_Town!AO21:AO164,"Present")</f>
        <v>0</v>
      </c>
      <c r="T36" s="31">
        <f>COUNTIFS(Johar_Town!B21:B164,"&lt;&gt;",Johar_Town!AO21:AO164,"Absent")</f>
        <v>0</v>
      </c>
      <c r="U36" s="32">
        <f>COUNTIFS(Johar_Town!B21:B164,"&lt;&gt;",Johar_Town!AO21:AO164,"Leave")</f>
        <v>0</v>
      </c>
      <c r="V36" s="33">
        <f>COUNTIFS(Johar_Town!B21:B164,"&lt;&gt;",Johar_Town!AO21:AO164,"Late")</f>
        <v>0</v>
      </c>
      <c r="W36" s="36" t="str">
        <f t="shared" si="5"/>
        <v>-</v>
      </c>
      <c r="X36" s="30">
        <f>COUNTIFS(Gulshan_Ravi!B23:B150,"&lt;&gt;",Gulshan_Ravi!AO23:AO150,"Present")</f>
        <v>0</v>
      </c>
      <c r="Y36" s="31">
        <f>COUNTIFS(Gulshan_Ravi!B23:B150,"&lt;&gt;",Gulshan_Ravi!AO23:AO150,"Absent")</f>
        <v>0</v>
      </c>
      <c r="Z36" s="32">
        <f>COUNTIFS(Gulshan_Ravi!B23:B150,"&lt;&gt;",Gulshan_Ravi!AO23:AO150,"Leave")</f>
        <v>0</v>
      </c>
      <c r="AA36" s="33">
        <f>COUNTIFS(Gulshan_Ravi!B23:B150,"&lt;&gt;",Gulshan_Ravi!AO23:AO150,"Late")</f>
        <v>0</v>
      </c>
      <c r="AB36" s="36" t="str">
        <f t="shared" si="6"/>
        <v>-</v>
      </c>
      <c r="AC36" s="30">
        <f>COUNTIFS(State_Life!B18:B150,"&lt;&gt;",State_Life!AO18:AO150,"Present")</f>
        <v>0</v>
      </c>
      <c r="AD36" s="31">
        <f>COUNTIFS(State_Life!B18:B150,"&lt;&gt;",State_Life!AO18:AO150,"Absent")</f>
        <v>0</v>
      </c>
      <c r="AE36" s="32">
        <f>COUNTIFS(State_Life!B18:B150,"&lt;&gt;",State_Life!AO18:AO150,"Leave")</f>
        <v>0</v>
      </c>
      <c r="AF36" s="33">
        <f>COUNTIFS(State_Life!B18:B150,"&lt;&gt;",State_Life!AO18:AO150,"Late")</f>
        <v>0</v>
      </c>
      <c r="AG36" s="36" t="str">
        <f t="shared" si="7"/>
        <v>-</v>
      </c>
      <c r="AH36" s="51">
        <f t="shared" ref="AH36:AJ36" si="40">D36+I36+N36+S36+X36+AC36</f>
        <v>0</v>
      </c>
      <c r="AI36" s="51">
        <f t="shared" si="40"/>
        <v>0</v>
      </c>
      <c r="AJ36" s="51">
        <f t="shared" si="40"/>
        <v>0</v>
      </c>
      <c r="AK36" s="55" t="str">
        <f t="shared" si="9"/>
        <v>-</v>
      </c>
    </row>
    <row r="37" ht="18.0" customHeight="1">
      <c r="A37" s="20">
        <v>34.0</v>
      </c>
      <c r="B37" s="20" t="s">
        <v>284</v>
      </c>
      <c r="C37" s="20" t="s">
        <v>200</v>
      </c>
      <c r="D37" s="30">
        <f>COUNTIFS(Gulberg!B26:B149,"&lt;&gt;",Gulberg!AP26:AP149,"Present")</f>
        <v>0</v>
      </c>
      <c r="E37" s="31">
        <f>COUNTIFS(Gulberg!B26:B149,"&lt;&gt;",Gulberg!AP26:AP149,"Absent")</f>
        <v>0</v>
      </c>
      <c r="F37" s="32">
        <f>COUNTIFS(Gulberg!B26:B149,"&lt;&gt;",Gulberg!AP26:AP149,"Leave")</f>
        <v>0</v>
      </c>
      <c r="G37" s="33">
        <f>COUNTIFS(Gulberg!B26:B149,"&lt;&gt;",Gulberg!AP26:AP149,"Late")</f>
        <v>0</v>
      </c>
      <c r="H37" s="36" t="str">
        <f t="shared" si="2"/>
        <v>-</v>
      </c>
      <c r="I37" s="30">
        <f>COUNTIFS(Gulshan_Iqbal!B21:B150,"&lt;&gt;",Gulshan_Iqbal!AP21:AP150,"Present")</f>
        <v>0</v>
      </c>
      <c r="J37" s="31">
        <f>COUNTIFS(Gulshan_Iqbal!B21:B150,"&lt;&gt;",Gulshan_Iqbal!AP21:AP150,"Absent")</f>
        <v>0</v>
      </c>
      <c r="K37" s="32">
        <f>COUNTIFS(Gulshan_Iqbal!B21:B150,"&lt;&gt;",Gulshan_Iqbal!AP21:AP150,"Leave")</f>
        <v>0</v>
      </c>
      <c r="L37" s="33">
        <f>COUNTIFS(Gulshan_Iqbal!B21:B150,"&lt;&gt;",Gulshan_Iqbal!AP21:AP150,"Late")</f>
        <v>0</v>
      </c>
      <c r="M37" s="36" t="str">
        <f t="shared" si="3"/>
        <v>-</v>
      </c>
      <c r="N37" s="30">
        <f>COUNTIFS(Griffin!B16:B152,"&lt;&gt;",Griffin!AP16:AP152,"Present")</f>
        <v>0</v>
      </c>
      <c r="O37" s="31">
        <f>COUNTIFS(Griffin!B16:B152,"&lt;&gt;",Griffin!AP16:AP152,"Absent")</f>
        <v>0</v>
      </c>
      <c r="P37" s="32">
        <f>COUNTIFS(Griffin!B16:B152,"&lt;&gt;",Griffin!AP16:AP152,"Leave")</f>
        <v>0</v>
      </c>
      <c r="Q37" s="33">
        <f>COUNTIFS(Griffin!B16:B152,"&lt;&gt;",Griffin!AP16:AP152,"Late")</f>
        <v>0</v>
      </c>
      <c r="R37" s="36" t="str">
        <f t="shared" si="4"/>
        <v>-</v>
      </c>
      <c r="S37" s="30">
        <f>COUNTIFS(Johar_Town!B21:B164,"&lt;&gt;",Johar_Town!AP21:AP164,"Present")</f>
        <v>0</v>
      </c>
      <c r="T37" s="31">
        <f>COUNTIFS(Johar_Town!B21:B164,"&lt;&gt;",Johar_Town!AP21:AP164,"Absent")</f>
        <v>0</v>
      </c>
      <c r="U37" s="32">
        <f>COUNTIFS(Johar_Town!B21:B164,"&lt;&gt;",Johar_Town!AP21:AP164,"Leave")</f>
        <v>0</v>
      </c>
      <c r="V37" s="33">
        <f>COUNTIFS(Johar_Town!B21:B164,"&lt;&gt;",Johar_Town!AP21:AP164,"Late")</f>
        <v>0</v>
      </c>
      <c r="W37" s="36" t="str">
        <f t="shared" si="5"/>
        <v>-</v>
      </c>
      <c r="X37" s="30">
        <f>COUNTIFS(Gulshan_Ravi!B23:B150,"&lt;&gt;",Gulshan_Ravi!AP23:AP150,"Present")</f>
        <v>0</v>
      </c>
      <c r="Y37" s="31">
        <f>COUNTIFS(Gulshan_Ravi!B23:B150,"&lt;&gt;",Gulshan_Ravi!AP23:AP150,"Absent")</f>
        <v>0</v>
      </c>
      <c r="Z37" s="32">
        <f>COUNTIFS(Gulshan_Ravi!B23:B150,"&lt;&gt;",Gulshan_Ravi!AP23:AP150,"Leave")</f>
        <v>0</v>
      </c>
      <c r="AA37" s="33">
        <f>COUNTIFS(Gulshan_Ravi!B23:B150,"&lt;&gt;",Gulshan_Ravi!AP23:AP150,"Late")</f>
        <v>0</v>
      </c>
      <c r="AB37" s="36" t="str">
        <f t="shared" si="6"/>
        <v>-</v>
      </c>
      <c r="AC37" s="30">
        <f>COUNTIFS(State_Life!B18:B150,"&lt;&gt;",State_Life!AP18:AP150,"Present")</f>
        <v>0</v>
      </c>
      <c r="AD37" s="31">
        <f>COUNTIFS(State_Life!B18:B150,"&lt;&gt;",State_Life!AP18:AP150,"Absent")</f>
        <v>0</v>
      </c>
      <c r="AE37" s="32">
        <f>COUNTIFS(State_Life!B18:B150,"&lt;&gt;",State_Life!AP18:AP150,"Leave")</f>
        <v>0</v>
      </c>
      <c r="AF37" s="33">
        <f>COUNTIFS(State_Life!B18:B150,"&lt;&gt;",State_Life!AP18:AP150,"Late")</f>
        <v>0</v>
      </c>
      <c r="AG37" s="36" t="str">
        <f t="shared" si="7"/>
        <v>-</v>
      </c>
      <c r="AH37" s="51">
        <f t="shared" ref="AH37:AJ37" si="41">D37+I37+N37+S37+X37+AC37</f>
        <v>0</v>
      </c>
      <c r="AI37" s="51">
        <f t="shared" si="41"/>
        <v>0</v>
      </c>
      <c r="AJ37" s="51">
        <f t="shared" si="41"/>
        <v>0</v>
      </c>
      <c r="AK37" s="55" t="str">
        <f t="shared" si="9"/>
        <v>-</v>
      </c>
    </row>
    <row r="38" ht="18.0" customHeight="1">
      <c r="A38" s="10">
        <v>35.0</v>
      </c>
      <c r="B38" s="10" t="s">
        <v>286</v>
      </c>
      <c r="C38" s="10" t="s">
        <v>76</v>
      </c>
      <c r="D38" s="30">
        <f>COUNTIFS(Gulberg!B26:B149,"&lt;&gt;",Gulberg!AQ26:AQ149,"Present")</f>
        <v>0</v>
      </c>
      <c r="E38" s="31">
        <f>COUNTIFS(Gulberg!B26:B149,"&lt;&gt;",Gulberg!AQ26:AQ149,"Absent")</f>
        <v>0</v>
      </c>
      <c r="F38" s="32">
        <f>COUNTIFS(Gulberg!B26:B149,"&lt;&gt;",Gulberg!AQ26:AQ149,"Leave")</f>
        <v>0</v>
      </c>
      <c r="G38" s="33">
        <f>COUNTIFS(Gulberg!B26:B149,"&lt;&gt;",Gulberg!AQ26:AQ149,"Late")</f>
        <v>0</v>
      </c>
      <c r="H38" s="36" t="str">
        <f t="shared" si="2"/>
        <v>-</v>
      </c>
      <c r="I38" s="30">
        <f>COUNTIFS(Gulshan_Iqbal!B21:B150,"&lt;&gt;",Gulshan_Iqbal!AQ21:AQ150,"Present")</f>
        <v>0</v>
      </c>
      <c r="J38" s="31">
        <f>COUNTIFS(Gulshan_Iqbal!B21:B150,"&lt;&gt;",Gulshan_Iqbal!AQ21:AQ150,"Absent")</f>
        <v>0</v>
      </c>
      <c r="K38" s="32">
        <f>COUNTIFS(Gulshan_Iqbal!B21:B150,"&lt;&gt;",Gulshan_Iqbal!AQ21:AQ150,"Leave")</f>
        <v>0</v>
      </c>
      <c r="L38" s="33">
        <f>COUNTIFS(Gulshan_Iqbal!B21:B150,"&lt;&gt;",Gulshan_Iqbal!AQ21:AQ150,"Late")</f>
        <v>0</v>
      </c>
      <c r="M38" s="36" t="str">
        <f t="shared" si="3"/>
        <v>-</v>
      </c>
      <c r="N38" s="30">
        <f>COUNTIFS(Griffin!B16:B152,"&lt;&gt;",Griffin!AQ16:AQ152,"Present")</f>
        <v>0</v>
      </c>
      <c r="O38" s="31">
        <f>COUNTIFS(Griffin!B16:B152,"&lt;&gt;",Griffin!AQ16:AQ152,"Absent")</f>
        <v>0</v>
      </c>
      <c r="P38" s="32">
        <f>COUNTIFS(Griffin!B16:B152,"&lt;&gt;",Griffin!AQ16:AQ152,"Leave")</f>
        <v>0</v>
      </c>
      <c r="Q38" s="33">
        <f>COUNTIFS(Griffin!B16:B152,"&lt;&gt;",Griffin!AQ16:AQ152,"Late")</f>
        <v>0</v>
      </c>
      <c r="R38" s="36" t="str">
        <f t="shared" si="4"/>
        <v>-</v>
      </c>
      <c r="S38" s="30">
        <f>COUNTIFS(Johar_Town!B21:B164,"&lt;&gt;",Johar_Town!AQ21:AQ164,"Present")</f>
        <v>0</v>
      </c>
      <c r="T38" s="31">
        <f>COUNTIFS(Johar_Town!B21:B164,"&lt;&gt;",Johar_Town!AQ21:AQ164,"Absent")</f>
        <v>0</v>
      </c>
      <c r="U38" s="32">
        <f>COUNTIFS(Johar_Town!B21:B164,"&lt;&gt;",Johar_Town!AQ21:AQ164,"Leave")</f>
        <v>0</v>
      </c>
      <c r="V38" s="33">
        <f>COUNTIFS(Johar_Town!B21:B164,"&lt;&gt;",Johar_Town!AQ21:AQ164,"Late")</f>
        <v>0</v>
      </c>
      <c r="W38" s="36" t="str">
        <f t="shared" si="5"/>
        <v>-</v>
      </c>
      <c r="X38" s="30">
        <f>COUNTIFS(Gulshan_Ravi!B23:B150,"&lt;&gt;",Gulshan_Ravi!AQ23:AQ150,"Present")</f>
        <v>0</v>
      </c>
      <c r="Y38" s="31">
        <f>COUNTIFS(Gulshan_Ravi!B23:B150,"&lt;&gt;",Gulshan_Ravi!AQ23:AQ150,"Absent")</f>
        <v>0</v>
      </c>
      <c r="Z38" s="32">
        <f>COUNTIFS(Gulshan_Ravi!B23:B150,"&lt;&gt;",Gulshan_Ravi!AQ23:AQ150,"Leave")</f>
        <v>0</v>
      </c>
      <c r="AA38" s="33">
        <f>COUNTIFS(Gulshan_Ravi!B23:B150,"&lt;&gt;",Gulshan_Ravi!AQ23:AQ150,"Late")</f>
        <v>0</v>
      </c>
      <c r="AB38" s="36" t="str">
        <f t="shared" si="6"/>
        <v>-</v>
      </c>
      <c r="AC38" s="30">
        <f>COUNTIFS(State_Life!B18:B150,"&lt;&gt;",State_Life!AQ18:AQ150,"Present")</f>
        <v>0</v>
      </c>
      <c r="AD38" s="31">
        <f>COUNTIFS(State_Life!B18:B150,"&lt;&gt;",State_Life!AQ18:AQ150,"Absent")</f>
        <v>0</v>
      </c>
      <c r="AE38" s="32">
        <f>COUNTIFS(State_Life!B18:B150,"&lt;&gt;",State_Life!AQ18:AQ150,"Leave")</f>
        <v>0</v>
      </c>
      <c r="AF38" s="33">
        <f>COUNTIFS(State_Life!B18:B150,"&lt;&gt;",State_Life!AQ18:AQ150,"Late")</f>
        <v>0</v>
      </c>
      <c r="AG38" s="36" t="str">
        <f t="shared" si="7"/>
        <v>-</v>
      </c>
      <c r="AH38" s="51">
        <f t="shared" ref="AH38:AJ38" si="42">D38+I38+N38+S38+X38+AC38</f>
        <v>0</v>
      </c>
      <c r="AI38" s="51">
        <f t="shared" si="42"/>
        <v>0</v>
      </c>
      <c r="AJ38" s="51">
        <f t="shared" si="42"/>
        <v>0</v>
      </c>
      <c r="AK38" s="55" t="str">
        <f t="shared" si="9"/>
        <v>-</v>
      </c>
    </row>
    <row r="39" ht="18.0" customHeight="1">
      <c r="A39" s="20">
        <v>36.0</v>
      </c>
      <c r="B39" s="20" t="s">
        <v>288</v>
      </c>
      <c r="C39" s="20" t="s">
        <v>200</v>
      </c>
      <c r="D39" s="30">
        <f>COUNTIFS(Gulberg!B26:B149,"&lt;&gt;",Gulberg!AR26:AR149,"Present")</f>
        <v>0</v>
      </c>
      <c r="E39" s="31">
        <f>COUNTIFS(Gulberg!B26:B149,"&lt;&gt;",Gulberg!AR26:AR149,"Absent")</f>
        <v>0</v>
      </c>
      <c r="F39" s="32">
        <f>COUNTIFS(Gulberg!B26:B149,"&lt;&gt;",Gulberg!AR26:AR149,"Leave")</f>
        <v>0</v>
      </c>
      <c r="G39" s="33">
        <f>COUNTIFS(Gulberg!B26:B149,"&lt;&gt;",Gulberg!AR26:AR149,"Late")</f>
        <v>0</v>
      </c>
      <c r="H39" s="36" t="str">
        <f t="shared" si="2"/>
        <v>-</v>
      </c>
      <c r="I39" s="30">
        <f>COUNTIFS(Gulshan_Iqbal!B21:B150,"&lt;&gt;",Gulshan_Iqbal!AR21:AR150,"Present")</f>
        <v>0</v>
      </c>
      <c r="J39" s="31">
        <f>COUNTIFS(Gulshan_Iqbal!B21:B150,"&lt;&gt;",Gulshan_Iqbal!AR21:AR150,"Absent")</f>
        <v>0</v>
      </c>
      <c r="K39" s="32">
        <f>COUNTIFS(Gulshan_Iqbal!B21:B150,"&lt;&gt;",Gulshan_Iqbal!AR21:AR150,"Leave")</f>
        <v>0</v>
      </c>
      <c r="L39" s="33">
        <f>COUNTIFS(Gulshan_Iqbal!B21:B150,"&lt;&gt;",Gulshan_Iqbal!AR21:AR150,"Late")</f>
        <v>0</v>
      </c>
      <c r="M39" s="36" t="str">
        <f t="shared" si="3"/>
        <v>-</v>
      </c>
      <c r="N39" s="30">
        <f>COUNTIFS(Griffin!B16:B152,"&lt;&gt;",Griffin!AR16:AR152,"Present")</f>
        <v>0</v>
      </c>
      <c r="O39" s="31">
        <f>COUNTIFS(Griffin!B16:B152,"&lt;&gt;",Griffin!AR16:AR152,"Absent")</f>
        <v>0</v>
      </c>
      <c r="P39" s="32">
        <f>COUNTIFS(Griffin!B16:B152,"&lt;&gt;",Griffin!AR16:AR152,"Leave")</f>
        <v>0</v>
      </c>
      <c r="Q39" s="33">
        <f>COUNTIFS(Griffin!B16:B152,"&lt;&gt;",Griffin!AR16:AR152,"Late")</f>
        <v>0</v>
      </c>
      <c r="R39" s="36" t="str">
        <f t="shared" si="4"/>
        <v>-</v>
      </c>
      <c r="S39" s="30">
        <f>COUNTIFS(Johar_Town!B21:B164,"&lt;&gt;",Johar_Town!AR21:AR164,"Present")</f>
        <v>0</v>
      </c>
      <c r="T39" s="31">
        <f>COUNTIFS(Johar_Town!B21:B164,"&lt;&gt;",Johar_Town!AR21:AR164,"Absent")</f>
        <v>0</v>
      </c>
      <c r="U39" s="32">
        <f>COUNTIFS(Johar_Town!B21:B164,"&lt;&gt;",Johar_Town!AR21:AR164,"Leave")</f>
        <v>0</v>
      </c>
      <c r="V39" s="33">
        <f>COUNTIFS(Johar_Town!B21:B164,"&lt;&gt;",Johar_Town!AR21:AR164,"Late")</f>
        <v>0</v>
      </c>
      <c r="W39" s="36" t="str">
        <f t="shared" si="5"/>
        <v>-</v>
      </c>
      <c r="X39" s="30">
        <f>COUNTIFS(Gulshan_Ravi!B23:B150,"&lt;&gt;",Gulshan_Ravi!AR23:AR150,"Present")</f>
        <v>0</v>
      </c>
      <c r="Y39" s="31">
        <f>COUNTIFS(Gulshan_Ravi!B23:B150,"&lt;&gt;",Gulshan_Ravi!AR23:AR150,"Absent")</f>
        <v>0</v>
      </c>
      <c r="Z39" s="32">
        <f>COUNTIFS(Gulshan_Ravi!B23:B150,"&lt;&gt;",Gulshan_Ravi!AR23:AR150,"Leave")</f>
        <v>0</v>
      </c>
      <c r="AA39" s="33">
        <f>COUNTIFS(Gulshan_Ravi!B23:B150,"&lt;&gt;",Gulshan_Ravi!AR23:AR150,"Late")</f>
        <v>0</v>
      </c>
      <c r="AB39" s="36" t="str">
        <f t="shared" si="6"/>
        <v>-</v>
      </c>
      <c r="AC39" s="30">
        <f>COUNTIFS(State_Life!B18:B150,"&lt;&gt;",State_Life!AR18:AR150,"Present")</f>
        <v>0</v>
      </c>
      <c r="AD39" s="31">
        <f>COUNTIFS(State_Life!B18:B150,"&lt;&gt;",State_Life!AR18:AR150,"Absent")</f>
        <v>0</v>
      </c>
      <c r="AE39" s="32">
        <f>COUNTIFS(State_Life!B18:B150,"&lt;&gt;",State_Life!AR18:AR150,"Leave")</f>
        <v>0</v>
      </c>
      <c r="AF39" s="33">
        <f>COUNTIFS(State_Life!B18:B150,"&lt;&gt;",State_Life!AR18:AR150,"Late")</f>
        <v>0</v>
      </c>
      <c r="AG39" s="36" t="str">
        <f t="shared" si="7"/>
        <v>-</v>
      </c>
      <c r="AH39" s="51">
        <f t="shared" ref="AH39:AJ39" si="43">D39+I39+N39+S39+X39+AC39</f>
        <v>0</v>
      </c>
      <c r="AI39" s="51">
        <f t="shared" si="43"/>
        <v>0</v>
      </c>
      <c r="AJ39" s="51">
        <f t="shared" si="43"/>
        <v>0</v>
      </c>
      <c r="AK39" s="55" t="str">
        <f t="shared" si="9"/>
        <v>-</v>
      </c>
    </row>
    <row r="40" ht="18.0" customHeight="1">
      <c r="A40" s="10">
        <v>37.0</v>
      </c>
      <c r="B40" s="10" t="s">
        <v>291</v>
      </c>
      <c r="C40" s="10" t="s">
        <v>76</v>
      </c>
      <c r="D40" s="30">
        <f>COUNTIFS(Gulberg!B26:B149,"&lt;&gt;",Gulberg!AS26:AS149,"Present")</f>
        <v>0</v>
      </c>
      <c r="E40" s="31">
        <f>COUNTIFS(Gulberg!B26:B149,"&lt;&gt;",Gulberg!AS26:AS149,"Absent")</f>
        <v>0</v>
      </c>
      <c r="F40" s="32">
        <f>COUNTIFS(Gulberg!B26:B149,"&lt;&gt;",Gulberg!AS26:AS149,"Leave")</f>
        <v>0</v>
      </c>
      <c r="G40" s="33">
        <f>COUNTIFS(Gulberg!B26:B149,"&lt;&gt;",Gulberg!AS26:AS149,"Late")</f>
        <v>0</v>
      </c>
      <c r="H40" s="36" t="str">
        <f t="shared" si="2"/>
        <v>-</v>
      </c>
      <c r="I40" s="30">
        <f>COUNTIFS(Gulshan_Iqbal!B21:B150,"&lt;&gt;",Gulshan_Iqbal!AS21:AS150,"Present")</f>
        <v>0</v>
      </c>
      <c r="J40" s="31">
        <f>COUNTIFS(Gulshan_Iqbal!B21:B150,"&lt;&gt;",Gulshan_Iqbal!AS21:AS150,"Absent")</f>
        <v>0</v>
      </c>
      <c r="K40" s="32">
        <f>COUNTIFS(Gulshan_Iqbal!B21:B150,"&lt;&gt;",Gulshan_Iqbal!AS21:AS150,"Leave")</f>
        <v>0</v>
      </c>
      <c r="L40" s="33">
        <f>COUNTIFS(Gulshan_Iqbal!B21:B150,"&lt;&gt;",Gulshan_Iqbal!AS21:AS150,"Late")</f>
        <v>0</v>
      </c>
      <c r="M40" s="36" t="str">
        <f t="shared" si="3"/>
        <v>-</v>
      </c>
      <c r="N40" s="30">
        <f>COUNTIFS(Griffin!B16:B152,"&lt;&gt;",Griffin!AS16:AS152,"Present")</f>
        <v>0</v>
      </c>
      <c r="O40" s="31">
        <f>COUNTIFS(Griffin!B16:B152,"&lt;&gt;",Griffin!AS16:AS152,"Absent")</f>
        <v>0</v>
      </c>
      <c r="P40" s="32">
        <f>COUNTIFS(Griffin!B16:B152,"&lt;&gt;",Griffin!AS16:AS152,"Leave")</f>
        <v>0</v>
      </c>
      <c r="Q40" s="33">
        <f>COUNTIFS(Griffin!B16:B152,"&lt;&gt;",Griffin!AS16:AS152,"Late")</f>
        <v>0</v>
      </c>
      <c r="R40" s="36" t="str">
        <f t="shared" si="4"/>
        <v>-</v>
      </c>
      <c r="S40" s="30">
        <f>COUNTIFS(Johar_Town!B21:B164,"&lt;&gt;",Johar_Town!AS21:AS164,"Present")</f>
        <v>0</v>
      </c>
      <c r="T40" s="31">
        <f>COUNTIFS(Johar_Town!B21:B164,"&lt;&gt;",Johar_Town!AS21:AS164,"Absent")</f>
        <v>0</v>
      </c>
      <c r="U40" s="32">
        <f>COUNTIFS(Johar_Town!B21:B164,"&lt;&gt;",Johar_Town!AS21:AS164,"Leave")</f>
        <v>0</v>
      </c>
      <c r="V40" s="33">
        <f>COUNTIFS(Johar_Town!B21:B164,"&lt;&gt;",Johar_Town!AS21:AS164,"Late")</f>
        <v>0</v>
      </c>
      <c r="W40" s="36" t="str">
        <f t="shared" si="5"/>
        <v>-</v>
      </c>
      <c r="X40" s="30">
        <f>COUNTIFS(Gulshan_Ravi!B23:B150,"&lt;&gt;",Gulshan_Ravi!AS23:AS150,"Present")</f>
        <v>0</v>
      </c>
      <c r="Y40" s="31">
        <f>COUNTIFS(Gulshan_Ravi!B23:B150,"&lt;&gt;",Gulshan_Ravi!AS23:AS150,"Absent")</f>
        <v>0</v>
      </c>
      <c r="Z40" s="32">
        <f>COUNTIFS(Gulshan_Ravi!B23:B150,"&lt;&gt;",Gulshan_Ravi!AS23:AS150,"Leave")</f>
        <v>0</v>
      </c>
      <c r="AA40" s="33">
        <f>COUNTIFS(Gulshan_Ravi!B23:B150,"&lt;&gt;",Gulshan_Ravi!AS23:AS150,"Late")</f>
        <v>0</v>
      </c>
      <c r="AB40" s="36" t="str">
        <f t="shared" si="6"/>
        <v>-</v>
      </c>
      <c r="AC40" s="30">
        <f>COUNTIFS(State_Life!B18:B150,"&lt;&gt;",State_Life!AS18:AS150,"Present")</f>
        <v>0</v>
      </c>
      <c r="AD40" s="31">
        <f>COUNTIFS(State_Life!B18:B150,"&lt;&gt;",State_Life!AS18:AS150,"Absent")</f>
        <v>0</v>
      </c>
      <c r="AE40" s="32">
        <f>COUNTIFS(State_Life!B18:B150,"&lt;&gt;",State_Life!AS18:AS150,"Leave")</f>
        <v>0</v>
      </c>
      <c r="AF40" s="33">
        <f>COUNTIFS(State_Life!B18:B150,"&lt;&gt;",State_Life!AS18:AS150,"Late")</f>
        <v>0</v>
      </c>
      <c r="AG40" s="36" t="str">
        <f t="shared" si="7"/>
        <v>-</v>
      </c>
      <c r="AH40" s="51">
        <f t="shared" ref="AH40:AJ40" si="44">D40+I40+N40+S40+X40+AC40</f>
        <v>0</v>
      </c>
      <c r="AI40" s="51">
        <f t="shared" si="44"/>
        <v>0</v>
      </c>
      <c r="AJ40" s="51">
        <f t="shared" si="44"/>
        <v>0</v>
      </c>
      <c r="AK40" s="55" t="str">
        <f t="shared" si="9"/>
        <v>-</v>
      </c>
    </row>
    <row r="41" ht="18.0" customHeight="1">
      <c r="A41" s="20">
        <v>38.0</v>
      </c>
      <c r="B41" s="20" t="s">
        <v>297</v>
      </c>
      <c r="C41" s="20" t="s">
        <v>200</v>
      </c>
      <c r="D41" s="30">
        <f>COUNTIFS(Gulberg!B26:B149,"&lt;&gt;",Gulberg!AT26:AT149,"Present")</f>
        <v>0</v>
      </c>
      <c r="E41" s="31">
        <f>COUNTIFS(Gulberg!B26:B149,"&lt;&gt;",Gulberg!AT26:AT149,"Absent")</f>
        <v>0</v>
      </c>
      <c r="F41" s="32">
        <f>COUNTIFS(Gulberg!B26:B149,"&lt;&gt;",Gulberg!AT26:AT149,"Leave")</f>
        <v>0</v>
      </c>
      <c r="G41" s="33">
        <f>COUNTIFS(Gulberg!B26:B149,"&lt;&gt;",Gulberg!AT26:AT149,"Late")</f>
        <v>0</v>
      </c>
      <c r="H41" s="36" t="str">
        <f t="shared" si="2"/>
        <v>-</v>
      </c>
      <c r="I41" s="30">
        <f>COUNTIFS(Gulshan_Iqbal!B21:B150,"&lt;&gt;",Gulshan_Iqbal!AT21:AT150,"Present")</f>
        <v>0</v>
      </c>
      <c r="J41" s="31">
        <f>COUNTIFS(Gulshan_Iqbal!B21:B150,"&lt;&gt;",Gulshan_Iqbal!AT21:AT150,"Absent")</f>
        <v>0</v>
      </c>
      <c r="K41" s="32">
        <f>COUNTIFS(Gulshan_Iqbal!B21:B150,"&lt;&gt;",Gulshan_Iqbal!AT21:AT150,"Leave")</f>
        <v>0</v>
      </c>
      <c r="L41" s="33">
        <f>COUNTIFS(Gulshan_Iqbal!B21:B150,"&lt;&gt;",Gulshan_Iqbal!AT21:AT150,"Late")</f>
        <v>0</v>
      </c>
      <c r="M41" s="36" t="str">
        <f t="shared" si="3"/>
        <v>-</v>
      </c>
      <c r="N41" s="30">
        <f>COUNTIFS(Griffin!B16:B152,"&lt;&gt;",Griffin!AT16:AT152,"Present")</f>
        <v>0</v>
      </c>
      <c r="O41" s="31">
        <f>COUNTIFS(Griffin!B16:B152,"&lt;&gt;",Griffin!AT16:AT152,"Absent")</f>
        <v>0</v>
      </c>
      <c r="P41" s="32">
        <f>COUNTIFS(Griffin!B16:B152,"&lt;&gt;",Griffin!AT16:AT152,"Leave")</f>
        <v>0</v>
      </c>
      <c r="Q41" s="33">
        <f>COUNTIFS(Griffin!B16:B152,"&lt;&gt;",Griffin!AT16:AT152,"Late")</f>
        <v>0</v>
      </c>
      <c r="R41" s="36" t="str">
        <f t="shared" si="4"/>
        <v>-</v>
      </c>
      <c r="S41" s="30">
        <f>COUNTIFS(Johar_Town!B21:B164,"&lt;&gt;",Johar_Town!AT21:AT164,"Present")</f>
        <v>0</v>
      </c>
      <c r="T41" s="31">
        <f>COUNTIFS(Johar_Town!B21:B164,"&lt;&gt;",Johar_Town!AT21:AT164,"Absent")</f>
        <v>0</v>
      </c>
      <c r="U41" s="32">
        <f>COUNTIFS(Johar_Town!B21:B164,"&lt;&gt;",Johar_Town!AT21:AT164,"Leave")</f>
        <v>0</v>
      </c>
      <c r="V41" s="33">
        <f>COUNTIFS(Johar_Town!B21:B164,"&lt;&gt;",Johar_Town!AT21:AT164,"Late")</f>
        <v>0</v>
      </c>
      <c r="W41" s="36" t="str">
        <f t="shared" si="5"/>
        <v>-</v>
      </c>
      <c r="X41" s="30">
        <f>COUNTIFS(Gulshan_Ravi!B23:B150,"&lt;&gt;",Gulshan_Ravi!AT23:AT150,"Present")</f>
        <v>0</v>
      </c>
      <c r="Y41" s="31">
        <f>COUNTIFS(Gulshan_Ravi!B23:B150,"&lt;&gt;",Gulshan_Ravi!AT23:AT150,"Absent")</f>
        <v>0</v>
      </c>
      <c r="Z41" s="32">
        <f>COUNTIFS(Gulshan_Ravi!B23:B150,"&lt;&gt;",Gulshan_Ravi!AT23:AT150,"Leave")</f>
        <v>0</v>
      </c>
      <c r="AA41" s="33">
        <f>COUNTIFS(Gulshan_Ravi!B23:B150,"&lt;&gt;",Gulshan_Ravi!AT23:AT150,"Late")</f>
        <v>0</v>
      </c>
      <c r="AB41" s="36" t="str">
        <f t="shared" si="6"/>
        <v>-</v>
      </c>
      <c r="AC41" s="30">
        <f>COUNTIFS(State_Life!B18:B150,"&lt;&gt;",State_Life!AT18:AT150,"Present")</f>
        <v>0</v>
      </c>
      <c r="AD41" s="31">
        <f>COUNTIFS(State_Life!B18:B150,"&lt;&gt;",State_Life!AT18:AT150,"Absent")</f>
        <v>0</v>
      </c>
      <c r="AE41" s="32">
        <f>COUNTIFS(State_Life!B18:B150,"&lt;&gt;",State_Life!AT18:AT150,"Leave")</f>
        <v>0</v>
      </c>
      <c r="AF41" s="33">
        <f>COUNTIFS(State_Life!B18:B150,"&lt;&gt;",State_Life!AT18:AT150,"Late")</f>
        <v>0</v>
      </c>
      <c r="AG41" s="36" t="str">
        <f t="shared" si="7"/>
        <v>-</v>
      </c>
      <c r="AH41" s="51">
        <f t="shared" ref="AH41:AJ41" si="45">D41+I41+N41+S41+X41+AC41</f>
        <v>0</v>
      </c>
      <c r="AI41" s="51">
        <f t="shared" si="45"/>
        <v>0</v>
      </c>
      <c r="AJ41" s="51">
        <f t="shared" si="45"/>
        <v>0</v>
      </c>
      <c r="AK41" s="55" t="str">
        <f t="shared" si="9"/>
        <v>-</v>
      </c>
    </row>
    <row r="42" ht="18.0" customHeight="1">
      <c r="A42" s="10">
        <v>39.0</v>
      </c>
      <c r="B42" s="10" t="s">
        <v>300</v>
      </c>
      <c r="C42" s="10" t="s">
        <v>76</v>
      </c>
      <c r="D42" s="30">
        <f>COUNTIFS(Gulberg!B26:B149,"&lt;&gt;",Gulberg!AU26:AU149,"Present")</f>
        <v>0</v>
      </c>
      <c r="E42" s="31">
        <f>COUNTIFS(Gulberg!B26:B149,"&lt;&gt;",Gulberg!AU26:AU149,"Absent")</f>
        <v>0</v>
      </c>
      <c r="F42" s="32">
        <f>COUNTIFS(Gulberg!B26:B149,"&lt;&gt;",Gulberg!AU26:AU149,"Leave")</f>
        <v>0</v>
      </c>
      <c r="G42" s="33">
        <f>COUNTIFS(Gulberg!B26:B149,"&lt;&gt;",Gulberg!AU26:AU149,"Late")</f>
        <v>0</v>
      </c>
      <c r="H42" s="36" t="str">
        <f t="shared" si="2"/>
        <v>-</v>
      </c>
      <c r="I42" s="30">
        <f>COUNTIFS(Gulshan_Iqbal!B21:B150,"&lt;&gt;",Gulshan_Iqbal!AU21:AU150,"Present")</f>
        <v>0</v>
      </c>
      <c r="J42" s="31">
        <f>COUNTIFS(Gulshan_Iqbal!B21:B150,"&lt;&gt;",Gulshan_Iqbal!AU21:AU150,"Absent")</f>
        <v>0</v>
      </c>
      <c r="K42" s="32">
        <f>COUNTIFS(Gulshan_Iqbal!B21:B150,"&lt;&gt;",Gulshan_Iqbal!AU21:AU150,"Leave")</f>
        <v>0</v>
      </c>
      <c r="L42" s="33">
        <f>COUNTIFS(Gulshan_Iqbal!B21:B150,"&lt;&gt;",Gulshan_Iqbal!AU21:AU150,"Late")</f>
        <v>0</v>
      </c>
      <c r="M42" s="36" t="str">
        <f t="shared" si="3"/>
        <v>-</v>
      </c>
      <c r="N42" s="30">
        <f>COUNTIFS(Griffin!B16:B152,"&lt;&gt;",Griffin!AU16:AU152,"Present")</f>
        <v>0</v>
      </c>
      <c r="O42" s="31">
        <f>COUNTIFS(Griffin!B16:B152,"&lt;&gt;",Griffin!AU16:AU152,"Absent")</f>
        <v>0</v>
      </c>
      <c r="P42" s="32">
        <f>COUNTIFS(Griffin!B16:B152,"&lt;&gt;",Griffin!AU16:AU152,"Leave")</f>
        <v>0</v>
      </c>
      <c r="Q42" s="33">
        <f>COUNTIFS(Griffin!B16:B152,"&lt;&gt;",Griffin!AU16:AU152,"Late")</f>
        <v>0</v>
      </c>
      <c r="R42" s="36" t="str">
        <f t="shared" si="4"/>
        <v>-</v>
      </c>
      <c r="S42" s="30">
        <f>COUNTIFS(Johar_Town!B21:B164,"&lt;&gt;",Johar_Town!AU21:AU164,"Present")</f>
        <v>0</v>
      </c>
      <c r="T42" s="31">
        <f>COUNTIFS(Johar_Town!B21:B164,"&lt;&gt;",Johar_Town!AU21:AU164,"Absent")</f>
        <v>0</v>
      </c>
      <c r="U42" s="32">
        <f>COUNTIFS(Johar_Town!B21:B164,"&lt;&gt;",Johar_Town!AU21:AU164,"Leave")</f>
        <v>0</v>
      </c>
      <c r="V42" s="33">
        <f>COUNTIFS(Johar_Town!B21:B164,"&lt;&gt;",Johar_Town!AU21:AU164,"Late")</f>
        <v>0</v>
      </c>
      <c r="W42" s="36" t="str">
        <f t="shared" si="5"/>
        <v>-</v>
      </c>
      <c r="X42" s="30">
        <f>COUNTIFS(Gulshan_Ravi!B23:B150,"&lt;&gt;",Gulshan_Ravi!AU23:AU150,"Present")</f>
        <v>0</v>
      </c>
      <c r="Y42" s="31">
        <f>COUNTIFS(Gulshan_Ravi!B23:B150,"&lt;&gt;",Gulshan_Ravi!AU23:AU150,"Absent")</f>
        <v>0</v>
      </c>
      <c r="Z42" s="32">
        <f>COUNTIFS(Gulshan_Ravi!B23:B150,"&lt;&gt;",Gulshan_Ravi!AU23:AU150,"Leave")</f>
        <v>0</v>
      </c>
      <c r="AA42" s="33">
        <f>COUNTIFS(Gulshan_Ravi!B23:B150,"&lt;&gt;",Gulshan_Ravi!AU23:AU150,"Late")</f>
        <v>0</v>
      </c>
      <c r="AB42" s="36" t="str">
        <f t="shared" si="6"/>
        <v>-</v>
      </c>
      <c r="AC42" s="30">
        <f>COUNTIFS(State_Life!B18:B150,"&lt;&gt;",State_Life!AU18:AU150,"Present")</f>
        <v>0</v>
      </c>
      <c r="AD42" s="31">
        <f>COUNTIFS(State_Life!B18:B150,"&lt;&gt;",State_Life!AU18:AU150,"Absent")</f>
        <v>0</v>
      </c>
      <c r="AE42" s="32">
        <f>COUNTIFS(State_Life!B18:B150,"&lt;&gt;",State_Life!AU18:AU150,"Leave")</f>
        <v>0</v>
      </c>
      <c r="AF42" s="33">
        <f>COUNTIFS(State_Life!B18:B150,"&lt;&gt;",State_Life!AU18:AU150,"Late")</f>
        <v>0</v>
      </c>
      <c r="AG42" s="36" t="str">
        <f t="shared" si="7"/>
        <v>-</v>
      </c>
      <c r="AH42" s="51">
        <f t="shared" ref="AH42:AJ42" si="46">D42+I42+N42+S42+X42+AC42</f>
        <v>0</v>
      </c>
      <c r="AI42" s="51">
        <f t="shared" si="46"/>
        <v>0</v>
      </c>
      <c r="AJ42" s="51">
        <f t="shared" si="46"/>
        <v>0</v>
      </c>
      <c r="AK42" s="55" t="str">
        <f t="shared" si="9"/>
        <v>-</v>
      </c>
    </row>
    <row r="43" ht="18.0" customHeight="1">
      <c r="A43" s="20">
        <v>40.0</v>
      </c>
      <c r="B43" s="20" t="s">
        <v>302</v>
      </c>
      <c r="C43" s="20" t="s">
        <v>200</v>
      </c>
      <c r="D43" s="30">
        <f>COUNTIFS(Gulberg!B26:B149,"&lt;&gt;",Gulberg!AV26:AV149,"Present")</f>
        <v>0</v>
      </c>
      <c r="E43" s="31">
        <f>COUNTIFS(Gulberg!B26:B149,"&lt;&gt;",Gulberg!AV26:AV149,"Absent")</f>
        <v>0</v>
      </c>
      <c r="F43" s="32">
        <f>COUNTIFS(Gulberg!B26:B149,"&lt;&gt;",Gulberg!AV26:AV149,"Leave")</f>
        <v>0</v>
      </c>
      <c r="G43" s="33">
        <f>COUNTIFS(Gulberg!B26:B149,"&lt;&gt;",Gulberg!AV26:AV149,"Late")</f>
        <v>0</v>
      </c>
      <c r="H43" s="36" t="str">
        <f t="shared" si="2"/>
        <v>-</v>
      </c>
      <c r="I43" s="30">
        <f>COUNTIFS(Gulshan_Iqbal!B21:B150,"&lt;&gt;",Gulshan_Iqbal!AV21:AV150,"Present")</f>
        <v>0</v>
      </c>
      <c r="J43" s="31">
        <f>COUNTIFS(Gulshan_Iqbal!B21:B150,"&lt;&gt;",Gulshan_Iqbal!AV21:AV150,"Absent")</f>
        <v>0</v>
      </c>
      <c r="K43" s="32">
        <f>COUNTIFS(Gulshan_Iqbal!B21:B150,"&lt;&gt;",Gulshan_Iqbal!AV21:AV150,"Leave")</f>
        <v>0</v>
      </c>
      <c r="L43" s="33">
        <f>COUNTIFS(Gulshan_Iqbal!B21:B150,"&lt;&gt;",Gulshan_Iqbal!AV21:AV150,"Late")</f>
        <v>0</v>
      </c>
      <c r="M43" s="36" t="str">
        <f t="shared" si="3"/>
        <v>-</v>
      </c>
      <c r="N43" s="30">
        <f>COUNTIFS(Griffin!B16:B152,"&lt;&gt;",Griffin!AV16:AV152,"Present")</f>
        <v>0</v>
      </c>
      <c r="O43" s="31">
        <f>COUNTIFS(Griffin!B16:B152,"&lt;&gt;",Griffin!AV16:AV152,"Absent")</f>
        <v>0</v>
      </c>
      <c r="P43" s="32">
        <f>COUNTIFS(Griffin!B16:B152,"&lt;&gt;",Griffin!AV16:AV152,"Leave")</f>
        <v>0</v>
      </c>
      <c r="Q43" s="33">
        <f>COUNTIFS(Griffin!B16:B152,"&lt;&gt;",Griffin!AV16:AV152,"Late")</f>
        <v>0</v>
      </c>
      <c r="R43" s="36" t="str">
        <f t="shared" si="4"/>
        <v>-</v>
      </c>
      <c r="S43" s="30">
        <f>COUNTIFS(Johar_Town!B21:B164,"&lt;&gt;",Johar_Town!AV21:AV164,"Present")</f>
        <v>0</v>
      </c>
      <c r="T43" s="31">
        <f>COUNTIFS(Johar_Town!B21:B164,"&lt;&gt;",Johar_Town!AV21:AV164,"Absent")</f>
        <v>0</v>
      </c>
      <c r="U43" s="32">
        <f>COUNTIFS(Johar_Town!B21:B164,"&lt;&gt;",Johar_Town!AV21:AV164,"Leave")</f>
        <v>0</v>
      </c>
      <c r="V43" s="33">
        <f>COUNTIFS(Johar_Town!B21:B164,"&lt;&gt;",Johar_Town!AV21:AV164,"Late")</f>
        <v>0</v>
      </c>
      <c r="W43" s="36" t="str">
        <f t="shared" si="5"/>
        <v>-</v>
      </c>
      <c r="X43" s="30">
        <f>COUNTIFS(Gulshan_Ravi!B23:B150,"&lt;&gt;",Gulshan_Ravi!AV23:AV150,"Present")</f>
        <v>0</v>
      </c>
      <c r="Y43" s="31">
        <f>COUNTIFS(Gulshan_Ravi!B23:B150,"&lt;&gt;",Gulshan_Ravi!AV23:AV150,"Absent")</f>
        <v>0</v>
      </c>
      <c r="Z43" s="32">
        <f>COUNTIFS(Gulshan_Ravi!B23:B150,"&lt;&gt;",Gulshan_Ravi!AV23:AV150,"Leave")</f>
        <v>0</v>
      </c>
      <c r="AA43" s="33">
        <f>COUNTIFS(Gulshan_Ravi!B23:B150,"&lt;&gt;",Gulshan_Ravi!AV23:AV150,"Late")</f>
        <v>0</v>
      </c>
      <c r="AB43" s="36" t="str">
        <f t="shared" si="6"/>
        <v>-</v>
      </c>
      <c r="AC43" s="30">
        <f>COUNTIFS(State_Life!B18:B150,"&lt;&gt;",State_Life!AV18:AV150,"Present")</f>
        <v>0</v>
      </c>
      <c r="AD43" s="31">
        <f>COUNTIFS(State_Life!B18:B150,"&lt;&gt;",State_Life!AV18:AV150,"Absent")</f>
        <v>0</v>
      </c>
      <c r="AE43" s="32">
        <f>COUNTIFS(State_Life!B18:B150,"&lt;&gt;",State_Life!AV18:AV150,"Leave")</f>
        <v>0</v>
      </c>
      <c r="AF43" s="33">
        <f>COUNTIFS(State_Life!B18:B150,"&lt;&gt;",State_Life!AV18:AV150,"Late")</f>
        <v>0</v>
      </c>
      <c r="AG43" s="36" t="str">
        <f t="shared" si="7"/>
        <v>-</v>
      </c>
      <c r="AH43" s="51">
        <f t="shared" ref="AH43:AJ43" si="47">D43+I43+N43+S43+X43+AC43</f>
        <v>0</v>
      </c>
      <c r="AI43" s="51">
        <f t="shared" si="47"/>
        <v>0</v>
      </c>
      <c r="AJ43" s="51">
        <f t="shared" si="47"/>
        <v>0</v>
      </c>
      <c r="AK43" s="55" t="str">
        <f t="shared" si="9"/>
        <v>-</v>
      </c>
    </row>
    <row r="44" ht="18.0" customHeight="1">
      <c r="A44" s="10">
        <v>41.0</v>
      </c>
      <c r="B44" s="10" t="s">
        <v>304</v>
      </c>
      <c r="C44" s="10" t="s">
        <v>76</v>
      </c>
      <c r="D44" s="30">
        <f>COUNTIFS(Gulberg!B26:B149,"&lt;&gt;",Gulberg!AW26:AW149,"Present")</f>
        <v>0</v>
      </c>
      <c r="E44" s="31">
        <f>COUNTIFS(Gulberg!B26:B149,"&lt;&gt;",Gulberg!AW26:AW149,"Absent")</f>
        <v>0</v>
      </c>
      <c r="F44" s="32">
        <f>COUNTIFS(Gulberg!B26:B149,"&lt;&gt;",Gulberg!AW26:AW149,"Leave")</f>
        <v>0</v>
      </c>
      <c r="G44" s="33">
        <f>COUNTIFS(Gulberg!B26:B149,"&lt;&gt;",Gulberg!AW26:AW149,"Late")</f>
        <v>0</v>
      </c>
      <c r="H44" s="36" t="str">
        <f t="shared" si="2"/>
        <v>-</v>
      </c>
      <c r="I44" s="30">
        <f>COUNTIFS(Gulshan_Iqbal!B21:B150,"&lt;&gt;",Gulshan_Iqbal!AW21:AW150,"Present")</f>
        <v>0</v>
      </c>
      <c r="J44" s="31">
        <f>COUNTIFS(Gulshan_Iqbal!B21:B150,"&lt;&gt;",Gulshan_Iqbal!AW21:AW150,"Absent")</f>
        <v>0</v>
      </c>
      <c r="K44" s="32">
        <f>COUNTIFS(Gulshan_Iqbal!B21:B150,"&lt;&gt;",Gulshan_Iqbal!AW21:AW150,"Leave")</f>
        <v>0</v>
      </c>
      <c r="L44" s="33">
        <f>COUNTIFS(Gulshan_Iqbal!B21:B150,"&lt;&gt;",Gulshan_Iqbal!AW21:AW150,"Late")</f>
        <v>0</v>
      </c>
      <c r="M44" s="36" t="str">
        <f t="shared" si="3"/>
        <v>-</v>
      </c>
      <c r="N44" s="30">
        <f>COUNTIFS(Griffin!B16:B152,"&lt;&gt;",Griffin!AW16:AW152,"Present")</f>
        <v>0</v>
      </c>
      <c r="O44" s="31">
        <f>COUNTIFS(Griffin!B16:B152,"&lt;&gt;",Griffin!AW16:AW152,"Absent")</f>
        <v>0</v>
      </c>
      <c r="P44" s="32">
        <f>COUNTIFS(Griffin!B16:B152,"&lt;&gt;",Griffin!AW16:AW152,"Leave")</f>
        <v>0</v>
      </c>
      <c r="Q44" s="33">
        <f>COUNTIFS(Griffin!B16:B152,"&lt;&gt;",Griffin!AW16:AW152,"Late")</f>
        <v>0</v>
      </c>
      <c r="R44" s="36" t="str">
        <f t="shared" si="4"/>
        <v>-</v>
      </c>
      <c r="S44" s="30">
        <f>COUNTIFS(Johar_Town!B21:B164,"&lt;&gt;",Johar_Town!AW21:AW164,"Present")</f>
        <v>0</v>
      </c>
      <c r="T44" s="31">
        <f>COUNTIFS(Johar_Town!B21:B164,"&lt;&gt;",Johar_Town!AW21:AW164,"Absent")</f>
        <v>0</v>
      </c>
      <c r="U44" s="32">
        <f>COUNTIFS(Johar_Town!B21:B164,"&lt;&gt;",Johar_Town!AW21:AW164,"Leave")</f>
        <v>0</v>
      </c>
      <c r="V44" s="33">
        <f>COUNTIFS(Johar_Town!B21:B164,"&lt;&gt;",Johar_Town!AW21:AW164,"Late")</f>
        <v>0</v>
      </c>
      <c r="W44" s="36" t="str">
        <f t="shared" si="5"/>
        <v>-</v>
      </c>
      <c r="X44" s="30">
        <f>COUNTIFS(Gulshan_Ravi!B23:B150,"&lt;&gt;",Gulshan_Ravi!AW23:AW150,"Present")</f>
        <v>0</v>
      </c>
      <c r="Y44" s="31">
        <f>COUNTIFS(Gulshan_Ravi!B23:B150,"&lt;&gt;",Gulshan_Ravi!AW23:AW150,"Absent")</f>
        <v>0</v>
      </c>
      <c r="Z44" s="32">
        <f>COUNTIFS(Gulshan_Ravi!B23:B150,"&lt;&gt;",Gulshan_Ravi!AW23:AW150,"Leave")</f>
        <v>0</v>
      </c>
      <c r="AA44" s="33">
        <f>COUNTIFS(Gulshan_Ravi!B23:B150,"&lt;&gt;",Gulshan_Ravi!AW23:AW150,"Late")</f>
        <v>0</v>
      </c>
      <c r="AB44" s="36" t="str">
        <f t="shared" si="6"/>
        <v>-</v>
      </c>
      <c r="AC44" s="30">
        <f>COUNTIFS(State_Life!B18:B150,"&lt;&gt;",State_Life!AW18:AW150,"Present")</f>
        <v>0</v>
      </c>
      <c r="AD44" s="31">
        <f>COUNTIFS(State_Life!B18:B150,"&lt;&gt;",State_Life!AW18:AW150,"Absent")</f>
        <v>0</v>
      </c>
      <c r="AE44" s="32">
        <f>COUNTIFS(State_Life!B18:B150,"&lt;&gt;",State_Life!AW18:AW150,"Leave")</f>
        <v>0</v>
      </c>
      <c r="AF44" s="33">
        <f>COUNTIFS(State_Life!B18:B150,"&lt;&gt;",State_Life!AW18:AW150,"Late")</f>
        <v>0</v>
      </c>
      <c r="AG44" s="36" t="str">
        <f t="shared" si="7"/>
        <v>-</v>
      </c>
      <c r="AH44" s="51">
        <f t="shared" ref="AH44:AJ44" si="48">D44+I44+N44+S44+X44+AC44</f>
        <v>0</v>
      </c>
      <c r="AI44" s="51">
        <f t="shared" si="48"/>
        <v>0</v>
      </c>
      <c r="AJ44" s="51">
        <f t="shared" si="48"/>
        <v>0</v>
      </c>
      <c r="AK44" s="55" t="str">
        <f t="shared" si="9"/>
        <v>-</v>
      </c>
    </row>
    <row r="45" ht="18.0" customHeight="1">
      <c r="A45" s="20">
        <v>42.0</v>
      </c>
      <c r="B45" s="20" t="s">
        <v>307</v>
      </c>
      <c r="C45" s="20" t="s">
        <v>200</v>
      </c>
      <c r="D45" s="30">
        <f>COUNTIFS(Gulberg!B26:B149,"&lt;&gt;",Gulberg!AX26:AX149,"Present")</f>
        <v>0</v>
      </c>
      <c r="E45" s="31">
        <f>COUNTIFS(Gulberg!B26:B149,"&lt;&gt;",Gulberg!AX26:AX149,"Absent")</f>
        <v>0</v>
      </c>
      <c r="F45" s="32">
        <f>COUNTIFS(Gulberg!B26:B149,"&lt;&gt;",Gulberg!AX26:AX149,"Leave")</f>
        <v>0</v>
      </c>
      <c r="G45" s="33">
        <f>COUNTIFS(Gulberg!B26:B149,"&lt;&gt;",Gulberg!AX26:AX149,"Late")</f>
        <v>0</v>
      </c>
      <c r="H45" s="36" t="str">
        <f t="shared" si="2"/>
        <v>-</v>
      </c>
      <c r="I45" s="30">
        <f>COUNTIFS(Gulshan_Iqbal!B21:B150,"&lt;&gt;",Gulshan_Iqbal!AX21:AX150,"Present")</f>
        <v>0</v>
      </c>
      <c r="J45" s="31">
        <f>COUNTIFS(Gulshan_Iqbal!B21:B150,"&lt;&gt;",Gulshan_Iqbal!AX21:AX150,"Absent")</f>
        <v>0</v>
      </c>
      <c r="K45" s="32">
        <f>COUNTIFS(Gulshan_Iqbal!B21:B150,"&lt;&gt;",Gulshan_Iqbal!AX21:AX150,"Leave")</f>
        <v>0</v>
      </c>
      <c r="L45" s="33">
        <f>COUNTIFS(Gulshan_Iqbal!B21:B150,"&lt;&gt;",Gulshan_Iqbal!AX21:AX150,"Late")</f>
        <v>0</v>
      </c>
      <c r="M45" s="36" t="str">
        <f t="shared" si="3"/>
        <v>-</v>
      </c>
      <c r="N45" s="30">
        <f>COUNTIFS(Griffin!B16:B152,"&lt;&gt;",Griffin!AX16:AX152,"Present")</f>
        <v>0</v>
      </c>
      <c r="O45" s="31">
        <f>COUNTIFS(Griffin!B16:B152,"&lt;&gt;",Griffin!AX16:AX152,"Absent")</f>
        <v>0</v>
      </c>
      <c r="P45" s="32">
        <f>COUNTIFS(Griffin!B16:B152,"&lt;&gt;",Griffin!AX16:AX152,"Leave")</f>
        <v>0</v>
      </c>
      <c r="Q45" s="33">
        <f>COUNTIFS(Griffin!B16:B152,"&lt;&gt;",Griffin!AX16:AX152,"Late")</f>
        <v>0</v>
      </c>
      <c r="R45" s="36" t="str">
        <f t="shared" si="4"/>
        <v>-</v>
      </c>
      <c r="S45" s="30">
        <f>COUNTIFS(Johar_Town!B21:B164,"&lt;&gt;",Johar_Town!AX21:AX164,"Present")</f>
        <v>0</v>
      </c>
      <c r="T45" s="31">
        <f>COUNTIFS(Johar_Town!B21:B164,"&lt;&gt;",Johar_Town!AX21:AX164,"Absent")</f>
        <v>0</v>
      </c>
      <c r="U45" s="32">
        <f>COUNTIFS(Johar_Town!B21:B164,"&lt;&gt;",Johar_Town!AX21:AX164,"Leave")</f>
        <v>0</v>
      </c>
      <c r="V45" s="33">
        <f>COUNTIFS(Johar_Town!B21:B164,"&lt;&gt;",Johar_Town!AX21:AX164,"Late")</f>
        <v>0</v>
      </c>
      <c r="W45" s="36" t="str">
        <f t="shared" si="5"/>
        <v>-</v>
      </c>
      <c r="X45" s="30">
        <f>COUNTIFS(Gulshan_Ravi!B23:B150,"&lt;&gt;",Gulshan_Ravi!AX23:AX150,"Present")</f>
        <v>0</v>
      </c>
      <c r="Y45" s="31">
        <f>COUNTIFS(Gulshan_Ravi!B23:B150,"&lt;&gt;",Gulshan_Ravi!AX23:AX150,"Absent")</f>
        <v>0</v>
      </c>
      <c r="Z45" s="32">
        <f>COUNTIFS(Gulshan_Ravi!B23:B150,"&lt;&gt;",Gulshan_Ravi!AX23:AX150,"Leave")</f>
        <v>0</v>
      </c>
      <c r="AA45" s="33">
        <f>COUNTIFS(Gulshan_Ravi!B23:B150,"&lt;&gt;",Gulshan_Ravi!AX23:AX150,"Late")</f>
        <v>0</v>
      </c>
      <c r="AB45" s="36" t="str">
        <f t="shared" si="6"/>
        <v>-</v>
      </c>
      <c r="AC45" s="30">
        <f>COUNTIFS(State_Life!B18:B150,"&lt;&gt;",State_Life!AX18:AX150,"Present")</f>
        <v>0</v>
      </c>
      <c r="AD45" s="31">
        <f>COUNTIFS(State_Life!B18:B150,"&lt;&gt;",State_Life!AX18:AX150,"Absent")</f>
        <v>0</v>
      </c>
      <c r="AE45" s="32">
        <f>COUNTIFS(State_Life!B18:B150,"&lt;&gt;",State_Life!AX18:AX150,"Leave")</f>
        <v>0</v>
      </c>
      <c r="AF45" s="33">
        <f>COUNTIFS(State_Life!B18:B150,"&lt;&gt;",State_Life!AX18:AX150,"Late")</f>
        <v>0</v>
      </c>
      <c r="AG45" s="36" t="str">
        <f t="shared" si="7"/>
        <v>-</v>
      </c>
      <c r="AH45" s="51">
        <f t="shared" ref="AH45:AJ45" si="49">D45+I45+N45+S45+X45+AC45</f>
        <v>0</v>
      </c>
      <c r="AI45" s="51">
        <f t="shared" si="49"/>
        <v>0</v>
      </c>
      <c r="AJ45" s="51">
        <f t="shared" si="49"/>
        <v>0</v>
      </c>
      <c r="AK45" s="55" t="str">
        <f t="shared" si="9"/>
        <v>-</v>
      </c>
    </row>
    <row r="46" ht="18.0" customHeight="1">
      <c r="A46" s="10">
        <v>43.0</v>
      </c>
      <c r="B46" s="10" t="s">
        <v>308</v>
      </c>
      <c r="C46" s="10" t="s">
        <v>76</v>
      </c>
      <c r="D46" s="30">
        <f>COUNTIFS(Gulberg!B26:B149,"&lt;&gt;",Gulberg!AY26:AY149,"Present")</f>
        <v>0</v>
      </c>
      <c r="E46" s="31">
        <f>COUNTIFS(Gulberg!B26:B149,"&lt;&gt;",Gulberg!AY26:AY149,"Absent")</f>
        <v>0</v>
      </c>
      <c r="F46" s="32">
        <f>COUNTIFS(Gulberg!B26:B149,"&lt;&gt;",Gulberg!AY26:AY149,"Leave")</f>
        <v>0</v>
      </c>
      <c r="G46" s="33">
        <f>COUNTIFS(Gulberg!B26:B149,"&lt;&gt;",Gulberg!AY26:AY149,"Late")</f>
        <v>0</v>
      </c>
      <c r="H46" s="36" t="str">
        <f t="shared" si="2"/>
        <v>-</v>
      </c>
      <c r="I46" s="30">
        <f>COUNTIFS(Gulshan_Iqbal!B21:B150,"&lt;&gt;",Gulshan_Iqbal!AY21:AY150,"Present")</f>
        <v>0</v>
      </c>
      <c r="J46" s="31">
        <f>COUNTIFS(Gulshan_Iqbal!B21:B150,"&lt;&gt;",Gulshan_Iqbal!AY21:AY150,"Absent")</f>
        <v>0</v>
      </c>
      <c r="K46" s="32">
        <f>COUNTIFS(Gulshan_Iqbal!B21:B150,"&lt;&gt;",Gulshan_Iqbal!AY21:AY150,"Leave")</f>
        <v>0</v>
      </c>
      <c r="L46" s="33">
        <f>COUNTIFS(Gulshan_Iqbal!B21:B150,"&lt;&gt;",Gulshan_Iqbal!AY21:AY150,"Late")</f>
        <v>0</v>
      </c>
      <c r="M46" s="36" t="str">
        <f t="shared" si="3"/>
        <v>-</v>
      </c>
      <c r="N46" s="30">
        <f>COUNTIFS(Griffin!B16:B152,"&lt;&gt;",Griffin!AY16:AY152,"Present")</f>
        <v>0</v>
      </c>
      <c r="O46" s="31">
        <f>COUNTIFS(Griffin!B16:B152,"&lt;&gt;",Griffin!AY16:AY152,"Absent")</f>
        <v>0</v>
      </c>
      <c r="P46" s="32">
        <f>COUNTIFS(Griffin!B16:B152,"&lt;&gt;",Griffin!AY16:AY152,"Leave")</f>
        <v>0</v>
      </c>
      <c r="Q46" s="33">
        <f>COUNTIFS(Griffin!B16:B152,"&lt;&gt;",Griffin!AY16:AY152,"Late")</f>
        <v>0</v>
      </c>
      <c r="R46" s="36" t="str">
        <f t="shared" si="4"/>
        <v>-</v>
      </c>
      <c r="S46" s="30">
        <f>COUNTIFS(Johar_Town!B21:B164,"&lt;&gt;",Johar_Town!AY21:AY164,"Present")</f>
        <v>0</v>
      </c>
      <c r="T46" s="31">
        <f>COUNTIFS(Johar_Town!B21:B164,"&lt;&gt;",Johar_Town!AY21:AY164,"Absent")</f>
        <v>0</v>
      </c>
      <c r="U46" s="32">
        <f>COUNTIFS(Johar_Town!B21:B164,"&lt;&gt;",Johar_Town!AY21:AY164,"Leave")</f>
        <v>0</v>
      </c>
      <c r="V46" s="33">
        <f>COUNTIFS(Johar_Town!B21:B164,"&lt;&gt;",Johar_Town!AY21:AY164,"Late")</f>
        <v>0</v>
      </c>
      <c r="W46" s="36" t="str">
        <f t="shared" si="5"/>
        <v>-</v>
      </c>
      <c r="X46" s="30">
        <f>COUNTIFS(Gulshan_Ravi!B23:B150,"&lt;&gt;",Gulshan_Ravi!AY23:AY150,"Present")</f>
        <v>0</v>
      </c>
      <c r="Y46" s="31">
        <f>COUNTIFS(Gulshan_Ravi!B23:B150,"&lt;&gt;",Gulshan_Ravi!AY23:AY150,"Absent")</f>
        <v>0</v>
      </c>
      <c r="Z46" s="32">
        <f>COUNTIFS(Gulshan_Ravi!B23:B150,"&lt;&gt;",Gulshan_Ravi!AY23:AY150,"Leave")</f>
        <v>0</v>
      </c>
      <c r="AA46" s="33">
        <f>COUNTIFS(Gulshan_Ravi!B23:B150,"&lt;&gt;",Gulshan_Ravi!AY23:AY150,"Late")</f>
        <v>0</v>
      </c>
      <c r="AB46" s="36" t="str">
        <f t="shared" si="6"/>
        <v>-</v>
      </c>
      <c r="AC46" s="30">
        <f>COUNTIFS(State_Life!B18:B150,"&lt;&gt;",State_Life!AY18:AY150,"Present")</f>
        <v>0</v>
      </c>
      <c r="AD46" s="31">
        <f>COUNTIFS(State_Life!B18:B150,"&lt;&gt;",State_Life!AY18:AY150,"Absent")</f>
        <v>0</v>
      </c>
      <c r="AE46" s="32">
        <f>COUNTIFS(State_Life!B18:B150,"&lt;&gt;",State_Life!AY18:AY150,"Leave")</f>
        <v>0</v>
      </c>
      <c r="AF46" s="33">
        <f>COUNTIFS(State_Life!B18:B150,"&lt;&gt;",State_Life!AY18:AY150,"Late")</f>
        <v>0</v>
      </c>
      <c r="AG46" s="36" t="str">
        <f t="shared" si="7"/>
        <v>-</v>
      </c>
      <c r="AH46" s="51">
        <f t="shared" ref="AH46:AJ46" si="50">D46+I46+N46+S46+X46+AC46</f>
        <v>0</v>
      </c>
      <c r="AI46" s="51">
        <f t="shared" si="50"/>
        <v>0</v>
      </c>
      <c r="AJ46" s="51">
        <f t="shared" si="50"/>
        <v>0</v>
      </c>
      <c r="AK46" s="55" t="str">
        <f t="shared" si="9"/>
        <v>-</v>
      </c>
    </row>
    <row r="47" ht="18.0" customHeight="1">
      <c r="A47" s="20">
        <v>44.0</v>
      </c>
      <c r="B47" s="20" t="s">
        <v>312</v>
      </c>
      <c r="C47" s="20" t="s">
        <v>200</v>
      </c>
      <c r="D47" s="30">
        <f>COUNTIFS(Gulberg!B26:B149,"&lt;&gt;",Gulberg!AZ26:AZ149,"Present")</f>
        <v>0</v>
      </c>
      <c r="E47" s="31">
        <f>COUNTIFS(Gulberg!B26:B149,"&lt;&gt;",Gulberg!AZ26:AZ149,"Absent")</f>
        <v>0</v>
      </c>
      <c r="F47" s="32">
        <f>COUNTIFS(Gulberg!B26:B149,"&lt;&gt;",Gulberg!AZ26:AZ149,"Leave")</f>
        <v>0</v>
      </c>
      <c r="G47" s="33">
        <f>COUNTIFS(Gulberg!B26:B149,"&lt;&gt;",Gulberg!AZ26:AZ149,"Late")</f>
        <v>0</v>
      </c>
      <c r="H47" s="36" t="str">
        <f t="shared" si="2"/>
        <v>-</v>
      </c>
      <c r="I47" s="30">
        <f>COUNTIFS(Gulshan_Iqbal!B21:B150,"&lt;&gt;",Gulshan_Iqbal!AZ21:AZ150,"Present")</f>
        <v>0</v>
      </c>
      <c r="J47" s="31">
        <f>COUNTIFS(Gulshan_Iqbal!B21:B150,"&lt;&gt;",Gulshan_Iqbal!AZ21:AZ150,"Absent")</f>
        <v>0</v>
      </c>
      <c r="K47" s="32">
        <f>COUNTIFS(Gulshan_Iqbal!B21:B150,"&lt;&gt;",Gulshan_Iqbal!AZ21:AZ150,"Leave")</f>
        <v>0</v>
      </c>
      <c r="L47" s="33">
        <f>COUNTIFS(Gulshan_Iqbal!B21:B150,"&lt;&gt;",Gulshan_Iqbal!AZ21:AZ150,"Late")</f>
        <v>0</v>
      </c>
      <c r="M47" s="36" t="str">
        <f t="shared" si="3"/>
        <v>-</v>
      </c>
      <c r="N47" s="30">
        <f>COUNTIFS(Griffin!B16:B152,"&lt;&gt;",Griffin!AZ16:AZ152,"Present")</f>
        <v>0</v>
      </c>
      <c r="O47" s="31">
        <f>COUNTIFS(Griffin!B16:B152,"&lt;&gt;",Griffin!AZ16:AZ152,"Absent")</f>
        <v>0</v>
      </c>
      <c r="P47" s="32">
        <f>COUNTIFS(Griffin!B16:B152,"&lt;&gt;",Griffin!AZ16:AZ152,"Leave")</f>
        <v>0</v>
      </c>
      <c r="Q47" s="33">
        <f>COUNTIFS(Griffin!B16:B152,"&lt;&gt;",Griffin!AZ16:AZ152,"Late")</f>
        <v>0</v>
      </c>
      <c r="R47" s="36" t="str">
        <f t="shared" si="4"/>
        <v>-</v>
      </c>
      <c r="S47" s="30">
        <f>COUNTIFS(Johar_Town!B21:B164,"&lt;&gt;",Johar_Town!AZ21:AZ164,"Present")</f>
        <v>0</v>
      </c>
      <c r="T47" s="31">
        <f>COUNTIFS(Johar_Town!B21:B164,"&lt;&gt;",Johar_Town!AZ21:AZ164,"Absent")</f>
        <v>0</v>
      </c>
      <c r="U47" s="32">
        <f>COUNTIFS(Johar_Town!B21:B164,"&lt;&gt;",Johar_Town!AZ21:AZ164,"Leave")</f>
        <v>0</v>
      </c>
      <c r="V47" s="33">
        <f>COUNTIFS(Johar_Town!B21:B164,"&lt;&gt;",Johar_Town!AZ21:AZ164,"Late")</f>
        <v>0</v>
      </c>
      <c r="W47" s="36" t="str">
        <f t="shared" si="5"/>
        <v>-</v>
      </c>
      <c r="X47" s="30">
        <f>COUNTIFS(Gulshan_Ravi!B23:B150,"&lt;&gt;",Gulshan_Ravi!AZ23:AZ150,"Present")</f>
        <v>0</v>
      </c>
      <c r="Y47" s="31">
        <f>COUNTIFS(Gulshan_Ravi!B23:B150,"&lt;&gt;",Gulshan_Ravi!AZ23:AZ150,"Absent")</f>
        <v>0</v>
      </c>
      <c r="Z47" s="32">
        <f>COUNTIFS(Gulshan_Ravi!B23:B150,"&lt;&gt;",Gulshan_Ravi!AZ23:AZ150,"Leave")</f>
        <v>0</v>
      </c>
      <c r="AA47" s="33">
        <f>COUNTIFS(Gulshan_Ravi!B23:B150,"&lt;&gt;",Gulshan_Ravi!AZ23:AZ150,"Late")</f>
        <v>0</v>
      </c>
      <c r="AB47" s="36" t="str">
        <f t="shared" si="6"/>
        <v>-</v>
      </c>
      <c r="AC47" s="30">
        <f>COUNTIFS(State_Life!B18:B150,"&lt;&gt;",State_Life!AZ18:AZ150,"Present")</f>
        <v>0</v>
      </c>
      <c r="AD47" s="31">
        <f>COUNTIFS(State_Life!B18:B150,"&lt;&gt;",State_Life!AZ18:AZ150,"Absent")</f>
        <v>0</v>
      </c>
      <c r="AE47" s="32">
        <f>COUNTIFS(State_Life!B18:B150,"&lt;&gt;",State_Life!AZ18:AZ150,"Leave")</f>
        <v>0</v>
      </c>
      <c r="AF47" s="33">
        <f>COUNTIFS(State_Life!B18:B150,"&lt;&gt;",State_Life!AZ18:AZ150,"Late")</f>
        <v>0</v>
      </c>
      <c r="AG47" s="36" t="str">
        <f t="shared" si="7"/>
        <v>-</v>
      </c>
      <c r="AH47" s="51">
        <f t="shared" ref="AH47:AJ47" si="51">D47+I47+N47+S47+X47+AC47</f>
        <v>0</v>
      </c>
      <c r="AI47" s="51">
        <f t="shared" si="51"/>
        <v>0</v>
      </c>
      <c r="AJ47" s="51">
        <f t="shared" si="51"/>
        <v>0</v>
      </c>
      <c r="AK47" s="55" t="str">
        <f t="shared" si="9"/>
        <v>-</v>
      </c>
    </row>
    <row r="48" ht="18.0" customHeight="1">
      <c r="A48" s="10">
        <v>45.0</v>
      </c>
      <c r="B48" s="10" t="s">
        <v>313</v>
      </c>
      <c r="C48" s="10" t="s">
        <v>76</v>
      </c>
      <c r="D48" s="30">
        <f>COUNTIFS(Gulberg!B26:B149,"&lt;&gt;",Gulberg!BA26:BA149,"Present")</f>
        <v>0</v>
      </c>
      <c r="E48" s="31">
        <f>COUNTIFS(Gulberg!B26:B149,"&lt;&gt;",Gulberg!BA26:BA149,"Absent")</f>
        <v>0</v>
      </c>
      <c r="F48" s="32">
        <f>COUNTIFS(Gulberg!B26:B149,"&lt;&gt;",Gulberg!BA26:BA149,"Leave")</f>
        <v>0</v>
      </c>
      <c r="G48" s="33">
        <f>COUNTIFS(Gulberg!B26:B149,"&lt;&gt;",Gulberg!BA26:BA149,"Late")</f>
        <v>0</v>
      </c>
      <c r="H48" s="36" t="str">
        <f t="shared" si="2"/>
        <v>-</v>
      </c>
      <c r="I48" s="30">
        <f>COUNTIFS(Gulshan_Iqbal!B21:B150,"&lt;&gt;",Gulshan_Iqbal!BA21:BA150,"Present")</f>
        <v>0</v>
      </c>
      <c r="J48" s="31">
        <f>COUNTIFS(Gulshan_Iqbal!B21:B150,"&lt;&gt;",Gulshan_Iqbal!BA21:BA150,"Absent")</f>
        <v>0</v>
      </c>
      <c r="K48" s="32">
        <f>COUNTIFS(Gulshan_Iqbal!B21:B150,"&lt;&gt;",Gulshan_Iqbal!BA21:BA150,"Leave")</f>
        <v>0</v>
      </c>
      <c r="L48" s="33">
        <f>COUNTIFS(Gulshan_Iqbal!B21:B150,"&lt;&gt;",Gulshan_Iqbal!BA21:BA150,"Late")</f>
        <v>0</v>
      </c>
      <c r="M48" s="36" t="str">
        <f t="shared" si="3"/>
        <v>-</v>
      </c>
      <c r="N48" s="30">
        <f>COUNTIFS(Griffin!B16:B152,"&lt;&gt;",Griffin!BA16:BA152,"Present")</f>
        <v>0</v>
      </c>
      <c r="O48" s="31">
        <f>COUNTIFS(Griffin!B16:B152,"&lt;&gt;",Griffin!BA16:BA152,"Absent")</f>
        <v>0</v>
      </c>
      <c r="P48" s="32">
        <f>COUNTIFS(Griffin!B16:B152,"&lt;&gt;",Griffin!BA16:BA152,"Leave")</f>
        <v>0</v>
      </c>
      <c r="Q48" s="33">
        <f>COUNTIFS(Griffin!B16:B152,"&lt;&gt;",Griffin!BA16:BA152,"Late")</f>
        <v>0</v>
      </c>
      <c r="R48" s="36" t="str">
        <f t="shared" si="4"/>
        <v>-</v>
      </c>
      <c r="S48" s="30">
        <f>COUNTIFS(Johar_Town!B21:B164,"&lt;&gt;",Johar_Town!BA21:BA164,"Present")</f>
        <v>0</v>
      </c>
      <c r="T48" s="31">
        <f>COUNTIFS(Johar_Town!B21:B164,"&lt;&gt;",Johar_Town!BA21:BA164,"Absent")</f>
        <v>0</v>
      </c>
      <c r="U48" s="32">
        <f>COUNTIFS(Johar_Town!B21:B164,"&lt;&gt;",Johar_Town!BA21:BA164,"Leave")</f>
        <v>0</v>
      </c>
      <c r="V48" s="33">
        <f>COUNTIFS(Johar_Town!B21:B164,"&lt;&gt;",Johar_Town!BA21:BA164,"Late")</f>
        <v>0</v>
      </c>
      <c r="W48" s="36" t="str">
        <f t="shared" si="5"/>
        <v>-</v>
      </c>
      <c r="X48" s="30">
        <f>COUNTIFS(Gulshan_Ravi!B23:B150,"&lt;&gt;",Gulshan_Ravi!BA23:BA150,"Present")</f>
        <v>0</v>
      </c>
      <c r="Y48" s="31">
        <f>COUNTIFS(Gulshan_Ravi!B23:B150,"&lt;&gt;",Gulshan_Ravi!BA23:BA150,"Absent")</f>
        <v>0</v>
      </c>
      <c r="Z48" s="32">
        <f>COUNTIFS(Gulshan_Ravi!B23:B150,"&lt;&gt;",Gulshan_Ravi!BA23:BA150,"Leave")</f>
        <v>0</v>
      </c>
      <c r="AA48" s="33">
        <f>COUNTIFS(Gulshan_Ravi!B23:B150,"&lt;&gt;",Gulshan_Ravi!BA23:BA150,"Late")</f>
        <v>0</v>
      </c>
      <c r="AB48" s="36" t="str">
        <f t="shared" si="6"/>
        <v>-</v>
      </c>
      <c r="AC48" s="30">
        <f>COUNTIFS(State_Life!B18:B150,"&lt;&gt;",State_Life!BA18:BA150,"Present")</f>
        <v>0</v>
      </c>
      <c r="AD48" s="31">
        <f>COUNTIFS(State_Life!B18:B150,"&lt;&gt;",State_Life!BA18:BA150,"Absent")</f>
        <v>0</v>
      </c>
      <c r="AE48" s="32">
        <f>COUNTIFS(State_Life!B18:B150,"&lt;&gt;",State_Life!BA18:BA150,"Leave")</f>
        <v>0</v>
      </c>
      <c r="AF48" s="33">
        <f>COUNTIFS(State_Life!B18:B150,"&lt;&gt;",State_Life!BA18:BA150,"Late")</f>
        <v>0</v>
      </c>
      <c r="AG48" s="36" t="str">
        <f t="shared" si="7"/>
        <v>-</v>
      </c>
      <c r="AH48" s="51">
        <f t="shared" ref="AH48:AJ48" si="52">D48+I48+N48+S48+X48+AC48</f>
        <v>0</v>
      </c>
      <c r="AI48" s="51">
        <f t="shared" si="52"/>
        <v>0</v>
      </c>
      <c r="AJ48" s="51">
        <f t="shared" si="52"/>
        <v>0</v>
      </c>
      <c r="AK48" s="55" t="str">
        <f t="shared" si="9"/>
        <v>-</v>
      </c>
    </row>
    <row r="49" ht="18.0" customHeight="1">
      <c r="A49" s="20">
        <v>46.0</v>
      </c>
      <c r="B49" s="20" t="s">
        <v>317</v>
      </c>
      <c r="C49" s="20" t="s">
        <v>200</v>
      </c>
      <c r="D49" s="30">
        <f>COUNTIFS(Gulberg!B26:B149,"&lt;&gt;",Gulberg!BB26:BB149,"Present")</f>
        <v>0</v>
      </c>
      <c r="E49" s="31">
        <f>COUNTIFS(Gulberg!B26:B149,"&lt;&gt;",Gulberg!BB26:BB149,"Absent")</f>
        <v>0</v>
      </c>
      <c r="F49" s="32">
        <f>COUNTIFS(Gulberg!B26:B149,"&lt;&gt;",Gulberg!BB26:BB149,"Leave")</f>
        <v>0</v>
      </c>
      <c r="G49" s="33">
        <f>COUNTIFS(Gulberg!B26:B149,"&lt;&gt;",Gulberg!BB26:BB149,"Late")</f>
        <v>0</v>
      </c>
      <c r="H49" s="36" t="str">
        <f t="shared" si="2"/>
        <v>-</v>
      </c>
      <c r="I49" s="30">
        <f>COUNTIFS(Gulshan_Iqbal!B21:B150,"&lt;&gt;",Gulshan_Iqbal!BB21:BB150,"Present")</f>
        <v>0</v>
      </c>
      <c r="J49" s="31">
        <f>COUNTIFS(Gulshan_Iqbal!B21:B150,"&lt;&gt;",Gulshan_Iqbal!BB21:BB150,"Absent")</f>
        <v>0</v>
      </c>
      <c r="K49" s="32">
        <f>COUNTIFS(Gulshan_Iqbal!B21:B150,"&lt;&gt;",Gulshan_Iqbal!BB21:BB150,"Leave")</f>
        <v>0</v>
      </c>
      <c r="L49" s="33">
        <f>COUNTIFS(Gulshan_Iqbal!B21:B150,"&lt;&gt;",Gulshan_Iqbal!BB21:BB150,"Late")</f>
        <v>0</v>
      </c>
      <c r="M49" s="36" t="str">
        <f t="shared" si="3"/>
        <v>-</v>
      </c>
      <c r="N49" s="30">
        <f>COUNTIFS(Griffin!B16:B152,"&lt;&gt;",Griffin!BB16:BB152,"Present")</f>
        <v>0</v>
      </c>
      <c r="O49" s="31">
        <f>COUNTIFS(Griffin!B16:B152,"&lt;&gt;",Griffin!BB16:BB152,"Absent")</f>
        <v>0</v>
      </c>
      <c r="P49" s="32">
        <f>COUNTIFS(Griffin!B16:B152,"&lt;&gt;",Griffin!BB16:BB152,"Leave")</f>
        <v>0</v>
      </c>
      <c r="Q49" s="33">
        <f>COUNTIFS(Griffin!B16:B152,"&lt;&gt;",Griffin!BB16:BB152,"Late")</f>
        <v>0</v>
      </c>
      <c r="R49" s="36" t="str">
        <f t="shared" si="4"/>
        <v>-</v>
      </c>
      <c r="S49" s="30">
        <f>COUNTIFS(Johar_Town!B21:B164,"&lt;&gt;",Johar_Town!BB21:BB164,"Present")</f>
        <v>0</v>
      </c>
      <c r="T49" s="31">
        <f>COUNTIFS(Johar_Town!B21:B164,"&lt;&gt;",Johar_Town!BB21:BB164,"Absent")</f>
        <v>0</v>
      </c>
      <c r="U49" s="32">
        <f>COUNTIFS(Johar_Town!B21:B164,"&lt;&gt;",Johar_Town!BB21:BB164,"Leave")</f>
        <v>0</v>
      </c>
      <c r="V49" s="33">
        <f>COUNTIFS(Johar_Town!B21:B164,"&lt;&gt;",Johar_Town!BB21:BB164,"Late")</f>
        <v>0</v>
      </c>
      <c r="W49" s="36" t="str">
        <f t="shared" si="5"/>
        <v>-</v>
      </c>
      <c r="X49" s="30">
        <f>COUNTIFS(Gulshan_Ravi!B23:B150,"&lt;&gt;",Gulshan_Ravi!BB23:BB150,"Present")</f>
        <v>0</v>
      </c>
      <c r="Y49" s="31">
        <f>COUNTIFS(Gulshan_Ravi!B23:B150,"&lt;&gt;",Gulshan_Ravi!BB23:BB150,"Absent")</f>
        <v>0</v>
      </c>
      <c r="Z49" s="32">
        <f>COUNTIFS(Gulshan_Ravi!B23:B150,"&lt;&gt;",Gulshan_Ravi!BB23:BB150,"Leave")</f>
        <v>0</v>
      </c>
      <c r="AA49" s="33">
        <f>COUNTIFS(Gulshan_Ravi!B23:B150,"&lt;&gt;",Gulshan_Ravi!BB23:BB150,"Late")</f>
        <v>0</v>
      </c>
      <c r="AB49" s="36" t="str">
        <f t="shared" si="6"/>
        <v>-</v>
      </c>
      <c r="AC49" s="30">
        <f>COUNTIFS(State_Life!B18:B150,"&lt;&gt;",State_Life!BB18:BB150,"Present")</f>
        <v>0</v>
      </c>
      <c r="AD49" s="31">
        <f>COUNTIFS(State_Life!B18:B150,"&lt;&gt;",State_Life!BB18:BB150,"Absent")</f>
        <v>0</v>
      </c>
      <c r="AE49" s="32">
        <f>COUNTIFS(State_Life!B18:B150,"&lt;&gt;",State_Life!BB18:BB150,"Leave")</f>
        <v>0</v>
      </c>
      <c r="AF49" s="33">
        <f>COUNTIFS(State_Life!B18:B150,"&lt;&gt;",State_Life!BB18:BB150,"Late")</f>
        <v>0</v>
      </c>
      <c r="AG49" s="36" t="str">
        <f t="shared" si="7"/>
        <v>-</v>
      </c>
      <c r="AH49" s="51">
        <f t="shared" ref="AH49:AJ49" si="53">D49+I49+N49+S49+X49+AC49</f>
        <v>0</v>
      </c>
      <c r="AI49" s="51">
        <f t="shared" si="53"/>
        <v>0</v>
      </c>
      <c r="AJ49" s="51">
        <f t="shared" si="53"/>
        <v>0</v>
      </c>
      <c r="AK49" s="55" t="str">
        <f t="shared" si="9"/>
        <v>-</v>
      </c>
    </row>
    <row r="50" ht="18.0" customHeight="1">
      <c r="A50" s="10">
        <v>47.0</v>
      </c>
      <c r="B50" s="10" t="s">
        <v>321</v>
      </c>
      <c r="C50" s="10" t="s">
        <v>76</v>
      </c>
      <c r="D50" s="30">
        <f>COUNTIFS(Gulberg!B26:B149,"&lt;&gt;",Gulberg!BC26:BC149,"Present")</f>
        <v>0</v>
      </c>
      <c r="E50" s="31">
        <f>COUNTIFS(Gulberg!B26:B149,"&lt;&gt;",Gulberg!BC26:BC149,"Absent")</f>
        <v>0</v>
      </c>
      <c r="F50" s="32">
        <f>COUNTIFS(Gulberg!B26:B149,"&lt;&gt;",Gulberg!BC26:BC149,"Leave")</f>
        <v>0</v>
      </c>
      <c r="G50" s="33">
        <f>COUNTIFS(Gulberg!B26:B149,"&lt;&gt;",Gulberg!BC26:BC149,"Late")</f>
        <v>0</v>
      </c>
      <c r="H50" s="36" t="str">
        <f t="shared" si="2"/>
        <v>-</v>
      </c>
      <c r="I50" s="30">
        <f>COUNTIFS(Gulshan_Iqbal!B21:B150,"&lt;&gt;",Gulshan_Iqbal!BC21:BC150,"Present")</f>
        <v>0</v>
      </c>
      <c r="J50" s="31">
        <f>COUNTIFS(Gulshan_Iqbal!B21:B150,"&lt;&gt;",Gulshan_Iqbal!BC21:BC150,"Absent")</f>
        <v>0</v>
      </c>
      <c r="K50" s="32">
        <f>COUNTIFS(Gulshan_Iqbal!B21:B150,"&lt;&gt;",Gulshan_Iqbal!BC21:BC150,"Leave")</f>
        <v>0</v>
      </c>
      <c r="L50" s="33">
        <f>COUNTIFS(Gulshan_Iqbal!B21:B150,"&lt;&gt;",Gulshan_Iqbal!BC21:BC150,"Late")</f>
        <v>0</v>
      </c>
      <c r="M50" s="36" t="str">
        <f t="shared" si="3"/>
        <v>-</v>
      </c>
      <c r="N50" s="30">
        <f>COUNTIFS(Griffin!B16:B152,"&lt;&gt;",Griffin!BC16:BC152,"Present")</f>
        <v>0</v>
      </c>
      <c r="O50" s="31">
        <f>COUNTIFS(Griffin!B16:B152,"&lt;&gt;",Griffin!BC16:BC152,"Absent")</f>
        <v>0</v>
      </c>
      <c r="P50" s="32">
        <f>COUNTIFS(Griffin!B16:B152,"&lt;&gt;",Griffin!BC16:BC152,"Leave")</f>
        <v>0</v>
      </c>
      <c r="Q50" s="33">
        <f>COUNTIFS(Griffin!B16:B152,"&lt;&gt;",Griffin!BC16:BC152,"Late")</f>
        <v>0</v>
      </c>
      <c r="R50" s="36" t="str">
        <f t="shared" si="4"/>
        <v>-</v>
      </c>
      <c r="S50" s="30">
        <f>COUNTIFS(Johar_Town!B21:B164,"&lt;&gt;",Johar_Town!BC21:BC164,"Present")</f>
        <v>0</v>
      </c>
      <c r="T50" s="31">
        <f>COUNTIFS(Johar_Town!B21:B164,"&lt;&gt;",Johar_Town!BC21:BC164,"Absent")</f>
        <v>0</v>
      </c>
      <c r="U50" s="32">
        <f>COUNTIFS(Johar_Town!B21:B164,"&lt;&gt;",Johar_Town!BC21:BC164,"Leave")</f>
        <v>0</v>
      </c>
      <c r="V50" s="33">
        <f>COUNTIFS(Johar_Town!B21:B164,"&lt;&gt;",Johar_Town!BC21:BC164,"Late")</f>
        <v>0</v>
      </c>
      <c r="W50" s="36" t="str">
        <f t="shared" si="5"/>
        <v>-</v>
      </c>
      <c r="X50" s="30">
        <f>COUNTIFS(Gulshan_Ravi!B23:B150,"&lt;&gt;",Gulshan_Ravi!BC23:BC150,"Present")</f>
        <v>0</v>
      </c>
      <c r="Y50" s="31">
        <f>COUNTIFS(Gulshan_Ravi!B23:B150,"&lt;&gt;",Gulshan_Ravi!BC23:BC150,"Absent")</f>
        <v>0</v>
      </c>
      <c r="Z50" s="32">
        <f>COUNTIFS(Gulshan_Ravi!B23:B150,"&lt;&gt;",Gulshan_Ravi!BC23:BC150,"Leave")</f>
        <v>0</v>
      </c>
      <c r="AA50" s="33">
        <f>COUNTIFS(Gulshan_Ravi!B23:B150,"&lt;&gt;",Gulshan_Ravi!BC23:BC150,"Late")</f>
        <v>0</v>
      </c>
      <c r="AB50" s="36" t="str">
        <f t="shared" si="6"/>
        <v>-</v>
      </c>
      <c r="AC50" s="30">
        <f>COUNTIFS(State_Life!B18:B150,"&lt;&gt;",State_Life!BC18:BC150,"Present")</f>
        <v>0</v>
      </c>
      <c r="AD50" s="31">
        <f>COUNTIFS(State_Life!B18:B150,"&lt;&gt;",State_Life!BC18:BC150,"Absent")</f>
        <v>0</v>
      </c>
      <c r="AE50" s="32">
        <f>COUNTIFS(State_Life!B18:B150,"&lt;&gt;",State_Life!BC18:BC150,"Leave")</f>
        <v>0</v>
      </c>
      <c r="AF50" s="33">
        <f>COUNTIFS(State_Life!B18:B150,"&lt;&gt;",State_Life!BC18:BC150,"Late")</f>
        <v>0</v>
      </c>
      <c r="AG50" s="36" t="str">
        <f t="shared" si="7"/>
        <v>-</v>
      </c>
      <c r="AH50" s="51">
        <f t="shared" ref="AH50:AJ50" si="54">D50+I50+N50+S50+X50+AC50</f>
        <v>0</v>
      </c>
      <c r="AI50" s="51">
        <f t="shared" si="54"/>
        <v>0</v>
      </c>
      <c r="AJ50" s="51">
        <f t="shared" si="54"/>
        <v>0</v>
      </c>
      <c r="AK50" s="55" t="str">
        <f t="shared" si="9"/>
        <v>-</v>
      </c>
    </row>
    <row r="51" ht="18.0" customHeight="1">
      <c r="A51" s="20">
        <v>48.0</v>
      </c>
      <c r="B51" s="20" t="s">
        <v>325</v>
      </c>
      <c r="C51" s="20" t="s">
        <v>200</v>
      </c>
      <c r="D51" s="30">
        <f>COUNTIFS(Gulberg!B26:B149,"&lt;&gt;",Gulberg!BD26:BD149,"Present")</f>
        <v>0</v>
      </c>
      <c r="E51" s="31">
        <f>COUNTIFS(Gulberg!B26:B149,"&lt;&gt;",Gulberg!BD26:BD149,"Absent")</f>
        <v>0</v>
      </c>
      <c r="F51" s="32">
        <f>COUNTIFS(Gulberg!B26:B149,"&lt;&gt;",Gulberg!BD26:BD149,"Leave")</f>
        <v>0</v>
      </c>
      <c r="G51" s="33">
        <f>COUNTIFS(Gulberg!B26:B149,"&lt;&gt;",Gulberg!BD26:BD149,"Late")</f>
        <v>0</v>
      </c>
      <c r="H51" s="36" t="str">
        <f t="shared" si="2"/>
        <v>-</v>
      </c>
      <c r="I51" s="30">
        <f>COUNTIFS(Gulshan_Iqbal!B21:B150,"&lt;&gt;",Gulshan_Iqbal!BD21:BD150,"Present")</f>
        <v>0</v>
      </c>
      <c r="J51" s="31">
        <f>COUNTIFS(Gulshan_Iqbal!B21:B150,"&lt;&gt;",Gulshan_Iqbal!BD21:BD150,"Absent")</f>
        <v>0</v>
      </c>
      <c r="K51" s="32">
        <f>COUNTIFS(Gulshan_Iqbal!B21:B150,"&lt;&gt;",Gulshan_Iqbal!BD21:BD150,"Leave")</f>
        <v>0</v>
      </c>
      <c r="L51" s="33">
        <f>COUNTIFS(Gulshan_Iqbal!B21:B150,"&lt;&gt;",Gulshan_Iqbal!BD21:BD150,"Late")</f>
        <v>0</v>
      </c>
      <c r="M51" s="36" t="str">
        <f t="shared" si="3"/>
        <v>-</v>
      </c>
      <c r="N51" s="30">
        <f>COUNTIFS(Griffin!B16:B152,"&lt;&gt;",Griffin!BD16:BD152,"Present")</f>
        <v>0</v>
      </c>
      <c r="O51" s="31">
        <f>COUNTIFS(Griffin!B16:B152,"&lt;&gt;",Griffin!BD16:BD152,"Absent")</f>
        <v>0</v>
      </c>
      <c r="P51" s="32">
        <f>COUNTIFS(Griffin!B16:B152,"&lt;&gt;",Griffin!BD16:BD152,"Leave")</f>
        <v>0</v>
      </c>
      <c r="Q51" s="33">
        <f>COUNTIFS(Griffin!B16:B152,"&lt;&gt;",Griffin!BD16:BD152,"Late")</f>
        <v>0</v>
      </c>
      <c r="R51" s="36" t="str">
        <f t="shared" si="4"/>
        <v>-</v>
      </c>
      <c r="S51" s="30">
        <f>COUNTIFS(Johar_Town!B21:B164,"&lt;&gt;",Johar_Town!BD21:BD164,"Present")</f>
        <v>0</v>
      </c>
      <c r="T51" s="31">
        <f>COUNTIFS(Johar_Town!B21:B164,"&lt;&gt;",Johar_Town!BD21:BD164,"Absent")</f>
        <v>0</v>
      </c>
      <c r="U51" s="32">
        <f>COUNTIFS(Johar_Town!B21:B164,"&lt;&gt;",Johar_Town!BD21:BD164,"Leave")</f>
        <v>0</v>
      </c>
      <c r="V51" s="33">
        <f>COUNTIFS(Johar_Town!B21:B164,"&lt;&gt;",Johar_Town!BD21:BD164,"Late")</f>
        <v>0</v>
      </c>
      <c r="W51" s="36" t="str">
        <f t="shared" si="5"/>
        <v>-</v>
      </c>
      <c r="X51" s="30">
        <f>COUNTIFS(Gulshan_Ravi!B23:B150,"&lt;&gt;",Gulshan_Ravi!BD23:BD150,"Present")</f>
        <v>0</v>
      </c>
      <c r="Y51" s="31">
        <f>COUNTIFS(Gulshan_Ravi!B23:B150,"&lt;&gt;",Gulshan_Ravi!BD23:BD150,"Absent")</f>
        <v>0</v>
      </c>
      <c r="Z51" s="32">
        <f>COUNTIFS(Gulshan_Ravi!B23:B150,"&lt;&gt;",Gulshan_Ravi!BD23:BD150,"Leave")</f>
        <v>0</v>
      </c>
      <c r="AA51" s="33">
        <f>COUNTIFS(Gulshan_Ravi!B23:B150,"&lt;&gt;",Gulshan_Ravi!BD23:BD150,"Late")</f>
        <v>0</v>
      </c>
      <c r="AB51" s="36" t="str">
        <f t="shared" si="6"/>
        <v>-</v>
      </c>
      <c r="AC51" s="30">
        <f>COUNTIFS(State_Life!B18:B150,"&lt;&gt;",State_Life!BD18:BD150,"Present")</f>
        <v>0</v>
      </c>
      <c r="AD51" s="31">
        <f>COUNTIFS(State_Life!B18:B150,"&lt;&gt;",State_Life!BD18:BD150,"Absent")</f>
        <v>0</v>
      </c>
      <c r="AE51" s="32">
        <f>COUNTIFS(State_Life!B18:B150,"&lt;&gt;",State_Life!BD18:BD150,"Leave")</f>
        <v>0</v>
      </c>
      <c r="AF51" s="33">
        <f>COUNTIFS(State_Life!B18:B150,"&lt;&gt;",State_Life!BD18:BD150,"Late")</f>
        <v>0</v>
      </c>
      <c r="AG51" s="36" t="str">
        <f t="shared" si="7"/>
        <v>-</v>
      </c>
      <c r="AH51" s="51">
        <f t="shared" ref="AH51:AJ51" si="55">D51+I51+N51+S51+X51+AC51</f>
        <v>0</v>
      </c>
      <c r="AI51" s="51">
        <f t="shared" si="55"/>
        <v>0</v>
      </c>
      <c r="AJ51" s="51">
        <f t="shared" si="55"/>
        <v>0</v>
      </c>
      <c r="AK51" s="55" t="str">
        <f t="shared" si="9"/>
        <v>-</v>
      </c>
    </row>
    <row r="52" ht="18.0" customHeight="1">
      <c r="A52" s="10">
        <v>49.0</v>
      </c>
      <c r="B52" s="10" t="s">
        <v>326</v>
      </c>
      <c r="C52" s="10" t="s">
        <v>76</v>
      </c>
      <c r="D52" s="30">
        <f>COUNTIFS(Gulberg!B26:B149,"&lt;&gt;",Gulberg!BE26:BE149,"Present")</f>
        <v>0</v>
      </c>
      <c r="E52" s="31">
        <f>COUNTIFS(Gulberg!B26:B149,"&lt;&gt;",Gulberg!BE26:BE149,"Absent")</f>
        <v>0</v>
      </c>
      <c r="F52" s="32">
        <f>COUNTIFS(Gulberg!B26:B149,"&lt;&gt;",Gulberg!BE26:BE149,"Leave")</f>
        <v>0</v>
      </c>
      <c r="G52" s="33">
        <f>COUNTIFS(Gulberg!B26:B149,"&lt;&gt;",Gulberg!BE26:BE149,"Late")</f>
        <v>0</v>
      </c>
      <c r="H52" s="36" t="str">
        <f t="shared" si="2"/>
        <v>-</v>
      </c>
      <c r="I52" s="30">
        <f>COUNTIFS(Gulshan_Iqbal!B21:B150,"&lt;&gt;",Gulshan_Iqbal!BE21:BE150,"Present")</f>
        <v>0</v>
      </c>
      <c r="J52" s="31">
        <f>COUNTIFS(Gulshan_Iqbal!B21:B150,"&lt;&gt;",Gulshan_Iqbal!BE21:BE150,"Absent")</f>
        <v>0</v>
      </c>
      <c r="K52" s="32">
        <f>COUNTIFS(Gulshan_Iqbal!B21:B150,"&lt;&gt;",Gulshan_Iqbal!BE21:BE150,"Leave")</f>
        <v>0</v>
      </c>
      <c r="L52" s="33">
        <f>COUNTIFS(Gulshan_Iqbal!B21:B150,"&lt;&gt;",Gulshan_Iqbal!BE21:BE150,"Late")</f>
        <v>0</v>
      </c>
      <c r="M52" s="36" t="str">
        <f t="shared" si="3"/>
        <v>-</v>
      </c>
      <c r="N52" s="30">
        <f>COUNTIFS(Griffin!B16:B152,"&lt;&gt;",Griffin!BE16:BE152,"Present")</f>
        <v>0</v>
      </c>
      <c r="O52" s="31">
        <f>COUNTIFS(Griffin!B16:B152,"&lt;&gt;",Griffin!BE16:BE152,"Absent")</f>
        <v>0</v>
      </c>
      <c r="P52" s="32">
        <f>COUNTIFS(Griffin!B16:B152,"&lt;&gt;",Griffin!BE16:BE152,"Leave")</f>
        <v>0</v>
      </c>
      <c r="Q52" s="33">
        <f>COUNTIFS(Griffin!B16:B152,"&lt;&gt;",Griffin!BE16:BE152,"Late")</f>
        <v>0</v>
      </c>
      <c r="R52" s="36" t="str">
        <f t="shared" si="4"/>
        <v>-</v>
      </c>
      <c r="S52" s="30">
        <f>COUNTIFS(Johar_Town!B21:B164,"&lt;&gt;",Johar_Town!BE21:BE164,"Present")</f>
        <v>0</v>
      </c>
      <c r="T52" s="31">
        <f>COUNTIFS(Johar_Town!B21:B164,"&lt;&gt;",Johar_Town!BE21:BE164,"Absent")</f>
        <v>0</v>
      </c>
      <c r="U52" s="32">
        <f>COUNTIFS(Johar_Town!B21:B164,"&lt;&gt;",Johar_Town!BE21:BE164,"Leave")</f>
        <v>0</v>
      </c>
      <c r="V52" s="33">
        <f>COUNTIFS(Johar_Town!B21:B164,"&lt;&gt;",Johar_Town!BE21:BE164,"Late")</f>
        <v>0</v>
      </c>
      <c r="W52" s="36" t="str">
        <f t="shared" si="5"/>
        <v>-</v>
      </c>
      <c r="X52" s="30">
        <f>COUNTIFS(Gulshan_Ravi!B23:B150,"&lt;&gt;",Gulshan_Ravi!BE23:BE150,"Present")</f>
        <v>0</v>
      </c>
      <c r="Y52" s="31">
        <f>COUNTIFS(Gulshan_Ravi!B23:B150,"&lt;&gt;",Gulshan_Ravi!BE23:BE150,"Absent")</f>
        <v>0</v>
      </c>
      <c r="Z52" s="32">
        <f>COUNTIFS(Gulshan_Ravi!B23:B150,"&lt;&gt;",Gulshan_Ravi!BE23:BE150,"Leave")</f>
        <v>0</v>
      </c>
      <c r="AA52" s="33">
        <f>COUNTIFS(Gulshan_Ravi!B23:B150,"&lt;&gt;",Gulshan_Ravi!BE23:BE150,"Late")</f>
        <v>0</v>
      </c>
      <c r="AB52" s="36" t="str">
        <f t="shared" si="6"/>
        <v>-</v>
      </c>
      <c r="AC52" s="30">
        <f>COUNTIFS(State_Life!B18:B150,"&lt;&gt;",State_Life!BE18:BE150,"Present")</f>
        <v>0</v>
      </c>
      <c r="AD52" s="31">
        <f>COUNTIFS(State_Life!B18:B150,"&lt;&gt;",State_Life!BE18:BE150,"Absent")</f>
        <v>0</v>
      </c>
      <c r="AE52" s="32">
        <f>COUNTIFS(State_Life!B18:B150,"&lt;&gt;",State_Life!BE18:BE150,"Leave")</f>
        <v>0</v>
      </c>
      <c r="AF52" s="33">
        <f>COUNTIFS(State_Life!B18:B150,"&lt;&gt;",State_Life!BE18:BE150,"Late")</f>
        <v>0</v>
      </c>
      <c r="AG52" s="36" t="str">
        <f t="shared" si="7"/>
        <v>-</v>
      </c>
      <c r="AH52" s="51">
        <f t="shared" ref="AH52:AJ52" si="56">D52+I52+N52+S52+X52+AC52</f>
        <v>0</v>
      </c>
      <c r="AI52" s="51">
        <f t="shared" si="56"/>
        <v>0</v>
      </c>
      <c r="AJ52" s="51">
        <f t="shared" si="56"/>
        <v>0</v>
      </c>
      <c r="AK52" s="55" t="str">
        <f t="shared" si="9"/>
        <v>-</v>
      </c>
    </row>
    <row r="53" ht="18.0" customHeight="1">
      <c r="A53" s="20">
        <v>50.0</v>
      </c>
      <c r="B53" s="20" t="s">
        <v>331</v>
      </c>
      <c r="C53" s="20" t="s">
        <v>200</v>
      </c>
      <c r="D53" s="30">
        <f>COUNTIFS(Gulberg!B26:B149,"&lt;&gt;",Gulberg!BF26:BF149,"Present")</f>
        <v>0</v>
      </c>
      <c r="E53" s="31">
        <f>COUNTIFS(Gulberg!B26:B149,"&lt;&gt;",Gulberg!BF26:BF149,"Absent")</f>
        <v>0</v>
      </c>
      <c r="F53" s="32">
        <f>COUNTIFS(Gulberg!B26:B149,"&lt;&gt;",Gulberg!BF26:BF149,"Leave")</f>
        <v>0</v>
      </c>
      <c r="G53" s="33">
        <f>COUNTIFS(Gulberg!B26:B149,"&lt;&gt;",Gulberg!BF26:BF149,"Late")</f>
        <v>0</v>
      </c>
      <c r="H53" s="36" t="str">
        <f t="shared" si="2"/>
        <v>-</v>
      </c>
      <c r="I53" s="30">
        <f>COUNTIFS(Gulshan_Iqbal!B21:B150,"&lt;&gt;",Gulshan_Iqbal!BF21:BF150,"Present")</f>
        <v>0</v>
      </c>
      <c r="J53" s="31">
        <f>COUNTIFS(Gulshan_Iqbal!B21:B150,"&lt;&gt;",Gulshan_Iqbal!BF21:BF150,"Absent")</f>
        <v>0</v>
      </c>
      <c r="K53" s="32">
        <f>COUNTIFS(Gulshan_Iqbal!B21:B150,"&lt;&gt;",Gulshan_Iqbal!BF21:BF150,"Leave")</f>
        <v>0</v>
      </c>
      <c r="L53" s="33">
        <f>COUNTIFS(Gulshan_Iqbal!B21:B150,"&lt;&gt;",Gulshan_Iqbal!BF21:BF150,"Late")</f>
        <v>0</v>
      </c>
      <c r="M53" s="36" t="str">
        <f t="shared" si="3"/>
        <v>-</v>
      </c>
      <c r="N53" s="30">
        <f>COUNTIFS(Griffin!B16:B152,"&lt;&gt;",Griffin!BF16:BF152,"Present")</f>
        <v>0</v>
      </c>
      <c r="O53" s="31">
        <f>COUNTIFS(Griffin!B16:B152,"&lt;&gt;",Griffin!BF16:BF152,"Absent")</f>
        <v>0</v>
      </c>
      <c r="P53" s="32">
        <f>COUNTIFS(Griffin!B16:B152,"&lt;&gt;",Griffin!BF16:BF152,"Leave")</f>
        <v>0</v>
      </c>
      <c r="Q53" s="33">
        <f>COUNTIFS(Griffin!B16:B152,"&lt;&gt;",Griffin!BF16:BF152,"Late")</f>
        <v>0</v>
      </c>
      <c r="R53" s="36" t="str">
        <f t="shared" si="4"/>
        <v>-</v>
      </c>
      <c r="S53" s="30">
        <f>COUNTIFS(Johar_Town!B21:B164,"&lt;&gt;",Johar_Town!BF21:BF164,"Present")</f>
        <v>0</v>
      </c>
      <c r="T53" s="31">
        <f>COUNTIFS(Johar_Town!B21:B164,"&lt;&gt;",Johar_Town!BF21:BF164,"Absent")</f>
        <v>0</v>
      </c>
      <c r="U53" s="32">
        <f>COUNTIFS(Johar_Town!B21:B164,"&lt;&gt;",Johar_Town!BF21:BF164,"Leave")</f>
        <v>0</v>
      </c>
      <c r="V53" s="33">
        <f>COUNTIFS(Johar_Town!B21:B164,"&lt;&gt;",Johar_Town!BF21:BF164,"Late")</f>
        <v>0</v>
      </c>
      <c r="W53" s="36" t="str">
        <f t="shared" si="5"/>
        <v>-</v>
      </c>
      <c r="X53" s="30">
        <f>COUNTIFS(Gulshan_Ravi!B23:B150,"&lt;&gt;",Gulshan_Ravi!BF23:BF150,"Present")</f>
        <v>0</v>
      </c>
      <c r="Y53" s="31">
        <f>COUNTIFS(Gulshan_Ravi!B23:B150,"&lt;&gt;",Gulshan_Ravi!BF23:BF150,"Absent")</f>
        <v>0</v>
      </c>
      <c r="Z53" s="32">
        <f>COUNTIFS(Gulshan_Ravi!B23:B150,"&lt;&gt;",Gulshan_Ravi!BF23:BF150,"Leave")</f>
        <v>0</v>
      </c>
      <c r="AA53" s="33">
        <f>COUNTIFS(Gulshan_Ravi!B23:B150,"&lt;&gt;",Gulshan_Ravi!BF23:BF150,"Late")</f>
        <v>0</v>
      </c>
      <c r="AB53" s="36" t="str">
        <f t="shared" si="6"/>
        <v>-</v>
      </c>
      <c r="AC53" s="30">
        <f>COUNTIFS(State_Life!B18:B150,"&lt;&gt;",State_Life!BF18:BF150,"Present")</f>
        <v>0</v>
      </c>
      <c r="AD53" s="31">
        <f>COUNTIFS(State_Life!B18:B150,"&lt;&gt;",State_Life!BF18:BF150,"Absent")</f>
        <v>0</v>
      </c>
      <c r="AE53" s="32">
        <f>COUNTIFS(State_Life!B18:B150,"&lt;&gt;",State_Life!BF18:BF150,"Leave")</f>
        <v>0</v>
      </c>
      <c r="AF53" s="33">
        <f>COUNTIFS(State_Life!B18:B150,"&lt;&gt;",State_Life!BF18:BF150,"Late")</f>
        <v>0</v>
      </c>
      <c r="AG53" s="36" t="str">
        <f t="shared" si="7"/>
        <v>-</v>
      </c>
      <c r="AH53" s="51">
        <f t="shared" ref="AH53:AJ53" si="57">D53+I53+N53+S53+X53+AC53</f>
        <v>0</v>
      </c>
      <c r="AI53" s="51">
        <f t="shared" si="57"/>
        <v>0</v>
      </c>
      <c r="AJ53" s="51">
        <f t="shared" si="57"/>
        <v>0</v>
      </c>
      <c r="AK53" s="55" t="str">
        <f t="shared" si="9"/>
        <v>-</v>
      </c>
    </row>
    <row r="54" ht="18.0" customHeight="1">
      <c r="A54" s="10">
        <v>51.0</v>
      </c>
      <c r="B54" s="10" t="s">
        <v>335</v>
      </c>
      <c r="C54" s="10" t="s">
        <v>76</v>
      </c>
      <c r="D54" s="30">
        <f>COUNTIFS(Gulberg!B26:B149,"&lt;&gt;",Gulberg!BG26:BG149,"Present")</f>
        <v>0</v>
      </c>
      <c r="E54" s="31">
        <f>COUNTIFS(Gulberg!B26:B149,"&lt;&gt;",Gulberg!BG26:BG149,"Absent")</f>
        <v>0</v>
      </c>
      <c r="F54" s="32">
        <f>COUNTIFS(Gulberg!B26:B149,"&lt;&gt;",Gulberg!BG26:BG149,"Leave")</f>
        <v>0</v>
      </c>
      <c r="G54" s="33">
        <f>COUNTIFS(Gulberg!B26:B149,"&lt;&gt;",Gulberg!BG26:BG149,"Late")</f>
        <v>0</v>
      </c>
      <c r="H54" s="36" t="str">
        <f t="shared" si="2"/>
        <v>-</v>
      </c>
      <c r="I54" s="30">
        <f>COUNTIFS(Gulshan_Iqbal!B21:B150,"&lt;&gt;",Gulshan_Iqbal!BG21:BG150,"Present")</f>
        <v>0</v>
      </c>
      <c r="J54" s="31">
        <f>COUNTIFS(Gulshan_Iqbal!B21:B150,"&lt;&gt;",Gulshan_Iqbal!BG21:BG150,"Absent")</f>
        <v>0</v>
      </c>
      <c r="K54" s="32">
        <f>COUNTIFS(Gulshan_Iqbal!B21:B150,"&lt;&gt;",Gulshan_Iqbal!BG21:BG150,"Leave")</f>
        <v>0</v>
      </c>
      <c r="L54" s="33">
        <f>COUNTIFS(Gulshan_Iqbal!B21:B150,"&lt;&gt;",Gulshan_Iqbal!BG21:BG150,"Late")</f>
        <v>0</v>
      </c>
      <c r="M54" s="36" t="str">
        <f t="shared" si="3"/>
        <v>-</v>
      </c>
      <c r="N54" s="30">
        <f>COUNTIFS(Griffin!B16:B152,"&lt;&gt;",Griffin!BG16:BG152,"Present")</f>
        <v>0</v>
      </c>
      <c r="O54" s="31">
        <f>COUNTIFS(Griffin!B16:B152,"&lt;&gt;",Griffin!BG16:BG152,"Absent")</f>
        <v>0</v>
      </c>
      <c r="P54" s="32">
        <f>COUNTIFS(Griffin!B16:B152,"&lt;&gt;",Griffin!BG16:BG152,"Leave")</f>
        <v>0</v>
      </c>
      <c r="Q54" s="33">
        <f>COUNTIFS(Griffin!B16:B152,"&lt;&gt;",Griffin!BG16:BG152,"Late")</f>
        <v>0</v>
      </c>
      <c r="R54" s="36" t="str">
        <f t="shared" si="4"/>
        <v>-</v>
      </c>
      <c r="S54" s="30">
        <f>COUNTIFS(Johar_Town!B21:B164,"&lt;&gt;",Johar_Town!BG21:BG164,"Present")</f>
        <v>0</v>
      </c>
      <c r="T54" s="31">
        <f>COUNTIFS(Johar_Town!B21:B164,"&lt;&gt;",Johar_Town!BG21:BG164,"Absent")</f>
        <v>0</v>
      </c>
      <c r="U54" s="32">
        <f>COUNTIFS(Johar_Town!B21:B164,"&lt;&gt;",Johar_Town!BG21:BG164,"Leave")</f>
        <v>0</v>
      </c>
      <c r="V54" s="33">
        <f>COUNTIFS(Johar_Town!B21:B164,"&lt;&gt;",Johar_Town!BG21:BG164,"Late")</f>
        <v>0</v>
      </c>
      <c r="W54" s="36" t="str">
        <f t="shared" si="5"/>
        <v>-</v>
      </c>
      <c r="X54" s="30">
        <f>COUNTIFS(Gulshan_Ravi!B23:B150,"&lt;&gt;",Gulshan_Ravi!BG23:BG150,"Present")</f>
        <v>0</v>
      </c>
      <c r="Y54" s="31">
        <f>COUNTIFS(Gulshan_Ravi!B23:B150,"&lt;&gt;",Gulshan_Ravi!BG23:BG150,"Absent")</f>
        <v>0</v>
      </c>
      <c r="Z54" s="32">
        <f>COUNTIFS(Gulshan_Ravi!B23:B150,"&lt;&gt;",Gulshan_Ravi!BG23:BG150,"Leave")</f>
        <v>0</v>
      </c>
      <c r="AA54" s="33">
        <f>COUNTIFS(Gulshan_Ravi!B23:B150,"&lt;&gt;",Gulshan_Ravi!BG23:BG150,"Late")</f>
        <v>0</v>
      </c>
      <c r="AB54" s="36" t="str">
        <f t="shared" si="6"/>
        <v>-</v>
      </c>
      <c r="AC54" s="30">
        <f>COUNTIFS(State_Life!B18:B150,"&lt;&gt;",State_Life!BG18:BG150,"Present")</f>
        <v>0</v>
      </c>
      <c r="AD54" s="31">
        <f>COUNTIFS(State_Life!B18:B150,"&lt;&gt;",State_Life!BG18:BG150,"Absent")</f>
        <v>0</v>
      </c>
      <c r="AE54" s="32">
        <f>COUNTIFS(State_Life!B18:B150,"&lt;&gt;",State_Life!BG18:BG150,"Leave")</f>
        <v>0</v>
      </c>
      <c r="AF54" s="33">
        <f>COUNTIFS(State_Life!B18:B150,"&lt;&gt;",State_Life!BG18:BG150,"Late")</f>
        <v>0</v>
      </c>
      <c r="AG54" s="36" t="str">
        <f t="shared" si="7"/>
        <v>-</v>
      </c>
      <c r="AH54" s="51">
        <f t="shared" ref="AH54:AJ54" si="58">D54+I54+N54+S54+X54+AC54</f>
        <v>0</v>
      </c>
      <c r="AI54" s="51">
        <f t="shared" si="58"/>
        <v>0</v>
      </c>
      <c r="AJ54" s="51">
        <f t="shared" si="58"/>
        <v>0</v>
      </c>
      <c r="AK54" s="55" t="str">
        <f t="shared" si="9"/>
        <v>-</v>
      </c>
    </row>
    <row r="55" ht="18.0" customHeight="1">
      <c r="A55" s="20">
        <v>52.0</v>
      </c>
      <c r="B55" s="20" t="s">
        <v>336</v>
      </c>
      <c r="C55" s="20" t="s">
        <v>200</v>
      </c>
      <c r="D55" s="30">
        <f>COUNTIFS(Gulberg!B26:B149,"&lt;&gt;",Gulberg!BH26:BH149,"Present")</f>
        <v>0</v>
      </c>
      <c r="E55" s="31">
        <f>COUNTIFS(Gulberg!B26:B149,"&lt;&gt;",Gulberg!BH26:BH149,"Absent")</f>
        <v>0</v>
      </c>
      <c r="F55" s="32">
        <f>COUNTIFS(Gulberg!B26:B149,"&lt;&gt;",Gulberg!BH26:BH149,"Leave")</f>
        <v>0</v>
      </c>
      <c r="G55" s="33">
        <f>COUNTIFS(Gulberg!B26:B149,"&lt;&gt;",Gulberg!BH26:BH149,"Late")</f>
        <v>0</v>
      </c>
      <c r="H55" s="36" t="str">
        <f t="shared" si="2"/>
        <v>-</v>
      </c>
      <c r="I55" s="30">
        <f>COUNTIFS(Gulshan_Iqbal!B21:B150,"&lt;&gt;",Gulshan_Iqbal!BH21:BH150,"Present")</f>
        <v>0</v>
      </c>
      <c r="J55" s="31">
        <f>COUNTIFS(Gulshan_Iqbal!B21:B150,"&lt;&gt;",Gulshan_Iqbal!BH21:BH150,"Absent")</f>
        <v>0</v>
      </c>
      <c r="K55" s="32">
        <f>COUNTIFS(Gulshan_Iqbal!B21:B150,"&lt;&gt;",Gulshan_Iqbal!BH21:BH150,"Leave")</f>
        <v>0</v>
      </c>
      <c r="L55" s="33">
        <f>COUNTIFS(Gulshan_Iqbal!B21:B150,"&lt;&gt;",Gulshan_Iqbal!BH21:BH150,"Late")</f>
        <v>0</v>
      </c>
      <c r="M55" s="36" t="str">
        <f t="shared" si="3"/>
        <v>-</v>
      </c>
      <c r="N55" s="30">
        <f>COUNTIFS(Griffin!B16:B152,"&lt;&gt;",Griffin!BH16:BH152,"Present")</f>
        <v>0</v>
      </c>
      <c r="O55" s="31">
        <f>COUNTIFS(Griffin!B16:B152,"&lt;&gt;",Griffin!BH16:BH152,"Absent")</f>
        <v>0</v>
      </c>
      <c r="P55" s="32">
        <f>COUNTIFS(Griffin!B16:B152,"&lt;&gt;",Griffin!BH16:BH152,"Leave")</f>
        <v>0</v>
      </c>
      <c r="Q55" s="33">
        <f>COUNTIFS(Griffin!B16:B152,"&lt;&gt;",Griffin!BH16:BH152,"Late")</f>
        <v>0</v>
      </c>
      <c r="R55" s="36" t="str">
        <f t="shared" si="4"/>
        <v>-</v>
      </c>
      <c r="S55" s="30">
        <f>COUNTIFS(Johar_Town!B21:B164,"&lt;&gt;",Johar_Town!BH21:BH164,"Present")</f>
        <v>0</v>
      </c>
      <c r="T55" s="31">
        <f>COUNTIFS(Johar_Town!B21:B164,"&lt;&gt;",Johar_Town!BH21:BH164,"Absent")</f>
        <v>0</v>
      </c>
      <c r="U55" s="32">
        <f>COUNTIFS(Johar_Town!B21:B164,"&lt;&gt;",Johar_Town!BH21:BH164,"Leave")</f>
        <v>0</v>
      </c>
      <c r="V55" s="33">
        <f>COUNTIFS(Johar_Town!B21:B164,"&lt;&gt;",Johar_Town!BH21:BH164,"Late")</f>
        <v>0</v>
      </c>
      <c r="W55" s="36" t="str">
        <f t="shared" si="5"/>
        <v>-</v>
      </c>
      <c r="X55" s="30">
        <f>COUNTIFS(Gulshan_Ravi!B23:B150,"&lt;&gt;",Gulshan_Ravi!BH23:BH150,"Present")</f>
        <v>0</v>
      </c>
      <c r="Y55" s="31">
        <f>COUNTIFS(Gulshan_Ravi!B23:B150,"&lt;&gt;",Gulshan_Ravi!BH23:BH150,"Absent")</f>
        <v>0</v>
      </c>
      <c r="Z55" s="32">
        <f>COUNTIFS(Gulshan_Ravi!B23:B150,"&lt;&gt;",Gulshan_Ravi!BH23:BH150,"Leave")</f>
        <v>0</v>
      </c>
      <c r="AA55" s="33">
        <f>COUNTIFS(Gulshan_Ravi!B23:B150,"&lt;&gt;",Gulshan_Ravi!BH23:BH150,"Late")</f>
        <v>0</v>
      </c>
      <c r="AB55" s="36" t="str">
        <f t="shared" si="6"/>
        <v>-</v>
      </c>
      <c r="AC55" s="30">
        <f>COUNTIFS(State_Life!B18:B150,"&lt;&gt;",State_Life!BH18:BH150,"Present")</f>
        <v>0</v>
      </c>
      <c r="AD55" s="31">
        <f>COUNTIFS(State_Life!B18:B150,"&lt;&gt;",State_Life!BH18:BH150,"Absent")</f>
        <v>0</v>
      </c>
      <c r="AE55" s="32">
        <f>COUNTIFS(State_Life!B18:B150,"&lt;&gt;",State_Life!BH18:BH150,"Leave")</f>
        <v>0</v>
      </c>
      <c r="AF55" s="33">
        <f>COUNTIFS(State_Life!B18:B150,"&lt;&gt;",State_Life!BH18:BH150,"Late")</f>
        <v>0</v>
      </c>
      <c r="AG55" s="36" t="str">
        <f t="shared" si="7"/>
        <v>-</v>
      </c>
      <c r="AH55" s="51">
        <f t="shared" ref="AH55:AJ55" si="59">D55+I55+N55+S55+X55+AC55</f>
        <v>0</v>
      </c>
      <c r="AI55" s="51">
        <f t="shared" si="59"/>
        <v>0</v>
      </c>
      <c r="AJ55" s="51">
        <f t="shared" si="59"/>
        <v>0</v>
      </c>
      <c r="AK55" s="55" t="str">
        <f t="shared" si="9"/>
        <v>-</v>
      </c>
    </row>
    <row r="56" ht="18.0" customHeight="1">
      <c r="A56" s="10">
        <v>53.0</v>
      </c>
      <c r="B56" s="10" t="s">
        <v>340</v>
      </c>
      <c r="C56" s="10" t="s">
        <v>76</v>
      </c>
      <c r="D56" s="30">
        <f>COUNTIFS(Gulberg!B26:B149,"&lt;&gt;",Gulberg!BI26:BI149,"Present")</f>
        <v>0</v>
      </c>
      <c r="E56" s="31">
        <f>COUNTIFS(Gulberg!B26:B149,"&lt;&gt;",Gulberg!BI26:BI149,"Absent")</f>
        <v>0</v>
      </c>
      <c r="F56" s="32">
        <f>COUNTIFS(Gulberg!B26:B149,"&lt;&gt;",Gulberg!BI26:BI149,"Leave")</f>
        <v>0</v>
      </c>
      <c r="G56" s="33">
        <f>COUNTIFS(Gulberg!B26:B149,"&lt;&gt;",Gulberg!BI26:BI149,"Late")</f>
        <v>0</v>
      </c>
      <c r="H56" s="36" t="str">
        <f t="shared" si="2"/>
        <v>-</v>
      </c>
      <c r="I56" s="30">
        <f>COUNTIFS(Gulshan_Iqbal!B21:B150,"&lt;&gt;",Gulshan_Iqbal!BI21:BI150,"Present")</f>
        <v>0</v>
      </c>
      <c r="J56" s="31">
        <f>COUNTIFS(Gulshan_Iqbal!B21:B150,"&lt;&gt;",Gulshan_Iqbal!BI21:BI150,"Absent")</f>
        <v>0</v>
      </c>
      <c r="K56" s="32">
        <f>COUNTIFS(Gulshan_Iqbal!B21:B150,"&lt;&gt;",Gulshan_Iqbal!BI21:BI150,"Leave")</f>
        <v>0</v>
      </c>
      <c r="L56" s="33">
        <f>COUNTIFS(Gulshan_Iqbal!B21:B150,"&lt;&gt;",Gulshan_Iqbal!BI21:BI150,"Late")</f>
        <v>0</v>
      </c>
      <c r="M56" s="36" t="str">
        <f t="shared" si="3"/>
        <v>-</v>
      </c>
      <c r="N56" s="30">
        <f>COUNTIFS(Griffin!B16:B152,"&lt;&gt;",Griffin!BI16:BI152,"Present")</f>
        <v>0</v>
      </c>
      <c r="O56" s="31">
        <f>COUNTIFS(Griffin!B16:B152,"&lt;&gt;",Griffin!BI16:BI152,"Absent")</f>
        <v>0</v>
      </c>
      <c r="P56" s="32">
        <f>COUNTIFS(Griffin!B16:B152,"&lt;&gt;",Griffin!BI16:BI152,"Leave")</f>
        <v>0</v>
      </c>
      <c r="Q56" s="33">
        <f>COUNTIFS(Griffin!B16:B152,"&lt;&gt;",Griffin!BI16:BI152,"Late")</f>
        <v>0</v>
      </c>
      <c r="R56" s="36" t="str">
        <f t="shared" si="4"/>
        <v>-</v>
      </c>
      <c r="S56" s="30">
        <f>COUNTIFS(Johar_Town!B21:B164,"&lt;&gt;",Johar_Town!BI21:BI164,"Present")</f>
        <v>0</v>
      </c>
      <c r="T56" s="31">
        <f>COUNTIFS(Johar_Town!B21:B164,"&lt;&gt;",Johar_Town!BI21:BI164,"Absent")</f>
        <v>0</v>
      </c>
      <c r="U56" s="32">
        <f>COUNTIFS(Johar_Town!B21:B164,"&lt;&gt;",Johar_Town!BI21:BI164,"Leave")</f>
        <v>0</v>
      </c>
      <c r="V56" s="33">
        <f>COUNTIFS(Johar_Town!B21:B164,"&lt;&gt;",Johar_Town!BI21:BI164,"Late")</f>
        <v>0</v>
      </c>
      <c r="W56" s="36" t="str">
        <f t="shared" si="5"/>
        <v>-</v>
      </c>
      <c r="X56" s="30">
        <f>COUNTIFS(Gulshan_Ravi!B23:B150,"&lt;&gt;",Gulshan_Ravi!BI23:BI150,"Present")</f>
        <v>0</v>
      </c>
      <c r="Y56" s="31">
        <f>COUNTIFS(Gulshan_Ravi!B23:B150,"&lt;&gt;",Gulshan_Ravi!BI23:BI150,"Absent")</f>
        <v>0</v>
      </c>
      <c r="Z56" s="32">
        <f>COUNTIFS(Gulshan_Ravi!B23:B150,"&lt;&gt;",Gulshan_Ravi!BI23:BI150,"Leave")</f>
        <v>0</v>
      </c>
      <c r="AA56" s="33">
        <f>COUNTIFS(Gulshan_Ravi!B23:B150,"&lt;&gt;",Gulshan_Ravi!BI23:BI150,"Late")</f>
        <v>0</v>
      </c>
      <c r="AB56" s="36" t="str">
        <f t="shared" si="6"/>
        <v>-</v>
      </c>
      <c r="AC56" s="30">
        <f>COUNTIFS(State_Life!B18:B150,"&lt;&gt;",State_Life!BI18:BI150,"Present")</f>
        <v>0</v>
      </c>
      <c r="AD56" s="31">
        <f>COUNTIFS(State_Life!B18:B150,"&lt;&gt;",State_Life!BI18:BI150,"Absent")</f>
        <v>0</v>
      </c>
      <c r="AE56" s="32">
        <f>COUNTIFS(State_Life!B18:B150,"&lt;&gt;",State_Life!BI18:BI150,"Leave")</f>
        <v>0</v>
      </c>
      <c r="AF56" s="33">
        <f>COUNTIFS(State_Life!B18:B150,"&lt;&gt;",State_Life!BI18:BI150,"Late")</f>
        <v>0</v>
      </c>
      <c r="AG56" s="36" t="str">
        <f t="shared" si="7"/>
        <v>-</v>
      </c>
      <c r="AH56" s="51">
        <f t="shared" ref="AH56:AJ56" si="60">D56+I56+N56+S56+X56+AC56</f>
        <v>0</v>
      </c>
      <c r="AI56" s="51">
        <f t="shared" si="60"/>
        <v>0</v>
      </c>
      <c r="AJ56" s="51">
        <f t="shared" si="60"/>
        <v>0</v>
      </c>
      <c r="AK56" s="55" t="str">
        <f t="shared" si="9"/>
        <v>-</v>
      </c>
    </row>
    <row r="57" ht="18.0" customHeight="1">
      <c r="A57" s="20">
        <v>54.0</v>
      </c>
      <c r="B57" s="20" t="s">
        <v>341</v>
      </c>
      <c r="C57" s="20" t="s">
        <v>200</v>
      </c>
      <c r="D57" s="30">
        <f>COUNTIFS(Gulberg!B26:B149,"&lt;&gt;",Gulberg!BJ26:BJ149,"Present")</f>
        <v>0</v>
      </c>
      <c r="E57" s="31">
        <f>COUNTIFS(Gulberg!B26:B149,"&lt;&gt;",Gulberg!BJ26:BJ149,"Absent")</f>
        <v>0</v>
      </c>
      <c r="F57" s="32">
        <f>COUNTIFS(Gulberg!B26:B149,"&lt;&gt;",Gulberg!BJ26:BJ149,"Leave")</f>
        <v>0</v>
      </c>
      <c r="G57" s="33">
        <f>COUNTIFS(Gulberg!B26:B149,"&lt;&gt;",Gulberg!BJ26:BJ149,"Late")</f>
        <v>0</v>
      </c>
      <c r="H57" s="36" t="str">
        <f t="shared" si="2"/>
        <v>-</v>
      </c>
      <c r="I57" s="30">
        <f>COUNTIFS(Gulshan_Iqbal!B21:B150,"&lt;&gt;",Gulshan_Iqbal!BJ21:BJ150,"Present")</f>
        <v>0</v>
      </c>
      <c r="J57" s="31">
        <f>COUNTIFS(Gulshan_Iqbal!B21:B150,"&lt;&gt;",Gulshan_Iqbal!BJ21:BJ150,"Absent")</f>
        <v>0</v>
      </c>
      <c r="K57" s="32">
        <f>COUNTIFS(Gulshan_Iqbal!B21:B150,"&lt;&gt;",Gulshan_Iqbal!BJ21:BJ150,"Leave")</f>
        <v>0</v>
      </c>
      <c r="L57" s="33">
        <f>COUNTIFS(Gulshan_Iqbal!B21:B150,"&lt;&gt;",Gulshan_Iqbal!BJ21:BJ150,"Late")</f>
        <v>0</v>
      </c>
      <c r="M57" s="36" t="str">
        <f t="shared" si="3"/>
        <v>-</v>
      </c>
      <c r="N57" s="30">
        <f>COUNTIFS(Griffin!B16:B152,"&lt;&gt;",Griffin!BJ16:BJ152,"Present")</f>
        <v>0</v>
      </c>
      <c r="O57" s="31">
        <f>COUNTIFS(Griffin!B16:B152,"&lt;&gt;",Griffin!BJ16:BJ152,"Absent")</f>
        <v>0</v>
      </c>
      <c r="P57" s="32">
        <f>COUNTIFS(Griffin!B16:B152,"&lt;&gt;",Griffin!BJ16:BJ152,"Leave")</f>
        <v>0</v>
      </c>
      <c r="Q57" s="33">
        <f>COUNTIFS(Griffin!B16:B152,"&lt;&gt;",Griffin!BJ16:BJ152,"Late")</f>
        <v>0</v>
      </c>
      <c r="R57" s="36" t="str">
        <f t="shared" si="4"/>
        <v>-</v>
      </c>
      <c r="S57" s="30">
        <f>COUNTIFS(Johar_Town!B21:B164,"&lt;&gt;",Johar_Town!BJ21:BJ164,"Present")</f>
        <v>0</v>
      </c>
      <c r="T57" s="31">
        <f>COUNTIFS(Johar_Town!B21:B164,"&lt;&gt;",Johar_Town!BJ21:BJ164,"Absent")</f>
        <v>0</v>
      </c>
      <c r="U57" s="32">
        <f>COUNTIFS(Johar_Town!B21:B164,"&lt;&gt;",Johar_Town!BJ21:BJ164,"Leave")</f>
        <v>0</v>
      </c>
      <c r="V57" s="33">
        <f>COUNTIFS(Johar_Town!B21:B164,"&lt;&gt;",Johar_Town!BJ21:BJ164,"Late")</f>
        <v>0</v>
      </c>
      <c r="W57" s="36" t="str">
        <f t="shared" si="5"/>
        <v>-</v>
      </c>
      <c r="X57" s="30">
        <f>COUNTIFS(Gulshan_Ravi!B23:B150,"&lt;&gt;",Gulshan_Ravi!BJ23:BJ150,"Present")</f>
        <v>0</v>
      </c>
      <c r="Y57" s="31">
        <f>COUNTIFS(Gulshan_Ravi!B23:B150,"&lt;&gt;",Gulshan_Ravi!BJ23:BJ150,"Absent")</f>
        <v>0</v>
      </c>
      <c r="Z57" s="32">
        <f>COUNTIFS(Gulshan_Ravi!B23:B150,"&lt;&gt;",Gulshan_Ravi!BJ23:BJ150,"Leave")</f>
        <v>0</v>
      </c>
      <c r="AA57" s="33">
        <f>COUNTIFS(Gulshan_Ravi!B23:B150,"&lt;&gt;",Gulshan_Ravi!BJ23:BJ150,"Late")</f>
        <v>0</v>
      </c>
      <c r="AB57" s="36" t="str">
        <f t="shared" si="6"/>
        <v>-</v>
      </c>
      <c r="AC57" s="30">
        <f>COUNTIFS(State_Life!B18:B150,"&lt;&gt;",State_Life!BJ18:BJ150,"Present")</f>
        <v>0</v>
      </c>
      <c r="AD57" s="31">
        <f>COUNTIFS(State_Life!B18:B150,"&lt;&gt;",State_Life!BJ18:BJ150,"Absent")</f>
        <v>0</v>
      </c>
      <c r="AE57" s="32">
        <f>COUNTIFS(State_Life!B18:B150,"&lt;&gt;",State_Life!BJ18:BJ150,"Leave")</f>
        <v>0</v>
      </c>
      <c r="AF57" s="33">
        <f>COUNTIFS(State_Life!B18:B150,"&lt;&gt;",State_Life!BJ18:BJ150,"Late")</f>
        <v>0</v>
      </c>
      <c r="AG57" s="36" t="str">
        <f t="shared" si="7"/>
        <v>-</v>
      </c>
      <c r="AH57" s="51">
        <f t="shared" ref="AH57:AJ57" si="61">D57+I57+N57+S57+X57+AC57</f>
        <v>0</v>
      </c>
      <c r="AI57" s="51">
        <f t="shared" si="61"/>
        <v>0</v>
      </c>
      <c r="AJ57" s="51">
        <f t="shared" si="61"/>
        <v>0</v>
      </c>
      <c r="AK57" s="55" t="str">
        <f t="shared" si="9"/>
        <v>-</v>
      </c>
    </row>
    <row r="58" ht="18.0" customHeight="1">
      <c r="A58" s="10">
        <v>55.0</v>
      </c>
      <c r="B58" s="10" t="s">
        <v>347</v>
      </c>
      <c r="C58" s="10" t="s">
        <v>76</v>
      </c>
      <c r="D58" s="30">
        <f>COUNTIFS(Gulberg!B26:B149,"&lt;&gt;",Gulberg!BK26:BK149,"Present")</f>
        <v>0</v>
      </c>
      <c r="E58" s="31">
        <f>COUNTIFS(Gulberg!B26:B149,"&lt;&gt;",Gulberg!BK26:BK149,"Absent")</f>
        <v>0</v>
      </c>
      <c r="F58" s="32">
        <f>COUNTIFS(Gulberg!B26:B149,"&lt;&gt;",Gulberg!BK26:BK149,"Leave")</f>
        <v>0</v>
      </c>
      <c r="G58" s="33">
        <f>COUNTIFS(Gulberg!B26:B149,"&lt;&gt;",Gulberg!BK26:BK149,"Late")</f>
        <v>0</v>
      </c>
      <c r="H58" s="36" t="str">
        <f t="shared" si="2"/>
        <v>-</v>
      </c>
      <c r="I58" s="30">
        <f>COUNTIFS(Gulshan_Iqbal!B21:B150,"&lt;&gt;",Gulshan_Iqbal!BK21:BK150,"Present")</f>
        <v>0</v>
      </c>
      <c r="J58" s="31">
        <f>COUNTIFS(Gulshan_Iqbal!B21:B150,"&lt;&gt;",Gulshan_Iqbal!BK21:BK150,"Absent")</f>
        <v>0</v>
      </c>
      <c r="K58" s="32">
        <f>COUNTIFS(Gulshan_Iqbal!B21:B150,"&lt;&gt;",Gulshan_Iqbal!BK21:BK150,"Leave")</f>
        <v>0</v>
      </c>
      <c r="L58" s="33">
        <f>COUNTIFS(Gulshan_Iqbal!B21:B150,"&lt;&gt;",Gulshan_Iqbal!BK21:BK150,"Late")</f>
        <v>0</v>
      </c>
      <c r="M58" s="36" t="str">
        <f t="shared" si="3"/>
        <v>-</v>
      </c>
      <c r="N58" s="30">
        <f>COUNTIFS(Griffin!B16:B152,"&lt;&gt;",Griffin!BK16:BK152,"Present")</f>
        <v>0</v>
      </c>
      <c r="O58" s="31">
        <f>COUNTIFS(Griffin!B16:B152,"&lt;&gt;",Griffin!BK16:BK152,"Absent")</f>
        <v>0</v>
      </c>
      <c r="P58" s="32">
        <f>COUNTIFS(Griffin!B16:B152,"&lt;&gt;",Griffin!BK16:BK152,"Leave")</f>
        <v>0</v>
      </c>
      <c r="Q58" s="33">
        <f>COUNTIFS(Griffin!B16:B152,"&lt;&gt;",Griffin!BK16:BK152,"Late")</f>
        <v>0</v>
      </c>
      <c r="R58" s="36" t="str">
        <f t="shared" si="4"/>
        <v>-</v>
      </c>
      <c r="S58" s="30">
        <f>COUNTIFS(Johar_Town!B21:B164,"&lt;&gt;",Johar_Town!BK21:BK164,"Present")</f>
        <v>0</v>
      </c>
      <c r="T58" s="31">
        <f>COUNTIFS(Johar_Town!B21:B164,"&lt;&gt;",Johar_Town!BK21:BK164,"Absent")</f>
        <v>0</v>
      </c>
      <c r="U58" s="32">
        <f>COUNTIFS(Johar_Town!B21:B164,"&lt;&gt;",Johar_Town!BK21:BK164,"Leave")</f>
        <v>0</v>
      </c>
      <c r="V58" s="33">
        <f>COUNTIFS(Johar_Town!B21:B164,"&lt;&gt;",Johar_Town!BK21:BK164,"Late")</f>
        <v>0</v>
      </c>
      <c r="W58" s="36" t="str">
        <f t="shared" si="5"/>
        <v>-</v>
      </c>
      <c r="X58" s="30">
        <f>COUNTIFS(Gulshan_Ravi!B23:B150,"&lt;&gt;",Gulshan_Ravi!BK23:BK150,"Present")</f>
        <v>0</v>
      </c>
      <c r="Y58" s="31">
        <f>COUNTIFS(Gulshan_Ravi!B23:B150,"&lt;&gt;",Gulshan_Ravi!BK23:BK150,"Absent")</f>
        <v>0</v>
      </c>
      <c r="Z58" s="32">
        <f>COUNTIFS(Gulshan_Ravi!B23:B150,"&lt;&gt;",Gulshan_Ravi!BK23:BK150,"Leave")</f>
        <v>0</v>
      </c>
      <c r="AA58" s="33">
        <f>COUNTIFS(Gulshan_Ravi!B23:B150,"&lt;&gt;",Gulshan_Ravi!BK23:BK150,"Late")</f>
        <v>0</v>
      </c>
      <c r="AB58" s="36" t="str">
        <f t="shared" si="6"/>
        <v>-</v>
      </c>
      <c r="AC58" s="30">
        <f>COUNTIFS(State_Life!B18:B150,"&lt;&gt;",State_Life!BK18:BK150,"Present")</f>
        <v>0</v>
      </c>
      <c r="AD58" s="31">
        <f>COUNTIFS(State_Life!B18:B150,"&lt;&gt;",State_Life!BK18:BK150,"Absent")</f>
        <v>0</v>
      </c>
      <c r="AE58" s="32">
        <f>COUNTIFS(State_Life!B18:B150,"&lt;&gt;",State_Life!BK18:BK150,"Leave")</f>
        <v>0</v>
      </c>
      <c r="AF58" s="33">
        <f>COUNTIFS(State_Life!B18:B150,"&lt;&gt;",State_Life!BK18:BK150,"Late")</f>
        <v>0</v>
      </c>
      <c r="AG58" s="36" t="str">
        <f t="shared" si="7"/>
        <v>-</v>
      </c>
      <c r="AH58" s="51">
        <f t="shared" ref="AH58:AJ58" si="62">D58+I58+N58+S58+X58+AC58</f>
        <v>0</v>
      </c>
      <c r="AI58" s="51">
        <f t="shared" si="62"/>
        <v>0</v>
      </c>
      <c r="AJ58" s="51">
        <f t="shared" si="62"/>
        <v>0</v>
      </c>
      <c r="AK58" s="55" t="str">
        <f t="shared" si="9"/>
        <v>-</v>
      </c>
    </row>
    <row r="59" ht="18.0" customHeight="1">
      <c r="A59" s="20">
        <v>56.0</v>
      </c>
      <c r="B59" s="20" t="s">
        <v>350</v>
      </c>
      <c r="C59" s="20" t="s">
        <v>200</v>
      </c>
      <c r="D59" s="30">
        <f>COUNTIFS(Gulberg!B26:B149,"&lt;&gt;",Gulberg!BL26:BL149,"Present")</f>
        <v>0</v>
      </c>
      <c r="E59" s="31">
        <f>COUNTIFS(Gulberg!B26:B149,"&lt;&gt;",Gulberg!BL26:BL149,"Absent")</f>
        <v>0</v>
      </c>
      <c r="F59" s="32">
        <f>COUNTIFS(Gulberg!B26:B149,"&lt;&gt;",Gulberg!BL26:BL149,"Leave")</f>
        <v>0</v>
      </c>
      <c r="G59" s="33">
        <f>COUNTIFS(Gulberg!B26:B149,"&lt;&gt;",Gulberg!BL26:BL149,"Late")</f>
        <v>0</v>
      </c>
      <c r="H59" s="36" t="str">
        <f t="shared" si="2"/>
        <v>-</v>
      </c>
      <c r="I59" s="30">
        <f>COUNTIFS(Gulshan_Iqbal!B21:B150,"&lt;&gt;",Gulshan_Iqbal!BL21:BL150,"Present")</f>
        <v>0</v>
      </c>
      <c r="J59" s="31">
        <f>COUNTIFS(Gulshan_Iqbal!B21:B150,"&lt;&gt;",Gulshan_Iqbal!BL21:BL150,"Absent")</f>
        <v>0</v>
      </c>
      <c r="K59" s="32">
        <f>COUNTIFS(Gulshan_Iqbal!B21:B150,"&lt;&gt;",Gulshan_Iqbal!BL21:BL150,"Leave")</f>
        <v>0</v>
      </c>
      <c r="L59" s="33">
        <f>COUNTIFS(Gulshan_Iqbal!B21:B150,"&lt;&gt;",Gulshan_Iqbal!BL21:BL150,"Late")</f>
        <v>0</v>
      </c>
      <c r="M59" s="36" t="str">
        <f t="shared" si="3"/>
        <v>-</v>
      </c>
      <c r="N59" s="30">
        <f>COUNTIFS(Griffin!B16:B152,"&lt;&gt;",Griffin!BL16:BL152,"Present")</f>
        <v>0</v>
      </c>
      <c r="O59" s="31">
        <f>COUNTIFS(Griffin!B16:B152,"&lt;&gt;",Griffin!BL16:BL152,"Absent")</f>
        <v>0</v>
      </c>
      <c r="P59" s="32">
        <f>COUNTIFS(Griffin!B16:B152,"&lt;&gt;",Griffin!BL16:BL152,"Leave")</f>
        <v>0</v>
      </c>
      <c r="Q59" s="33">
        <f>COUNTIFS(Griffin!B16:B152,"&lt;&gt;",Griffin!BL16:BL152,"Late")</f>
        <v>0</v>
      </c>
      <c r="R59" s="36" t="str">
        <f t="shared" si="4"/>
        <v>-</v>
      </c>
      <c r="S59" s="30">
        <f>COUNTIFS(Johar_Town!B21:B164,"&lt;&gt;",Johar_Town!BL21:BL164,"Present")</f>
        <v>0</v>
      </c>
      <c r="T59" s="31">
        <f>COUNTIFS(Johar_Town!B21:B164,"&lt;&gt;",Johar_Town!BL21:BL164,"Absent")</f>
        <v>0</v>
      </c>
      <c r="U59" s="32">
        <f>COUNTIFS(Johar_Town!B21:B164,"&lt;&gt;",Johar_Town!BL21:BL164,"Leave")</f>
        <v>0</v>
      </c>
      <c r="V59" s="33">
        <f>COUNTIFS(Johar_Town!B21:B164,"&lt;&gt;",Johar_Town!BL21:BL164,"Late")</f>
        <v>0</v>
      </c>
      <c r="W59" s="36" t="str">
        <f t="shared" si="5"/>
        <v>-</v>
      </c>
      <c r="X59" s="30">
        <f>COUNTIFS(Gulshan_Ravi!B23:B150,"&lt;&gt;",Gulshan_Ravi!BL23:BL150,"Present")</f>
        <v>0</v>
      </c>
      <c r="Y59" s="31">
        <f>COUNTIFS(Gulshan_Ravi!B23:B150,"&lt;&gt;",Gulshan_Ravi!BL23:BL150,"Absent")</f>
        <v>0</v>
      </c>
      <c r="Z59" s="32">
        <f>COUNTIFS(Gulshan_Ravi!B23:B150,"&lt;&gt;",Gulshan_Ravi!BL23:BL150,"Leave")</f>
        <v>0</v>
      </c>
      <c r="AA59" s="33">
        <f>COUNTIFS(Gulshan_Ravi!B23:B150,"&lt;&gt;",Gulshan_Ravi!BL23:BL150,"Late")</f>
        <v>0</v>
      </c>
      <c r="AB59" s="36" t="str">
        <f t="shared" si="6"/>
        <v>-</v>
      </c>
      <c r="AC59" s="30">
        <f>COUNTIFS(State_Life!B18:B150,"&lt;&gt;",State_Life!BL18:BL150,"Present")</f>
        <v>0</v>
      </c>
      <c r="AD59" s="31">
        <f>COUNTIFS(State_Life!B18:B150,"&lt;&gt;",State_Life!BL18:BL150,"Absent")</f>
        <v>0</v>
      </c>
      <c r="AE59" s="32">
        <f>COUNTIFS(State_Life!B18:B150,"&lt;&gt;",State_Life!BL18:BL150,"Leave")</f>
        <v>0</v>
      </c>
      <c r="AF59" s="33">
        <f>COUNTIFS(State_Life!B18:B150,"&lt;&gt;",State_Life!BL18:BL150,"Late")</f>
        <v>0</v>
      </c>
      <c r="AG59" s="36" t="str">
        <f t="shared" si="7"/>
        <v>-</v>
      </c>
      <c r="AH59" s="51">
        <f t="shared" ref="AH59:AJ59" si="63">D59+I59+N59+S59+X59+AC59</f>
        <v>0</v>
      </c>
      <c r="AI59" s="51">
        <f t="shared" si="63"/>
        <v>0</v>
      </c>
      <c r="AJ59" s="51">
        <f t="shared" si="63"/>
        <v>0</v>
      </c>
      <c r="AK59" s="55" t="str">
        <f t="shared" si="9"/>
        <v>-</v>
      </c>
    </row>
    <row r="60" ht="18.0" customHeight="1">
      <c r="A60" s="10">
        <v>57.0</v>
      </c>
      <c r="B60" s="10" t="s">
        <v>354</v>
      </c>
      <c r="C60" s="10" t="s">
        <v>76</v>
      </c>
      <c r="D60" s="30">
        <f>COUNTIFS(Gulberg!B26:B149,"&lt;&gt;",Gulberg!BM26:BM149,"Present")</f>
        <v>0</v>
      </c>
      <c r="E60" s="31">
        <f>COUNTIFS(Gulberg!B26:B149,"&lt;&gt;",Gulberg!BM26:BM149,"Absent")</f>
        <v>0</v>
      </c>
      <c r="F60" s="32">
        <f>COUNTIFS(Gulberg!B26:B149,"&lt;&gt;",Gulberg!BM26:BM149,"Leave")</f>
        <v>0</v>
      </c>
      <c r="G60" s="33">
        <f>COUNTIFS(Gulberg!B26:B149,"&lt;&gt;",Gulberg!BM26:BM149,"Late")</f>
        <v>0</v>
      </c>
      <c r="H60" s="36" t="str">
        <f t="shared" si="2"/>
        <v>-</v>
      </c>
      <c r="I60" s="30">
        <f>COUNTIFS(Gulshan_Iqbal!B21:B150,"&lt;&gt;",Gulshan_Iqbal!BM21:BM150,"Present")</f>
        <v>0</v>
      </c>
      <c r="J60" s="31">
        <f>COUNTIFS(Gulshan_Iqbal!B21:B150,"&lt;&gt;",Gulshan_Iqbal!BM21:BM150,"Absent")</f>
        <v>0</v>
      </c>
      <c r="K60" s="32">
        <f>COUNTIFS(Gulshan_Iqbal!B21:B150,"&lt;&gt;",Gulshan_Iqbal!BM21:BM150,"Leave")</f>
        <v>0</v>
      </c>
      <c r="L60" s="33">
        <f>COUNTIFS(Gulshan_Iqbal!B21:B150,"&lt;&gt;",Gulshan_Iqbal!BM21:BM150,"Late")</f>
        <v>0</v>
      </c>
      <c r="M60" s="36" t="str">
        <f t="shared" si="3"/>
        <v>-</v>
      </c>
      <c r="N60" s="30">
        <f>COUNTIFS(Griffin!B16:B152,"&lt;&gt;",Griffin!BM16:BM152,"Present")</f>
        <v>0</v>
      </c>
      <c r="O60" s="31">
        <f>COUNTIFS(Griffin!B16:B152,"&lt;&gt;",Griffin!BM16:BM152,"Absent")</f>
        <v>0</v>
      </c>
      <c r="P60" s="32">
        <f>COUNTIFS(Griffin!B16:B152,"&lt;&gt;",Griffin!BM16:BM152,"Leave")</f>
        <v>0</v>
      </c>
      <c r="Q60" s="33">
        <f>COUNTIFS(Griffin!B16:B152,"&lt;&gt;",Griffin!BM16:BM152,"Late")</f>
        <v>0</v>
      </c>
      <c r="R60" s="36" t="str">
        <f t="shared" si="4"/>
        <v>-</v>
      </c>
      <c r="S60" s="30">
        <f>COUNTIFS(Johar_Town!B21:B164,"&lt;&gt;",Johar_Town!BM21:BM164,"Present")</f>
        <v>0</v>
      </c>
      <c r="T60" s="31">
        <f>COUNTIFS(Johar_Town!B21:B164,"&lt;&gt;",Johar_Town!BM21:BM164,"Absent")</f>
        <v>0</v>
      </c>
      <c r="U60" s="32">
        <f>COUNTIFS(Johar_Town!B21:B164,"&lt;&gt;",Johar_Town!BM21:BM164,"Leave")</f>
        <v>0</v>
      </c>
      <c r="V60" s="33">
        <f>COUNTIFS(Johar_Town!B21:B164,"&lt;&gt;",Johar_Town!BM21:BM164,"Late")</f>
        <v>0</v>
      </c>
      <c r="W60" s="36" t="str">
        <f t="shared" si="5"/>
        <v>-</v>
      </c>
      <c r="X60" s="30">
        <f>COUNTIFS(Gulshan_Ravi!B23:B150,"&lt;&gt;",Gulshan_Ravi!BM23:BM150,"Present")</f>
        <v>0</v>
      </c>
      <c r="Y60" s="31">
        <f>COUNTIFS(Gulshan_Ravi!B23:B150,"&lt;&gt;",Gulshan_Ravi!BM23:BM150,"Absent")</f>
        <v>0</v>
      </c>
      <c r="Z60" s="32">
        <f>COUNTIFS(Gulshan_Ravi!B23:B150,"&lt;&gt;",Gulshan_Ravi!BM23:BM150,"Leave")</f>
        <v>0</v>
      </c>
      <c r="AA60" s="33">
        <f>COUNTIFS(Gulshan_Ravi!B23:B150,"&lt;&gt;",Gulshan_Ravi!BM23:BM150,"Late")</f>
        <v>0</v>
      </c>
      <c r="AB60" s="36" t="str">
        <f t="shared" si="6"/>
        <v>-</v>
      </c>
      <c r="AC60" s="30">
        <f>COUNTIFS(State_Life!B18:B150,"&lt;&gt;",State_Life!BM18:BM150,"Present")</f>
        <v>0</v>
      </c>
      <c r="AD60" s="31">
        <f>COUNTIFS(State_Life!B18:B150,"&lt;&gt;",State_Life!BM18:BM150,"Absent")</f>
        <v>0</v>
      </c>
      <c r="AE60" s="32">
        <f>COUNTIFS(State_Life!B18:B150,"&lt;&gt;",State_Life!BM18:BM150,"Leave")</f>
        <v>0</v>
      </c>
      <c r="AF60" s="33">
        <f>COUNTIFS(State_Life!B18:B150,"&lt;&gt;",State_Life!BM18:BM150,"Late")</f>
        <v>0</v>
      </c>
      <c r="AG60" s="36" t="str">
        <f t="shared" si="7"/>
        <v>-</v>
      </c>
      <c r="AH60" s="51">
        <f t="shared" ref="AH60:AJ60" si="64">D60+I60+N60+S60+X60+AC60</f>
        <v>0</v>
      </c>
      <c r="AI60" s="51">
        <f t="shared" si="64"/>
        <v>0</v>
      </c>
      <c r="AJ60" s="51">
        <f t="shared" si="64"/>
        <v>0</v>
      </c>
      <c r="AK60" s="55" t="str">
        <f t="shared" si="9"/>
        <v>-</v>
      </c>
    </row>
    <row r="61" ht="18.0" customHeight="1">
      <c r="A61" s="20">
        <v>58.0</v>
      </c>
      <c r="B61" s="20" t="s">
        <v>356</v>
      </c>
      <c r="C61" s="20" t="s">
        <v>200</v>
      </c>
      <c r="D61" s="30">
        <f>COUNTIFS(Gulberg!B26:B149,"&lt;&gt;",Gulberg!BN26:BN149,"Present")</f>
        <v>0</v>
      </c>
      <c r="E61" s="31">
        <f>COUNTIFS(Gulberg!B26:B149,"&lt;&gt;",Gulberg!BN26:BN149,"Absent")</f>
        <v>0</v>
      </c>
      <c r="F61" s="32">
        <f>COUNTIFS(Gulberg!B26:B149,"&lt;&gt;",Gulberg!BN26:BN149,"Leave")</f>
        <v>0</v>
      </c>
      <c r="G61" s="33">
        <f>COUNTIFS(Gulberg!B26:B149,"&lt;&gt;",Gulberg!BN26:BN149,"Late")</f>
        <v>0</v>
      </c>
      <c r="H61" s="36" t="str">
        <f t="shared" si="2"/>
        <v>-</v>
      </c>
      <c r="I61" s="30">
        <f>COUNTIFS(Gulshan_Iqbal!B21:B150,"&lt;&gt;",Gulshan_Iqbal!BN21:BN150,"Present")</f>
        <v>0</v>
      </c>
      <c r="J61" s="31">
        <f>COUNTIFS(Gulshan_Iqbal!B21:B150,"&lt;&gt;",Gulshan_Iqbal!BN21:BN150,"Absent")</f>
        <v>0</v>
      </c>
      <c r="K61" s="32">
        <f>COUNTIFS(Gulshan_Iqbal!B21:B150,"&lt;&gt;",Gulshan_Iqbal!BN21:BN150,"Leave")</f>
        <v>0</v>
      </c>
      <c r="L61" s="33">
        <f>COUNTIFS(Gulshan_Iqbal!B21:B150,"&lt;&gt;",Gulshan_Iqbal!BN21:BN150,"Late")</f>
        <v>0</v>
      </c>
      <c r="M61" s="36" t="str">
        <f t="shared" si="3"/>
        <v>-</v>
      </c>
      <c r="N61" s="30">
        <f>COUNTIFS(Griffin!B16:B152,"&lt;&gt;",Griffin!BN16:BN152,"Present")</f>
        <v>0</v>
      </c>
      <c r="O61" s="31">
        <f>COUNTIFS(Griffin!B16:B152,"&lt;&gt;",Griffin!BN16:BN152,"Absent")</f>
        <v>0</v>
      </c>
      <c r="P61" s="32">
        <f>COUNTIFS(Griffin!B16:B152,"&lt;&gt;",Griffin!BN16:BN152,"Leave")</f>
        <v>0</v>
      </c>
      <c r="Q61" s="33">
        <f>COUNTIFS(Griffin!B16:B152,"&lt;&gt;",Griffin!BN16:BN152,"Late")</f>
        <v>0</v>
      </c>
      <c r="R61" s="36" t="str">
        <f t="shared" si="4"/>
        <v>-</v>
      </c>
      <c r="S61" s="30">
        <f>COUNTIFS(Johar_Town!B21:B164,"&lt;&gt;",Johar_Town!BN21:BN164,"Present")</f>
        <v>0</v>
      </c>
      <c r="T61" s="31">
        <f>COUNTIFS(Johar_Town!B21:B164,"&lt;&gt;",Johar_Town!BN21:BN164,"Absent")</f>
        <v>0</v>
      </c>
      <c r="U61" s="32">
        <f>COUNTIFS(Johar_Town!B21:B164,"&lt;&gt;",Johar_Town!BN21:BN164,"Leave")</f>
        <v>0</v>
      </c>
      <c r="V61" s="33">
        <f>COUNTIFS(Johar_Town!B21:B164,"&lt;&gt;",Johar_Town!BN21:BN164,"Late")</f>
        <v>0</v>
      </c>
      <c r="W61" s="36" t="str">
        <f t="shared" si="5"/>
        <v>-</v>
      </c>
      <c r="X61" s="30">
        <f>COUNTIFS(Gulshan_Ravi!B23:B150,"&lt;&gt;",Gulshan_Ravi!BN23:BN150,"Present")</f>
        <v>0</v>
      </c>
      <c r="Y61" s="31">
        <f>COUNTIFS(Gulshan_Ravi!B23:B150,"&lt;&gt;",Gulshan_Ravi!BN23:BN150,"Absent")</f>
        <v>0</v>
      </c>
      <c r="Z61" s="32">
        <f>COUNTIFS(Gulshan_Ravi!B23:B150,"&lt;&gt;",Gulshan_Ravi!BN23:BN150,"Leave")</f>
        <v>0</v>
      </c>
      <c r="AA61" s="33">
        <f>COUNTIFS(Gulshan_Ravi!B23:B150,"&lt;&gt;",Gulshan_Ravi!BN23:BN150,"Late")</f>
        <v>0</v>
      </c>
      <c r="AB61" s="36" t="str">
        <f t="shared" si="6"/>
        <v>-</v>
      </c>
      <c r="AC61" s="30">
        <f>COUNTIFS(State_Life!B18:B150,"&lt;&gt;",State_Life!BN18:BN150,"Present")</f>
        <v>0</v>
      </c>
      <c r="AD61" s="31">
        <f>COUNTIFS(State_Life!B18:B150,"&lt;&gt;",State_Life!BN18:BN150,"Absent")</f>
        <v>0</v>
      </c>
      <c r="AE61" s="32">
        <f>COUNTIFS(State_Life!B18:B150,"&lt;&gt;",State_Life!BN18:BN150,"Leave")</f>
        <v>0</v>
      </c>
      <c r="AF61" s="33">
        <f>COUNTIFS(State_Life!B18:B150,"&lt;&gt;",State_Life!BN18:BN150,"Late")</f>
        <v>0</v>
      </c>
      <c r="AG61" s="36" t="str">
        <f t="shared" si="7"/>
        <v>-</v>
      </c>
      <c r="AH61" s="51">
        <f t="shared" ref="AH61:AJ61" si="65">D61+I61+N61+S61+X61+AC61</f>
        <v>0</v>
      </c>
      <c r="AI61" s="51">
        <f t="shared" si="65"/>
        <v>0</v>
      </c>
      <c r="AJ61" s="51">
        <f t="shared" si="65"/>
        <v>0</v>
      </c>
      <c r="AK61" s="55" t="str">
        <f t="shared" si="9"/>
        <v>-</v>
      </c>
    </row>
    <row r="62" ht="18.0" customHeight="1">
      <c r="A62" s="10">
        <v>59.0</v>
      </c>
      <c r="B62" s="10" t="s">
        <v>358</v>
      </c>
      <c r="C62" s="10" t="s">
        <v>76</v>
      </c>
      <c r="D62" s="30">
        <f>COUNTIFS(Gulberg!B26:B149,"&lt;&gt;",Gulberg!BO26:BO149,"Present")</f>
        <v>0</v>
      </c>
      <c r="E62" s="31">
        <f>COUNTIFS(Gulberg!B26:B149,"&lt;&gt;",Gulberg!BO26:BO149,"Absent")</f>
        <v>0</v>
      </c>
      <c r="F62" s="32">
        <f>COUNTIFS(Gulberg!B26:B149,"&lt;&gt;",Gulberg!BO26:BO149,"Leave")</f>
        <v>0</v>
      </c>
      <c r="G62" s="33">
        <f>COUNTIFS(Gulberg!B26:B149,"&lt;&gt;",Gulberg!BO26:BO149,"Late")</f>
        <v>0</v>
      </c>
      <c r="H62" s="36" t="str">
        <f t="shared" si="2"/>
        <v>-</v>
      </c>
      <c r="I62" s="30">
        <f>COUNTIFS(Gulshan_Iqbal!B21:B150,"&lt;&gt;",Gulshan_Iqbal!BO21:BO150,"Present")</f>
        <v>0</v>
      </c>
      <c r="J62" s="31">
        <f>COUNTIFS(Gulshan_Iqbal!B21:B150,"&lt;&gt;",Gulshan_Iqbal!BO21:BO150,"Absent")</f>
        <v>0</v>
      </c>
      <c r="K62" s="32">
        <f>COUNTIFS(Gulshan_Iqbal!B21:B150,"&lt;&gt;",Gulshan_Iqbal!BO21:BO150,"Leave")</f>
        <v>0</v>
      </c>
      <c r="L62" s="33">
        <f>COUNTIFS(Gulshan_Iqbal!B21:B150,"&lt;&gt;",Gulshan_Iqbal!BO21:BO150,"Late")</f>
        <v>0</v>
      </c>
      <c r="M62" s="36" t="str">
        <f t="shared" si="3"/>
        <v>-</v>
      </c>
      <c r="N62" s="30">
        <f>COUNTIFS(Griffin!B16:B152,"&lt;&gt;",Griffin!BO16:BO152,"Present")</f>
        <v>0</v>
      </c>
      <c r="O62" s="31">
        <f>COUNTIFS(Griffin!B16:B152,"&lt;&gt;",Griffin!BO16:BO152,"Absent")</f>
        <v>0</v>
      </c>
      <c r="P62" s="32">
        <f>COUNTIFS(Griffin!B16:B152,"&lt;&gt;",Griffin!BO16:BO152,"Leave")</f>
        <v>0</v>
      </c>
      <c r="Q62" s="33">
        <f>COUNTIFS(Griffin!B16:B152,"&lt;&gt;",Griffin!BO16:BO152,"Late")</f>
        <v>0</v>
      </c>
      <c r="R62" s="36" t="str">
        <f t="shared" si="4"/>
        <v>-</v>
      </c>
      <c r="S62" s="30">
        <f>COUNTIFS(Johar_Town!B21:B164,"&lt;&gt;",Johar_Town!BO21:BO164,"Present")</f>
        <v>0</v>
      </c>
      <c r="T62" s="31">
        <f>COUNTIFS(Johar_Town!B21:B164,"&lt;&gt;",Johar_Town!BO21:BO164,"Absent")</f>
        <v>0</v>
      </c>
      <c r="U62" s="32">
        <f>COUNTIFS(Johar_Town!B21:B164,"&lt;&gt;",Johar_Town!BO21:BO164,"Leave")</f>
        <v>0</v>
      </c>
      <c r="V62" s="33">
        <f>COUNTIFS(Johar_Town!B21:B164,"&lt;&gt;",Johar_Town!BO21:BO164,"Late")</f>
        <v>0</v>
      </c>
      <c r="W62" s="36" t="str">
        <f t="shared" si="5"/>
        <v>-</v>
      </c>
      <c r="X62" s="30">
        <f>COUNTIFS(Gulshan_Ravi!B23:B150,"&lt;&gt;",Gulshan_Ravi!BO23:BO150,"Present")</f>
        <v>0</v>
      </c>
      <c r="Y62" s="31">
        <f>COUNTIFS(Gulshan_Ravi!B23:B150,"&lt;&gt;",Gulshan_Ravi!BO23:BO150,"Absent")</f>
        <v>0</v>
      </c>
      <c r="Z62" s="32">
        <f>COUNTIFS(Gulshan_Ravi!B23:B150,"&lt;&gt;",Gulshan_Ravi!BO23:BO150,"Leave")</f>
        <v>0</v>
      </c>
      <c r="AA62" s="33">
        <f>COUNTIFS(Gulshan_Ravi!B23:B150,"&lt;&gt;",Gulshan_Ravi!BO23:BO150,"Late")</f>
        <v>0</v>
      </c>
      <c r="AB62" s="36" t="str">
        <f t="shared" si="6"/>
        <v>-</v>
      </c>
      <c r="AC62" s="30">
        <f>COUNTIFS(State_Life!B18:B150,"&lt;&gt;",State_Life!BO18:BO150,"Present")</f>
        <v>0</v>
      </c>
      <c r="AD62" s="31">
        <f>COUNTIFS(State_Life!B18:B150,"&lt;&gt;",State_Life!BO18:BO150,"Absent")</f>
        <v>0</v>
      </c>
      <c r="AE62" s="32">
        <f>COUNTIFS(State_Life!B18:B150,"&lt;&gt;",State_Life!BO18:BO150,"Leave")</f>
        <v>0</v>
      </c>
      <c r="AF62" s="33">
        <f>COUNTIFS(State_Life!B18:B150,"&lt;&gt;",State_Life!BO18:BO150,"Late")</f>
        <v>0</v>
      </c>
      <c r="AG62" s="36" t="str">
        <f t="shared" si="7"/>
        <v>-</v>
      </c>
      <c r="AH62" s="51">
        <f t="shared" ref="AH62:AJ62" si="66">D62+I62+N62+S62+X62+AC62</f>
        <v>0</v>
      </c>
      <c r="AI62" s="51">
        <f t="shared" si="66"/>
        <v>0</v>
      </c>
      <c r="AJ62" s="51">
        <f t="shared" si="66"/>
        <v>0</v>
      </c>
      <c r="AK62" s="55" t="str">
        <f t="shared" si="9"/>
        <v>-</v>
      </c>
    </row>
    <row r="63" ht="18.0" customHeight="1">
      <c r="A63" s="20">
        <v>60.0</v>
      </c>
      <c r="B63" s="20" t="s">
        <v>359</v>
      </c>
      <c r="C63" s="20" t="s">
        <v>200</v>
      </c>
      <c r="D63" s="30">
        <f>COUNTIFS(Gulberg!B26:B149,"&lt;&gt;",Gulberg!BP26:BP149,"Present")</f>
        <v>0</v>
      </c>
      <c r="E63" s="31">
        <f>COUNTIFS(Gulberg!B26:B149,"&lt;&gt;",Gulberg!BP26:BP149,"Absent")</f>
        <v>0</v>
      </c>
      <c r="F63" s="32">
        <f>COUNTIFS(Gulberg!B26:B149,"&lt;&gt;",Gulberg!BP26:BP149,"Leave")</f>
        <v>0</v>
      </c>
      <c r="G63" s="33">
        <f>COUNTIFS(Gulberg!B26:B149,"&lt;&gt;",Gulberg!BP26:BP149,"Late")</f>
        <v>0</v>
      </c>
      <c r="H63" s="36" t="str">
        <f t="shared" si="2"/>
        <v>-</v>
      </c>
      <c r="I63" s="30">
        <f>COUNTIFS(Gulshan_Iqbal!B21:B150,"&lt;&gt;",Gulshan_Iqbal!BP21:BP150,"Present")</f>
        <v>0</v>
      </c>
      <c r="J63" s="31">
        <f>COUNTIFS(Gulshan_Iqbal!B21:B150,"&lt;&gt;",Gulshan_Iqbal!BP21:BP150,"Absent")</f>
        <v>0</v>
      </c>
      <c r="K63" s="32">
        <f>COUNTIFS(Gulshan_Iqbal!B21:B150,"&lt;&gt;",Gulshan_Iqbal!BP21:BP150,"Leave")</f>
        <v>0</v>
      </c>
      <c r="L63" s="33">
        <f>COUNTIFS(Gulshan_Iqbal!B21:B150,"&lt;&gt;",Gulshan_Iqbal!BP21:BP150,"Late")</f>
        <v>0</v>
      </c>
      <c r="M63" s="36" t="str">
        <f t="shared" si="3"/>
        <v>-</v>
      </c>
      <c r="N63" s="30">
        <f>COUNTIFS(Griffin!B16:B152,"&lt;&gt;",Griffin!BP16:BP152,"Present")</f>
        <v>0</v>
      </c>
      <c r="O63" s="31">
        <f>COUNTIFS(Griffin!B16:B152,"&lt;&gt;",Griffin!BP16:BP152,"Absent")</f>
        <v>0</v>
      </c>
      <c r="P63" s="32">
        <f>COUNTIFS(Griffin!B16:B152,"&lt;&gt;",Griffin!BP16:BP152,"Leave")</f>
        <v>0</v>
      </c>
      <c r="Q63" s="33">
        <f>COUNTIFS(Griffin!B16:B152,"&lt;&gt;",Griffin!BP16:BP152,"Late")</f>
        <v>0</v>
      </c>
      <c r="R63" s="36" t="str">
        <f t="shared" si="4"/>
        <v>-</v>
      </c>
      <c r="S63" s="30">
        <f>COUNTIFS(Johar_Town!B21:B164,"&lt;&gt;",Johar_Town!BP21:BP164,"Present")</f>
        <v>0</v>
      </c>
      <c r="T63" s="31">
        <f>COUNTIFS(Johar_Town!B21:B164,"&lt;&gt;",Johar_Town!BP21:BP164,"Absent")</f>
        <v>0</v>
      </c>
      <c r="U63" s="32">
        <f>COUNTIFS(Johar_Town!B21:B164,"&lt;&gt;",Johar_Town!BP21:BP164,"Leave")</f>
        <v>0</v>
      </c>
      <c r="V63" s="33">
        <f>COUNTIFS(Johar_Town!B21:B164,"&lt;&gt;",Johar_Town!BP21:BP164,"Late")</f>
        <v>0</v>
      </c>
      <c r="W63" s="36" t="str">
        <f t="shared" si="5"/>
        <v>-</v>
      </c>
      <c r="X63" s="30">
        <f>COUNTIFS(Gulshan_Ravi!B23:B150,"&lt;&gt;",Gulshan_Ravi!BP23:BP150,"Present")</f>
        <v>0</v>
      </c>
      <c r="Y63" s="31">
        <f>COUNTIFS(Gulshan_Ravi!B23:B150,"&lt;&gt;",Gulshan_Ravi!BP23:BP150,"Absent")</f>
        <v>0</v>
      </c>
      <c r="Z63" s="32">
        <f>COUNTIFS(Gulshan_Ravi!B23:B150,"&lt;&gt;",Gulshan_Ravi!BP23:BP150,"Leave")</f>
        <v>0</v>
      </c>
      <c r="AA63" s="33">
        <f>COUNTIFS(Gulshan_Ravi!B23:B150,"&lt;&gt;",Gulshan_Ravi!BP23:BP150,"Late")</f>
        <v>0</v>
      </c>
      <c r="AB63" s="36" t="str">
        <f t="shared" si="6"/>
        <v>-</v>
      </c>
      <c r="AC63" s="30">
        <f>COUNTIFS(State_Life!B18:B150,"&lt;&gt;",State_Life!BP18:BP150,"Present")</f>
        <v>0</v>
      </c>
      <c r="AD63" s="31">
        <f>COUNTIFS(State_Life!B18:B150,"&lt;&gt;",State_Life!BP18:BP150,"Absent")</f>
        <v>0</v>
      </c>
      <c r="AE63" s="32">
        <f>COUNTIFS(State_Life!B18:B150,"&lt;&gt;",State_Life!BP18:BP150,"Leave")</f>
        <v>0</v>
      </c>
      <c r="AF63" s="33">
        <f>COUNTIFS(State_Life!B18:B150,"&lt;&gt;",State_Life!BP18:BP150,"Late")</f>
        <v>0</v>
      </c>
      <c r="AG63" s="36" t="str">
        <f t="shared" si="7"/>
        <v>-</v>
      </c>
      <c r="AH63" s="51">
        <f t="shared" ref="AH63:AJ63" si="67">D63+I63+N63+S63+X63+AC63</f>
        <v>0</v>
      </c>
      <c r="AI63" s="51">
        <f t="shared" si="67"/>
        <v>0</v>
      </c>
      <c r="AJ63" s="51">
        <f t="shared" si="67"/>
        <v>0</v>
      </c>
      <c r="AK63" s="55" t="str">
        <f t="shared" si="9"/>
        <v>-</v>
      </c>
    </row>
    <row r="64" ht="18.0" customHeight="1">
      <c r="A64" s="10">
        <v>61.0</v>
      </c>
      <c r="B64" s="10" t="s">
        <v>364</v>
      </c>
      <c r="C64" s="10" t="s">
        <v>76</v>
      </c>
      <c r="D64" s="30">
        <f>COUNTIFS(Gulberg!B26:B149,"&lt;&gt;",Gulberg!BQ26:BQ149,"Present")</f>
        <v>0</v>
      </c>
      <c r="E64" s="31">
        <f>COUNTIFS(Gulberg!B26:B149,"&lt;&gt;",Gulberg!BQ26:BQ149,"Absent")</f>
        <v>0</v>
      </c>
      <c r="F64" s="32">
        <f>COUNTIFS(Gulberg!B26:B149,"&lt;&gt;",Gulberg!BQ26:BQ149,"Leave")</f>
        <v>0</v>
      </c>
      <c r="G64" s="33">
        <f>COUNTIFS(Gulberg!B26:B149,"&lt;&gt;",Gulberg!BQ26:BQ149,"Late")</f>
        <v>0</v>
      </c>
      <c r="H64" s="36" t="str">
        <f t="shared" si="2"/>
        <v>-</v>
      </c>
      <c r="I64" s="30">
        <f>COUNTIFS(Gulshan_Iqbal!B21:B150,"&lt;&gt;",Gulshan_Iqbal!BQ21:BQ150,"Present")</f>
        <v>0</v>
      </c>
      <c r="J64" s="31">
        <f>COUNTIFS(Gulshan_Iqbal!B21:B150,"&lt;&gt;",Gulshan_Iqbal!BQ21:BQ150,"Absent")</f>
        <v>0</v>
      </c>
      <c r="K64" s="32">
        <f>COUNTIFS(Gulshan_Iqbal!B21:B150,"&lt;&gt;",Gulshan_Iqbal!BQ21:BQ150,"Leave")</f>
        <v>0</v>
      </c>
      <c r="L64" s="33">
        <f>COUNTIFS(Gulshan_Iqbal!B21:B150,"&lt;&gt;",Gulshan_Iqbal!BQ21:BQ150,"Late")</f>
        <v>0</v>
      </c>
      <c r="M64" s="36" t="str">
        <f t="shared" si="3"/>
        <v>-</v>
      </c>
      <c r="N64" s="30">
        <f>COUNTIFS(Griffin!B16:B152,"&lt;&gt;",Griffin!BQ16:BQ152,"Present")</f>
        <v>0</v>
      </c>
      <c r="O64" s="31">
        <f>COUNTIFS(Griffin!B16:B152,"&lt;&gt;",Griffin!BQ16:BQ152,"Absent")</f>
        <v>0</v>
      </c>
      <c r="P64" s="32">
        <f>COUNTIFS(Griffin!B16:B152,"&lt;&gt;",Griffin!BQ16:BQ152,"Leave")</f>
        <v>0</v>
      </c>
      <c r="Q64" s="33">
        <f>COUNTIFS(Griffin!B16:B152,"&lt;&gt;",Griffin!BQ16:BQ152,"Late")</f>
        <v>0</v>
      </c>
      <c r="R64" s="36" t="str">
        <f t="shared" si="4"/>
        <v>-</v>
      </c>
      <c r="S64" s="30">
        <f>COUNTIFS(Johar_Town!B21:B164,"&lt;&gt;",Johar_Town!BQ21:BQ164,"Present")</f>
        <v>0</v>
      </c>
      <c r="T64" s="31">
        <f>COUNTIFS(Johar_Town!B21:B164,"&lt;&gt;",Johar_Town!BQ21:BQ164,"Absent")</f>
        <v>0</v>
      </c>
      <c r="U64" s="32">
        <f>COUNTIFS(Johar_Town!B21:B164,"&lt;&gt;",Johar_Town!BQ21:BQ164,"Leave")</f>
        <v>0</v>
      </c>
      <c r="V64" s="33">
        <f>COUNTIFS(Johar_Town!B21:B164,"&lt;&gt;",Johar_Town!BQ21:BQ164,"Late")</f>
        <v>0</v>
      </c>
      <c r="W64" s="36" t="str">
        <f t="shared" si="5"/>
        <v>-</v>
      </c>
      <c r="X64" s="30">
        <f>COUNTIFS(Gulshan_Ravi!B23:B150,"&lt;&gt;",Gulshan_Ravi!BQ23:BQ150,"Present")</f>
        <v>0</v>
      </c>
      <c r="Y64" s="31">
        <f>COUNTIFS(Gulshan_Ravi!B23:B150,"&lt;&gt;",Gulshan_Ravi!BQ23:BQ150,"Absent")</f>
        <v>0</v>
      </c>
      <c r="Z64" s="32">
        <f>COUNTIFS(Gulshan_Ravi!B23:B150,"&lt;&gt;",Gulshan_Ravi!BQ23:BQ150,"Leave")</f>
        <v>0</v>
      </c>
      <c r="AA64" s="33">
        <f>COUNTIFS(Gulshan_Ravi!B23:B150,"&lt;&gt;",Gulshan_Ravi!BQ23:BQ150,"Late")</f>
        <v>0</v>
      </c>
      <c r="AB64" s="36" t="str">
        <f t="shared" si="6"/>
        <v>-</v>
      </c>
      <c r="AC64" s="30">
        <f>COUNTIFS(State_Life!B18:B150,"&lt;&gt;",State_Life!BQ18:BQ150,"Present")</f>
        <v>0</v>
      </c>
      <c r="AD64" s="31">
        <f>COUNTIFS(State_Life!B18:B150,"&lt;&gt;",State_Life!BQ18:BQ150,"Absent")</f>
        <v>0</v>
      </c>
      <c r="AE64" s="32">
        <f>COUNTIFS(State_Life!B18:B150,"&lt;&gt;",State_Life!BQ18:BQ150,"Leave")</f>
        <v>0</v>
      </c>
      <c r="AF64" s="33">
        <f>COUNTIFS(State_Life!B18:B150,"&lt;&gt;",State_Life!BQ18:BQ150,"Late")</f>
        <v>0</v>
      </c>
      <c r="AG64" s="36" t="str">
        <f t="shared" si="7"/>
        <v>-</v>
      </c>
      <c r="AH64" s="51">
        <f t="shared" ref="AH64:AJ64" si="68">D64+I64+N64+S64+X64+AC64</f>
        <v>0</v>
      </c>
      <c r="AI64" s="51">
        <f t="shared" si="68"/>
        <v>0</v>
      </c>
      <c r="AJ64" s="51">
        <f t="shared" si="68"/>
        <v>0</v>
      </c>
      <c r="AK64" s="55" t="str">
        <f t="shared" si="9"/>
        <v>-</v>
      </c>
    </row>
    <row r="65" ht="18.0" customHeight="1">
      <c r="A65" s="20">
        <v>62.0</v>
      </c>
      <c r="B65" s="20" t="s">
        <v>365</v>
      </c>
      <c r="C65" s="20" t="s">
        <v>200</v>
      </c>
      <c r="D65" s="30">
        <f>COUNTIFS(Gulberg!B26:B149,"&lt;&gt;",Gulberg!BR26:BR149,"Present")</f>
        <v>0</v>
      </c>
      <c r="E65" s="31">
        <f>COUNTIFS(Gulberg!B26:B149,"&lt;&gt;",Gulberg!BR26:BR149,"Absent")</f>
        <v>0</v>
      </c>
      <c r="F65" s="32">
        <f>COUNTIFS(Gulberg!B26:B149,"&lt;&gt;",Gulberg!BR26:BR149,"Leave")</f>
        <v>0</v>
      </c>
      <c r="G65" s="33">
        <f>COUNTIFS(Gulberg!B26:B149,"&lt;&gt;",Gulberg!BR26:BR149,"Late")</f>
        <v>0</v>
      </c>
      <c r="H65" s="36" t="str">
        <f t="shared" si="2"/>
        <v>-</v>
      </c>
      <c r="I65" s="30">
        <f>COUNTIFS(Gulshan_Iqbal!B21:B150,"&lt;&gt;",Gulshan_Iqbal!BR21:BR150,"Present")</f>
        <v>0</v>
      </c>
      <c r="J65" s="31">
        <f>COUNTIFS(Gulshan_Iqbal!B21:B150,"&lt;&gt;",Gulshan_Iqbal!BR21:BR150,"Absent")</f>
        <v>0</v>
      </c>
      <c r="K65" s="32">
        <f>COUNTIFS(Gulshan_Iqbal!B21:B150,"&lt;&gt;",Gulshan_Iqbal!BR21:BR150,"Leave")</f>
        <v>0</v>
      </c>
      <c r="L65" s="33">
        <f>COUNTIFS(Gulshan_Iqbal!B21:B150,"&lt;&gt;",Gulshan_Iqbal!BR21:BR150,"Late")</f>
        <v>0</v>
      </c>
      <c r="M65" s="36" t="str">
        <f t="shared" si="3"/>
        <v>-</v>
      </c>
      <c r="N65" s="30">
        <f>COUNTIFS(Griffin!B16:B152,"&lt;&gt;",Griffin!BR16:BR152,"Present")</f>
        <v>0</v>
      </c>
      <c r="O65" s="31">
        <f>COUNTIFS(Griffin!B16:B152,"&lt;&gt;",Griffin!BR16:BR152,"Absent")</f>
        <v>0</v>
      </c>
      <c r="P65" s="32">
        <f>COUNTIFS(Griffin!B16:B152,"&lt;&gt;",Griffin!BR16:BR152,"Leave")</f>
        <v>0</v>
      </c>
      <c r="Q65" s="33">
        <f>COUNTIFS(Griffin!B16:B152,"&lt;&gt;",Griffin!BR16:BR152,"Late")</f>
        <v>0</v>
      </c>
      <c r="R65" s="36" t="str">
        <f t="shared" si="4"/>
        <v>-</v>
      </c>
      <c r="S65" s="30">
        <f>COUNTIFS(Johar_Town!B21:B164,"&lt;&gt;",Johar_Town!BR21:BR164,"Present")</f>
        <v>0</v>
      </c>
      <c r="T65" s="31">
        <f>COUNTIFS(Johar_Town!B21:B164,"&lt;&gt;",Johar_Town!BR21:BR164,"Absent")</f>
        <v>0</v>
      </c>
      <c r="U65" s="32">
        <f>COUNTIFS(Johar_Town!B21:B164,"&lt;&gt;",Johar_Town!BR21:BR164,"Leave")</f>
        <v>0</v>
      </c>
      <c r="V65" s="33">
        <f>COUNTIFS(Johar_Town!B21:B164,"&lt;&gt;",Johar_Town!BR21:BR164,"Late")</f>
        <v>0</v>
      </c>
      <c r="W65" s="36" t="str">
        <f t="shared" si="5"/>
        <v>-</v>
      </c>
      <c r="X65" s="30">
        <f>COUNTIFS(Gulshan_Ravi!B23:B150,"&lt;&gt;",Gulshan_Ravi!BR23:BR150,"Present")</f>
        <v>0</v>
      </c>
      <c r="Y65" s="31">
        <f>COUNTIFS(Gulshan_Ravi!B23:B150,"&lt;&gt;",Gulshan_Ravi!BR23:BR150,"Absent")</f>
        <v>0</v>
      </c>
      <c r="Z65" s="32">
        <f>COUNTIFS(Gulshan_Ravi!B23:B150,"&lt;&gt;",Gulshan_Ravi!BR23:BR150,"Leave")</f>
        <v>0</v>
      </c>
      <c r="AA65" s="33">
        <f>COUNTIFS(Gulshan_Ravi!B23:B150,"&lt;&gt;",Gulshan_Ravi!BR23:BR150,"Late")</f>
        <v>0</v>
      </c>
      <c r="AB65" s="36" t="str">
        <f t="shared" si="6"/>
        <v>-</v>
      </c>
      <c r="AC65" s="30">
        <f>COUNTIFS(State_Life!B18:B150,"&lt;&gt;",State_Life!BR18:BR150,"Present")</f>
        <v>0</v>
      </c>
      <c r="AD65" s="31">
        <f>COUNTIFS(State_Life!B18:B150,"&lt;&gt;",State_Life!BR18:BR150,"Absent")</f>
        <v>0</v>
      </c>
      <c r="AE65" s="32">
        <f>COUNTIFS(State_Life!B18:B150,"&lt;&gt;",State_Life!BR18:BR150,"Leave")</f>
        <v>0</v>
      </c>
      <c r="AF65" s="33">
        <f>COUNTIFS(State_Life!B18:B150,"&lt;&gt;",State_Life!BR18:BR150,"Late")</f>
        <v>0</v>
      </c>
      <c r="AG65" s="36" t="str">
        <f t="shared" si="7"/>
        <v>-</v>
      </c>
      <c r="AH65" s="51">
        <f t="shared" ref="AH65:AJ65" si="69">D65+I65+N65+S65+X65+AC65</f>
        <v>0</v>
      </c>
      <c r="AI65" s="51">
        <f t="shared" si="69"/>
        <v>0</v>
      </c>
      <c r="AJ65" s="51">
        <f t="shared" si="69"/>
        <v>0</v>
      </c>
      <c r="AK65" s="55" t="str">
        <f t="shared" si="9"/>
        <v>-</v>
      </c>
    </row>
    <row r="66" ht="18.0" customHeight="1">
      <c r="A66" s="10">
        <v>63.0</v>
      </c>
      <c r="B66" s="10" t="s">
        <v>367</v>
      </c>
      <c r="C66" s="10" t="s">
        <v>76</v>
      </c>
      <c r="D66" s="30">
        <f>COUNTIFS(Gulberg!B26:B149,"&lt;&gt;",Gulberg!BS26:BS149,"Present")</f>
        <v>0</v>
      </c>
      <c r="E66" s="31">
        <f>COUNTIFS(Gulberg!B26:B149,"&lt;&gt;",Gulberg!BS26:BS149,"Absent")</f>
        <v>0</v>
      </c>
      <c r="F66" s="32">
        <f>COUNTIFS(Gulberg!B26:B149,"&lt;&gt;",Gulberg!BS26:BS149,"Leave")</f>
        <v>0</v>
      </c>
      <c r="G66" s="33">
        <f>COUNTIFS(Gulberg!B26:B149,"&lt;&gt;",Gulberg!BS26:BS149,"Late")</f>
        <v>0</v>
      </c>
      <c r="H66" s="36" t="str">
        <f t="shared" si="2"/>
        <v>-</v>
      </c>
      <c r="I66" s="30">
        <f>COUNTIFS(Gulshan_Iqbal!B21:B150,"&lt;&gt;",Gulshan_Iqbal!BS21:BS150,"Present")</f>
        <v>0</v>
      </c>
      <c r="J66" s="31">
        <f>COUNTIFS(Gulshan_Iqbal!B21:B150,"&lt;&gt;",Gulshan_Iqbal!BS21:BS150,"Absent")</f>
        <v>0</v>
      </c>
      <c r="K66" s="32">
        <f>COUNTIFS(Gulshan_Iqbal!B21:B150,"&lt;&gt;",Gulshan_Iqbal!BS21:BS150,"Leave")</f>
        <v>0</v>
      </c>
      <c r="L66" s="33">
        <f>COUNTIFS(Gulshan_Iqbal!B21:B150,"&lt;&gt;",Gulshan_Iqbal!BS21:BS150,"Late")</f>
        <v>0</v>
      </c>
      <c r="M66" s="36" t="str">
        <f t="shared" si="3"/>
        <v>-</v>
      </c>
      <c r="N66" s="30">
        <f>COUNTIFS(Griffin!B16:B152,"&lt;&gt;",Griffin!BS16:BS152,"Present")</f>
        <v>0</v>
      </c>
      <c r="O66" s="31">
        <f>COUNTIFS(Griffin!B16:B152,"&lt;&gt;",Griffin!BS16:BS152,"Absent")</f>
        <v>0</v>
      </c>
      <c r="P66" s="32">
        <f>COUNTIFS(Griffin!B16:B152,"&lt;&gt;",Griffin!BS16:BS152,"Leave")</f>
        <v>0</v>
      </c>
      <c r="Q66" s="33">
        <f>COUNTIFS(Griffin!B16:B152,"&lt;&gt;",Griffin!BS16:BS152,"Late")</f>
        <v>0</v>
      </c>
      <c r="R66" s="36" t="str">
        <f t="shared" si="4"/>
        <v>-</v>
      </c>
      <c r="S66" s="30">
        <f>COUNTIFS(Johar_Town!B21:B164,"&lt;&gt;",Johar_Town!BS21:BS164,"Present")</f>
        <v>0</v>
      </c>
      <c r="T66" s="31">
        <f>COUNTIFS(Johar_Town!B21:B164,"&lt;&gt;",Johar_Town!BS21:BS164,"Absent")</f>
        <v>0</v>
      </c>
      <c r="U66" s="32">
        <f>COUNTIFS(Johar_Town!B21:B164,"&lt;&gt;",Johar_Town!BS21:BS164,"Leave")</f>
        <v>0</v>
      </c>
      <c r="V66" s="33">
        <f>COUNTIFS(Johar_Town!B21:B164,"&lt;&gt;",Johar_Town!BS21:BS164,"Late")</f>
        <v>0</v>
      </c>
      <c r="W66" s="36" t="str">
        <f t="shared" si="5"/>
        <v>-</v>
      </c>
      <c r="X66" s="30">
        <f>COUNTIFS(Gulshan_Ravi!B23:B150,"&lt;&gt;",Gulshan_Ravi!BS23:BS150,"Present")</f>
        <v>0</v>
      </c>
      <c r="Y66" s="31">
        <f>COUNTIFS(Gulshan_Ravi!B23:B150,"&lt;&gt;",Gulshan_Ravi!BS23:BS150,"Absent")</f>
        <v>0</v>
      </c>
      <c r="Z66" s="32">
        <f>COUNTIFS(Gulshan_Ravi!B23:B150,"&lt;&gt;",Gulshan_Ravi!BS23:BS150,"Leave")</f>
        <v>0</v>
      </c>
      <c r="AA66" s="33">
        <f>COUNTIFS(Gulshan_Ravi!B23:B150,"&lt;&gt;",Gulshan_Ravi!BS23:BS150,"Late")</f>
        <v>0</v>
      </c>
      <c r="AB66" s="36" t="str">
        <f t="shared" si="6"/>
        <v>-</v>
      </c>
      <c r="AC66" s="30">
        <f>COUNTIFS(State_Life!B18:B150,"&lt;&gt;",State_Life!BS18:BS150,"Present")</f>
        <v>0</v>
      </c>
      <c r="AD66" s="31">
        <f>COUNTIFS(State_Life!B18:B150,"&lt;&gt;",State_Life!BS18:BS150,"Absent")</f>
        <v>0</v>
      </c>
      <c r="AE66" s="32">
        <f>COUNTIFS(State_Life!B18:B150,"&lt;&gt;",State_Life!BS18:BS150,"Leave")</f>
        <v>0</v>
      </c>
      <c r="AF66" s="33">
        <f>COUNTIFS(State_Life!B18:B150,"&lt;&gt;",State_Life!BS18:BS150,"Late")</f>
        <v>0</v>
      </c>
      <c r="AG66" s="36" t="str">
        <f t="shared" si="7"/>
        <v>-</v>
      </c>
      <c r="AH66" s="51">
        <f t="shared" ref="AH66:AJ66" si="70">D66+I66+N66+S66+X66+AC66</f>
        <v>0</v>
      </c>
      <c r="AI66" s="51">
        <f t="shared" si="70"/>
        <v>0</v>
      </c>
      <c r="AJ66" s="51">
        <f t="shared" si="70"/>
        <v>0</v>
      </c>
      <c r="AK66" s="55" t="str">
        <f t="shared" si="9"/>
        <v>-</v>
      </c>
    </row>
    <row r="67" ht="18.0" customHeight="1">
      <c r="A67" s="20">
        <v>64.0</v>
      </c>
      <c r="B67" s="20" t="s">
        <v>368</v>
      </c>
      <c r="C67" s="20" t="s">
        <v>200</v>
      </c>
      <c r="D67" s="30">
        <f>COUNTIFS(Gulberg!B26:B149,"&lt;&gt;",Gulberg!BT26:BT149,"Present")</f>
        <v>0</v>
      </c>
      <c r="E67" s="31">
        <f>COUNTIFS(Gulberg!B26:B149,"&lt;&gt;",Gulberg!BT26:BT149,"Absent")</f>
        <v>0</v>
      </c>
      <c r="F67" s="32">
        <f>COUNTIFS(Gulberg!B26:B149,"&lt;&gt;",Gulberg!BT26:BT149,"Leave")</f>
        <v>0</v>
      </c>
      <c r="G67" s="33">
        <f>COUNTIFS(Gulberg!B26:B149,"&lt;&gt;",Gulberg!BT26:BT149,"Late")</f>
        <v>0</v>
      </c>
      <c r="H67" s="36" t="str">
        <f t="shared" si="2"/>
        <v>-</v>
      </c>
      <c r="I67" s="30">
        <f>COUNTIFS(Gulshan_Iqbal!B21:B150,"&lt;&gt;",Gulshan_Iqbal!BT21:BT150,"Present")</f>
        <v>0</v>
      </c>
      <c r="J67" s="31">
        <f>COUNTIFS(Gulshan_Iqbal!B21:B150,"&lt;&gt;",Gulshan_Iqbal!BT21:BT150,"Absent")</f>
        <v>0</v>
      </c>
      <c r="K67" s="32">
        <f>COUNTIFS(Gulshan_Iqbal!B21:B150,"&lt;&gt;",Gulshan_Iqbal!BT21:BT150,"Leave")</f>
        <v>0</v>
      </c>
      <c r="L67" s="33">
        <f>COUNTIFS(Gulshan_Iqbal!B21:B150,"&lt;&gt;",Gulshan_Iqbal!BT21:BT150,"Late")</f>
        <v>0</v>
      </c>
      <c r="M67" s="36" t="str">
        <f t="shared" si="3"/>
        <v>-</v>
      </c>
      <c r="N67" s="30">
        <f>COUNTIFS(Griffin!B16:B152,"&lt;&gt;",Griffin!BT16:BT152,"Present")</f>
        <v>0</v>
      </c>
      <c r="O67" s="31">
        <f>COUNTIFS(Griffin!B16:B152,"&lt;&gt;",Griffin!BT16:BT152,"Absent")</f>
        <v>0</v>
      </c>
      <c r="P67" s="32">
        <f>COUNTIFS(Griffin!B16:B152,"&lt;&gt;",Griffin!BT16:BT152,"Leave")</f>
        <v>0</v>
      </c>
      <c r="Q67" s="33">
        <f>COUNTIFS(Griffin!B16:B152,"&lt;&gt;",Griffin!BT16:BT152,"Late")</f>
        <v>0</v>
      </c>
      <c r="R67" s="36" t="str">
        <f t="shared" si="4"/>
        <v>-</v>
      </c>
      <c r="S67" s="30">
        <f>COUNTIFS(Johar_Town!B21:B164,"&lt;&gt;",Johar_Town!BT21:BT164,"Present")</f>
        <v>0</v>
      </c>
      <c r="T67" s="31">
        <f>COUNTIFS(Johar_Town!B21:B164,"&lt;&gt;",Johar_Town!BT21:BT164,"Absent")</f>
        <v>0</v>
      </c>
      <c r="U67" s="32">
        <f>COUNTIFS(Johar_Town!B21:B164,"&lt;&gt;",Johar_Town!BT21:BT164,"Leave")</f>
        <v>0</v>
      </c>
      <c r="V67" s="33">
        <f>COUNTIFS(Johar_Town!B21:B164,"&lt;&gt;",Johar_Town!BT21:BT164,"Late")</f>
        <v>0</v>
      </c>
      <c r="W67" s="36" t="str">
        <f t="shared" si="5"/>
        <v>-</v>
      </c>
      <c r="X67" s="30">
        <f>COUNTIFS(Gulshan_Ravi!B23:B150,"&lt;&gt;",Gulshan_Ravi!BT23:BT150,"Present")</f>
        <v>0</v>
      </c>
      <c r="Y67" s="31">
        <f>COUNTIFS(Gulshan_Ravi!B23:B150,"&lt;&gt;",Gulshan_Ravi!BT23:BT150,"Absent")</f>
        <v>0</v>
      </c>
      <c r="Z67" s="32">
        <f>COUNTIFS(Gulshan_Ravi!B23:B150,"&lt;&gt;",Gulshan_Ravi!BT23:BT150,"Leave")</f>
        <v>0</v>
      </c>
      <c r="AA67" s="33">
        <f>COUNTIFS(Gulshan_Ravi!B23:B150,"&lt;&gt;",Gulshan_Ravi!BT23:BT150,"Late")</f>
        <v>0</v>
      </c>
      <c r="AB67" s="36" t="str">
        <f t="shared" si="6"/>
        <v>-</v>
      </c>
      <c r="AC67" s="30">
        <f>COUNTIFS(State_Life!B18:B150,"&lt;&gt;",State_Life!BT18:BT150,"Present")</f>
        <v>0</v>
      </c>
      <c r="AD67" s="31">
        <f>COUNTIFS(State_Life!B18:B150,"&lt;&gt;",State_Life!BT18:BT150,"Absent")</f>
        <v>0</v>
      </c>
      <c r="AE67" s="32">
        <f>COUNTIFS(State_Life!B18:B150,"&lt;&gt;",State_Life!BT18:BT150,"Leave")</f>
        <v>0</v>
      </c>
      <c r="AF67" s="33">
        <f>COUNTIFS(State_Life!B18:B150,"&lt;&gt;",State_Life!BT18:BT150,"Late")</f>
        <v>0</v>
      </c>
      <c r="AG67" s="36" t="str">
        <f t="shared" si="7"/>
        <v>-</v>
      </c>
      <c r="AH67" s="51">
        <f t="shared" ref="AH67:AJ67" si="71">D67+I67+N67+S67+X67+AC67</f>
        <v>0</v>
      </c>
      <c r="AI67" s="51">
        <f t="shared" si="71"/>
        <v>0</v>
      </c>
      <c r="AJ67" s="51">
        <f t="shared" si="71"/>
        <v>0</v>
      </c>
      <c r="AK67" s="55" t="str">
        <f t="shared" si="9"/>
        <v>-</v>
      </c>
    </row>
    <row r="68" ht="18.0" customHeight="1">
      <c r="A68" s="10">
        <v>65.0</v>
      </c>
      <c r="B68" s="10" t="s">
        <v>370</v>
      </c>
      <c r="C68" s="10" t="s">
        <v>76</v>
      </c>
      <c r="D68" s="30">
        <f>COUNTIFS(Gulberg!B26:B149,"&lt;&gt;",Gulberg!BU26:BU149,"Present")</f>
        <v>0</v>
      </c>
      <c r="E68" s="31">
        <f>COUNTIFS(Gulberg!B26:B149,"&lt;&gt;",Gulberg!BU26:BU149,"Absent")</f>
        <v>0</v>
      </c>
      <c r="F68" s="32">
        <f>COUNTIFS(Gulberg!B26:B149,"&lt;&gt;",Gulberg!BU26:BU149,"Leave")</f>
        <v>0</v>
      </c>
      <c r="G68" s="33">
        <f>COUNTIFS(Gulberg!B26:B149,"&lt;&gt;",Gulberg!BU26:BU149,"Late")</f>
        <v>0</v>
      </c>
      <c r="H68" s="36" t="str">
        <f t="shared" si="2"/>
        <v>-</v>
      </c>
      <c r="I68" s="30">
        <f>COUNTIFS(Gulshan_Iqbal!B21:B150,"&lt;&gt;",Gulshan_Iqbal!BU21:BU150,"Present")</f>
        <v>0</v>
      </c>
      <c r="J68" s="31">
        <f>COUNTIFS(Gulshan_Iqbal!B21:B150,"&lt;&gt;",Gulshan_Iqbal!BU21:BU150,"Absent")</f>
        <v>0</v>
      </c>
      <c r="K68" s="32">
        <f>COUNTIFS(Gulshan_Iqbal!B21:B150,"&lt;&gt;",Gulshan_Iqbal!BU21:BU150,"Leave")</f>
        <v>0</v>
      </c>
      <c r="L68" s="33">
        <f>COUNTIFS(Gulshan_Iqbal!B21:B150,"&lt;&gt;",Gulshan_Iqbal!BU21:BU150,"Late")</f>
        <v>0</v>
      </c>
      <c r="M68" s="36" t="str">
        <f t="shared" si="3"/>
        <v>-</v>
      </c>
      <c r="N68" s="30">
        <f>COUNTIFS(Griffin!B16:B152,"&lt;&gt;",Griffin!BU16:BU152,"Present")</f>
        <v>0</v>
      </c>
      <c r="O68" s="31">
        <f>COUNTIFS(Griffin!B16:B152,"&lt;&gt;",Griffin!BU16:BU152,"Absent")</f>
        <v>0</v>
      </c>
      <c r="P68" s="32">
        <f>COUNTIFS(Griffin!B16:B152,"&lt;&gt;",Griffin!BU16:BU152,"Leave")</f>
        <v>0</v>
      </c>
      <c r="Q68" s="33">
        <f>COUNTIFS(Griffin!B16:B152,"&lt;&gt;",Griffin!BU16:BU152,"Late")</f>
        <v>0</v>
      </c>
      <c r="R68" s="36" t="str">
        <f t="shared" si="4"/>
        <v>-</v>
      </c>
      <c r="S68" s="30">
        <f>COUNTIFS(Johar_Town!B21:B164,"&lt;&gt;",Johar_Town!BU21:BU164,"Present")</f>
        <v>0</v>
      </c>
      <c r="T68" s="31">
        <f>COUNTIFS(Johar_Town!B21:B164,"&lt;&gt;",Johar_Town!BU21:BU164,"Absent")</f>
        <v>0</v>
      </c>
      <c r="U68" s="32">
        <f>COUNTIFS(Johar_Town!B21:B164,"&lt;&gt;",Johar_Town!BU21:BU164,"Leave")</f>
        <v>0</v>
      </c>
      <c r="V68" s="33">
        <f>COUNTIFS(Johar_Town!B21:B164,"&lt;&gt;",Johar_Town!BU21:BU164,"Late")</f>
        <v>0</v>
      </c>
      <c r="W68" s="36" t="str">
        <f t="shared" si="5"/>
        <v>-</v>
      </c>
      <c r="X68" s="30">
        <f>COUNTIFS(Gulshan_Ravi!B23:B150,"&lt;&gt;",Gulshan_Ravi!BU23:BU150,"Present")</f>
        <v>0</v>
      </c>
      <c r="Y68" s="31">
        <f>COUNTIFS(Gulshan_Ravi!B23:B150,"&lt;&gt;",Gulshan_Ravi!BU23:BU150,"Absent")</f>
        <v>0</v>
      </c>
      <c r="Z68" s="32">
        <f>COUNTIFS(Gulshan_Ravi!B23:B150,"&lt;&gt;",Gulshan_Ravi!BU23:BU150,"Leave")</f>
        <v>0</v>
      </c>
      <c r="AA68" s="33">
        <f>COUNTIFS(Gulshan_Ravi!B23:B150,"&lt;&gt;",Gulshan_Ravi!BU23:BU150,"Late")</f>
        <v>0</v>
      </c>
      <c r="AB68" s="36" t="str">
        <f t="shared" si="6"/>
        <v>-</v>
      </c>
      <c r="AC68" s="30">
        <f>COUNTIFS(State_Life!B18:B150,"&lt;&gt;",State_Life!BU18:BU150,"Present")</f>
        <v>0</v>
      </c>
      <c r="AD68" s="31">
        <f>COUNTIFS(State_Life!B18:B150,"&lt;&gt;",State_Life!BU18:BU150,"Absent")</f>
        <v>0</v>
      </c>
      <c r="AE68" s="32">
        <f>COUNTIFS(State_Life!B18:B150,"&lt;&gt;",State_Life!BU18:BU150,"Leave")</f>
        <v>0</v>
      </c>
      <c r="AF68" s="33">
        <f>COUNTIFS(State_Life!B18:B150,"&lt;&gt;",State_Life!BU18:BU150,"Late")</f>
        <v>0</v>
      </c>
      <c r="AG68" s="36" t="str">
        <f t="shared" si="7"/>
        <v>-</v>
      </c>
      <c r="AH68" s="51">
        <f t="shared" ref="AH68:AJ68" si="72">D68+I68+N68+S68+X68+AC68</f>
        <v>0</v>
      </c>
      <c r="AI68" s="51">
        <f t="shared" si="72"/>
        <v>0</v>
      </c>
      <c r="AJ68" s="51">
        <f t="shared" si="72"/>
        <v>0</v>
      </c>
      <c r="AK68" s="55" t="str">
        <f t="shared" si="9"/>
        <v>-</v>
      </c>
    </row>
    <row r="69" ht="18.0" customHeight="1">
      <c r="A69" s="20">
        <v>66.0</v>
      </c>
      <c r="B69" s="20" t="s">
        <v>371</v>
      </c>
      <c r="C69" s="20" t="s">
        <v>200</v>
      </c>
      <c r="D69" s="30">
        <f>COUNTIFS(Gulberg!B26:B149,"&lt;&gt;",Gulberg!BV26:BV149,"Present")</f>
        <v>0</v>
      </c>
      <c r="E69" s="31">
        <f>COUNTIFS(Gulberg!B26:B149,"&lt;&gt;",Gulberg!BV26:BV149,"Absent")</f>
        <v>0</v>
      </c>
      <c r="F69" s="32">
        <f>COUNTIFS(Gulberg!B26:B149,"&lt;&gt;",Gulberg!BV26:BV149,"Leave")</f>
        <v>0</v>
      </c>
      <c r="G69" s="33">
        <f>COUNTIFS(Gulberg!B26:B149,"&lt;&gt;",Gulberg!BV26:BV149,"Late")</f>
        <v>0</v>
      </c>
      <c r="H69" s="36" t="str">
        <f t="shared" si="2"/>
        <v>-</v>
      </c>
      <c r="I69" s="30">
        <f>COUNTIFS(Gulshan_Iqbal!B21:B150,"&lt;&gt;",Gulshan_Iqbal!BV21:BV150,"Present")</f>
        <v>0</v>
      </c>
      <c r="J69" s="31">
        <f>COUNTIFS(Gulshan_Iqbal!B21:B150,"&lt;&gt;",Gulshan_Iqbal!BV21:BV150,"Absent")</f>
        <v>0</v>
      </c>
      <c r="K69" s="32">
        <f>COUNTIFS(Gulshan_Iqbal!B21:B150,"&lt;&gt;",Gulshan_Iqbal!BV21:BV150,"Leave")</f>
        <v>0</v>
      </c>
      <c r="L69" s="33">
        <f>COUNTIFS(Gulshan_Iqbal!B21:B150,"&lt;&gt;",Gulshan_Iqbal!BV21:BV150,"Late")</f>
        <v>0</v>
      </c>
      <c r="M69" s="36" t="str">
        <f t="shared" si="3"/>
        <v>-</v>
      </c>
      <c r="N69" s="30">
        <f>COUNTIFS(Griffin!B16:B152,"&lt;&gt;",Griffin!BV16:BV152,"Present")</f>
        <v>0</v>
      </c>
      <c r="O69" s="31">
        <f>COUNTIFS(Griffin!B16:B152,"&lt;&gt;",Griffin!BV16:BV152,"Absent")</f>
        <v>0</v>
      </c>
      <c r="P69" s="32">
        <f>COUNTIFS(Griffin!B16:B152,"&lt;&gt;",Griffin!BV16:BV152,"Leave")</f>
        <v>0</v>
      </c>
      <c r="Q69" s="33">
        <f>COUNTIFS(Griffin!B16:B152,"&lt;&gt;",Griffin!BV16:BV152,"Late")</f>
        <v>0</v>
      </c>
      <c r="R69" s="36" t="str">
        <f t="shared" si="4"/>
        <v>-</v>
      </c>
      <c r="S69" s="30">
        <f>COUNTIFS(Johar_Town!B21:B164,"&lt;&gt;",Johar_Town!BV21:BV164,"Present")</f>
        <v>0</v>
      </c>
      <c r="T69" s="31">
        <f>COUNTIFS(Johar_Town!B21:B164,"&lt;&gt;",Johar_Town!BV21:BV164,"Absent")</f>
        <v>0</v>
      </c>
      <c r="U69" s="32">
        <f>COUNTIFS(Johar_Town!B21:B164,"&lt;&gt;",Johar_Town!BV21:BV164,"Leave")</f>
        <v>0</v>
      </c>
      <c r="V69" s="33">
        <f>COUNTIFS(Johar_Town!B21:B164,"&lt;&gt;",Johar_Town!BV21:BV164,"Late")</f>
        <v>0</v>
      </c>
      <c r="W69" s="36" t="str">
        <f t="shared" si="5"/>
        <v>-</v>
      </c>
      <c r="X69" s="30">
        <f>COUNTIFS(Gulshan_Ravi!B23:B150,"&lt;&gt;",Gulshan_Ravi!BV23:BV150,"Present")</f>
        <v>0</v>
      </c>
      <c r="Y69" s="31">
        <f>COUNTIFS(Gulshan_Ravi!B23:B150,"&lt;&gt;",Gulshan_Ravi!BV23:BV150,"Absent")</f>
        <v>0</v>
      </c>
      <c r="Z69" s="32">
        <f>COUNTIFS(Gulshan_Ravi!B23:B150,"&lt;&gt;",Gulshan_Ravi!BV23:BV150,"Leave")</f>
        <v>0</v>
      </c>
      <c r="AA69" s="33">
        <f>COUNTIFS(Gulshan_Ravi!B23:B150,"&lt;&gt;",Gulshan_Ravi!BV23:BV150,"Late")</f>
        <v>0</v>
      </c>
      <c r="AB69" s="36" t="str">
        <f t="shared" si="6"/>
        <v>-</v>
      </c>
      <c r="AC69" s="30">
        <f>COUNTIFS(State_Life!B18:B150,"&lt;&gt;",State_Life!BV18:BV150,"Present")</f>
        <v>0</v>
      </c>
      <c r="AD69" s="31">
        <f>COUNTIFS(State_Life!B18:B150,"&lt;&gt;",State_Life!BV18:BV150,"Absent")</f>
        <v>0</v>
      </c>
      <c r="AE69" s="32">
        <f>COUNTIFS(State_Life!B18:B150,"&lt;&gt;",State_Life!BV18:BV150,"Leave")</f>
        <v>0</v>
      </c>
      <c r="AF69" s="33">
        <f>COUNTIFS(State_Life!B18:B150,"&lt;&gt;",State_Life!BV18:BV150,"Late")</f>
        <v>0</v>
      </c>
      <c r="AG69" s="36" t="str">
        <f t="shared" si="7"/>
        <v>-</v>
      </c>
      <c r="AH69" s="51">
        <f t="shared" ref="AH69:AJ69" si="73">D69+I69+N69+S69+X69+AC69</f>
        <v>0</v>
      </c>
      <c r="AI69" s="51">
        <f t="shared" si="73"/>
        <v>0</v>
      </c>
      <c r="AJ69" s="51">
        <f t="shared" si="73"/>
        <v>0</v>
      </c>
      <c r="AK69" s="55" t="str">
        <f t="shared" si="9"/>
        <v>-</v>
      </c>
    </row>
    <row r="70" ht="18.0" customHeight="1">
      <c r="A70" s="10">
        <v>67.0</v>
      </c>
      <c r="B70" s="10" t="s">
        <v>373</v>
      </c>
      <c r="C70" s="10" t="s">
        <v>76</v>
      </c>
      <c r="D70" s="30">
        <f>COUNTIFS(Gulberg!B26:B149,"&lt;&gt;",Gulberg!BW26:BW149,"Present")</f>
        <v>0</v>
      </c>
      <c r="E70" s="31">
        <f>COUNTIFS(Gulberg!B26:B149,"&lt;&gt;",Gulberg!BW26:BW149,"Absent")</f>
        <v>0</v>
      </c>
      <c r="F70" s="32">
        <f>COUNTIFS(Gulberg!B26:B149,"&lt;&gt;",Gulberg!BW26:BW149,"Leave")</f>
        <v>0</v>
      </c>
      <c r="G70" s="33">
        <f>COUNTIFS(Gulberg!B26:B149,"&lt;&gt;",Gulberg!BW26:BW149,"Late")</f>
        <v>0</v>
      </c>
      <c r="H70" s="36" t="str">
        <f t="shared" si="2"/>
        <v>-</v>
      </c>
      <c r="I70" s="30">
        <f>COUNTIFS(Gulshan_Iqbal!B21:B150,"&lt;&gt;",Gulshan_Iqbal!BW21:BW150,"Present")</f>
        <v>0</v>
      </c>
      <c r="J70" s="31">
        <f>COUNTIFS(Gulshan_Iqbal!B21:B150,"&lt;&gt;",Gulshan_Iqbal!BW21:BW150,"Absent")</f>
        <v>0</v>
      </c>
      <c r="K70" s="32">
        <f>COUNTIFS(Gulshan_Iqbal!B21:B150,"&lt;&gt;",Gulshan_Iqbal!BW21:BW150,"Leave")</f>
        <v>0</v>
      </c>
      <c r="L70" s="33">
        <f>COUNTIFS(Gulshan_Iqbal!B21:B150,"&lt;&gt;",Gulshan_Iqbal!BW21:BW150,"Late")</f>
        <v>0</v>
      </c>
      <c r="M70" s="36" t="str">
        <f t="shared" si="3"/>
        <v>-</v>
      </c>
      <c r="N70" s="30">
        <f>COUNTIFS(Griffin!B16:B152,"&lt;&gt;",Griffin!BW16:BW152,"Present")</f>
        <v>0</v>
      </c>
      <c r="O70" s="31">
        <f>COUNTIFS(Griffin!B16:B152,"&lt;&gt;",Griffin!BW16:BW152,"Absent")</f>
        <v>0</v>
      </c>
      <c r="P70" s="32">
        <f>COUNTIFS(Griffin!B16:B152,"&lt;&gt;",Griffin!BW16:BW152,"Leave")</f>
        <v>0</v>
      </c>
      <c r="Q70" s="33">
        <f>COUNTIFS(Griffin!B16:B152,"&lt;&gt;",Griffin!BW16:BW152,"Late")</f>
        <v>0</v>
      </c>
      <c r="R70" s="36" t="str">
        <f t="shared" si="4"/>
        <v>-</v>
      </c>
      <c r="S70" s="30">
        <f>COUNTIFS(Johar_Town!B21:B164,"&lt;&gt;",Johar_Town!BW21:BW164,"Present")</f>
        <v>0</v>
      </c>
      <c r="T70" s="31">
        <f>COUNTIFS(Johar_Town!B21:B164,"&lt;&gt;",Johar_Town!BW21:BW164,"Absent")</f>
        <v>0</v>
      </c>
      <c r="U70" s="32">
        <f>COUNTIFS(Johar_Town!B21:B164,"&lt;&gt;",Johar_Town!BW21:BW164,"Leave")</f>
        <v>0</v>
      </c>
      <c r="V70" s="33">
        <f>COUNTIFS(Johar_Town!B21:B164,"&lt;&gt;",Johar_Town!BW21:BW164,"Late")</f>
        <v>0</v>
      </c>
      <c r="W70" s="36" t="str">
        <f t="shared" si="5"/>
        <v>-</v>
      </c>
      <c r="X70" s="30">
        <f>COUNTIFS(Gulshan_Ravi!B23:B150,"&lt;&gt;",Gulshan_Ravi!BW23:BW150,"Present")</f>
        <v>0</v>
      </c>
      <c r="Y70" s="31">
        <f>COUNTIFS(Gulshan_Ravi!B23:B150,"&lt;&gt;",Gulshan_Ravi!BW23:BW150,"Absent")</f>
        <v>0</v>
      </c>
      <c r="Z70" s="32">
        <f>COUNTIFS(Gulshan_Ravi!B23:B150,"&lt;&gt;",Gulshan_Ravi!BW23:BW150,"Leave")</f>
        <v>0</v>
      </c>
      <c r="AA70" s="33">
        <f>COUNTIFS(Gulshan_Ravi!B23:B150,"&lt;&gt;",Gulshan_Ravi!BW23:BW150,"Late")</f>
        <v>0</v>
      </c>
      <c r="AB70" s="36" t="str">
        <f t="shared" si="6"/>
        <v>-</v>
      </c>
      <c r="AC70" s="30">
        <f>COUNTIFS(State_Life!B18:B150,"&lt;&gt;",State_Life!BW18:BW150,"Present")</f>
        <v>0</v>
      </c>
      <c r="AD70" s="31">
        <f>COUNTIFS(State_Life!B18:B150,"&lt;&gt;",State_Life!BW18:BW150,"Absent")</f>
        <v>0</v>
      </c>
      <c r="AE70" s="32">
        <f>COUNTIFS(State_Life!B18:B150,"&lt;&gt;",State_Life!BW18:BW150,"Leave")</f>
        <v>0</v>
      </c>
      <c r="AF70" s="33">
        <f>COUNTIFS(State_Life!B18:B150,"&lt;&gt;",State_Life!BW18:BW150,"Late")</f>
        <v>0</v>
      </c>
      <c r="AG70" s="36" t="str">
        <f t="shared" si="7"/>
        <v>-</v>
      </c>
      <c r="AH70" s="51">
        <f t="shared" ref="AH70:AJ70" si="74">D70+I70+N70+S70+X70+AC70</f>
        <v>0</v>
      </c>
      <c r="AI70" s="51">
        <f t="shared" si="74"/>
        <v>0</v>
      </c>
      <c r="AJ70" s="51">
        <f t="shared" si="74"/>
        <v>0</v>
      </c>
      <c r="AK70" s="55" t="str">
        <f t="shared" si="9"/>
        <v>-</v>
      </c>
    </row>
    <row r="71" ht="18.0" customHeight="1">
      <c r="A71" s="20">
        <v>68.0</v>
      </c>
      <c r="B71" s="20" t="s">
        <v>374</v>
      </c>
      <c r="C71" s="20" t="s">
        <v>200</v>
      </c>
      <c r="D71" s="30">
        <f>COUNTIFS(Gulberg!B26:B149,"&lt;&gt;",Gulberg!BX26:BX149,"Present")</f>
        <v>0</v>
      </c>
      <c r="E71" s="31">
        <f>COUNTIFS(Gulberg!B26:B149,"&lt;&gt;",Gulberg!BX26:BX149,"Absent")</f>
        <v>0</v>
      </c>
      <c r="F71" s="32">
        <f>COUNTIFS(Gulberg!B26:B149,"&lt;&gt;",Gulberg!BX26:BX149,"Leave")</f>
        <v>0</v>
      </c>
      <c r="G71" s="33">
        <f>COUNTIFS(Gulberg!B26:B149,"&lt;&gt;",Gulberg!BX26:BX149,"Late")</f>
        <v>0</v>
      </c>
      <c r="H71" s="36" t="str">
        <f t="shared" si="2"/>
        <v>-</v>
      </c>
      <c r="I71" s="30">
        <f>COUNTIFS(Gulshan_Iqbal!B21:B150,"&lt;&gt;",Gulshan_Iqbal!BX21:BX150,"Present")</f>
        <v>0</v>
      </c>
      <c r="J71" s="31">
        <f>COUNTIFS(Gulshan_Iqbal!B21:B150,"&lt;&gt;",Gulshan_Iqbal!BX21:BX150,"Absent")</f>
        <v>0</v>
      </c>
      <c r="K71" s="32">
        <f>COUNTIFS(Gulshan_Iqbal!B21:B150,"&lt;&gt;",Gulshan_Iqbal!BX21:BX150,"Leave")</f>
        <v>0</v>
      </c>
      <c r="L71" s="33">
        <f>COUNTIFS(Gulshan_Iqbal!B21:B150,"&lt;&gt;",Gulshan_Iqbal!BX21:BX150,"Late")</f>
        <v>0</v>
      </c>
      <c r="M71" s="36" t="str">
        <f t="shared" si="3"/>
        <v>-</v>
      </c>
      <c r="N71" s="30">
        <f>COUNTIFS(Griffin!B16:B152,"&lt;&gt;",Griffin!BX16:BX152,"Present")</f>
        <v>0</v>
      </c>
      <c r="O71" s="31">
        <f>COUNTIFS(Griffin!B16:B152,"&lt;&gt;",Griffin!BX16:BX152,"Absent")</f>
        <v>0</v>
      </c>
      <c r="P71" s="32">
        <f>COUNTIFS(Griffin!B16:B152,"&lt;&gt;",Griffin!BX16:BX152,"Leave")</f>
        <v>0</v>
      </c>
      <c r="Q71" s="33">
        <f>COUNTIFS(Griffin!B16:B152,"&lt;&gt;",Griffin!BX16:BX152,"Late")</f>
        <v>0</v>
      </c>
      <c r="R71" s="36" t="str">
        <f t="shared" si="4"/>
        <v>-</v>
      </c>
      <c r="S71" s="30">
        <f>COUNTIFS(Johar_Town!B21:B164,"&lt;&gt;",Johar_Town!BX21:BX164,"Present")</f>
        <v>0</v>
      </c>
      <c r="T71" s="31">
        <f>COUNTIFS(Johar_Town!B21:B164,"&lt;&gt;",Johar_Town!BX21:BX164,"Absent")</f>
        <v>0</v>
      </c>
      <c r="U71" s="32">
        <f>COUNTIFS(Johar_Town!B21:B164,"&lt;&gt;",Johar_Town!BX21:BX164,"Leave")</f>
        <v>0</v>
      </c>
      <c r="V71" s="33">
        <f>COUNTIFS(Johar_Town!B21:B164,"&lt;&gt;",Johar_Town!BX21:BX164,"Late")</f>
        <v>0</v>
      </c>
      <c r="W71" s="36" t="str">
        <f t="shared" si="5"/>
        <v>-</v>
      </c>
      <c r="X71" s="30">
        <f>COUNTIFS(Gulshan_Ravi!B23:B150,"&lt;&gt;",Gulshan_Ravi!BX23:BX150,"Present")</f>
        <v>0</v>
      </c>
      <c r="Y71" s="31">
        <f>COUNTIFS(Gulshan_Ravi!B23:B150,"&lt;&gt;",Gulshan_Ravi!BX23:BX150,"Absent")</f>
        <v>0</v>
      </c>
      <c r="Z71" s="32">
        <f>COUNTIFS(Gulshan_Ravi!B23:B150,"&lt;&gt;",Gulshan_Ravi!BX23:BX150,"Leave")</f>
        <v>0</v>
      </c>
      <c r="AA71" s="33">
        <f>COUNTIFS(Gulshan_Ravi!B23:B150,"&lt;&gt;",Gulshan_Ravi!BX23:BX150,"Late")</f>
        <v>0</v>
      </c>
      <c r="AB71" s="36" t="str">
        <f t="shared" si="6"/>
        <v>-</v>
      </c>
      <c r="AC71" s="30">
        <f>COUNTIFS(State_Life!B18:B150,"&lt;&gt;",State_Life!BX18:BX150,"Present")</f>
        <v>0</v>
      </c>
      <c r="AD71" s="31">
        <f>COUNTIFS(State_Life!B18:B150,"&lt;&gt;",State_Life!BX18:BX150,"Absent")</f>
        <v>0</v>
      </c>
      <c r="AE71" s="32">
        <f>COUNTIFS(State_Life!B18:B150,"&lt;&gt;",State_Life!BX18:BX150,"Leave")</f>
        <v>0</v>
      </c>
      <c r="AF71" s="33">
        <f>COUNTIFS(State_Life!B18:B150,"&lt;&gt;",State_Life!BX18:BX150,"Late")</f>
        <v>0</v>
      </c>
      <c r="AG71" s="36" t="str">
        <f t="shared" si="7"/>
        <v>-</v>
      </c>
      <c r="AH71" s="51">
        <f t="shared" ref="AH71:AJ71" si="75">D71+I71+N71+S71+X71+AC71</f>
        <v>0</v>
      </c>
      <c r="AI71" s="51">
        <f t="shared" si="75"/>
        <v>0</v>
      </c>
      <c r="AJ71" s="51">
        <f t="shared" si="75"/>
        <v>0</v>
      </c>
      <c r="AK71" s="55" t="str">
        <f t="shared" si="9"/>
        <v>-</v>
      </c>
    </row>
    <row r="72" ht="18.0" customHeight="1">
      <c r="A72" s="10">
        <v>69.0</v>
      </c>
      <c r="B72" s="10" t="s">
        <v>380</v>
      </c>
      <c r="C72" s="10" t="s">
        <v>76</v>
      </c>
      <c r="D72" s="30">
        <f>COUNTIFS(Gulberg!B26:B149,"&lt;&gt;",Gulberg!BY26:BY149,"Present")</f>
        <v>0</v>
      </c>
      <c r="E72" s="31">
        <f>COUNTIFS(Gulberg!B26:B149,"&lt;&gt;",Gulberg!BY26:BY149,"Absent")</f>
        <v>0</v>
      </c>
      <c r="F72" s="32">
        <f>COUNTIFS(Gulberg!B26:B149,"&lt;&gt;",Gulberg!BY26:BY149,"Leave")</f>
        <v>0</v>
      </c>
      <c r="G72" s="33">
        <f>COUNTIFS(Gulberg!B26:B149,"&lt;&gt;",Gulberg!BY26:BY149,"Late")</f>
        <v>0</v>
      </c>
      <c r="H72" s="36" t="str">
        <f t="shared" si="2"/>
        <v>-</v>
      </c>
      <c r="I72" s="30">
        <f>COUNTIFS(Gulshan_Iqbal!B21:B150,"&lt;&gt;",Gulshan_Iqbal!BY21:BY150,"Present")</f>
        <v>0</v>
      </c>
      <c r="J72" s="31">
        <f>COUNTIFS(Gulshan_Iqbal!B21:B150,"&lt;&gt;",Gulshan_Iqbal!BY21:BY150,"Absent")</f>
        <v>0</v>
      </c>
      <c r="K72" s="32">
        <f>COUNTIFS(Gulshan_Iqbal!B21:B150,"&lt;&gt;",Gulshan_Iqbal!BY21:BY150,"Leave")</f>
        <v>0</v>
      </c>
      <c r="L72" s="33">
        <f>COUNTIFS(Gulshan_Iqbal!B21:B150,"&lt;&gt;",Gulshan_Iqbal!BY21:BY150,"Late")</f>
        <v>0</v>
      </c>
      <c r="M72" s="36" t="str">
        <f t="shared" si="3"/>
        <v>-</v>
      </c>
      <c r="N72" s="30">
        <f>COUNTIFS(Griffin!B16:B152,"&lt;&gt;",Griffin!BY16:BY152,"Present")</f>
        <v>0</v>
      </c>
      <c r="O72" s="31">
        <f>COUNTIFS(Griffin!B16:B152,"&lt;&gt;",Griffin!BY16:BY152,"Absent")</f>
        <v>0</v>
      </c>
      <c r="P72" s="32">
        <f>COUNTIFS(Griffin!B16:B152,"&lt;&gt;",Griffin!BY16:BY152,"Leave")</f>
        <v>0</v>
      </c>
      <c r="Q72" s="33">
        <f>COUNTIFS(Griffin!B16:B152,"&lt;&gt;",Griffin!BY16:BY152,"Late")</f>
        <v>0</v>
      </c>
      <c r="R72" s="36" t="str">
        <f t="shared" si="4"/>
        <v>-</v>
      </c>
      <c r="S72" s="30">
        <f>COUNTIFS(Johar_Town!B21:B164,"&lt;&gt;",Johar_Town!BY21:BY164,"Present")</f>
        <v>0</v>
      </c>
      <c r="T72" s="31">
        <f>COUNTIFS(Johar_Town!B21:B164,"&lt;&gt;",Johar_Town!BY21:BY164,"Absent")</f>
        <v>0</v>
      </c>
      <c r="U72" s="32">
        <f>COUNTIFS(Johar_Town!B21:B164,"&lt;&gt;",Johar_Town!BY21:BY164,"Leave")</f>
        <v>0</v>
      </c>
      <c r="V72" s="33">
        <f>COUNTIFS(Johar_Town!B21:B164,"&lt;&gt;",Johar_Town!BY21:BY164,"Late")</f>
        <v>0</v>
      </c>
      <c r="W72" s="36" t="str">
        <f t="shared" si="5"/>
        <v>-</v>
      </c>
      <c r="X72" s="30">
        <f>COUNTIFS(Gulshan_Ravi!B23:B150,"&lt;&gt;",Gulshan_Ravi!BY23:BY150,"Present")</f>
        <v>0</v>
      </c>
      <c r="Y72" s="31">
        <f>COUNTIFS(Gulshan_Ravi!B23:B150,"&lt;&gt;",Gulshan_Ravi!BY23:BY150,"Absent")</f>
        <v>0</v>
      </c>
      <c r="Z72" s="32">
        <f>COUNTIFS(Gulshan_Ravi!B23:B150,"&lt;&gt;",Gulshan_Ravi!BY23:BY150,"Leave")</f>
        <v>0</v>
      </c>
      <c r="AA72" s="33">
        <f>COUNTIFS(Gulshan_Ravi!B23:B150,"&lt;&gt;",Gulshan_Ravi!BY23:BY150,"Late")</f>
        <v>0</v>
      </c>
      <c r="AB72" s="36" t="str">
        <f t="shared" si="6"/>
        <v>-</v>
      </c>
      <c r="AC72" s="30">
        <f>COUNTIFS(State_Life!B18:B150,"&lt;&gt;",State_Life!BY18:BY150,"Present")</f>
        <v>0</v>
      </c>
      <c r="AD72" s="31">
        <f>COUNTIFS(State_Life!B18:B150,"&lt;&gt;",State_Life!BY18:BY150,"Absent")</f>
        <v>0</v>
      </c>
      <c r="AE72" s="32">
        <f>COUNTIFS(State_Life!B18:B150,"&lt;&gt;",State_Life!BY18:BY150,"Leave")</f>
        <v>0</v>
      </c>
      <c r="AF72" s="33">
        <f>COUNTIFS(State_Life!B18:B150,"&lt;&gt;",State_Life!BY18:BY150,"Late")</f>
        <v>0</v>
      </c>
      <c r="AG72" s="36" t="str">
        <f t="shared" si="7"/>
        <v>-</v>
      </c>
      <c r="AH72" s="51">
        <f t="shared" ref="AH72:AJ72" si="76">D72+I72+N72+S72+X72+AC72</f>
        <v>0</v>
      </c>
      <c r="AI72" s="51">
        <f t="shared" si="76"/>
        <v>0</v>
      </c>
      <c r="AJ72" s="51">
        <f t="shared" si="76"/>
        <v>0</v>
      </c>
      <c r="AK72" s="55" t="str">
        <f t="shared" si="9"/>
        <v>-</v>
      </c>
    </row>
    <row r="73" ht="18.0" customHeight="1">
      <c r="A73" s="20">
        <v>70.0</v>
      </c>
      <c r="B73" s="20" t="s">
        <v>384</v>
      </c>
      <c r="C73" s="20" t="s">
        <v>200</v>
      </c>
      <c r="D73" s="30">
        <f>COUNTIFS(Gulberg!B26:B149,"&lt;&gt;",Gulberg!BZ26:BZ149,"Present")</f>
        <v>0</v>
      </c>
      <c r="E73" s="31">
        <f>COUNTIFS(Gulberg!B26:B149,"&lt;&gt;",Gulberg!BZ26:BZ149,"Absent")</f>
        <v>0</v>
      </c>
      <c r="F73" s="32">
        <f>COUNTIFS(Gulberg!B26:B149,"&lt;&gt;",Gulberg!BZ26:BZ149,"Leave")</f>
        <v>0</v>
      </c>
      <c r="G73" s="33">
        <f>COUNTIFS(Gulberg!B26:B149,"&lt;&gt;",Gulberg!BZ26:BZ149,"Late")</f>
        <v>0</v>
      </c>
      <c r="H73" s="36" t="str">
        <f t="shared" si="2"/>
        <v>-</v>
      </c>
      <c r="I73" s="30">
        <f>COUNTIFS(Gulshan_Iqbal!B21:B150,"&lt;&gt;",Gulshan_Iqbal!BZ21:BZ150,"Present")</f>
        <v>0</v>
      </c>
      <c r="J73" s="31">
        <f>COUNTIFS(Gulshan_Iqbal!B21:B150,"&lt;&gt;",Gulshan_Iqbal!BZ21:BZ150,"Absent")</f>
        <v>0</v>
      </c>
      <c r="K73" s="32">
        <f>COUNTIFS(Gulshan_Iqbal!B21:B150,"&lt;&gt;",Gulshan_Iqbal!BZ21:BZ150,"Leave")</f>
        <v>0</v>
      </c>
      <c r="L73" s="33">
        <f>COUNTIFS(Gulshan_Iqbal!B21:B150,"&lt;&gt;",Gulshan_Iqbal!BZ21:BZ150,"Late")</f>
        <v>0</v>
      </c>
      <c r="M73" s="36" t="str">
        <f t="shared" si="3"/>
        <v>-</v>
      </c>
      <c r="N73" s="30">
        <f>COUNTIFS(Griffin!B16:B152,"&lt;&gt;",Griffin!BZ16:BZ152,"Present")</f>
        <v>0</v>
      </c>
      <c r="O73" s="31">
        <f>COUNTIFS(Griffin!B16:B152,"&lt;&gt;",Griffin!BZ16:BZ152,"Absent")</f>
        <v>0</v>
      </c>
      <c r="P73" s="32">
        <f>COUNTIFS(Griffin!B16:B152,"&lt;&gt;",Griffin!BZ16:BZ152,"Leave")</f>
        <v>0</v>
      </c>
      <c r="Q73" s="33">
        <f>COUNTIFS(Griffin!B16:B152,"&lt;&gt;",Griffin!BZ16:BZ152,"Late")</f>
        <v>0</v>
      </c>
      <c r="R73" s="36" t="str">
        <f t="shared" si="4"/>
        <v>-</v>
      </c>
      <c r="S73" s="30">
        <f>COUNTIFS(Johar_Town!B21:B164,"&lt;&gt;",Johar_Town!BZ21:BZ164,"Present")</f>
        <v>0</v>
      </c>
      <c r="T73" s="31">
        <f>COUNTIFS(Johar_Town!B21:B164,"&lt;&gt;",Johar_Town!BZ21:BZ164,"Absent")</f>
        <v>0</v>
      </c>
      <c r="U73" s="32">
        <f>COUNTIFS(Johar_Town!B21:B164,"&lt;&gt;",Johar_Town!BZ21:BZ164,"Leave")</f>
        <v>0</v>
      </c>
      <c r="V73" s="33">
        <f>COUNTIFS(Johar_Town!B21:B164,"&lt;&gt;",Johar_Town!BZ21:BZ164,"Late")</f>
        <v>0</v>
      </c>
      <c r="W73" s="36" t="str">
        <f t="shared" si="5"/>
        <v>-</v>
      </c>
      <c r="X73" s="30">
        <f>COUNTIFS(Gulshan_Ravi!B23:B150,"&lt;&gt;",Gulshan_Ravi!BZ23:BZ150,"Present")</f>
        <v>0</v>
      </c>
      <c r="Y73" s="31">
        <f>COUNTIFS(Gulshan_Ravi!B23:B150,"&lt;&gt;",Gulshan_Ravi!BZ23:BZ150,"Absent")</f>
        <v>0</v>
      </c>
      <c r="Z73" s="32">
        <f>COUNTIFS(Gulshan_Ravi!B23:B150,"&lt;&gt;",Gulshan_Ravi!BZ23:BZ150,"Leave")</f>
        <v>0</v>
      </c>
      <c r="AA73" s="33">
        <f>COUNTIFS(Gulshan_Ravi!B23:B150,"&lt;&gt;",Gulshan_Ravi!BZ23:BZ150,"Late")</f>
        <v>0</v>
      </c>
      <c r="AB73" s="36" t="str">
        <f t="shared" si="6"/>
        <v>-</v>
      </c>
      <c r="AC73" s="30">
        <f>COUNTIFS(State_Life!B18:B150,"&lt;&gt;",State_Life!BZ18:BZ150,"Present")</f>
        <v>0</v>
      </c>
      <c r="AD73" s="31">
        <f>COUNTIFS(State_Life!B18:B150,"&lt;&gt;",State_Life!BZ18:BZ150,"Absent")</f>
        <v>0</v>
      </c>
      <c r="AE73" s="32">
        <f>COUNTIFS(State_Life!B18:B150,"&lt;&gt;",State_Life!BZ18:BZ150,"Leave")</f>
        <v>0</v>
      </c>
      <c r="AF73" s="33">
        <f>COUNTIFS(State_Life!B18:B150,"&lt;&gt;",State_Life!BZ18:BZ150,"Late")</f>
        <v>0</v>
      </c>
      <c r="AG73" s="36" t="str">
        <f t="shared" si="7"/>
        <v>-</v>
      </c>
      <c r="AH73" s="51">
        <f t="shared" ref="AH73:AJ73" si="77">D73+I73+N73+S73+X73+AC73</f>
        <v>0</v>
      </c>
      <c r="AI73" s="51">
        <f t="shared" si="77"/>
        <v>0</v>
      </c>
      <c r="AJ73" s="51">
        <f t="shared" si="77"/>
        <v>0</v>
      </c>
      <c r="AK73" s="55" t="str">
        <f t="shared" si="9"/>
        <v>-</v>
      </c>
    </row>
    <row r="74" ht="18.0" customHeight="1">
      <c r="A74" s="10">
        <v>71.0</v>
      </c>
      <c r="B74" s="10" t="s">
        <v>387</v>
      </c>
      <c r="C74" s="10" t="s">
        <v>76</v>
      </c>
      <c r="D74" s="30">
        <f>COUNTIFS(Gulberg!B26:B149,"&lt;&gt;",Gulberg!CA26:CA149,"Present")</f>
        <v>0</v>
      </c>
      <c r="E74" s="31">
        <f>COUNTIFS(Gulberg!B26:B149,"&lt;&gt;",Gulberg!CA26:CA149,"Absent")</f>
        <v>0</v>
      </c>
      <c r="F74" s="32">
        <f>COUNTIFS(Gulberg!B26:B149,"&lt;&gt;",Gulberg!CA26:CA149,"Leave")</f>
        <v>0</v>
      </c>
      <c r="G74" s="33">
        <f>COUNTIFS(Gulberg!B26:B149,"&lt;&gt;",Gulberg!CA26:CA149,"Late")</f>
        <v>0</v>
      </c>
      <c r="H74" s="36" t="str">
        <f t="shared" si="2"/>
        <v>-</v>
      </c>
      <c r="I74" s="30">
        <f>COUNTIFS(Gulshan_Iqbal!B21:B150,"&lt;&gt;",Gulshan_Iqbal!CA21:CA150,"Present")</f>
        <v>0</v>
      </c>
      <c r="J74" s="31">
        <f>COUNTIFS(Gulshan_Iqbal!B21:B150,"&lt;&gt;",Gulshan_Iqbal!CA21:CA150,"Absent")</f>
        <v>0</v>
      </c>
      <c r="K74" s="32">
        <f>COUNTIFS(Gulshan_Iqbal!B21:B150,"&lt;&gt;",Gulshan_Iqbal!CA21:CA150,"Leave")</f>
        <v>0</v>
      </c>
      <c r="L74" s="33">
        <f>COUNTIFS(Gulshan_Iqbal!B21:B150,"&lt;&gt;",Gulshan_Iqbal!CA21:CA150,"Late")</f>
        <v>0</v>
      </c>
      <c r="M74" s="36" t="str">
        <f t="shared" si="3"/>
        <v>-</v>
      </c>
      <c r="N74" s="30">
        <f>COUNTIFS(Griffin!B16:B152,"&lt;&gt;",Griffin!CA16:CA152,"Present")</f>
        <v>0</v>
      </c>
      <c r="O74" s="31">
        <f>COUNTIFS(Griffin!B16:B152,"&lt;&gt;",Griffin!CA16:CA152,"Absent")</f>
        <v>0</v>
      </c>
      <c r="P74" s="32">
        <f>COUNTIFS(Griffin!B16:B152,"&lt;&gt;",Griffin!CA16:CA152,"Leave")</f>
        <v>0</v>
      </c>
      <c r="Q74" s="33">
        <f>COUNTIFS(Griffin!B16:B152,"&lt;&gt;",Griffin!CA16:CA152,"Late")</f>
        <v>0</v>
      </c>
      <c r="R74" s="36" t="str">
        <f t="shared" si="4"/>
        <v>-</v>
      </c>
      <c r="S74" s="30">
        <f>COUNTIFS(Johar_Town!B21:B164,"&lt;&gt;",Johar_Town!CA21:CA164,"Present")</f>
        <v>0</v>
      </c>
      <c r="T74" s="31">
        <f>COUNTIFS(Johar_Town!B21:B164,"&lt;&gt;",Johar_Town!CA21:CA164,"Absent")</f>
        <v>0</v>
      </c>
      <c r="U74" s="32">
        <f>COUNTIFS(Johar_Town!B21:B164,"&lt;&gt;",Johar_Town!CA21:CA164,"Leave")</f>
        <v>0</v>
      </c>
      <c r="V74" s="33">
        <f>COUNTIFS(Johar_Town!B21:B164,"&lt;&gt;",Johar_Town!CA21:CA164,"Late")</f>
        <v>0</v>
      </c>
      <c r="W74" s="36" t="str">
        <f t="shared" si="5"/>
        <v>-</v>
      </c>
      <c r="X74" s="30">
        <f>COUNTIFS(Gulshan_Ravi!B23:B150,"&lt;&gt;",Gulshan_Ravi!CA23:CA150,"Present")</f>
        <v>0</v>
      </c>
      <c r="Y74" s="31">
        <f>COUNTIFS(Gulshan_Ravi!B23:B150,"&lt;&gt;",Gulshan_Ravi!CA23:CA150,"Absent")</f>
        <v>0</v>
      </c>
      <c r="Z74" s="32">
        <f>COUNTIFS(Gulshan_Ravi!B23:B150,"&lt;&gt;",Gulshan_Ravi!CA23:CA150,"Leave")</f>
        <v>0</v>
      </c>
      <c r="AA74" s="33">
        <f>COUNTIFS(Gulshan_Ravi!B23:B150,"&lt;&gt;",Gulshan_Ravi!CA23:CA150,"Late")</f>
        <v>0</v>
      </c>
      <c r="AB74" s="36" t="str">
        <f t="shared" si="6"/>
        <v>-</v>
      </c>
      <c r="AC74" s="30">
        <f>COUNTIFS(State_Life!B18:B150,"&lt;&gt;",State_Life!CA18:CA150,"Present")</f>
        <v>0</v>
      </c>
      <c r="AD74" s="31">
        <f>COUNTIFS(State_Life!B18:B150,"&lt;&gt;",State_Life!CA18:CA150,"Absent")</f>
        <v>0</v>
      </c>
      <c r="AE74" s="32">
        <f>COUNTIFS(State_Life!B18:B150,"&lt;&gt;",State_Life!CA18:CA150,"Leave")</f>
        <v>0</v>
      </c>
      <c r="AF74" s="33">
        <f>COUNTIFS(State_Life!B18:B150,"&lt;&gt;",State_Life!CA18:CA150,"Late")</f>
        <v>0</v>
      </c>
      <c r="AG74" s="36" t="str">
        <f t="shared" si="7"/>
        <v>-</v>
      </c>
      <c r="AH74" s="51">
        <f t="shared" ref="AH74:AJ74" si="78">D74+I74+N74+S74+X74+AC74</f>
        <v>0</v>
      </c>
      <c r="AI74" s="51">
        <f t="shared" si="78"/>
        <v>0</v>
      </c>
      <c r="AJ74" s="51">
        <f t="shared" si="78"/>
        <v>0</v>
      </c>
      <c r="AK74" s="55" t="str">
        <f t="shared" si="9"/>
        <v>-</v>
      </c>
    </row>
    <row r="75" ht="18.0" customHeight="1">
      <c r="A75" s="20">
        <v>72.0</v>
      </c>
      <c r="B75" s="20" t="s">
        <v>393</v>
      </c>
      <c r="C75" s="20" t="s">
        <v>200</v>
      </c>
      <c r="D75" s="30">
        <f>COUNTIFS(Gulberg!B26:B149,"&lt;&gt;",Gulberg!CB26:CB149,"Present")</f>
        <v>0</v>
      </c>
      <c r="E75" s="31">
        <f>COUNTIFS(Gulberg!B26:B149,"&lt;&gt;",Gulberg!CB26:CB149,"Absent")</f>
        <v>0</v>
      </c>
      <c r="F75" s="32">
        <f>COUNTIFS(Gulberg!B26:B149,"&lt;&gt;",Gulberg!CB26:CB149,"Leave")</f>
        <v>0</v>
      </c>
      <c r="G75" s="33">
        <f>COUNTIFS(Gulberg!B26:B149,"&lt;&gt;",Gulberg!CB26:CB149,"Late")</f>
        <v>0</v>
      </c>
      <c r="H75" s="36" t="str">
        <f t="shared" si="2"/>
        <v>-</v>
      </c>
      <c r="I75" s="30">
        <f>COUNTIFS(Gulshan_Iqbal!B21:B150,"&lt;&gt;",Gulshan_Iqbal!CB21:CB150,"Present")</f>
        <v>0</v>
      </c>
      <c r="J75" s="31">
        <f>COUNTIFS(Gulshan_Iqbal!B21:B150,"&lt;&gt;",Gulshan_Iqbal!CB21:CB150,"Absent")</f>
        <v>0</v>
      </c>
      <c r="K75" s="32">
        <f>COUNTIFS(Gulshan_Iqbal!B21:B150,"&lt;&gt;",Gulshan_Iqbal!CB21:CB150,"Leave")</f>
        <v>0</v>
      </c>
      <c r="L75" s="33">
        <f>COUNTIFS(Gulshan_Iqbal!B21:B150,"&lt;&gt;",Gulshan_Iqbal!CB21:CB150,"Late")</f>
        <v>0</v>
      </c>
      <c r="M75" s="36" t="str">
        <f t="shared" si="3"/>
        <v>-</v>
      </c>
      <c r="N75" s="30">
        <f>COUNTIFS(Griffin!B16:B152,"&lt;&gt;",Griffin!CB16:CB152,"Present")</f>
        <v>0</v>
      </c>
      <c r="O75" s="31">
        <f>COUNTIFS(Griffin!B16:B152,"&lt;&gt;",Griffin!CB16:CB152,"Absent")</f>
        <v>0</v>
      </c>
      <c r="P75" s="32">
        <f>COUNTIFS(Griffin!B16:B152,"&lt;&gt;",Griffin!CB16:CB152,"Leave")</f>
        <v>0</v>
      </c>
      <c r="Q75" s="33">
        <f>COUNTIFS(Griffin!B16:B152,"&lt;&gt;",Griffin!CB16:CB152,"Late")</f>
        <v>0</v>
      </c>
      <c r="R75" s="36" t="str">
        <f t="shared" si="4"/>
        <v>-</v>
      </c>
      <c r="S75" s="30">
        <f>COUNTIFS(Johar_Town!B21:B164,"&lt;&gt;",Johar_Town!CB21:CB164,"Present")</f>
        <v>0</v>
      </c>
      <c r="T75" s="31">
        <f>COUNTIFS(Johar_Town!B21:B164,"&lt;&gt;",Johar_Town!CB21:CB164,"Absent")</f>
        <v>0</v>
      </c>
      <c r="U75" s="32">
        <f>COUNTIFS(Johar_Town!B21:B164,"&lt;&gt;",Johar_Town!CB21:CB164,"Leave")</f>
        <v>0</v>
      </c>
      <c r="V75" s="33">
        <f>COUNTIFS(Johar_Town!B21:B164,"&lt;&gt;",Johar_Town!CB21:CB164,"Late")</f>
        <v>0</v>
      </c>
      <c r="W75" s="36" t="str">
        <f t="shared" si="5"/>
        <v>-</v>
      </c>
      <c r="X75" s="30">
        <f>COUNTIFS(Gulshan_Ravi!B23:B150,"&lt;&gt;",Gulshan_Ravi!CB23:CB150,"Present")</f>
        <v>0</v>
      </c>
      <c r="Y75" s="31">
        <f>COUNTIFS(Gulshan_Ravi!B23:B150,"&lt;&gt;",Gulshan_Ravi!CB23:CB150,"Absent")</f>
        <v>0</v>
      </c>
      <c r="Z75" s="32">
        <f>COUNTIFS(Gulshan_Ravi!B23:B150,"&lt;&gt;",Gulshan_Ravi!CB23:CB150,"Leave")</f>
        <v>0</v>
      </c>
      <c r="AA75" s="33">
        <f>COUNTIFS(Gulshan_Ravi!B23:B150,"&lt;&gt;",Gulshan_Ravi!CB23:CB150,"Late")</f>
        <v>0</v>
      </c>
      <c r="AB75" s="36" t="str">
        <f t="shared" si="6"/>
        <v>-</v>
      </c>
      <c r="AC75" s="30">
        <f>COUNTIFS(State_Life!B18:B150,"&lt;&gt;",State_Life!CB18:CB150,"Present")</f>
        <v>0</v>
      </c>
      <c r="AD75" s="31">
        <f>COUNTIFS(State_Life!B18:B150,"&lt;&gt;",State_Life!CB18:CB150,"Absent")</f>
        <v>0</v>
      </c>
      <c r="AE75" s="32">
        <f>COUNTIFS(State_Life!B18:B150,"&lt;&gt;",State_Life!CB18:CB150,"Leave")</f>
        <v>0</v>
      </c>
      <c r="AF75" s="33">
        <f>COUNTIFS(State_Life!B18:B150,"&lt;&gt;",State_Life!CB18:CB150,"Late")</f>
        <v>0</v>
      </c>
      <c r="AG75" s="36" t="str">
        <f t="shared" si="7"/>
        <v>-</v>
      </c>
      <c r="AH75" s="51">
        <f t="shared" ref="AH75:AJ75" si="79">D75+I75+N75+S75+X75+AC75</f>
        <v>0</v>
      </c>
      <c r="AI75" s="51">
        <f t="shared" si="79"/>
        <v>0</v>
      </c>
      <c r="AJ75" s="51">
        <f t="shared" si="79"/>
        <v>0</v>
      </c>
      <c r="AK75" s="55" t="str">
        <f t="shared" si="9"/>
        <v>-</v>
      </c>
    </row>
    <row r="76" ht="18.0" customHeight="1">
      <c r="A76" s="10">
        <v>73.0</v>
      </c>
      <c r="B76" s="10" t="s">
        <v>395</v>
      </c>
      <c r="C76" s="10" t="s">
        <v>76</v>
      </c>
      <c r="D76" s="30">
        <f>COUNTIFS(Gulberg!B26:B149,"&lt;&gt;",Gulberg!CC26:CC149,"Present")</f>
        <v>0</v>
      </c>
      <c r="E76" s="31">
        <f>COUNTIFS(Gulberg!B26:B149,"&lt;&gt;",Gulberg!CC26:CC149,"Absent")</f>
        <v>0</v>
      </c>
      <c r="F76" s="32">
        <f>COUNTIFS(Gulberg!B26:B149,"&lt;&gt;",Gulberg!CC26:CC149,"Leave")</f>
        <v>0</v>
      </c>
      <c r="G76" s="33">
        <f>COUNTIFS(Gulberg!B26:B149,"&lt;&gt;",Gulberg!CC26:CC149,"Late")</f>
        <v>0</v>
      </c>
      <c r="H76" s="36" t="str">
        <f t="shared" si="2"/>
        <v>-</v>
      </c>
      <c r="I76" s="30">
        <f>COUNTIFS(Gulshan_Iqbal!B21:B150,"&lt;&gt;",Gulshan_Iqbal!CC21:CC150,"Present")</f>
        <v>0</v>
      </c>
      <c r="J76" s="31">
        <f>COUNTIFS(Gulshan_Iqbal!B21:B150,"&lt;&gt;",Gulshan_Iqbal!CC21:CC150,"Absent")</f>
        <v>0</v>
      </c>
      <c r="K76" s="32">
        <f>COUNTIFS(Gulshan_Iqbal!B21:B150,"&lt;&gt;",Gulshan_Iqbal!CC21:CC150,"Leave")</f>
        <v>0</v>
      </c>
      <c r="L76" s="33">
        <f>COUNTIFS(Gulshan_Iqbal!B21:B150,"&lt;&gt;",Gulshan_Iqbal!CC21:CC150,"Late")</f>
        <v>0</v>
      </c>
      <c r="M76" s="36" t="str">
        <f t="shared" si="3"/>
        <v>-</v>
      </c>
      <c r="N76" s="30">
        <f>COUNTIFS(Griffin!B16:B152,"&lt;&gt;",Griffin!CC16:CC152,"Present")</f>
        <v>0</v>
      </c>
      <c r="O76" s="31">
        <f>COUNTIFS(Griffin!B16:B152,"&lt;&gt;",Griffin!CC16:CC152,"Absent")</f>
        <v>0</v>
      </c>
      <c r="P76" s="32">
        <f>COUNTIFS(Griffin!B16:B152,"&lt;&gt;",Griffin!CC16:CC152,"Leave")</f>
        <v>0</v>
      </c>
      <c r="Q76" s="33">
        <f>COUNTIFS(Griffin!B16:B152,"&lt;&gt;",Griffin!CC16:CC152,"Late")</f>
        <v>0</v>
      </c>
      <c r="R76" s="36" t="str">
        <f t="shared" si="4"/>
        <v>-</v>
      </c>
      <c r="S76" s="30">
        <f>COUNTIFS(Johar_Town!B21:B164,"&lt;&gt;",Johar_Town!CC21:CC164,"Present")</f>
        <v>0</v>
      </c>
      <c r="T76" s="31">
        <f>COUNTIFS(Johar_Town!B21:B164,"&lt;&gt;",Johar_Town!CC21:CC164,"Absent")</f>
        <v>0</v>
      </c>
      <c r="U76" s="32">
        <f>COUNTIFS(Johar_Town!B21:B164,"&lt;&gt;",Johar_Town!CC21:CC164,"Leave")</f>
        <v>0</v>
      </c>
      <c r="V76" s="33">
        <f>COUNTIFS(Johar_Town!B21:B164,"&lt;&gt;",Johar_Town!CC21:CC164,"Late")</f>
        <v>0</v>
      </c>
      <c r="W76" s="36" t="str">
        <f t="shared" si="5"/>
        <v>-</v>
      </c>
      <c r="X76" s="30">
        <f>COUNTIFS(Gulshan_Ravi!B23:B150,"&lt;&gt;",Gulshan_Ravi!CC23:CC150,"Present")</f>
        <v>0</v>
      </c>
      <c r="Y76" s="31">
        <f>COUNTIFS(Gulshan_Ravi!B23:B150,"&lt;&gt;",Gulshan_Ravi!CC23:CC150,"Absent")</f>
        <v>0</v>
      </c>
      <c r="Z76" s="32">
        <f>COUNTIFS(Gulshan_Ravi!B23:B150,"&lt;&gt;",Gulshan_Ravi!CC23:CC150,"Leave")</f>
        <v>0</v>
      </c>
      <c r="AA76" s="33">
        <f>COUNTIFS(Gulshan_Ravi!B23:B150,"&lt;&gt;",Gulshan_Ravi!CC23:CC150,"Late")</f>
        <v>0</v>
      </c>
      <c r="AB76" s="36" t="str">
        <f t="shared" si="6"/>
        <v>-</v>
      </c>
      <c r="AC76" s="30">
        <f>COUNTIFS(State_Life!B18:B150,"&lt;&gt;",State_Life!CC18:CC150,"Present")</f>
        <v>0</v>
      </c>
      <c r="AD76" s="31">
        <f>COUNTIFS(State_Life!B18:B150,"&lt;&gt;",State_Life!CC18:CC150,"Absent")</f>
        <v>0</v>
      </c>
      <c r="AE76" s="32">
        <f>COUNTIFS(State_Life!B18:B150,"&lt;&gt;",State_Life!CC18:CC150,"Leave")</f>
        <v>0</v>
      </c>
      <c r="AF76" s="33">
        <f>COUNTIFS(State_Life!B18:B150,"&lt;&gt;",State_Life!CC18:CC150,"Late")</f>
        <v>0</v>
      </c>
      <c r="AG76" s="36" t="str">
        <f t="shared" si="7"/>
        <v>-</v>
      </c>
      <c r="AH76" s="51">
        <f t="shared" ref="AH76:AJ76" si="80">D76+I76+N76+S76+X76+AC76</f>
        <v>0</v>
      </c>
      <c r="AI76" s="51">
        <f t="shared" si="80"/>
        <v>0</v>
      </c>
      <c r="AJ76" s="51">
        <f t="shared" si="80"/>
        <v>0</v>
      </c>
      <c r="AK76" s="55" t="str">
        <f t="shared" si="9"/>
        <v>-</v>
      </c>
    </row>
    <row r="77" ht="18.0" customHeight="1">
      <c r="A77" s="20">
        <v>74.0</v>
      </c>
      <c r="B77" s="20" t="s">
        <v>400</v>
      </c>
      <c r="C77" s="20" t="s">
        <v>200</v>
      </c>
      <c r="D77" s="30">
        <f>COUNTIFS(Gulberg!B26:B149,"&lt;&gt;",Gulberg!CD26:CD149,"Present")</f>
        <v>0</v>
      </c>
      <c r="E77" s="31">
        <f>COUNTIFS(Gulberg!B26:B149,"&lt;&gt;",Gulberg!CD26:CD149,"Absent")</f>
        <v>0</v>
      </c>
      <c r="F77" s="32">
        <f>COUNTIFS(Gulberg!B26:B149,"&lt;&gt;",Gulberg!CD26:CD149,"Leave")</f>
        <v>0</v>
      </c>
      <c r="G77" s="33">
        <f>COUNTIFS(Gulberg!B26:B149,"&lt;&gt;",Gulberg!CD26:CD149,"Late")</f>
        <v>0</v>
      </c>
      <c r="H77" s="36" t="str">
        <f t="shared" si="2"/>
        <v>-</v>
      </c>
      <c r="I77" s="30">
        <f>COUNTIFS(Gulshan_Iqbal!B21:B150,"&lt;&gt;",Gulshan_Iqbal!CD21:CD150,"Present")</f>
        <v>0</v>
      </c>
      <c r="J77" s="31">
        <f>COUNTIFS(Gulshan_Iqbal!B21:B150,"&lt;&gt;",Gulshan_Iqbal!CD21:CD150,"Absent")</f>
        <v>0</v>
      </c>
      <c r="K77" s="32">
        <f>COUNTIFS(Gulshan_Iqbal!B21:B150,"&lt;&gt;",Gulshan_Iqbal!CD21:CD150,"Leave")</f>
        <v>0</v>
      </c>
      <c r="L77" s="33">
        <f>COUNTIFS(Gulshan_Iqbal!B21:B150,"&lt;&gt;",Gulshan_Iqbal!CD21:CD150,"Late")</f>
        <v>0</v>
      </c>
      <c r="M77" s="36" t="str">
        <f t="shared" si="3"/>
        <v>-</v>
      </c>
      <c r="N77" s="30">
        <f>COUNTIFS(Griffin!B16:B152,"&lt;&gt;",Griffin!CD16:CD152,"Present")</f>
        <v>0</v>
      </c>
      <c r="O77" s="31">
        <f>COUNTIFS(Griffin!B16:B152,"&lt;&gt;",Griffin!CD16:CD152,"Absent")</f>
        <v>0</v>
      </c>
      <c r="P77" s="32">
        <f>COUNTIFS(Griffin!B16:B152,"&lt;&gt;",Griffin!CD16:CD152,"Leave")</f>
        <v>0</v>
      </c>
      <c r="Q77" s="33">
        <f>COUNTIFS(Griffin!B16:B152,"&lt;&gt;",Griffin!CD16:CD152,"Late")</f>
        <v>0</v>
      </c>
      <c r="R77" s="36" t="str">
        <f t="shared" si="4"/>
        <v>-</v>
      </c>
      <c r="S77" s="30">
        <f>COUNTIFS(Johar_Town!B21:B164,"&lt;&gt;",Johar_Town!CD21:CD164,"Present")</f>
        <v>0</v>
      </c>
      <c r="T77" s="31">
        <f>COUNTIFS(Johar_Town!B21:B164,"&lt;&gt;",Johar_Town!CD21:CD164,"Absent")</f>
        <v>0</v>
      </c>
      <c r="U77" s="32">
        <f>COUNTIFS(Johar_Town!B21:B164,"&lt;&gt;",Johar_Town!CD21:CD164,"Leave")</f>
        <v>0</v>
      </c>
      <c r="V77" s="33">
        <f>COUNTIFS(Johar_Town!B21:B164,"&lt;&gt;",Johar_Town!CD21:CD164,"Late")</f>
        <v>0</v>
      </c>
      <c r="W77" s="36" t="str">
        <f t="shared" si="5"/>
        <v>-</v>
      </c>
      <c r="X77" s="30">
        <f>COUNTIFS(Gulshan_Ravi!B23:B150,"&lt;&gt;",Gulshan_Ravi!CD23:CD150,"Present")</f>
        <v>0</v>
      </c>
      <c r="Y77" s="31">
        <f>COUNTIFS(Gulshan_Ravi!B23:B150,"&lt;&gt;",Gulshan_Ravi!CD23:CD150,"Absent")</f>
        <v>0</v>
      </c>
      <c r="Z77" s="32">
        <f>COUNTIFS(Gulshan_Ravi!B23:B150,"&lt;&gt;",Gulshan_Ravi!CD23:CD150,"Leave")</f>
        <v>0</v>
      </c>
      <c r="AA77" s="33">
        <f>COUNTIFS(Gulshan_Ravi!B23:B150,"&lt;&gt;",Gulshan_Ravi!CD23:CD150,"Late")</f>
        <v>0</v>
      </c>
      <c r="AB77" s="36" t="str">
        <f t="shared" si="6"/>
        <v>-</v>
      </c>
      <c r="AC77" s="30">
        <f>COUNTIFS(State_Life!B18:B150,"&lt;&gt;",State_Life!CD18:CD150,"Present")</f>
        <v>0</v>
      </c>
      <c r="AD77" s="31">
        <f>COUNTIFS(State_Life!B18:B150,"&lt;&gt;",State_Life!CD18:CD150,"Absent")</f>
        <v>0</v>
      </c>
      <c r="AE77" s="32">
        <f>COUNTIFS(State_Life!B18:B150,"&lt;&gt;",State_Life!CD18:CD150,"Leave")</f>
        <v>0</v>
      </c>
      <c r="AF77" s="33">
        <f>COUNTIFS(State_Life!B18:B150,"&lt;&gt;",State_Life!CD18:CD150,"Late")</f>
        <v>0</v>
      </c>
      <c r="AG77" s="36" t="str">
        <f t="shared" si="7"/>
        <v>-</v>
      </c>
      <c r="AH77" s="51">
        <f t="shared" ref="AH77:AJ77" si="81">D77+I77+N77+S77+X77+AC77</f>
        <v>0</v>
      </c>
      <c r="AI77" s="51">
        <f t="shared" si="81"/>
        <v>0</v>
      </c>
      <c r="AJ77" s="51">
        <f t="shared" si="81"/>
        <v>0</v>
      </c>
      <c r="AK77" s="55" t="str">
        <f t="shared" si="9"/>
        <v>-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AL1"/>
    <mergeCell ref="D2:H2"/>
    <mergeCell ref="I2:M2"/>
    <mergeCell ref="N2:R2"/>
    <mergeCell ref="S2:W2"/>
    <mergeCell ref="X2:AB2"/>
    <mergeCell ref="AC2:AG2"/>
    <mergeCell ref="AH2:AK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5C38"/>
    <pageSetUpPr/>
  </sheetPr>
  <sheetViews>
    <sheetView workbookViewId="0">
      <pane xSplit="8.0" ySplit="4.0" topLeftCell="I5" activePane="bottomRight" state="frozen"/>
      <selection activeCell="I1" sqref="I1" pane="topRight"/>
      <selection activeCell="A5" sqref="A5" pane="bottomLeft"/>
      <selection activeCell="I5" sqref="I5" pane="bottomRight"/>
    </sheetView>
  </sheetViews>
  <sheetFormatPr customHeight="1" defaultColWidth="14.43" defaultRowHeight="15.0"/>
  <cols>
    <col customWidth="1" min="1" max="1" width="5.0"/>
    <col customWidth="1" min="2" max="2" width="32.0"/>
    <col customWidth="1" min="3" max="3" width="18.0"/>
    <col customWidth="1" min="4" max="4" width="10.0"/>
    <col customWidth="1" min="5" max="5" width="13.0"/>
    <col customWidth="1" min="6" max="6" width="7.0"/>
    <col customWidth="1" min="7" max="7" width="5.0"/>
    <col customWidth="1" min="8" max="8" width="14.0"/>
    <col customWidth="1" min="9" max="82" width="13.0"/>
    <col customWidth="1" min="83" max="84" width="8.0"/>
    <col customWidth="1" min="85" max="85" width="7.0"/>
    <col customWidth="1" min="86" max="86" width="8.0"/>
  </cols>
  <sheetData>
    <row r="1" ht="27.75" customHeight="1">
      <c r="A1" s="4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3"/>
    </row>
    <row r="2" ht="15.75" customHeight="1">
      <c r="A2" s="18" t="s">
        <v>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3"/>
    </row>
    <row r="3" ht="15.75" customHeight="1">
      <c r="A3" s="5" t="s">
        <v>3</v>
      </c>
      <c r="B3" s="5" t="s">
        <v>6</v>
      </c>
      <c r="C3" s="5" t="s">
        <v>7</v>
      </c>
      <c r="D3" s="5" t="s">
        <v>39</v>
      </c>
      <c r="E3" s="5" t="s">
        <v>40</v>
      </c>
      <c r="F3" s="5" t="s">
        <v>11</v>
      </c>
      <c r="G3" s="5" t="s">
        <v>12</v>
      </c>
      <c r="H3" s="5" t="s">
        <v>41</v>
      </c>
      <c r="I3" s="5" t="s">
        <v>42</v>
      </c>
      <c r="J3" s="5" t="s">
        <v>43</v>
      </c>
      <c r="K3" s="5" t="s">
        <v>44</v>
      </c>
      <c r="L3" s="5" t="s">
        <v>45</v>
      </c>
      <c r="M3" s="5" t="s">
        <v>46</v>
      </c>
      <c r="N3" s="5" t="s">
        <v>47</v>
      </c>
      <c r="O3" s="5" t="s">
        <v>48</v>
      </c>
      <c r="P3" s="5" t="s">
        <v>49</v>
      </c>
      <c r="Q3" s="5" t="s">
        <v>50</v>
      </c>
      <c r="R3" s="5" t="s">
        <v>51</v>
      </c>
      <c r="S3" s="5" t="s">
        <v>52</v>
      </c>
      <c r="T3" s="5" t="s">
        <v>53</v>
      </c>
      <c r="U3" s="5" t="s">
        <v>54</v>
      </c>
      <c r="V3" s="5" t="s">
        <v>55</v>
      </c>
      <c r="W3" s="5" t="s">
        <v>56</v>
      </c>
      <c r="X3" s="5" t="s">
        <v>57</v>
      </c>
      <c r="Y3" s="5" t="s">
        <v>58</v>
      </c>
      <c r="Z3" s="5" t="s">
        <v>59</v>
      </c>
      <c r="AA3" s="5" t="s">
        <v>60</v>
      </c>
      <c r="AB3" s="5" t="s">
        <v>61</v>
      </c>
      <c r="AC3" s="5" t="s">
        <v>62</v>
      </c>
      <c r="AD3" s="5" t="s">
        <v>63</v>
      </c>
      <c r="AE3" s="5" t="s">
        <v>64</v>
      </c>
      <c r="AF3" s="5" t="s">
        <v>65</v>
      </c>
      <c r="AG3" s="5" t="s">
        <v>66</v>
      </c>
      <c r="AH3" s="5" t="s">
        <v>67</v>
      </c>
      <c r="AI3" s="5" t="s">
        <v>68</v>
      </c>
      <c r="AJ3" s="5" t="s">
        <v>69</v>
      </c>
      <c r="AK3" s="5" t="s">
        <v>70</v>
      </c>
      <c r="AL3" s="5" t="s">
        <v>71</v>
      </c>
      <c r="AM3" s="5" t="s">
        <v>72</v>
      </c>
      <c r="AN3" s="5" t="s">
        <v>73</v>
      </c>
      <c r="AO3" s="5" t="s">
        <v>75</v>
      </c>
      <c r="AP3" s="5" t="s">
        <v>77</v>
      </c>
      <c r="AQ3" s="5" t="s">
        <v>78</v>
      </c>
      <c r="AR3" s="5" t="s">
        <v>79</v>
      </c>
      <c r="AS3" s="5" t="s">
        <v>80</v>
      </c>
      <c r="AT3" s="5" t="s">
        <v>81</v>
      </c>
      <c r="AU3" s="5" t="s">
        <v>82</v>
      </c>
      <c r="AV3" s="5" t="s">
        <v>83</v>
      </c>
      <c r="AW3" s="5" t="s">
        <v>84</v>
      </c>
      <c r="AX3" s="5" t="s">
        <v>85</v>
      </c>
      <c r="AY3" s="5" t="s">
        <v>86</v>
      </c>
      <c r="AZ3" s="5" t="s">
        <v>87</v>
      </c>
      <c r="BA3" s="5" t="s">
        <v>88</v>
      </c>
      <c r="BB3" s="5" t="s">
        <v>89</v>
      </c>
      <c r="BC3" s="5" t="s">
        <v>90</v>
      </c>
      <c r="BD3" s="5" t="s">
        <v>91</v>
      </c>
      <c r="BE3" s="5" t="s">
        <v>92</v>
      </c>
      <c r="BF3" s="5" t="s">
        <v>93</v>
      </c>
      <c r="BG3" s="5" t="s">
        <v>94</v>
      </c>
      <c r="BH3" s="5" t="s">
        <v>95</v>
      </c>
      <c r="BI3" s="5" t="s">
        <v>96</v>
      </c>
      <c r="BJ3" s="5" t="s">
        <v>97</v>
      </c>
      <c r="BK3" s="5" t="s">
        <v>98</v>
      </c>
      <c r="BL3" s="5" t="s">
        <v>99</v>
      </c>
      <c r="BM3" s="5" t="s">
        <v>100</v>
      </c>
      <c r="BN3" s="5" t="s">
        <v>101</v>
      </c>
      <c r="BO3" s="5" t="s">
        <v>102</v>
      </c>
      <c r="BP3" s="5" t="s">
        <v>103</v>
      </c>
      <c r="BQ3" s="5" t="s">
        <v>104</v>
      </c>
      <c r="BR3" s="5" t="s">
        <v>105</v>
      </c>
      <c r="BS3" s="5" t="s">
        <v>106</v>
      </c>
      <c r="BT3" s="5" t="s">
        <v>107</v>
      </c>
      <c r="BU3" s="5" t="s">
        <v>108</v>
      </c>
      <c r="BV3" s="5" t="s">
        <v>109</v>
      </c>
      <c r="BW3" s="5" t="s">
        <v>110</v>
      </c>
      <c r="BX3" s="5" t="s">
        <v>111</v>
      </c>
      <c r="BY3" s="5" t="s">
        <v>112</v>
      </c>
      <c r="BZ3" s="5" t="s">
        <v>113</v>
      </c>
      <c r="CA3" s="5" t="s">
        <v>114</v>
      </c>
      <c r="CB3" s="5" t="s">
        <v>115</v>
      </c>
      <c r="CC3" s="5" t="s">
        <v>116</v>
      </c>
      <c r="CD3" s="5" t="s">
        <v>117</v>
      </c>
      <c r="CE3" s="5" t="s">
        <v>19</v>
      </c>
      <c r="CF3" s="5" t="s">
        <v>21</v>
      </c>
      <c r="CG3" s="5" t="s">
        <v>25</v>
      </c>
      <c r="CH3" s="5" t="s">
        <v>14</v>
      </c>
    </row>
    <row r="4" ht="15.75" customHeight="1">
      <c r="A4" s="38"/>
      <c r="B4" s="38"/>
      <c r="C4" s="38"/>
      <c r="D4" s="38"/>
      <c r="E4" s="38"/>
      <c r="F4" s="38"/>
      <c r="G4" s="38"/>
      <c r="H4" s="38"/>
      <c r="I4" s="39" t="s">
        <v>118</v>
      </c>
      <c r="J4" s="39" t="s">
        <v>119</v>
      </c>
      <c r="K4" s="39" t="s">
        <v>120</v>
      </c>
      <c r="L4" s="39" t="s">
        <v>121</v>
      </c>
      <c r="M4" s="39" t="s">
        <v>122</v>
      </c>
      <c r="N4" s="39" t="s">
        <v>123</v>
      </c>
      <c r="O4" s="39" t="s">
        <v>124</v>
      </c>
      <c r="P4" s="39" t="s">
        <v>125</v>
      </c>
      <c r="Q4" s="39" t="s">
        <v>126</v>
      </c>
      <c r="R4" s="39" t="s">
        <v>127</v>
      </c>
      <c r="S4" s="39" t="s">
        <v>128</v>
      </c>
      <c r="T4" s="39" t="s">
        <v>129</v>
      </c>
      <c r="U4" s="39" t="s">
        <v>130</v>
      </c>
      <c r="V4" s="39" t="s">
        <v>131</v>
      </c>
      <c r="W4" s="39" t="s">
        <v>132</v>
      </c>
      <c r="X4" s="39" t="s">
        <v>133</v>
      </c>
      <c r="Y4" s="39" t="s">
        <v>134</v>
      </c>
      <c r="Z4" s="39" t="s">
        <v>135</v>
      </c>
      <c r="AA4" s="39" t="s">
        <v>136</v>
      </c>
      <c r="AB4" s="39" t="s">
        <v>137</v>
      </c>
      <c r="AC4" s="39" t="s">
        <v>138</v>
      </c>
      <c r="AD4" s="39" t="s">
        <v>139</v>
      </c>
      <c r="AE4" s="39" t="s">
        <v>140</v>
      </c>
      <c r="AF4" s="39" t="s">
        <v>141</v>
      </c>
      <c r="AG4" s="39" t="s">
        <v>142</v>
      </c>
      <c r="AH4" s="39" t="s">
        <v>143</v>
      </c>
      <c r="AI4" s="39" t="s">
        <v>144</v>
      </c>
      <c r="AJ4" s="39" t="s">
        <v>145</v>
      </c>
      <c r="AK4" s="39" t="s">
        <v>146</v>
      </c>
      <c r="AL4" s="39" t="s">
        <v>147</v>
      </c>
      <c r="AM4" s="39" t="s">
        <v>148</v>
      </c>
      <c r="AN4" s="39" t="s">
        <v>149</v>
      </c>
      <c r="AO4" s="39" t="s">
        <v>150</v>
      </c>
      <c r="AP4" s="39" t="s">
        <v>151</v>
      </c>
      <c r="AQ4" s="39" t="s">
        <v>152</v>
      </c>
      <c r="AR4" s="39" t="s">
        <v>153</v>
      </c>
      <c r="AS4" s="39" t="s">
        <v>154</v>
      </c>
      <c r="AT4" s="39" t="s">
        <v>155</v>
      </c>
      <c r="AU4" s="39" t="s">
        <v>156</v>
      </c>
      <c r="AV4" s="39" t="s">
        <v>157</v>
      </c>
      <c r="AW4" s="39" t="s">
        <v>158</v>
      </c>
      <c r="AX4" s="39" t="s">
        <v>159</v>
      </c>
      <c r="AY4" s="39" t="s">
        <v>160</v>
      </c>
      <c r="AZ4" s="39" t="s">
        <v>161</v>
      </c>
      <c r="BA4" s="39" t="s">
        <v>162</v>
      </c>
      <c r="BB4" s="39" t="s">
        <v>163</v>
      </c>
      <c r="BC4" s="39" t="s">
        <v>164</v>
      </c>
      <c r="BD4" s="39" t="s">
        <v>165</v>
      </c>
      <c r="BE4" s="39" t="s">
        <v>166</v>
      </c>
      <c r="BF4" s="39" t="s">
        <v>167</v>
      </c>
      <c r="BG4" s="39" t="s">
        <v>168</v>
      </c>
      <c r="BH4" s="39" t="s">
        <v>169</v>
      </c>
      <c r="BI4" s="39" t="s">
        <v>170</v>
      </c>
      <c r="BJ4" s="39" t="s">
        <v>171</v>
      </c>
      <c r="BK4" s="39" t="s">
        <v>172</v>
      </c>
      <c r="BL4" s="39" t="s">
        <v>173</v>
      </c>
      <c r="BM4" s="39" t="s">
        <v>174</v>
      </c>
      <c r="BN4" s="39" t="s">
        <v>175</v>
      </c>
      <c r="BO4" s="39" t="s">
        <v>176</v>
      </c>
      <c r="BP4" s="39" t="s">
        <v>177</v>
      </c>
      <c r="BQ4" s="39" t="s">
        <v>178</v>
      </c>
      <c r="BR4" s="39" t="s">
        <v>179</v>
      </c>
      <c r="BS4" s="39" t="s">
        <v>180</v>
      </c>
      <c r="BT4" s="39" t="s">
        <v>181</v>
      </c>
      <c r="BU4" s="39" t="s">
        <v>182</v>
      </c>
      <c r="BV4" s="39" t="s">
        <v>183</v>
      </c>
      <c r="BW4" s="39" t="s">
        <v>184</v>
      </c>
      <c r="BX4" s="39" t="s">
        <v>185</v>
      </c>
      <c r="BY4" s="39" t="s">
        <v>186</v>
      </c>
      <c r="BZ4" s="39" t="s">
        <v>187</v>
      </c>
      <c r="CA4" s="39" t="s">
        <v>188</v>
      </c>
      <c r="CB4" s="39" t="s">
        <v>189</v>
      </c>
      <c r="CC4" s="39" t="s">
        <v>190</v>
      </c>
      <c r="CD4" s="39" t="s">
        <v>191</v>
      </c>
      <c r="CE4" s="38"/>
      <c r="CF4" s="38"/>
      <c r="CG4" s="38"/>
      <c r="CH4" s="38"/>
    </row>
    <row r="5" ht="18.0" customHeight="1">
      <c r="A5" s="11" t="s">
        <v>192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3"/>
    </row>
    <row r="6" ht="18.0" customHeight="1">
      <c r="A6" s="42">
        <v>1.0</v>
      </c>
      <c r="B6" s="43" t="s">
        <v>193</v>
      </c>
      <c r="C6" s="44" t="s">
        <v>194</v>
      </c>
      <c r="D6" s="45" t="str">
        <f>IF(C6&lt;&gt;"",HYPERLINK("tel:"&amp;SUBSTITUTE(SUBSTITUTE(C6," ",""),"+","+"),"📞 Call"),"")</f>
        <v>📞 Call</v>
      </c>
      <c r="E6" s="46" t="str">
        <f>IF(C6&lt;&gt;"",HYPERLINK("https://wa.me/"&amp;SUBSTITUTE(SUBSTITUTE(C6,"+","")," ",""),"💬 WhatsApp"),"")</f>
        <v>💬 WhatsApp</v>
      </c>
      <c r="F6" s="47"/>
      <c r="G6" s="47"/>
      <c r="H6" s="47" t="s">
        <v>195</v>
      </c>
      <c r="I6" s="48" t="s">
        <v>196</v>
      </c>
      <c r="J6" s="48" t="s">
        <v>196</v>
      </c>
      <c r="K6" s="49" t="s">
        <v>197</v>
      </c>
      <c r="L6" s="48" t="s">
        <v>196</v>
      </c>
      <c r="M6" s="50" t="s">
        <v>37</v>
      </c>
      <c r="N6" s="48" t="s">
        <v>196</v>
      </c>
      <c r="O6" s="48" t="s">
        <v>196</v>
      </c>
      <c r="P6" s="48" t="s">
        <v>196</v>
      </c>
      <c r="Q6" s="48" t="s">
        <v>196</v>
      </c>
      <c r="R6" s="48" t="s">
        <v>196</v>
      </c>
      <c r="S6" s="52" t="s">
        <v>198</v>
      </c>
      <c r="T6" s="53" t="s">
        <v>198</v>
      </c>
      <c r="U6" s="52" t="s">
        <v>196</v>
      </c>
      <c r="V6" s="53" t="s">
        <v>37</v>
      </c>
      <c r="W6" s="54" t="str">
        <f>IF('⚙ OFF Weekends'!$D$18="OFF","OFF","")</f>
        <v>OFF</v>
      </c>
      <c r="X6" s="53" t="s">
        <v>198</v>
      </c>
      <c r="Y6" s="52" t="s">
        <v>196</v>
      </c>
      <c r="Z6" s="53" t="s">
        <v>196</v>
      </c>
      <c r="AA6" s="52" t="s">
        <v>37</v>
      </c>
      <c r="AB6" s="53" t="s">
        <v>196</v>
      </c>
      <c r="AC6" s="54" t="str">
        <f>IF('⚙ OFF Weekends'!$D$24="OFF","OFF","")</f>
        <v/>
      </c>
      <c r="AD6" s="56" t="str">
        <f>IF('⚙ OFF Weekends'!$D$25="OFF","OFF","")</f>
        <v/>
      </c>
      <c r="AE6" s="54" t="str">
        <f>IF('⚙ OFF Weekends'!$D$26="OFF","OFF","")</f>
        <v/>
      </c>
      <c r="AF6" s="56" t="str">
        <f>IF('⚙ OFF Weekends'!$D$27="OFF","OFF","")</f>
        <v/>
      </c>
      <c r="AG6" s="54" t="str">
        <f>IF('⚙ OFF Weekends'!$D$28="OFF","OFF","")</f>
        <v/>
      </c>
      <c r="AH6" s="56" t="str">
        <f>IF('⚙ OFF Weekends'!$D$29="OFF","OFF","")</f>
        <v/>
      </c>
      <c r="AI6" s="54" t="str">
        <f>IF('⚙ OFF Weekends'!$D$30="OFF","OFF","")</f>
        <v/>
      </c>
      <c r="AJ6" s="56" t="str">
        <f>IF('⚙ OFF Weekends'!$D$31="OFF","OFF","")</f>
        <v/>
      </c>
      <c r="AK6" s="54" t="str">
        <f>IF('⚙ OFF Weekends'!$D$32="OFF","OFF","")</f>
        <v/>
      </c>
      <c r="AL6" s="56" t="str">
        <f>IF('⚙ OFF Weekends'!$D$33="OFF","OFF","")</f>
        <v/>
      </c>
      <c r="AM6" s="54" t="str">
        <f>IF('⚙ OFF Weekends'!$D$34="OFF","OFF","")</f>
        <v/>
      </c>
      <c r="AN6" s="56" t="str">
        <f>IF('⚙ OFF Weekends'!$D$35="OFF","OFF","")</f>
        <v/>
      </c>
      <c r="AO6" s="54" t="str">
        <f>IF('⚙ OFF Weekends'!$D$36="OFF","OFF","")</f>
        <v/>
      </c>
      <c r="AP6" s="56" t="str">
        <f>IF('⚙ OFF Weekends'!$D$37="OFF","OFF","")</f>
        <v/>
      </c>
      <c r="AQ6" s="54" t="str">
        <f>IF('⚙ OFF Weekends'!$D$38="OFF","OFF","")</f>
        <v/>
      </c>
      <c r="AR6" s="56" t="str">
        <f>IF('⚙ OFF Weekends'!$D$39="OFF","OFF","")</f>
        <v/>
      </c>
      <c r="AS6" s="54" t="str">
        <f>IF('⚙ OFF Weekends'!$D$40="OFF","OFF","")</f>
        <v/>
      </c>
      <c r="AT6" s="56" t="str">
        <f>IF('⚙ OFF Weekends'!$D$41="OFF","OFF","")</f>
        <v/>
      </c>
      <c r="AU6" s="54" t="str">
        <f>IF('⚙ OFF Weekends'!$D$42="OFF","OFF","")</f>
        <v/>
      </c>
      <c r="AV6" s="56" t="str">
        <f>IF('⚙ OFF Weekends'!$D$43="OFF","OFF","")</f>
        <v/>
      </c>
      <c r="AW6" s="54" t="str">
        <f>IF('⚙ OFF Weekends'!$D$44="OFF","OFF","")</f>
        <v/>
      </c>
      <c r="AX6" s="56" t="str">
        <f>IF('⚙ OFF Weekends'!$D$45="OFF","OFF","")</f>
        <v/>
      </c>
      <c r="AY6" s="54" t="str">
        <f>IF('⚙ OFF Weekends'!$D$46="OFF","OFF","")</f>
        <v/>
      </c>
      <c r="AZ6" s="56" t="str">
        <f>IF('⚙ OFF Weekends'!$D$47="OFF","OFF","")</f>
        <v/>
      </c>
      <c r="BA6" s="54" t="str">
        <f>IF('⚙ OFF Weekends'!$D$48="OFF","OFF","")</f>
        <v/>
      </c>
      <c r="BB6" s="56" t="str">
        <f>IF('⚙ OFF Weekends'!$D$49="OFF","OFF","")</f>
        <v/>
      </c>
      <c r="BC6" s="54" t="str">
        <f>IF('⚙ OFF Weekends'!$D$50="OFF","OFF","")</f>
        <v/>
      </c>
      <c r="BD6" s="56" t="str">
        <f>IF('⚙ OFF Weekends'!$D$51="OFF","OFF","")</f>
        <v/>
      </c>
      <c r="BE6" s="54" t="str">
        <f>IF('⚙ OFF Weekends'!$D$52="OFF","OFF","")</f>
        <v/>
      </c>
      <c r="BF6" s="56" t="str">
        <f>IF('⚙ OFF Weekends'!$D$53="OFF","OFF","")</f>
        <v/>
      </c>
      <c r="BG6" s="54" t="str">
        <f>IF('⚙ OFF Weekends'!$D$54="OFF","OFF","")</f>
        <v/>
      </c>
      <c r="BH6" s="56" t="str">
        <f>IF('⚙ OFF Weekends'!$D$55="OFF","OFF","")</f>
        <v/>
      </c>
      <c r="BI6" s="54" t="str">
        <f>IF('⚙ OFF Weekends'!$D$56="OFF","OFF","")</f>
        <v/>
      </c>
      <c r="BJ6" s="56" t="str">
        <f>IF('⚙ OFF Weekends'!$D$57="OFF","OFF","")</f>
        <v/>
      </c>
      <c r="BK6" s="54" t="str">
        <f>IF('⚙ OFF Weekends'!$D$58="OFF","OFF","")</f>
        <v/>
      </c>
      <c r="BL6" s="56" t="str">
        <f>IF('⚙ OFF Weekends'!$D$59="OFF","OFF","")</f>
        <v/>
      </c>
      <c r="BM6" s="54" t="str">
        <f>IF('⚙ OFF Weekends'!$D$60="OFF","OFF","")</f>
        <v/>
      </c>
      <c r="BN6" s="56" t="str">
        <f>IF('⚙ OFF Weekends'!$D$61="OFF","OFF","")</f>
        <v/>
      </c>
      <c r="BO6" s="54" t="str">
        <f>IF('⚙ OFF Weekends'!$D$62="OFF","OFF","")</f>
        <v/>
      </c>
      <c r="BP6" s="56" t="str">
        <f>IF('⚙ OFF Weekends'!$D$63="OFF","OFF","")</f>
        <v/>
      </c>
      <c r="BQ6" s="54" t="str">
        <f>IF('⚙ OFF Weekends'!$D$64="OFF","OFF","")</f>
        <v/>
      </c>
      <c r="BR6" s="56" t="str">
        <f>IF('⚙ OFF Weekends'!$D$65="OFF","OFF","")</f>
        <v/>
      </c>
      <c r="BS6" s="54" t="str">
        <f>IF('⚙ OFF Weekends'!$D$66="OFF","OFF","")</f>
        <v/>
      </c>
      <c r="BT6" s="56" t="str">
        <f>IF('⚙ OFF Weekends'!$D$67="OFF","OFF","")</f>
        <v/>
      </c>
      <c r="BU6" s="54" t="str">
        <f>IF('⚙ OFF Weekends'!$D$68="OFF","OFF","")</f>
        <v/>
      </c>
      <c r="BV6" s="56" t="str">
        <f>IF('⚙ OFF Weekends'!$D$69="OFF","OFF","")</f>
        <v/>
      </c>
      <c r="BW6" s="54" t="str">
        <f>IF('⚙ OFF Weekends'!$D$70="OFF","OFF","")</f>
        <v/>
      </c>
      <c r="BX6" s="56" t="str">
        <f>IF('⚙ OFF Weekends'!$D$71="OFF","OFF","")</f>
        <v/>
      </c>
      <c r="BY6" s="54" t="str">
        <f>IF('⚙ OFF Weekends'!$D$72="OFF","OFF","")</f>
        <v/>
      </c>
      <c r="BZ6" s="56" t="str">
        <f>IF('⚙ OFF Weekends'!$D$73="OFF","OFF","")</f>
        <v/>
      </c>
      <c r="CA6" s="54" t="str">
        <f>IF('⚙ OFF Weekends'!$D$74="OFF","OFF","")</f>
        <v/>
      </c>
      <c r="CB6" s="56" t="str">
        <f>IF('⚙ OFF Weekends'!$D$75="OFF","OFF","")</f>
        <v/>
      </c>
      <c r="CC6" s="54" t="str">
        <f>IF('⚙ OFF Weekends'!$D$76="OFF","OFF","")</f>
        <v/>
      </c>
      <c r="CD6" s="56" t="str">
        <f>IF('⚙ OFF Weekends'!$D$77="OFF","OFF","")</f>
        <v/>
      </c>
      <c r="CE6" s="42">
        <f>COUNTIF(I6:CD6,"Present")+COUNTIF(I6:CD6,"Late")</f>
        <v>15</v>
      </c>
      <c r="CF6" s="42">
        <f>COUNTIF(I6:CD6,"Absent")</f>
        <v>0</v>
      </c>
      <c r="CG6" s="42">
        <f>COUNTIF(I6:CD6,"Leave")</f>
        <v>3</v>
      </c>
      <c r="CH6" s="42" t="str">
        <f>IF(CE6+CF6=0,"0%",TEXT(CE6/(CE6+CF6),"0%"))</f>
        <v>100%</v>
      </c>
    </row>
    <row r="7" ht="6.0" customHeight="1">
      <c r="A7" s="67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3"/>
    </row>
    <row r="8" ht="18.0" customHeight="1">
      <c r="A8" s="9" t="s">
        <v>204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3"/>
    </row>
    <row r="9" ht="18.0" customHeight="1">
      <c r="A9" s="68">
        <v>1.0</v>
      </c>
      <c r="B9" s="25" t="s">
        <v>205</v>
      </c>
      <c r="C9" s="69" t="s">
        <v>206</v>
      </c>
      <c r="D9" s="70" t="str">
        <f t="shared" ref="D9:D23" si="1">IF(C9&lt;&gt;"",HYPERLINK("tel:"&amp;SUBSTITUTE(SUBSTITUTE(C9," ",""),"+","+"),"📞 Call"),"")</f>
        <v>📞 Call</v>
      </c>
      <c r="E9" s="71" t="str">
        <f t="shared" ref="E9:E23" si="2">IF(C9&lt;&gt;"",HYPERLINK("https://wa.me/"&amp;SUBSTITUTE(SUBSTITUTE(C9,"+","")," ",""),"💬 WhatsApp"),"")</f>
        <v>💬 WhatsApp</v>
      </c>
      <c r="F9" s="21"/>
      <c r="G9" s="21"/>
      <c r="H9" s="21" t="s">
        <v>207</v>
      </c>
      <c r="I9" s="48" t="s">
        <v>196</v>
      </c>
      <c r="J9" s="48" t="s">
        <v>196</v>
      </c>
      <c r="K9" s="49" t="s">
        <v>197</v>
      </c>
      <c r="L9" s="48" t="s">
        <v>196</v>
      </c>
      <c r="M9" s="48" t="s">
        <v>196</v>
      </c>
      <c r="N9" s="48" t="s">
        <v>196</v>
      </c>
      <c r="O9" s="48" t="s">
        <v>196</v>
      </c>
      <c r="P9" s="48" t="s">
        <v>196</v>
      </c>
      <c r="Q9" s="48" t="s">
        <v>196</v>
      </c>
      <c r="R9" s="48" t="s">
        <v>196</v>
      </c>
      <c r="S9" s="52" t="s">
        <v>196</v>
      </c>
      <c r="T9" s="53" t="s">
        <v>196</v>
      </c>
      <c r="U9" s="52" t="s">
        <v>196</v>
      </c>
      <c r="V9" s="53" t="s">
        <v>196</v>
      </c>
      <c r="W9" s="54" t="str">
        <f>IF('⚙ OFF Weekends'!$D$18="OFF","OFF","")</f>
        <v>OFF</v>
      </c>
      <c r="X9" s="53" t="s">
        <v>196</v>
      </c>
      <c r="Y9" s="52" t="s">
        <v>196</v>
      </c>
      <c r="Z9" s="53" t="s">
        <v>196</v>
      </c>
      <c r="AA9" s="52" t="s">
        <v>196</v>
      </c>
      <c r="AB9" s="53" t="s">
        <v>196</v>
      </c>
      <c r="AC9" s="54" t="str">
        <f>IF('⚙ OFF Weekends'!$D$24="OFF","OFF","")</f>
        <v/>
      </c>
      <c r="AD9" s="56" t="str">
        <f>IF('⚙ OFF Weekends'!$D$25="OFF","OFF","")</f>
        <v/>
      </c>
      <c r="AE9" s="54" t="str">
        <f>IF('⚙ OFF Weekends'!$D$26="OFF","OFF","")</f>
        <v/>
      </c>
      <c r="AF9" s="56" t="str">
        <f>IF('⚙ OFF Weekends'!$D$27="OFF","OFF","")</f>
        <v/>
      </c>
      <c r="AG9" s="54" t="str">
        <f>IF('⚙ OFF Weekends'!$D$28="OFF","OFF","")</f>
        <v/>
      </c>
      <c r="AH9" s="56" t="str">
        <f>IF('⚙ OFF Weekends'!$D$29="OFF","OFF","")</f>
        <v/>
      </c>
      <c r="AI9" s="54" t="str">
        <f>IF('⚙ OFF Weekends'!$D$30="OFF","OFF","")</f>
        <v/>
      </c>
      <c r="AJ9" s="56" t="str">
        <f>IF('⚙ OFF Weekends'!$D$31="OFF","OFF","")</f>
        <v/>
      </c>
      <c r="AK9" s="54" t="str">
        <f>IF('⚙ OFF Weekends'!$D$32="OFF","OFF","")</f>
        <v/>
      </c>
      <c r="AL9" s="56" t="str">
        <f>IF('⚙ OFF Weekends'!$D$33="OFF","OFF","")</f>
        <v/>
      </c>
      <c r="AM9" s="54" t="str">
        <f>IF('⚙ OFF Weekends'!$D$34="OFF","OFF","")</f>
        <v/>
      </c>
      <c r="AN9" s="56" t="str">
        <f>IF('⚙ OFF Weekends'!$D$35="OFF","OFF","")</f>
        <v/>
      </c>
      <c r="AO9" s="54" t="str">
        <f>IF('⚙ OFF Weekends'!$D$36="OFF","OFF","")</f>
        <v/>
      </c>
      <c r="AP9" s="56" t="str">
        <f>IF('⚙ OFF Weekends'!$D$37="OFF","OFF","")</f>
        <v/>
      </c>
      <c r="AQ9" s="54" t="str">
        <f>IF('⚙ OFF Weekends'!$D$38="OFF","OFF","")</f>
        <v/>
      </c>
      <c r="AR9" s="56" t="str">
        <f>IF('⚙ OFF Weekends'!$D$39="OFF","OFF","")</f>
        <v/>
      </c>
      <c r="AS9" s="54" t="str">
        <f>IF('⚙ OFF Weekends'!$D$40="OFF","OFF","")</f>
        <v/>
      </c>
      <c r="AT9" s="56" t="str">
        <f>IF('⚙ OFF Weekends'!$D$41="OFF","OFF","")</f>
        <v/>
      </c>
      <c r="AU9" s="54" t="str">
        <f>IF('⚙ OFF Weekends'!$D$42="OFF","OFF","")</f>
        <v/>
      </c>
      <c r="AV9" s="56" t="str">
        <f>IF('⚙ OFF Weekends'!$D$43="OFF","OFF","")</f>
        <v/>
      </c>
      <c r="AW9" s="54" t="str">
        <f>IF('⚙ OFF Weekends'!$D$44="OFF","OFF","")</f>
        <v/>
      </c>
      <c r="AX9" s="56" t="str">
        <f>IF('⚙ OFF Weekends'!$D$45="OFF","OFF","")</f>
        <v/>
      </c>
      <c r="AY9" s="54" t="str">
        <f>IF('⚙ OFF Weekends'!$D$46="OFF","OFF","")</f>
        <v/>
      </c>
      <c r="AZ9" s="56" t="str">
        <f>IF('⚙ OFF Weekends'!$D$47="OFF","OFF","")</f>
        <v/>
      </c>
      <c r="BA9" s="54" t="str">
        <f>IF('⚙ OFF Weekends'!$D$48="OFF","OFF","")</f>
        <v/>
      </c>
      <c r="BB9" s="56" t="str">
        <f>IF('⚙ OFF Weekends'!$D$49="OFF","OFF","")</f>
        <v/>
      </c>
      <c r="BC9" s="54" t="str">
        <f>IF('⚙ OFF Weekends'!$D$50="OFF","OFF","")</f>
        <v/>
      </c>
      <c r="BD9" s="56" t="str">
        <f>IF('⚙ OFF Weekends'!$D$51="OFF","OFF","")</f>
        <v/>
      </c>
      <c r="BE9" s="54" t="str">
        <f>IF('⚙ OFF Weekends'!$D$52="OFF","OFF","")</f>
        <v/>
      </c>
      <c r="BF9" s="56" t="str">
        <f>IF('⚙ OFF Weekends'!$D$53="OFF","OFF","")</f>
        <v/>
      </c>
      <c r="BG9" s="54" t="str">
        <f>IF('⚙ OFF Weekends'!$D$54="OFF","OFF","")</f>
        <v/>
      </c>
      <c r="BH9" s="56" t="str">
        <f>IF('⚙ OFF Weekends'!$D$55="OFF","OFF","")</f>
        <v/>
      </c>
      <c r="BI9" s="54" t="str">
        <f>IF('⚙ OFF Weekends'!$D$56="OFF","OFF","")</f>
        <v/>
      </c>
      <c r="BJ9" s="56" t="str">
        <f>IF('⚙ OFF Weekends'!$D$57="OFF","OFF","")</f>
        <v/>
      </c>
      <c r="BK9" s="54" t="str">
        <f>IF('⚙ OFF Weekends'!$D$58="OFF","OFF","")</f>
        <v/>
      </c>
      <c r="BL9" s="56" t="str">
        <f>IF('⚙ OFF Weekends'!$D$59="OFF","OFF","")</f>
        <v/>
      </c>
      <c r="BM9" s="54" t="str">
        <f>IF('⚙ OFF Weekends'!$D$60="OFF","OFF","")</f>
        <v/>
      </c>
      <c r="BN9" s="56" t="str">
        <f>IF('⚙ OFF Weekends'!$D$61="OFF","OFF","")</f>
        <v/>
      </c>
      <c r="BO9" s="54" t="str">
        <f>IF('⚙ OFF Weekends'!$D$62="OFF","OFF","")</f>
        <v/>
      </c>
      <c r="BP9" s="56" t="str">
        <f>IF('⚙ OFF Weekends'!$D$63="OFF","OFF","")</f>
        <v/>
      </c>
      <c r="BQ9" s="54" t="str">
        <f>IF('⚙ OFF Weekends'!$D$64="OFF","OFF","")</f>
        <v/>
      </c>
      <c r="BR9" s="56" t="str">
        <f>IF('⚙ OFF Weekends'!$D$65="OFF","OFF","")</f>
        <v/>
      </c>
      <c r="BS9" s="54" t="str">
        <f>IF('⚙ OFF Weekends'!$D$66="OFF","OFF","")</f>
        <v/>
      </c>
      <c r="BT9" s="56" t="str">
        <f>IF('⚙ OFF Weekends'!$D$67="OFF","OFF","")</f>
        <v/>
      </c>
      <c r="BU9" s="54" t="str">
        <f>IF('⚙ OFF Weekends'!$D$68="OFF","OFF","")</f>
        <v/>
      </c>
      <c r="BV9" s="56" t="str">
        <f>IF('⚙ OFF Weekends'!$D$69="OFF","OFF","")</f>
        <v/>
      </c>
      <c r="BW9" s="54" t="str">
        <f>IF('⚙ OFF Weekends'!$D$70="OFF","OFF","")</f>
        <v/>
      </c>
      <c r="BX9" s="56" t="str">
        <f>IF('⚙ OFF Weekends'!$D$71="OFF","OFF","")</f>
        <v/>
      </c>
      <c r="BY9" s="54" t="str">
        <f>IF('⚙ OFF Weekends'!$D$72="OFF","OFF","")</f>
        <v/>
      </c>
      <c r="BZ9" s="56" t="str">
        <f>IF('⚙ OFF Weekends'!$D$73="OFF","OFF","")</f>
        <v/>
      </c>
      <c r="CA9" s="54" t="str">
        <f>IF('⚙ OFF Weekends'!$D$74="OFF","OFF","")</f>
        <v/>
      </c>
      <c r="CB9" s="56" t="str">
        <f>IF('⚙ OFF Weekends'!$D$75="OFF","OFF","")</f>
        <v/>
      </c>
      <c r="CC9" s="54" t="str">
        <f>IF('⚙ OFF Weekends'!$D$76="OFF","OFF","")</f>
        <v/>
      </c>
      <c r="CD9" s="56" t="str">
        <f>IF('⚙ OFF Weekends'!$D$77="OFF","OFF","")</f>
        <v/>
      </c>
      <c r="CE9" s="68">
        <f t="shared" ref="CE9:CE23" si="3">COUNTIF(I9:CD9,"Present")+COUNTIF(I9:CD9,"Late")</f>
        <v>18</v>
      </c>
      <c r="CF9" s="68">
        <f t="shared" ref="CF9:CF23" si="4">COUNTIF(I9:CD9,"Absent")</f>
        <v>0</v>
      </c>
      <c r="CG9" s="68">
        <f t="shared" ref="CG9:CG23" si="5">COUNTIF(I9:CD9,"Leave")</f>
        <v>0</v>
      </c>
      <c r="CH9" s="68" t="str">
        <f t="shared" ref="CH9:CH23" si="6">IF(CE9+CF9=0,"0%",TEXT(CE9/(CE9+CF9),"0%"))</f>
        <v>100%</v>
      </c>
    </row>
    <row r="10" ht="18.0" customHeight="1">
      <c r="A10" s="73">
        <v>2.0</v>
      </c>
      <c r="B10" s="35" t="s">
        <v>210</v>
      </c>
      <c r="C10" s="74" t="s">
        <v>211</v>
      </c>
      <c r="D10" s="75" t="str">
        <f t="shared" si="1"/>
        <v>📞 Call</v>
      </c>
      <c r="E10" s="76" t="str">
        <f t="shared" si="2"/>
        <v>💬 WhatsApp</v>
      </c>
      <c r="F10" s="34"/>
      <c r="G10" s="34"/>
      <c r="H10" s="34" t="s">
        <v>212</v>
      </c>
      <c r="I10" s="48" t="s">
        <v>196</v>
      </c>
      <c r="J10" s="48" t="s">
        <v>196</v>
      </c>
      <c r="K10" s="49" t="s">
        <v>197</v>
      </c>
      <c r="L10" s="48" t="s">
        <v>196</v>
      </c>
      <c r="M10" s="48" t="s">
        <v>196</v>
      </c>
      <c r="N10" s="50" t="s">
        <v>37</v>
      </c>
      <c r="O10" s="48" t="s">
        <v>196</v>
      </c>
      <c r="P10" s="50" t="s">
        <v>37</v>
      </c>
      <c r="Q10" s="48" t="s">
        <v>196</v>
      </c>
      <c r="R10" s="48" t="s">
        <v>196</v>
      </c>
      <c r="S10" s="52" t="s">
        <v>196</v>
      </c>
      <c r="T10" s="53" t="s">
        <v>196</v>
      </c>
      <c r="U10" s="52" t="s">
        <v>37</v>
      </c>
      <c r="V10" s="53" t="s">
        <v>37</v>
      </c>
      <c r="W10" s="54" t="str">
        <f>IF('⚙ OFF Weekends'!$D$18="OFF","OFF","")</f>
        <v>OFF</v>
      </c>
      <c r="X10" s="53" t="s">
        <v>196</v>
      </c>
      <c r="Y10" s="52" t="s">
        <v>37</v>
      </c>
      <c r="Z10" s="53" t="s">
        <v>37</v>
      </c>
      <c r="AA10" s="52" t="s">
        <v>37</v>
      </c>
      <c r="AB10" s="53" t="s">
        <v>196</v>
      </c>
      <c r="AC10" s="54" t="str">
        <f>IF('⚙ OFF Weekends'!$D$24="OFF","OFF","")</f>
        <v/>
      </c>
      <c r="AD10" s="56" t="str">
        <f>IF('⚙ OFF Weekends'!$D$25="OFF","OFF","")</f>
        <v/>
      </c>
      <c r="AE10" s="54" t="str">
        <f>IF('⚙ OFF Weekends'!$D$26="OFF","OFF","")</f>
        <v/>
      </c>
      <c r="AF10" s="56" t="str">
        <f>IF('⚙ OFF Weekends'!$D$27="OFF","OFF","")</f>
        <v/>
      </c>
      <c r="AG10" s="54" t="str">
        <f>IF('⚙ OFF Weekends'!$D$28="OFF","OFF","")</f>
        <v/>
      </c>
      <c r="AH10" s="56" t="str">
        <f>IF('⚙ OFF Weekends'!$D$29="OFF","OFF","")</f>
        <v/>
      </c>
      <c r="AI10" s="54" t="str">
        <f>IF('⚙ OFF Weekends'!$D$30="OFF","OFF","")</f>
        <v/>
      </c>
      <c r="AJ10" s="56" t="str">
        <f>IF('⚙ OFF Weekends'!$D$31="OFF","OFF","")</f>
        <v/>
      </c>
      <c r="AK10" s="54" t="str">
        <f>IF('⚙ OFF Weekends'!$D$32="OFF","OFF","")</f>
        <v/>
      </c>
      <c r="AL10" s="56" t="str">
        <f>IF('⚙ OFF Weekends'!$D$33="OFF","OFF","")</f>
        <v/>
      </c>
      <c r="AM10" s="54" t="str">
        <f>IF('⚙ OFF Weekends'!$D$34="OFF","OFF","")</f>
        <v/>
      </c>
      <c r="AN10" s="56" t="str">
        <f>IF('⚙ OFF Weekends'!$D$35="OFF","OFF","")</f>
        <v/>
      </c>
      <c r="AO10" s="54" t="str">
        <f>IF('⚙ OFF Weekends'!$D$36="OFF","OFF","")</f>
        <v/>
      </c>
      <c r="AP10" s="56" t="str">
        <f>IF('⚙ OFF Weekends'!$D$37="OFF","OFF","")</f>
        <v/>
      </c>
      <c r="AQ10" s="54" t="str">
        <f>IF('⚙ OFF Weekends'!$D$38="OFF","OFF","")</f>
        <v/>
      </c>
      <c r="AR10" s="56" t="str">
        <f>IF('⚙ OFF Weekends'!$D$39="OFF","OFF","")</f>
        <v/>
      </c>
      <c r="AS10" s="54" t="str">
        <f>IF('⚙ OFF Weekends'!$D$40="OFF","OFF","")</f>
        <v/>
      </c>
      <c r="AT10" s="56" t="str">
        <f>IF('⚙ OFF Weekends'!$D$41="OFF","OFF","")</f>
        <v/>
      </c>
      <c r="AU10" s="54" t="str">
        <f>IF('⚙ OFF Weekends'!$D$42="OFF","OFF","")</f>
        <v/>
      </c>
      <c r="AV10" s="56" t="str">
        <f>IF('⚙ OFF Weekends'!$D$43="OFF","OFF","")</f>
        <v/>
      </c>
      <c r="AW10" s="54" t="str">
        <f>IF('⚙ OFF Weekends'!$D$44="OFF","OFF","")</f>
        <v/>
      </c>
      <c r="AX10" s="56" t="str">
        <f>IF('⚙ OFF Weekends'!$D$45="OFF","OFF","")</f>
        <v/>
      </c>
      <c r="AY10" s="54" t="str">
        <f>IF('⚙ OFF Weekends'!$D$46="OFF","OFF","")</f>
        <v/>
      </c>
      <c r="AZ10" s="56" t="str">
        <f>IF('⚙ OFF Weekends'!$D$47="OFF","OFF","")</f>
        <v/>
      </c>
      <c r="BA10" s="54" t="str">
        <f>IF('⚙ OFF Weekends'!$D$48="OFF","OFF","")</f>
        <v/>
      </c>
      <c r="BB10" s="56" t="str">
        <f>IF('⚙ OFF Weekends'!$D$49="OFF","OFF","")</f>
        <v/>
      </c>
      <c r="BC10" s="54" t="str">
        <f>IF('⚙ OFF Weekends'!$D$50="OFF","OFF","")</f>
        <v/>
      </c>
      <c r="BD10" s="56" t="str">
        <f>IF('⚙ OFF Weekends'!$D$51="OFF","OFF","")</f>
        <v/>
      </c>
      <c r="BE10" s="54" t="str">
        <f>IF('⚙ OFF Weekends'!$D$52="OFF","OFF","")</f>
        <v/>
      </c>
      <c r="BF10" s="56" t="str">
        <f>IF('⚙ OFF Weekends'!$D$53="OFF","OFF","")</f>
        <v/>
      </c>
      <c r="BG10" s="54" t="str">
        <f>IF('⚙ OFF Weekends'!$D$54="OFF","OFF","")</f>
        <v/>
      </c>
      <c r="BH10" s="56" t="str">
        <f>IF('⚙ OFF Weekends'!$D$55="OFF","OFF","")</f>
        <v/>
      </c>
      <c r="BI10" s="54" t="str">
        <f>IF('⚙ OFF Weekends'!$D$56="OFF","OFF","")</f>
        <v/>
      </c>
      <c r="BJ10" s="56" t="str">
        <f>IF('⚙ OFF Weekends'!$D$57="OFF","OFF","")</f>
        <v/>
      </c>
      <c r="BK10" s="54" t="str">
        <f>IF('⚙ OFF Weekends'!$D$58="OFF","OFF","")</f>
        <v/>
      </c>
      <c r="BL10" s="56" t="str">
        <f>IF('⚙ OFF Weekends'!$D$59="OFF","OFF","")</f>
        <v/>
      </c>
      <c r="BM10" s="54" t="str">
        <f>IF('⚙ OFF Weekends'!$D$60="OFF","OFF","")</f>
        <v/>
      </c>
      <c r="BN10" s="56" t="str">
        <f>IF('⚙ OFF Weekends'!$D$61="OFF","OFF","")</f>
        <v/>
      </c>
      <c r="BO10" s="54" t="str">
        <f>IF('⚙ OFF Weekends'!$D$62="OFF","OFF","")</f>
        <v/>
      </c>
      <c r="BP10" s="56" t="str">
        <f>IF('⚙ OFF Weekends'!$D$63="OFF","OFF","")</f>
        <v/>
      </c>
      <c r="BQ10" s="54" t="str">
        <f>IF('⚙ OFF Weekends'!$D$64="OFF","OFF","")</f>
        <v/>
      </c>
      <c r="BR10" s="56" t="str">
        <f>IF('⚙ OFF Weekends'!$D$65="OFF","OFF","")</f>
        <v/>
      </c>
      <c r="BS10" s="54" t="str">
        <f>IF('⚙ OFF Weekends'!$D$66="OFF","OFF","")</f>
        <v/>
      </c>
      <c r="BT10" s="56" t="str">
        <f>IF('⚙ OFF Weekends'!$D$67="OFF","OFF","")</f>
        <v/>
      </c>
      <c r="BU10" s="54" t="str">
        <f>IF('⚙ OFF Weekends'!$D$68="OFF","OFF","")</f>
        <v/>
      </c>
      <c r="BV10" s="56" t="str">
        <f>IF('⚙ OFF Weekends'!$D$69="OFF","OFF","")</f>
        <v/>
      </c>
      <c r="BW10" s="54" t="str">
        <f>IF('⚙ OFF Weekends'!$D$70="OFF","OFF","")</f>
        <v/>
      </c>
      <c r="BX10" s="56" t="str">
        <f>IF('⚙ OFF Weekends'!$D$71="OFF","OFF","")</f>
        <v/>
      </c>
      <c r="BY10" s="54" t="str">
        <f>IF('⚙ OFF Weekends'!$D$72="OFF","OFF","")</f>
        <v/>
      </c>
      <c r="BZ10" s="56" t="str">
        <f>IF('⚙ OFF Weekends'!$D$73="OFF","OFF","")</f>
        <v/>
      </c>
      <c r="CA10" s="54" t="str">
        <f>IF('⚙ OFF Weekends'!$D$74="OFF","OFF","")</f>
        <v/>
      </c>
      <c r="CB10" s="56" t="str">
        <f>IF('⚙ OFF Weekends'!$D$75="OFF","OFF","")</f>
        <v/>
      </c>
      <c r="CC10" s="54" t="str">
        <f>IF('⚙ OFF Weekends'!$D$76="OFF","OFF","")</f>
        <v/>
      </c>
      <c r="CD10" s="56" t="str">
        <f>IF('⚙ OFF Weekends'!$D$77="OFF","OFF","")</f>
        <v/>
      </c>
      <c r="CE10" s="73">
        <f t="shared" si="3"/>
        <v>18</v>
      </c>
      <c r="CF10" s="73">
        <f t="shared" si="4"/>
        <v>0</v>
      </c>
      <c r="CG10" s="73">
        <f t="shared" si="5"/>
        <v>0</v>
      </c>
      <c r="CH10" s="73" t="str">
        <f t="shared" si="6"/>
        <v>100%</v>
      </c>
    </row>
    <row r="11" ht="18.0" customHeight="1">
      <c r="A11" s="68">
        <v>3.0</v>
      </c>
      <c r="B11" s="25" t="s">
        <v>215</v>
      </c>
      <c r="C11" s="69" t="s">
        <v>216</v>
      </c>
      <c r="D11" s="70" t="str">
        <f t="shared" si="1"/>
        <v>📞 Call</v>
      </c>
      <c r="E11" s="71" t="str">
        <f t="shared" si="2"/>
        <v>💬 WhatsApp</v>
      </c>
      <c r="F11" s="21"/>
      <c r="G11" s="21"/>
      <c r="H11" s="21" t="s">
        <v>217</v>
      </c>
      <c r="I11" s="48" t="s">
        <v>196</v>
      </c>
      <c r="J11" s="48" t="s">
        <v>196</v>
      </c>
      <c r="K11" s="49" t="s">
        <v>197</v>
      </c>
      <c r="L11" s="48" t="s">
        <v>196</v>
      </c>
      <c r="M11" s="48" t="s">
        <v>196</v>
      </c>
      <c r="N11" s="50" t="s">
        <v>37</v>
      </c>
      <c r="O11" s="48" t="s">
        <v>196</v>
      </c>
      <c r="P11" s="48" t="s">
        <v>196</v>
      </c>
      <c r="Q11" s="48" t="s">
        <v>196</v>
      </c>
      <c r="R11" s="48" t="s">
        <v>196</v>
      </c>
      <c r="S11" s="52" t="s">
        <v>196</v>
      </c>
      <c r="T11" s="53" t="s">
        <v>196</v>
      </c>
      <c r="U11" s="52" t="s">
        <v>37</v>
      </c>
      <c r="V11" s="53" t="s">
        <v>196</v>
      </c>
      <c r="W11" s="54" t="str">
        <f>IF('⚙ OFF Weekends'!$D$18="OFF","OFF","")</f>
        <v>OFF</v>
      </c>
      <c r="X11" s="53" t="s">
        <v>196</v>
      </c>
      <c r="Y11" s="52" t="s">
        <v>196</v>
      </c>
      <c r="Z11" s="53" t="s">
        <v>196</v>
      </c>
      <c r="AA11" s="52" t="s">
        <v>196</v>
      </c>
      <c r="AB11" s="53" t="s">
        <v>196</v>
      </c>
      <c r="AC11" s="54" t="str">
        <f>IF('⚙ OFF Weekends'!$D$24="OFF","OFF","")</f>
        <v/>
      </c>
      <c r="AD11" s="56" t="str">
        <f>IF('⚙ OFF Weekends'!$D$25="OFF","OFF","")</f>
        <v/>
      </c>
      <c r="AE11" s="54" t="str">
        <f>IF('⚙ OFF Weekends'!$D$26="OFF","OFF","")</f>
        <v/>
      </c>
      <c r="AF11" s="56" t="str">
        <f>IF('⚙ OFF Weekends'!$D$27="OFF","OFF","")</f>
        <v/>
      </c>
      <c r="AG11" s="54" t="str">
        <f>IF('⚙ OFF Weekends'!$D$28="OFF","OFF","")</f>
        <v/>
      </c>
      <c r="AH11" s="56" t="str">
        <f>IF('⚙ OFF Weekends'!$D$29="OFF","OFF","")</f>
        <v/>
      </c>
      <c r="AI11" s="54" t="str">
        <f>IF('⚙ OFF Weekends'!$D$30="OFF","OFF","")</f>
        <v/>
      </c>
      <c r="AJ11" s="56" t="str">
        <f>IF('⚙ OFF Weekends'!$D$31="OFF","OFF","")</f>
        <v/>
      </c>
      <c r="AK11" s="54" t="str">
        <f>IF('⚙ OFF Weekends'!$D$32="OFF","OFF","")</f>
        <v/>
      </c>
      <c r="AL11" s="56" t="str">
        <f>IF('⚙ OFF Weekends'!$D$33="OFF","OFF","")</f>
        <v/>
      </c>
      <c r="AM11" s="54" t="str">
        <f>IF('⚙ OFF Weekends'!$D$34="OFF","OFF","")</f>
        <v/>
      </c>
      <c r="AN11" s="56" t="str">
        <f>IF('⚙ OFF Weekends'!$D$35="OFF","OFF","")</f>
        <v/>
      </c>
      <c r="AO11" s="54" t="str">
        <f>IF('⚙ OFF Weekends'!$D$36="OFF","OFF","")</f>
        <v/>
      </c>
      <c r="AP11" s="56" t="str">
        <f>IF('⚙ OFF Weekends'!$D$37="OFF","OFF","")</f>
        <v/>
      </c>
      <c r="AQ11" s="54" t="str">
        <f>IF('⚙ OFF Weekends'!$D$38="OFF","OFF","")</f>
        <v/>
      </c>
      <c r="AR11" s="56" t="str">
        <f>IF('⚙ OFF Weekends'!$D$39="OFF","OFF","")</f>
        <v/>
      </c>
      <c r="AS11" s="54" t="str">
        <f>IF('⚙ OFF Weekends'!$D$40="OFF","OFF","")</f>
        <v/>
      </c>
      <c r="AT11" s="56" t="str">
        <f>IF('⚙ OFF Weekends'!$D$41="OFF","OFF","")</f>
        <v/>
      </c>
      <c r="AU11" s="54" t="str">
        <f>IF('⚙ OFF Weekends'!$D$42="OFF","OFF","")</f>
        <v/>
      </c>
      <c r="AV11" s="56" t="str">
        <f>IF('⚙ OFF Weekends'!$D$43="OFF","OFF","")</f>
        <v/>
      </c>
      <c r="AW11" s="54" t="str">
        <f>IF('⚙ OFF Weekends'!$D$44="OFF","OFF","")</f>
        <v/>
      </c>
      <c r="AX11" s="56" t="str">
        <f>IF('⚙ OFF Weekends'!$D$45="OFF","OFF","")</f>
        <v/>
      </c>
      <c r="AY11" s="54" t="str">
        <f>IF('⚙ OFF Weekends'!$D$46="OFF","OFF","")</f>
        <v/>
      </c>
      <c r="AZ11" s="56" t="str">
        <f>IF('⚙ OFF Weekends'!$D$47="OFF","OFF","")</f>
        <v/>
      </c>
      <c r="BA11" s="54" t="str">
        <f>IF('⚙ OFF Weekends'!$D$48="OFF","OFF","")</f>
        <v/>
      </c>
      <c r="BB11" s="56" t="str">
        <f>IF('⚙ OFF Weekends'!$D$49="OFF","OFF","")</f>
        <v/>
      </c>
      <c r="BC11" s="54" t="str">
        <f>IF('⚙ OFF Weekends'!$D$50="OFF","OFF","")</f>
        <v/>
      </c>
      <c r="BD11" s="56" t="str">
        <f>IF('⚙ OFF Weekends'!$D$51="OFF","OFF","")</f>
        <v/>
      </c>
      <c r="BE11" s="54" t="str">
        <f>IF('⚙ OFF Weekends'!$D$52="OFF","OFF","")</f>
        <v/>
      </c>
      <c r="BF11" s="56" t="str">
        <f>IF('⚙ OFF Weekends'!$D$53="OFF","OFF","")</f>
        <v/>
      </c>
      <c r="BG11" s="54" t="str">
        <f>IF('⚙ OFF Weekends'!$D$54="OFF","OFF","")</f>
        <v/>
      </c>
      <c r="BH11" s="56" t="str">
        <f>IF('⚙ OFF Weekends'!$D$55="OFF","OFF","")</f>
        <v/>
      </c>
      <c r="BI11" s="54" t="str">
        <f>IF('⚙ OFF Weekends'!$D$56="OFF","OFF","")</f>
        <v/>
      </c>
      <c r="BJ11" s="56" t="str">
        <f>IF('⚙ OFF Weekends'!$D$57="OFF","OFF","")</f>
        <v/>
      </c>
      <c r="BK11" s="54" t="str">
        <f>IF('⚙ OFF Weekends'!$D$58="OFF","OFF","")</f>
        <v/>
      </c>
      <c r="BL11" s="56" t="str">
        <f>IF('⚙ OFF Weekends'!$D$59="OFF","OFF","")</f>
        <v/>
      </c>
      <c r="BM11" s="54" t="str">
        <f>IF('⚙ OFF Weekends'!$D$60="OFF","OFF","")</f>
        <v/>
      </c>
      <c r="BN11" s="56" t="str">
        <f>IF('⚙ OFF Weekends'!$D$61="OFF","OFF","")</f>
        <v/>
      </c>
      <c r="BO11" s="54" t="str">
        <f>IF('⚙ OFF Weekends'!$D$62="OFF","OFF","")</f>
        <v/>
      </c>
      <c r="BP11" s="56" t="str">
        <f>IF('⚙ OFF Weekends'!$D$63="OFF","OFF","")</f>
        <v/>
      </c>
      <c r="BQ11" s="54" t="str">
        <f>IF('⚙ OFF Weekends'!$D$64="OFF","OFF","")</f>
        <v/>
      </c>
      <c r="BR11" s="56" t="str">
        <f>IF('⚙ OFF Weekends'!$D$65="OFF","OFF","")</f>
        <v/>
      </c>
      <c r="BS11" s="54" t="str">
        <f>IF('⚙ OFF Weekends'!$D$66="OFF","OFF","")</f>
        <v/>
      </c>
      <c r="BT11" s="56" t="str">
        <f>IF('⚙ OFF Weekends'!$D$67="OFF","OFF","")</f>
        <v/>
      </c>
      <c r="BU11" s="54" t="str">
        <f>IF('⚙ OFF Weekends'!$D$68="OFF","OFF","")</f>
        <v/>
      </c>
      <c r="BV11" s="56" t="str">
        <f>IF('⚙ OFF Weekends'!$D$69="OFF","OFF","")</f>
        <v/>
      </c>
      <c r="BW11" s="54" t="str">
        <f>IF('⚙ OFF Weekends'!$D$70="OFF","OFF","")</f>
        <v/>
      </c>
      <c r="BX11" s="56" t="str">
        <f>IF('⚙ OFF Weekends'!$D$71="OFF","OFF","")</f>
        <v/>
      </c>
      <c r="BY11" s="54" t="str">
        <f>IF('⚙ OFF Weekends'!$D$72="OFF","OFF","")</f>
        <v/>
      </c>
      <c r="BZ11" s="56" t="str">
        <f>IF('⚙ OFF Weekends'!$D$73="OFF","OFF","")</f>
        <v/>
      </c>
      <c r="CA11" s="54" t="str">
        <f>IF('⚙ OFF Weekends'!$D$74="OFF","OFF","")</f>
        <v/>
      </c>
      <c r="CB11" s="56" t="str">
        <f>IF('⚙ OFF Weekends'!$D$75="OFF","OFF","")</f>
        <v/>
      </c>
      <c r="CC11" s="54" t="str">
        <f>IF('⚙ OFF Weekends'!$D$76="OFF","OFF","")</f>
        <v/>
      </c>
      <c r="CD11" s="56" t="str">
        <f>IF('⚙ OFF Weekends'!$D$77="OFF","OFF","")</f>
        <v/>
      </c>
      <c r="CE11" s="68">
        <f t="shared" si="3"/>
        <v>18</v>
      </c>
      <c r="CF11" s="68">
        <f t="shared" si="4"/>
        <v>0</v>
      </c>
      <c r="CG11" s="68">
        <f t="shared" si="5"/>
        <v>0</v>
      </c>
      <c r="CH11" s="68" t="str">
        <f t="shared" si="6"/>
        <v>100%</v>
      </c>
    </row>
    <row r="12" ht="18.0" customHeight="1">
      <c r="A12" s="73">
        <v>4.0</v>
      </c>
      <c r="B12" s="35" t="s">
        <v>220</v>
      </c>
      <c r="C12" s="74" t="s">
        <v>221</v>
      </c>
      <c r="D12" s="75" t="str">
        <f t="shared" si="1"/>
        <v>📞 Call</v>
      </c>
      <c r="E12" s="76" t="str">
        <f t="shared" si="2"/>
        <v>💬 WhatsApp</v>
      </c>
      <c r="F12" s="34"/>
      <c r="G12" s="34"/>
      <c r="H12" s="34" t="s">
        <v>222</v>
      </c>
      <c r="I12" s="48" t="s">
        <v>196</v>
      </c>
      <c r="J12" s="48" t="s">
        <v>196</v>
      </c>
      <c r="K12" s="49" t="s">
        <v>197</v>
      </c>
      <c r="L12" s="48" t="s">
        <v>196</v>
      </c>
      <c r="M12" s="48" t="s">
        <v>196</v>
      </c>
      <c r="N12" s="50" t="s">
        <v>37</v>
      </c>
      <c r="O12" s="48" t="s">
        <v>196</v>
      </c>
      <c r="P12" s="50" t="s">
        <v>37</v>
      </c>
      <c r="Q12" s="48" t="s">
        <v>196</v>
      </c>
      <c r="R12" s="48" t="s">
        <v>196</v>
      </c>
      <c r="S12" s="52" t="s">
        <v>196</v>
      </c>
      <c r="T12" s="53" t="s">
        <v>196</v>
      </c>
      <c r="U12" s="52" t="s">
        <v>196</v>
      </c>
      <c r="V12" s="53" t="s">
        <v>37</v>
      </c>
      <c r="W12" s="54" t="str">
        <f>IF('⚙ OFF Weekends'!$D$18="OFF","OFF","")</f>
        <v>OFF</v>
      </c>
      <c r="X12" s="53" t="s">
        <v>37</v>
      </c>
      <c r="Y12" s="52" t="s">
        <v>196</v>
      </c>
      <c r="Z12" s="53" t="s">
        <v>223</v>
      </c>
      <c r="AA12" s="52" t="s">
        <v>196</v>
      </c>
      <c r="AB12" s="53" t="s">
        <v>196</v>
      </c>
      <c r="AC12" s="54" t="str">
        <f>IF('⚙ OFF Weekends'!$D$24="OFF","OFF","")</f>
        <v/>
      </c>
      <c r="AD12" s="56" t="str">
        <f>IF('⚙ OFF Weekends'!$D$25="OFF","OFF","")</f>
        <v/>
      </c>
      <c r="AE12" s="54" t="str">
        <f>IF('⚙ OFF Weekends'!$D$26="OFF","OFF","")</f>
        <v/>
      </c>
      <c r="AF12" s="56" t="str">
        <f>IF('⚙ OFF Weekends'!$D$27="OFF","OFF","")</f>
        <v/>
      </c>
      <c r="AG12" s="54" t="str">
        <f>IF('⚙ OFF Weekends'!$D$28="OFF","OFF","")</f>
        <v/>
      </c>
      <c r="AH12" s="56" t="str">
        <f>IF('⚙ OFF Weekends'!$D$29="OFF","OFF","")</f>
        <v/>
      </c>
      <c r="AI12" s="54" t="str">
        <f>IF('⚙ OFF Weekends'!$D$30="OFF","OFF","")</f>
        <v/>
      </c>
      <c r="AJ12" s="56" t="str">
        <f>IF('⚙ OFF Weekends'!$D$31="OFF","OFF","")</f>
        <v/>
      </c>
      <c r="AK12" s="54" t="str">
        <f>IF('⚙ OFF Weekends'!$D$32="OFF","OFF","")</f>
        <v/>
      </c>
      <c r="AL12" s="56" t="str">
        <f>IF('⚙ OFF Weekends'!$D$33="OFF","OFF","")</f>
        <v/>
      </c>
      <c r="AM12" s="54" t="str">
        <f>IF('⚙ OFF Weekends'!$D$34="OFF","OFF","")</f>
        <v/>
      </c>
      <c r="AN12" s="56" t="str">
        <f>IF('⚙ OFF Weekends'!$D$35="OFF","OFF","")</f>
        <v/>
      </c>
      <c r="AO12" s="54" t="str">
        <f>IF('⚙ OFF Weekends'!$D$36="OFF","OFF","")</f>
        <v/>
      </c>
      <c r="AP12" s="56" t="str">
        <f>IF('⚙ OFF Weekends'!$D$37="OFF","OFF","")</f>
        <v/>
      </c>
      <c r="AQ12" s="54" t="str">
        <f>IF('⚙ OFF Weekends'!$D$38="OFF","OFF","")</f>
        <v/>
      </c>
      <c r="AR12" s="56" t="str">
        <f>IF('⚙ OFF Weekends'!$D$39="OFF","OFF","")</f>
        <v/>
      </c>
      <c r="AS12" s="54" t="str">
        <f>IF('⚙ OFF Weekends'!$D$40="OFF","OFF","")</f>
        <v/>
      </c>
      <c r="AT12" s="56" t="str">
        <f>IF('⚙ OFF Weekends'!$D$41="OFF","OFF","")</f>
        <v/>
      </c>
      <c r="AU12" s="54" t="str">
        <f>IF('⚙ OFF Weekends'!$D$42="OFF","OFF","")</f>
        <v/>
      </c>
      <c r="AV12" s="56" t="str">
        <f>IF('⚙ OFF Weekends'!$D$43="OFF","OFF","")</f>
        <v/>
      </c>
      <c r="AW12" s="54" t="str">
        <f>IF('⚙ OFF Weekends'!$D$44="OFF","OFF","")</f>
        <v/>
      </c>
      <c r="AX12" s="56" t="str">
        <f>IF('⚙ OFF Weekends'!$D$45="OFF","OFF","")</f>
        <v/>
      </c>
      <c r="AY12" s="54" t="str">
        <f>IF('⚙ OFF Weekends'!$D$46="OFF","OFF","")</f>
        <v/>
      </c>
      <c r="AZ12" s="56" t="str">
        <f>IF('⚙ OFF Weekends'!$D$47="OFF","OFF","")</f>
        <v/>
      </c>
      <c r="BA12" s="54" t="str">
        <f>IF('⚙ OFF Weekends'!$D$48="OFF","OFF","")</f>
        <v/>
      </c>
      <c r="BB12" s="56" t="str">
        <f>IF('⚙ OFF Weekends'!$D$49="OFF","OFF","")</f>
        <v/>
      </c>
      <c r="BC12" s="54" t="str">
        <f>IF('⚙ OFF Weekends'!$D$50="OFF","OFF","")</f>
        <v/>
      </c>
      <c r="BD12" s="56" t="str">
        <f>IF('⚙ OFF Weekends'!$D$51="OFF","OFF","")</f>
        <v/>
      </c>
      <c r="BE12" s="54" t="str">
        <f>IF('⚙ OFF Weekends'!$D$52="OFF","OFF","")</f>
        <v/>
      </c>
      <c r="BF12" s="56" t="str">
        <f>IF('⚙ OFF Weekends'!$D$53="OFF","OFF","")</f>
        <v/>
      </c>
      <c r="BG12" s="54" t="str">
        <f>IF('⚙ OFF Weekends'!$D$54="OFF","OFF","")</f>
        <v/>
      </c>
      <c r="BH12" s="56" t="str">
        <f>IF('⚙ OFF Weekends'!$D$55="OFF","OFF","")</f>
        <v/>
      </c>
      <c r="BI12" s="54" t="str">
        <f>IF('⚙ OFF Weekends'!$D$56="OFF","OFF","")</f>
        <v/>
      </c>
      <c r="BJ12" s="56" t="str">
        <f>IF('⚙ OFF Weekends'!$D$57="OFF","OFF","")</f>
        <v/>
      </c>
      <c r="BK12" s="54" t="str">
        <f>IF('⚙ OFF Weekends'!$D$58="OFF","OFF","")</f>
        <v/>
      </c>
      <c r="BL12" s="56" t="str">
        <f>IF('⚙ OFF Weekends'!$D$59="OFF","OFF","")</f>
        <v/>
      </c>
      <c r="BM12" s="54" t="str">
        <f>IF('⚙ OFF Weekends'!$D$60="OFF","OFF","")</f>
        <v/>
      </c>
      <c r="BN12" s="56" t="str">
        <f>IF('⚙ OFF Weekends'!$D$61="OFF","OFF","")</f>
        <v/>
      </c>
      <c r="BO12" s="54" t="str">
        <f>IF('⚙ OFF Weekends'!$D$62="OFF","OFF","")</f>
        <v/>
      </c>
      <c r="BP12" s="56" t="str">
        <f>IF('⚙ OFF Weekends'!$D$63="OFF","OFF","")</f>
        <v/>
      </c>
      <c r="BQ12" s="54" t="str">
        <f>IF('⚙ OFF Weekends'!$D$64="OFF","OFF","")</f>
        <v/>
      </c>
      <c r="BR12" s="56" t="str">
        <f>IF('⚙ OFF Weekends'!$D$65="OFF","OFF","")</f>
        <v/>
      </c>
      <c r="BS12" s="54" t="str">
        <f>IF('⚙ OFF Weekends'!$D$66="OFF","OFF","")</f>
        <v/>
      </c>
      <c r="BT12" s="56" t="str">
        <f>IF('⚙ OFF Weekends'!$D$67="OFF","OFF","")</f>
        <v/>
      </c>
      <c r="BU12" s="54" t="str">
        <f>IF('⚙ OFF Weekends'!$D$68="OFF","OFF","")</f>
        <v/>
      </c>
      <c r="BV12" s="56" t="str">
        <f>IF('⚙ OFF Weekends'!$D$69="OFF","OFF","")</f>
        <v/>
      </c>
      <c r="BW12" s="54" t="str">
        <f>IF('⚙ OFF Weekends'!$D$70="OFF","OFF","")</f>
        <v/>
      </c>
      <c r="BX12" s="56" t="str">
        <f>IF('⚙ OFF Weekends'!$D$71="OFF","OFF","")</f>
        <v/>
      </c>
      <c r="BY12" s="54" t="str">
        <f>IF('⚙ OFF Weekends'!$D$72="OFF","OFF","")</f>
        <v/>
      </c>
      <c r="BZ12" s="56" t="str">
        <f>IF('⚙ OFF Weekends'!$D$73="OFF","OFF","")</f>
        <v/>
      </c>
      <c r="CA12" s="54" t="str">
        <f>IF('⚙ OFF Weekends'!$D$74="OFF","OFF","")</f>
        <v/>
      </c>
      <c r="CB12" s="56" t="str">
        <f>IF('⚙ OFF Weekends'!$D$75="OFF","OFF","")</f>
        <v/>
      </c>
      <c r="CC12" s="54" t="str">
        <f>IF('⚙ OFF Weekends'!$D$76="OFF","OFF","")</f>
        <v/>
      </c>
      <c r="CD12" s="56" t="str">
        <f>IF('⚙ OFF Weekends'!$D$77="OFF","OFF","")</f>
        <v/>
      </c>
      <c r="CE12" s="73">
        <f t="shared" si="3"/>
        <v>17</v>
      </c>
      <c r="CF12" s="73">
        <f t="shared" si="4"/>
        <v>1</v>
      </c>
      <c r="CG12" s="73">
        <f t="shared" si="5"/>
        <v>0</v>
      </c>
      <c r="CH12" s="73" t="str">
        <f t="shared" si="6"/>
        <v>94%</v>
      </c>
    </row>
    <row r="13" ht="18.0" customHeight="1">
      <c r="A13" s="68">
        <v>5.0</v>
      </c>
      <c r="B13" s="25" t="s">
        <v>225</v>
      </c>
      <c r="C13" s="69" t="s">
        <v>226</v>
      </c>
      <c r="D13" s="70" t="str">
        <f t="shared" si="1"/>
        <v>📞 Call</v>
      </c>
      <c r="E13" s="71" t="str">
        <f t="shared" si="2"/>
        <v>💬 WhatsApp</v>
      </c>
      <c r="F13" s="21"/>
      <c r="G13" s="21"/>
      <c r="H13" s="21" t="s">
        <v>227</v>
      </c>
      <c r="I13" s="48" t="s">
        <v>196</v>
      </c>
      <c r="J13" s="48" t="s">
        <v>196</v>
      </c>
      <c r="K13" s="49" t="s">
        <v>197</v>
      </c>
      <c r="L13" s="48" t="s">
        <v>196</v>
      </c>
      <c r="M13" s="48" t="s">
        <v>196</v>
      </c>
      <c r="N13" s="50" t="s">
        <v>37</v>
      </c>
      <c r="O13" s="48" t="s">
        <v>196</v>
      </c>
      <c r="P13" s="48" t="s">
        <v>196</v>
      </c>
      <c r="Q13" s="48" t="s">
        <v>196</v>
      </c>
      <c r="R13" s="48" t="s">
        <v>196</v>
      </c>
      <c r="S13" s="52" t="s">
        <v>196</v>
      </c>
      <c r="T13" s="53" t="s">
        <v>196</v>
      </c>
      <c r="U13" s="52" t="s">
        <v>196</v>
      </c>
      <c r="V13" s="53" t="s">
        <v>196</v>
      </c>
      <c r="W13" s="54" t="str">
        <f>IF('⚙ OFF Weekends'!$D$18="OFF","OFF","")</f>
        <v>OFF</v>
      </c>
      <c r="X13" s="53" t="s">
        <v>37</v>
      </c>
      <c r="Y13" s="52" t="s">
        <v>37</v>
      </c>
      <c r="Z13" s="53" t="s">
        <v>37</v>
      </c>
      <c r="AA13" s="52" t="s">
        <v>37</v>
      </c>
      <c r="AB13" s="53" t="s">
        <v>37</v>
      </c>
      <c r="AC13" s="54" t="str">
        <f>IF('⚙ OFF Weekends'!$D$24="OFF","OFF","")</f>
        <v/>
      </c>
      <c r="AD13" s="56" t="str">
        <f>IF('⚙ OFF Weekends'!$D$25="OFF","OFF","")</f>
        <v/>
      </c>
      <c r="AE13" s="54" t="str">
        <f>IF('⚙ OFF Weekends'!$D$26="OFF","OFF","")</f>
        <v/>
      </c>
      <c r="AF13" s="56" t="str">
        <f>IF('⚙ OFF Weekends'!$D$27="OFF","OFF","")</f>
        <v/>
      </c>
      <c r="AG13" s="54" t="str">
        <f>IF('⚙ OFF Weekends'!$D$28="OFF","OFF","")</f>
        <v/>
      </c>
      <c r="AH13" s="56" t="str">
        <f>IF('⚙ OFF Weekends'!$D$29="OFF","OFF","")</f>
        <v/>
      </c>
      <c r="AI13" s="54" t="str">
        <f>IF('⚙ OFF Weekends'!$D$30="OFF","OFF","")</f>
        <v/>
      </c>
      <c r="AJ13" s="56" t="str">
        <f>IF('⚙ OFF Weekends'!$D$31="OFF","OFF","")</f>
        <v/>
      </c>
      <c r="AK13" s="54" t="str">
        <f>IF('⚙ OFF Weekends'!$D$32="OFF","OFF","")</f>
        <v/>
      </c>
      <c r="AL13" s="56" t="str">
        <f>IF('⚙ OFF Weekends'!$D$33="OFF","OFF","")</f>
        <v/>
      </c>
      <c r="AM13" s="54" t="str">
        <f>IF('⚙ OFF Weekends'!$D$34="OFF","OFF","")</f>
        <v/>
      </c>
      <c r="AN13" s="56" t="str">
        <f>IF('⚙ OFF Weekends'!$D$35="OFF","OFF","")</f>
        <v/>
      </c>
      <c r="AO13" s="54" t="str">
        <f>IF('⚙ OFF Weekends'!$D$36="OFF","OFF","")</f>
        <v/>
      </c>
      <c r="AP13" s="56" t="str">
        <f>IF('⚙ OFF Weekends'!$D$37="OFF","OFF","")</f>
        <v/>
      </c>
      <c r="AQ13" s="54" t="str">
        <f>IF('⚙ OFF Weekends'!$D$38="OFF","OFF","")</f>
        <v/>
      </c>
      <c r="AR13" s="56" t="str">
        <f>IF('⚙ OFF Weekends'!$D$39="OFF","OFF","")</f>
        <v/>
      </c>
      <c r="AS13" s="54" t="str">
        <f>IF('⚙ OFF Weekends'!$D$40="OFF","OFF","")</f>
        <v/>
      </c>
      <c r="AT13" s="56" t="str">
        <f>IF('⚙ OFF Weekends'!$D$41="OFF","OFF","")</f>
        <v/>
      </c>
      <c r="AU13" s="54" t="str">
        <f>IF('⚙ OFF Weekends'!$D$42="OFF","OFF","")</f>
        <v/>
      </c>
      <c r="AV13" s="56" t="str">
        <f>IF('⚙ OFF Weekends'!$D$43="OFF","OFF","")</f>
        <v/>
      </c>
      <c r="AW13" s="54" t="str">
        <f>IF('⚙ OFF Weekends'!$D$44="OFF","OFF","")</f>
        <v/>
      </c>
      <c r="AX13" s="56" t="str">
        <f>IF('⚙ OFF Weekends'!$D$45="OFF","OFF","")</f>
        <v/>
      </c>
      <c r="AY13" s="54" t="str">
        <f>IF('⚙ OFF Weekends'!$D$46="OFF","OFF","")</f>
        <v/>
      </c>
      <c r="AZ13" s="56" t="str">
        <f>IF('⚙ OFF Weekends'!$D$47="OFF","OFF","")</f>
        <v/>
      </c>
      <c r="BA13" s="54" t="str">
        <f>IF('⚙ OFF Weekends'!$D$48="OFF","OFF","")</f>
        <v/>
      </c>
      <c r="BB13" s="56" t="str">
        <f>IF('⚙ OFF Weekends'!$D$49="OFF","OFF","")</f>
        <v/>
      </c>
      <c r="BC13" s="54" t="str">
        <f>IF('⚙ OFF Weekends'!$D$50="OFF","OFF","")</f>
        <v/>
      </c>
      <c r="BD13" s="56" t="str">
        <f>IF('⚙ OFF Weekends'!$D$51="OFF","OFF","")</f>
        <v/>
      </c>
      <c r="BE13" s="54" t="str">
        <f>IF('⚙ OFF Weekends'!$D$52="OFF","OFF","")</f>
        <v/>
      </c>
      <c r="BF13" s="56" t="str">
        <f>IF('⚙ OFF Weekends'!$D$53="OFF","OFF","")</f>
        <v/>
      </c>
      <c r="BG13" s="54" t="str">
        <f>IF('⚙ OFF Weekends'!$D$54="OFF","OFF","")</f>
        <v/>
      </c>
      <c r="BH13" s="56" t="str">
        <f>IF('⚙ OFF Weekends'!$D$55="OFF","OFF","")</f>
        <v/>
      </c>
      <c r="BI13" s="54" t="str">
        <f>IF('⚙ OFF Weekends'!$D$56="OFF","OFF","")</f>
        <v/>
      </c>
      <c r="BJ13" s="56" t="str">
        <f>IF('⚙ OFF Weekends'!$D$57="OFF","OFF","")</f>
        <v/>
      </c>
      <c r="BK13" s="54" t="str">
        <f>IF('⚙ OFF Weekends'!$D$58="OFF","OFF","")</f>
        <v/>
      </c>
      <c r="BL13" s="56" t="str">
        <f>IF('⚙ OFF Weekends'!$D$59="OFF","OFF","")</f>
        <v/>
      </c>
      <c r="BM13" s="54" t="str">
        <f>IF('⚙ OFF Weekends'!$D$60="OFF","OFF","")</f>
        <v/>
      </c>
      <c r="BN13" s="56" t="str">
        <f>IF('⚙ OFF Weekends'!$D$61="OFF","OFF","")</f>
        <v/>
      </c>
      <c r="BO13" s="54" t="str">
        <f>IF('⚙ OFF Weekends'!$D$62="OFF","OFF","")</f>
        <v/>
      </c>
      <c r="BP13" s="56" t="str">
        <f>IF('⚙ OFF Weekends'!$D$63="OFF","OFF","")</f>
        <v/>
      </c>
      <c r="BQ13" s="54" t="str">
        <f>IF('⚙ OFF Weekends'!$D$64="OFF","OFF","")</f>
        <v/>
      </c>
      <c r="BR13" s="56" t="str">
        <f>IF('⚙ OFF Weekends'!$D$65="OFF","OFF","")</f>
        <v/>
      </c>
      <c r="BS13" s="54" t="str">
        <f>IF('⚙ OFF Weekends'!$D$66="OFF","OFF","")</f>
        <v/>
      </c>
      <c r="BT13" s="56" t="str">
        <f>IF('⚙ OFF Weekends'!$D$67="OFF","OFF","")</f>
        <v/>
      </c>
      <c r="BU13" s="54" t="str">
        <f>IF('⚙ OFF Weekends'!$D$68="OFF","OFF","")</f>
        <v/>
      </c>
      <c r="BV13" s="56" t="str">
        <f>IF('⚙ OFF Weekends'!$D$69="OFF","OFF","")</f>
        <v/>
      </c>
      <c r="BW13" s="54" t="str">
        <f>IF('⚙ OFF Weekends'!$D$70="OFF","OFF","")</f>
        <v/>
      </c>
      <c r="BX13" s="56" t="str">
        <f>IF('⚙ OFF Weekends'!$D$71="OFF","OFF","")</f>
        <v/>
      </c>
      <c r="BY13" s="54" t="str">
        <f>IF('⚙ OFF Weekends'!$D$72="OFF","OFF","")</f>
        <v/>
      </c>
      <c r="BZ13" s="56" t="str">
        <f>IF('⚙ OFF Weekends'!$D$73="OFF","OFF","")</f>
        <v/>
      </c>
      <c r="CA13" s="54" t="str">
        <f>IF('⚙ OFF Weekends'!$D$74="OFF","OFF","")</f>
        <v/>
      </c>
      <c r="CB13" s="56" t="str">
        <f>IF('⚙ OFF Weekends'!$D$75="OFF","OFF","")</f>
        <v/>
      </c>
      <c r="CC13" s="54" t="str">
        <f>IF('⚙ OFF Weekends'!$D$76="OFF","OFF","")</f>
        <v/>
      </c>
      <c r="CD13" s="56" t="str">
        <f>IF('⚙ OFF Weekends'!$D$77="OFF","OFF","")</f>
        <v/>
      </c>
      <c r="CE13" s="68">
        <f t="shared" si="3"/>
        <v>18</v>
      </c>
      <c r="CF13" s="68">
        <f t="shared" si="4"/>
        <v>0</v>
      </c>
      <c r="CG13" s="68">
        <f t="shared" si="5"/>
        <v>0</v>
      </c>
      <c r="CH13" s="68" t="str">
        <f t="shared" si="6"/>
        <v>100%</v>
      </c>
    </row>
    <row r="14" ht="18.0" customHeight="1">
      <c r="A14" s="73">
        <v>6.0</v>
      </c>
      <c r="B14" s="35" t="s">
        <v>229</v>
      </c>
      <c r="C14" s="74" t="s">
        <v>230</v>
      </c>
      <c r="D14" s="75" t="str">
        <f t="shared" si="1"/>
        <v>📞 Call</v>
      </c>
      <c r="E14" s="76" t="str">
        <f t="shared" si="2"/>
        <v>💬 WhatsApp</v>
      </c>
      <c r="F14" s="34"/>
      <c r="G14" s="34"/>
      <c r="H14" s="34" t="s">
        <v>231</v>
      </c>
      <c r="I14" s="48" t="s">
        <v>196</v>
      </c>
      <c r="J14" s="48" t="s">
        <v>196</v>
      </c>
      <c r="K14" s="49" t="s">
        <v>197</v>
      </c>
      <c r="L14" s="48" t="s">
        <v>196</v>
      </c>
      <c r="M14" s="48" t="s">
        <v>196</v>
      </c>
      <c r="N14" s="50" t="s">
        <v>37</v>
      </c>
      <c r="O14" s="48" t="s">
        <v>196</v>
      </c>
      <c r="P14" s="50" t="s">
        <v>37</v>
      </c>
      <c r="Q14" s="48" t="s">
        <v>196</v>
      </c>
      <c r="R14" s="50" t="s">
        <v>37</v>
      </c>
      <c r="S14" s="52" t="s">
        <v>196</v>
      </c>
      <c r="T14" s="53" t="s">
        <v>196</v>
      </c>
      <c r="U14" s="52" t="s">
        <v>196</v>
      </c>
      <c r="V14" s="53" t="s">
        <v>37</v>
      </c>
      <c r="W14" s="54" t="str">
        <f>IF('⚙ OFF Weekends'!$D$18="OFF","OFF","")</f>
        <v>OFF</v>
      </c>
      <c r="X14" s="53" t="s">
        <v>196</v>
      </c>
      <c r="Y14" s="52" t="s">
        <v>37</v>
      </c>
      <c r="Z14" s="53" t="s">
        <v>37</v>
      </c>
      <c r="AA14" s="52" t="s">
        <v>37</v>
      </c>
      <c r="AB14" s="53" t="s">
        <v>37</v>
      </c>
      <c r="AC14" s="54" t="str">
        <f>IF('⚙ OFF Weekends'!$D$24="OFF","OFF","")</f>
        <v/>
      </c>
      <c r="AD14" s="56" t="str">
        <f>IF('⚙ OFF Weekends'!$D$25="OFF","OFF","")</f>
        <v/>
      </c>
      <c r="AE14" s="54" t="str">
        <f>IF('⚙ OFF Weekends'!$D$26="OFF","OFF","")</f>
        <v/>
      </c>
      <c r="AF14" s="56" t="str">
        <f>IF('⚙ OFF Weekends'!$D$27="OFF","OFF","")</f>
        <v/>
      </c>
      <c r="AG14" s="54" t="str">
        <f>IF('⚙ OFF Weekends'!$D$28="OFF","OFF","")</f>
        <v/>
      </c>
      <c r="AH14" s="56" t="str">
        <f>IF('⚙ OFF Weekends'!$D$29="OFF","OFF","")</f>
        <v/>
      </c>
      <c r="AI14" s="54" t="str">
        <f>IF('⚙ OFF Weekends'!$D$30="OFF","OFF","")</f>
        <v/>
      </c>
      <c r="AJ14" s="56" t="str">
        <f>IF('⚙ OFF Weekends'!$D$31="OFF","OFF","")</f>
        <v/>
      </c>
      <c r="AK14" s="54" t="str">
        <f>IF('⚙ OFF Weekends'!$D$32="OFF","OFF","")</f>
        <v/>
      </c>
      <c r="AL14" s="56" t="str">
        <f>IF('⚙ OFF Weekends'!$D$33="OFF","OFF","")</f>
        <v/>
      </c>
      <c r="AM14" s="54" t="str">
        <f>IF('⚙ OFF Weekends'!$D$34="OFF","OFF","")</f>
        <v/>
      </c>
      <c r="AN14" s="56" t="str">
        <f>IF('⚙ OFF Weekends'!$D$35="OFF","OFF","")</f>
        <v/>
      </c>
      <c r="AO14" s="54" t="str">
        <f>IF('⚙ OFF Weekends'!$D$36="OFF","OFF","")</f>
        <v/>
      </c>
      <c r="AP14" s="56" t="str">
        <f>IF('⚙ OFF Weekends'!$D$37="OFF","OFF","")</f>
        <v/>
      </c>
      <c r="AQ14" s="54" t="str">
        <f>IF('⚙ OFF Weekends'!$D$38="OFF","OFF","")</f>
        <v/>
      </c>
      <c r="AR14" s="56" t="str">
        <f>IF('⚙ OFF Weekends'!$D$39="OFF","OFF","")</f>
        <v/>
      </c>
      <c r="AS14" s="54" t="str">
        <f>IF('⚙ OFF Weekends'!$D$40="OFF","OFF","")</f>
        <v/>
      </c>
      <c r="AT14" s="56" t="str">
        <f>IF('⚙ OFF Weekends'!$D$41="OFF","OFF","")</f>
        <v/>
      </c>
      <c r="AU14" s="54" t="str">
        <f>IF('⚙ OFF Weekends'!$D$42="OFF","OFF","")</f>
        <v/>
      </c>
      <c r="AV14" s="56" t="str">
        <f>IF('⚙ OFF Weekends'!$D$43="OFF","OFF","")</f>
        <v/>
      </c>
      <c r="AW14" s="54" t="str">
        <f>IF('⚙ OFF Weekends'!$D$44="OFF","OFF","")</f>
        <v/>
      </c>
      <c r="AX14" s="56" t="str">
        <f>IF('⚙ OFF Weekends'!$D$45="OFF","OFF","")</f>
        <v/>
      </c>
      <c r="AY14" s="54" t="str">
        <f>IF('⚙ OFF Weekends'!$D$46="OFF","OFF","")</f>
        <v/>
      </c>
      <c r="AZ14" s="56" t="str">
        <f>IF('⚙ OFF Weekends'!$D$47="OFF","OFF","")</f>
        <v/>
      </c>
      <c r="BA14" s="54" t="str">
        <f>IF('⚙ OFF Weekends'!$D$48="OFF","OFF","")</f>
        <v/>
      </c>
      <c r="BB14" s="56" t="str">
        <f>IF('⚙ OFF Weekends'!$D$49="OFF","OFF","")</f>
        <v/>
      </c>
      <c r="BC14" s="54" t="str">
        <f>IF('⚙ OFF Weekends'!$D$50="OFF","OFF","")</f>
        <v/>
      </c>
      <c r="BD14" s="56" t="str">
        <f>IF('⚙ OFF Weekends'!$D$51="OFF","OFF","")</f>
        <v/>
      </c>
      <c r="BE14" s="54" t="str">
        <f>IF('⚙ OFF Weekends'!$D$52="OFF","OFF","")</f>
        <v/>
      </c>
      <c r="BF14" s="56" t="str">
        <f>IF('⚙ OFF Weekends'!$D$53="OFF","OFF","")</f>
        <v/>
      </c>
      <c r="BG14" s="54" t="str">
        <f>IF('⚙ OFF Weekends'!$D$54="OFF","OFF","")</f>
        <v/>
      </c>
      <c r="BH14" s="56" t="str">
        <f>IF('⚙ OFF Weekends'!$D$55="OFF","OFF","")</f>
        <v/>
      </c>
      <c r="BI14" s="54" t="str">
        <f>IF('⚙ OFF Weekends'!$D$56="OFF","OFF","")</f>
        <v/>
      </c>
      <c r="BJ14" s="56" t="str">
        <f>IF('⚙ OFF Weekends'!$D$57="OFF","OFF","")</f>
        <v/>
      </c>
      <c r="BK14" s="54" t="str">
        <f>IF('⚙ OFF Weekends'!$D$58="OFF","OFF","")</f>
        <v/>
      </c>
      <c r="BL14" s="56" t="str">
        <f>IF('⚙ OFF Weekends'!$D$59="OFF","OFF","")</f>
        <v/>
      </c>
      <c r="BM14" s="54" t="str">
        <f>IF('⚙ OFF Weekends'!$D$60="OFF","OFF","")</f>
        <v/>
      </c>
      <c r="BN14" s="56" t="str">
        <f>IF('⚙ OFF Weekends'!$D$61="OFF","OFF","")</f>
        <v/>
      </c>
      <c r="BO14" s="54" t="str">
        <f>IF('⚙ OFF Weekends'!$D$62="OFF","OFF","")</f>
        <v/>
      </c>
      <c r="BP14" s="56" t="str">
        <f>IF('⚙ OFF Weekends'!$D$63="OFF","OFF","")</f>
        <v/>
      </c>
      <c r="BQ14" s="54" t="str">
        <f>IF('⚙ OFF Weekends'!$D$64="OFF","OFF","")</f>
        <v/>
      </c>
      <c r="BR14" s="56" t="str">
        <f>IF('⚙ OFF Weekends'!$D$65="OFF","OFF","")</f>
        <v/>
      </c>
      <c r="BS14" s="54" t="str">
        <f>IF('⚙ OFF Weekends'!$D$66="OFF","OFF","")</f>
        <v/>
      </c>
      <c r="BT14" s="56" t="str">
        <f>IF('⚙ OFF Weekends'!$D$67="OFF","OFF","")</f>
        <v/>
      </c>
      <c r="BU14" s="54" t="str">
        <f>IF('⚙ OFF Weekends'!$D$68="OFF","OFF","")</f>
        <v/>
      </c>
      <c r="BV14" s="56" t="str">
        <f>IF('⚙ OFF Weekends'!$D$69="OFF","OFF","")</f>
        <v/>
      </c>
      <c r="BW14" s="54" t="str">
        <f>IF('⚙ OFF Weekends'!$D$70="OFF","OFF","")</f>
        <v/>
      </c>
      <c r="BX14" s="56" t="str">
        <f>IF('⚙ OFF Weekends'!$D$71="OFF","OFF","")</f>
        <v/>
      </c>
      <c r="BY14" s="54" t="str">
        <f>IF('⚙ OFF Weekends'!$D$72="OFF","OFF","")</f>
        <v/>
      </c>
      <c r="BZ14" s="56" t="str">
        <f>IF('⚙ OFF Weekends'!$D$73="OFF","OFF","")</f>
        <v/>
      </c>
      <c r="CA14" s="54" t="str">
        <f>IF('⚙ OFF Weekends'!$D$74="OFF","OFF","")</f>
        <v/>
      </c>
      <c r="CB14" s="56" t="str">
        <f>IF('⚙ OFF Weekends'!$D$75="OFF","OFF","")</f>
        <v/>
      </c>
      <c r="CC14" s="54" t="str">
        <f>IF('⚙ OFF Weekends'!$D$76="OFF","OFF","")</f>
        <v/>
      </c>
      <c r="CD14" s="56" t="str">
        <f>IF('⚙ OFF Weekends'!$D$77="OFF","OFF","")</f>
        <v/>
      </c>
      <c r="CE14" s="73">
        <f t="shared" si="3"/>
        <v>18</v>
      </c>
      <c r="CF14" s="73">
        <f t="shared" si="4"/>
        <v>0</v>
      </c>
      <c r="CG14" s="73">
        <f t="shared" si="5"/>
        <v>0</v>
      </c>
      <c r="CH14" s="73" t="str">
        <f t="shared" si="6"/>
        <v>100%</v>
      </c>
    </row>
    <row r="15" ht="18.0" customHeight="1">
      <c r="A15" s="68">
        <v>7.0</v>
      </c>
      <c r="B15" s="25" t="s">
        <v>233</v>
      </c>
      <c r="C15" s="69" t="s">
        <v>234</v>
      </c>
      <c r="D15" s="70" t="str">
        <f t="shared" si="1"/>
        <v>📞 Call</v>
      </c>
      <c r="E15" s="71" t="str">
        <f t="shared" si="2"/>
        <v>💬 WhatsApp</v>
      </c>
      <c r="F15" s="21"/>
      <c r="G15" s="21"/>
      <c r="H15" s="21" t="s">
        <v>235</v>
      </c>
      <c r="I15" s="48" t="s">
        <v>196</v>
      </c>
      <c r="J15" s="48" t="s">
        <v>196</v>
      </c>
      <c r="K15" s="49" t="s">
        <v>197</v>
      </c>
      <c r="L15" s="48" t="s">
        <v>196</v>
      </c>
      <c r="M15" s="48" t="s">
        <v>196</v>
      </c>
      <c r="N15" s="50" t="s">
        <v>37</v>
      </c>
      <c r="O15" s="48" t="s">
        <v>196</v>
      </c>
      <c r="P15" s="77" t="s">
        <v>198</v>
      </c>
      <c r="Q15" s="48" t="s">
        <v>196</v>
      </c>
      <c r="R15" s="48" t="s">
        <v>196</v>
      </c>
      <c r="S15" s="52" t="s">
        <v>37</v>
      </c>
      <c r="T15" s="53" t="s">
        <v>196</v>
      </c>
      <c r="U15" s="52" t="s">
        <v>198</v>
      </c>
      <c r="V15" s="53" t="s">
        <v>37</v>
      </c>
      <c r="W15" s="54" t="str">
        <f>IF('⚙ OFF Weekends'!$D$18="OFF","OFF","")</f>
        <v>OFF</v>
      </c>
      <c r="X15" s="53" t="s">
        <v>37</v>
      </c>
      <c r="Y15" s="52" t="s">
        <v>37</v>
      </c>
      <c r="Z15" s="53" t="s">
        <v>223</v>
      </c>
      <c r="AA15" s="52" t="s">
        <v>37</v>
      </c>
      <c r="AB15" s="53" t="s">
        <v>37</v>
      </c>
      <c r="AC15" s="54" t="str">
        <f>IF('⚙ OFF Weekends'!$D$24="OFF","OFF","")</f>
        <v/>
      </c>
      <c r="AD15" s="56" t="str">
        <f>IF('⚙ OFF Weekends'!$D$25="OFF","OFF","")</f>
        <v/>
      </c>
      <c r="AE15" s="54" t="str">
        <f>IF('⚙ OFF Weekends'!$D$26="OFF","OFF","")</f>
        <v/>
      </c>
      <c r="AF15" s="56" t="str">
        <f>IF('⚙ OFF Weekends'!$D$27="OFF","OFF","")</f>
        <v/>
      </c>
      <c r="AG15" s="54" t="str">
        <f>IF('⚙ OFF Weekends'!$D$28="OFF","OFF","")</f>
        <v/>
      </c>
      <c r="AH15" s="56" t="str">
        <f>IF('⚙ OFF Weekends'!$D$29="OFF","OFF","")</f>
        <v/>
      </c>
      <c r="AI15" s="54" t="str">
        <f>IF('⚙ OFF Weekends'!$D$30="OFF","OFF","")</f>
        <v/>
      </c>
      <c r="AJ15" s="56" t="str">
        <f>IF('⚙ OFF Weekends'!$D$31="OFF","OFF","")</f>
        <v/>
      </c>
      <c r="AK15" s="54" t="str">
        <f>IF('⚙ OFF Weekends'!$D$32="OFF","OFF","")</f>
        <v/>
      </c>
      <c r="AL15" s="56" t="str">
        <f>IF('⚙ OFF Weekends'!$D$33="OFF","OFF","")</f>
        <v/>
      </c>
      <c r="AM15" s="54" t="str">
        <f>IF('⚙ OFF Weekends'!$D$34="OFF","OFF","")</f>
        <v/>
      </c>
      <c r="AN15" s="56" t="str">
        <f>IF('⚙ OFF Weekends'!$D$35="OFF","OFF","")</f>
        <v/>
      </c>
      <c r="AO15" s="54" t="str">
        <f>IF('⚙ OFF Weekends'!$D$36="OFF","OFF","")</f>
        <v/>
      </c>
      <c r="AP15" s="56" t="str">
        <f>IF('⚙ OFF Weekends'!$D$37="OFF","OFF","")</f>
        <v/>
      </c>
      <c r="AQ15" s="54" t="str">
        <f>IF('⚙ OFF Weekends'!$D$38="OFF","OFF","")</f>
        <v/>
      </c>
      <c r="AR15" s="56" t="str">
        <f>IF('⚙ OFF Weekends'!$D$39="OFF","OFF","")</f>
        <v/>
      </c>
      <c r="AS15" s="54" t="str">
        <f>IF('⚙ OFF Weekends'!$D$40="OFF","OFF","")</f>
        <v/>
      </c>
      <c r="AT15" s="56" t="str">
        <f>IF('⚙ OFF Weekends'!$D$41="OFF","OFF","")</f>
        <v/>
      </c>
      <c r="AU15" s="54" t="str">
        <f>IF('⚙ OFF Weekends'!$D$42="OFF","OFF","")</f>
        <v/>
      </c>
      <c r="AV15" s="56" t="str">
        <f>IF('⚙ OFF Weekends'!$D$43="OFF","OFF","")</f>
        <v/>
      </c>
      <c r="AW15" s="54" t="str">
        <f>IF('⚙ OFF Weekends'!$D$44="OFF","OFF","")</f>
        <v/>
      </c>
      <c r="AX15" s="56" t="str">
        <f>IF('⚙ OFF Weekends'!$D$45="OFF","OFF","")</f>
        <v/>
      </c>
      <c r="AY15" s="54" t="str">
        <f>IF('⚙ OFF Weekends'!$D$46="OFF","OFF","")</f>
        <v/>
      </c>
      <c r="AZ15" s="56" t="str">
        <f>IF('⚙ OFF Weekends'!$D$47="OFF","OFF","")</f>
        <v/>
      </c>
      <c r="BA15" s="54" t="str">
        <f>IF('⚙ OFF Weekends'!$D$48="OFF","OFF","")</f>
        <v/>
      </c>
      <c r="BB15" s="56" t="str">
        <f>IF('⚙ OFF Weekends'!$D$49="OFF","OFF","")</f>
        <v/>
      </c>
      <c r="BC15" s="54" t="str">
        <f>IF('⚙ OFF Weekends'!$D$50="OFF","OFF","")</f>
        <v/>
      </c>
      <c r="BD15" s="56" t="str">
        <f>IF('⚙ OFF Weekends'!$D$51="OFF","OFF","")</f>
        <v/>
      </c>
      <c r="BE15" s="54" t="str">
        <f>IF('⚙ OFF Weekends'!$D$52="OFF","OFF","")</f>
        <v/>
      </c>
      <c r="BF15" s="56" t="str">
        <f>IF('⚙ OFF Weekends'!$D$53="OFF","OFF","")</f>
        <v/>
      </c>
      <c r="BG15" s="54" t="str">
        <f>IF('⚙ OFF Weekends'!$D$54="OFF","OFF","")</f>
        <v/>
      </c>
      <c r="BH15" s="56" t="str">
        <f>IF('⚙ OFF Weekends'!$D$55="OFF","OFF","")</f>
        <v/>
      </c>
      <c r="BI15" s="54" t="str">
        <f>IF('⚙ OFF Weekends'!$D$56="OFF","OFF","")</f>
        <v/>
      </c>
      <c r="BJ15" s="56" t="str">
        <f>IF('⚙ OFF Weekends'!$D$57="OFF","OFF","")</f>
        <v/>
      </c>
      <c r="BK15" s="54" t="str">
        <f>IF('⚙ OFF Weekends'!$D$58="OFF","OFF","")</f>
        <v/>
      </c>
      <c r="BL15" s="56" t="str">
        <f>IF('⚙ OFF Weekends'!$D$59="OFF","OFF","")</f>
        <v/>
      </c>
      <c r="BM15" s="54" t="str">
        <f>IF('⚙ OFF Weekends'!$D$60="OFF","OFF","")</f>
        <v/>
      </c>
      <c r="BN15" s="56" t="str">
        <f>IF('⚙ OFF Weekends'!$D$61="OFF","OFF","")</f>
        <v/>
      </c>
      <c r="BO15" s="54" t="str">
        <f>IF('⚙ OFF Weekends'!$D$62="OFF","OFF","")</f>
        <v/>
      </c>
      <c r="BP15" s="56" t="str">
        <f>IF('⚙ OFF Weekends'!$D$63="OFF","OFF","")</f>
        <v/>
      </c>
      <c r="BQ15" s="54" t="str">
        <f>IF('⚙ OFF Weekends'!$D$64="OFF","OFF","")</f>
        <v/>
      </c>
      <c r="BR15" s="56" t="str">
        <f>IF('⚙ OFF Weekends'!$D$65="OFF","OFF","")</f>
        <v/>
      </c>
      <c r="BS15" s="54" t="str">
        <f>IF('⚙ OFF Weekends'!$D$66="OFF","OFF","")</f>
        <v/>
      </c>
      <c r="BT15" s="56" t="str">
        <f>IF('⚙ OFF Weekends'!$D$67="OFF","OFF","")</f>
        <v/>
      </c>
      <c r="BU15" s="54" t="str">
        <f>IF('⚙ OFF Weekends'!$D$68="OFF","OFF","")</f>
        <v/>
      </c>
      <c r="BV15" s="56" t="str">
        <f>IF('⚙ OFF Weekends'!$D$69="OFF","OFF","")</f>
        <v/>
      </c>
      <c r="BW15" s="54" t="str">
        <f>IF('⚙ OFF Weekends'!$D$70="OFF","OFF","")</f>
        <v/>
      </c>
      <c r="BX15" s="56" t="str">
        <f>IF('⚙ OFF Weekends'!$D$71="OFF","OFF","")</f>
        <v/>
      </c>
      <c r="BY15" s="54" t="str">
        <f>IF('⚙ OFF Weekends'!$D$72="OFF","OFF","")</f>
        <v/>
      </c>
      <c r="BZ15" s="56" t="str">
        <f>IF('⚙ OFF Weekends'!$D$73="OFF","OFF","")</f>
        <v/>
      </c>
      <c r="CA15" s="54" t="str">
        <f>IF('⚙ OFF Weekends'!$D$74="OFF","OFF","")</f>
        <v/>
      </c>
      <c r="CB15" s="56" t="str">
        <f>IF('⚙ OFF Weekends'!$D$75="OFF","OFF","")</f>
        <v/>
      </c>
      <c r="CC15" s="54" t="str">
        <f>IF('⚙ OFF Weekends'!$D$76="OFF","OFF","")</f>
        <v/>
      </c>
      <c r="CD15" s="56" t="str">
        <f>IF('⚙ OFF Weekends'!$D$77="OFF","OFF","")</f>
        <v/>
      </c>
      <c r="CE15" s="68">
        <f t="shared" si="3"/>
        <v>15</v>
      </c>
      <c r="CF15" s="68">
        <f t="shared" si="4"/>
        <v>1</v>
      </c>
      <c r="CG15" s="68">
        <f t="shared" si="5"/>
        <v>2</v>
      </c>
      <c r="CH15" s="68" t="str">
        <f t="shared" si="6"/>
        <v>94%</v>
      </c>
    </row>
    <row r="16" ht="18.0" customHeight="1">
      <c r="A16" s="73">
        <v>8.0</v>
      </c>
      <c r="B16" s="35" t="s">
        <v>238</v>
      </c>
      <c r="C16" s="74" t="s">
        <v>239</v>
      </c>
      <c r="D16" s="75" t="str">
        <f t="shared" si="1"/>
        <v>📞 Call</v>
      </c>
      <c r="E16" s="76" t="str">
        <f t="shared" si="2"/>
        <v>💬 WhatsApp</v>
      </c>
      <c r="F16" s="34"/>
      <c r="G16" s="34"/>
      <c r="H16" s="78" t="s">
        <v>240</v>
      </c>
      <c r="I16" s="48" t="s">
        <v>196</v>
      </c>
      <c r="J16" s="48" t="s">
        <v>196</v>
      </c>
      <c r="K16" s="49" t="s">
        <v>197</v>
      </c>
      <c r="L16" s="48" t="s">
        <v>196</v>
      </c>
      <c r="M16" s="48" t="s">
        <v>196</v>
      </c>
      <c r="N16" s="50" t="s">
        <v>37</v>
      </c>
      <c r="O16" s="77" t="s">
        <v>198</v>
      </c>
      <c r="P16" s="50" t="s">
        <v>37</v>
      </c>
      <c r="Q16" s="50" t="s">
        <v>37</v>
      </c>
      <c r="R16" s="50" t="s">
        <v>37</v>
      </c>
      <c r="S16" s="52" t="s">
        <v>196</v>
      </c>
      <c r="T16" s="53" t="s">
        <v>196</v>
      </c>
      <c r="U16" s="52" t="s">
        <v>196</v>
      </c>
      <c r="V16" s="53" t="s">
        <v>37</v>
      </c>
      <c r="W16" s="54" t="str">
        <f>IF('⚙ OFF Weekends'!$D$18="OFF","OFF","")</f>
        <v>OFF</v>
      </c>
      <c r="X16" s="53" t="s">
        <v>198</v>
      </c>
      <c r="Y16" s="52" t="s">
        <v>37</v>
      </c>
      <c r="Z16" s="53" t="s">
        <v>37</v>
      </c>
      <c r="AA16" s="52" t="s">
        <v>37</v>
      </c>
      <c r="AB16" s="53" t="s">
        <v>37</v>
      </c>
      <c r="AC16" s="54" t="str">
        <f>IF('⚙ OFF Weekends'!$D$24="OFF","OFF","")</f>
        <v/>
      </c>
      <c r="AD16" s="56" t="str">
        <f>IF('⚙ OFF Weekends'!$D$25="OFF","OFF","")</f>
        <v/>
      </c>
      <c r="AE16" s="54" t="str">
        <f>IF('⚙ OFF Weekends'!$D$26="OFF","OFF","")</f>
        <v/>
      </c>
      <c r="AF16" s="56" t="str">
        <f>IF('⚙ OFF Weekends'!$D$27="OFF","OFF","")</f>
        <v/>
      </c>
      <c r="AG16" s="54" t="str">
        <f>IF('⚙ OFF Weekends'!$D$28="OFF","OFF","")</f>
        <v/>
      </c>
      <c r="AH16" s="56" t="str">
        <f>IF('⚙ OFF Weekends'!$D$29="OFF","OFF","")</f>
        <v/>
      </c>
      <c r="AI16" s="54" t="str">
        <f>IF('⚙ OFF Weekends'!$D$30="OFF","OFF","")</f>
        <v/>
      </c>
      <c r="AJ16" s="56" t="str">
        <f>IF('⚙ OFF Weekends'!$D$31="OFF","OFF","")</f>
        <v/>
      </c>
      <c r="AK16" s="54" t="str">
        <f>IF('⚙ OFF Weekends'!$D$32="OFF","OFF","")</f>
        <v/>
      </c>
      <c r="AL16" s="56" t="str">
        <f>IF('⚙ OFF Weekends'!$D$33="OFF","OFF","")</f>
        <v/>
      </c>
      <c r="AM16" s="54" t="str">
        <f>IF('⚙ OFF Weekends'!$D$34="OFF","OFF","")</f>
        <v/>
      </c>
      <c r="AN16" s="56" t="str">
        <f>IF('⚙ OFF Weekends'!$D$35="OFF","OFF","")</f>
        <v/>
      </c>
      <c r="AO16" s="54" t="str">
        <f>IF('⚙ OFF Weekends'!$D$36="OFF","OFF","")</f>
        <v/>
      </c>
      <c r="AP16" s="56" t="str">
        <f>IF('⚙ OFF Weekends'!$D$37="OFF","OFF","")</f>
        <v/>
      </c>
      <c r="AQ16" s="54" t="str">
        <f>IF('⚙ OFF Weekends'!$D$38="OFF","OFF","")</f>
        <v/>
      </c>
      <c r="AR16" s="56" t="str">
        <f>IF('⚙ OFF Weekends'!$D$39="OFF","OFF","")</f>
        <v/>
      </c>
      <c r="AS16" s="54" t="str">
        <f>IF('⚙ OFF Weekends'!$D$40="OFF","OFF","")</f>
        <v/>
      </c>
      <c r="AT16" s="56" t="str">
        <f>IF('⚙ OFF Weekends'!$D$41="OFF","OFF","")</f>
        <v/>
      </c>
      <c r="AU16" s="54" t="str">
        <f>IF('⚙ OFF Weekends'!$D$42="OFF","OFF","")</f>
        <v/>
      </c>
      <c r="AV16" s="56" t="str">
        <f>IF('⚙ OFF Weekends'!$D$43="OFF","OFF","")</f>
        <v/>
      </c>
      <c r="AW16" s="54" t="str">
        <f>IF('⚙ OFF Weekends'!$D$44="OFF","OFF","")</f>
        <v/>
      </c>
      <c r="AX16" s="56" t="str">
        <f>IF('⚙ OFF Weekends'!$D$45="OFF","OFF","")</f>
        <v/>
      </c>
      <c r="AY16" s="54" t="str">
        <f>IF('⚙ OFF Weekends'!$D$46="OFF","OFF","")</f>
        <v/>
      </c>
      <c r="AZ16" s="56" t="str">
        <f>IF('⚙ OFF Weekends'!$D$47="OFF","OFF","")</f>
        <v/>
      </c>
      <c r="BA16" s="54" t="str">
        <f>IF('⚙ OFF Weekends'!$D$48="OFF","OFF","")</f>
        <v/>
      </c>
      <c r="BB16" s="56" t="str">
        <f>IF('⚙ OFF Weekends'!$D$49="OFF","OFF","")</f>
        <v/>
      </c>
      <c r="BC16" s="54" t="str">
        <f>IF('⚙ OFF Weekends'!$D$50="OFF","OFF","")</f>
        <v/>
      </c>
      <c r="BD16" s="56" t="str">
        <f>IF('⚙ OFF Weekends'!$D$51="OFF","OFF","")</f>
        <v/>
      </c>
      <c r="BE16" s="54" t="str">
        <f>IF('⚙ OFF Weekends'!$D$52="OFF","OFF","")</f>
        <v/>
      </c>
      <c r="BF16" s="56" t="str">
        <f>IF('⚙ OFF Weekends'!$D$53="OFF","OFF","")</f>
        <v/>
      </c>
      <c r="BG16" s="54" t="str">
        <f>IF('⚙ OFF Weekends'!$D$54="OFF","OFF","")</f>
        <v/>
      </c>
      <c r="BH16" s="56" t="str">
        <f>IF('⚙ OFF Weekends'!$D$55="OFF","OFF","")</f>
        <v/>
      </c>
      <c r="BI16" s="54" t="str">
        <f>IF('⚙ OFF Weekends'!$D$56="OFF","OFF","")</f>
        <v/>
      </c>
      <c r="BJ16" s="56" t="str">
        <f>IF('⚙ OFF Weekends'!$D$57="OFF","OFF","")</f>
        <v/>
      </c>
      <c r="BK16" s="54" t="str">
        <f>IF('⚙ OFF Weekends'!$D$58="OFF","OFF","")</f>
        <v/>
      </c>
      <c r="BL16" s="56" t="str">
        <f>IF('⚙ OFF Weekends'!$D$59="OFF","OFF","")</f>
        <v/>
      </c>
      <c r="BM16" s="54" t="str">
        <f>IF('⚙ OFF Weekends'!$D$60="OFF","OFF","")</f>
        <v/>
      </c>
      <c r="BN16" s="56" t="str">
        <f>IF('⚙ OFF Weekends'!$D$61="OFF","OFF","")</f>
        <v/>
      </c>
      <c r="BO16" s="54" t="str">
        <f>IF('⚙ OFF Weekends'!$D$62="OFF","OFF","")</f>
        <v/>
      </c>
      <c r="BP16" s="56" t="str">
        <f>IF('⚙ OFF Weekends'!$D$63="OFF","OFF","")</f>
        <v/>
      </c>
      <c r="BQ16" s="54" t="str">
        <f>IF('⚙ OFF Weekends'!$D$64="OFF","OFF","")</f>
        <v/>
      </c>
      <c r="BR16" s="56" t="str">
        <f>IF('⚙ OFF Weekends'!$D$65="OFF","OFF","")</f>
        <v/>
      </c>
      <c r="BS16" s="54" t="str">
        <f>IF('⚙ OFF Weekends'!$D$66="OFF","OFF","")</f>
        <v/>
      </c>
      <c r="BT16" s="56" t="str">
        <f>IF('⚙ OFF Weekends'!$D$67="OFF","OFF","")</f>
        <v/>
      </c>
      <c r="BU16" s="54" t="str">
        <f>IF('⚙ OFF Weekends'!$D$68="OFF","OFF","")</f>
        <v/>
      </c>
      <c r="BV16" s="56" t="str">
        <f>IF('⚙ OFF Weekends'!$D$69="OFF","OFF","")</f>
        <v/>
      </c>
      <c r="BW16" s="54" t="str">
        <f>IF('⚙ OFF Weekends'!$D$70="OFF","OFF","")</f>
        <v/>
      </c>
      <c r="BX16" s="56" t="str">
        <f>IF('⚙ OFF Weekends'!$D$71="OFF","OFF","")</f>
        <v/>
      </c>
      <c r="BY16" s="54" t="str">
        <f>IF('⚙ OFF Weekends'!$D$72="OFF","OFF","")</f>
        <v/>
      </c>
      <c r="BZ16" s="56" t="str">
        <f>IF('⚙ OFF Weekends'!$D$73="OFF","OFF","")</f>
        <v/>
      </c>
      <c r="CA16" s="54" t="str">
        <f>IF('⚙ OFF Weekends'!$D$74="OFF","OFF","")</f>
        <v/>
      </c>
      <c r="CB16" s="56" t="str">
        <f>IF('⚙ OFF Weekends'!$D$75="OFF","OFF","")</f>
        <v/>
      </c>
      <c r="CC16" s="54" t="str">
        <f>IF('⚙ OFF Weekends'!$D$76="OFF","OFF","")</f>
        <v/>
      </c>
      <c r="CD16" s="56" t="str">
        <f>IF('⚙ OFF Weekends'!$D$77="OFF","OFF","")</f>
        <v/>
      </c>
      <c r="CE16" s="73">
        <f t="shared" si="3"/>
        <v>16</v>
      </c>
      <c r="CF16" s="73">
        <f t="shared" si="4"/>
        <v>0</v>
      </c>
      <c r="CG16" s="73">
        <f t="shared" si="5"/>
        <v>2</v>
      </c>
      <c r="CH16" s="73" t="str">
        <f t="shared" si="6"/>
        <v>100%</v>
      </c>
    </row>
    <row r="17" ht="18.0" customHeight="1">
      <c r="A17" s="68">
        <v>9.0</v>
      </c>
      <c r="B17" s="25" t="s">
        <v>242</v>
      </c>
      <c r="C17" s="69" t="s">
        <v>243</v>
      </c>
      <c r="D17" s="70" t="str">
        <f t="shared" si="1"/>
        <v>📞 Call</v>
      </c>
      <c r="E17" s="71" t="str">
        <f t="shared" si="2"/>
        <v>💬 WhatsApp</v>
      </c>
      <c r="F17" s="21"/>
      <c r="G17" s="21"/>
      <c r="H17" s="21" t="s">
        <v>244</v>
      </c>
      <c r="I17" s="48" t="s">
        <v>196</v>
      </c>
      <c r="J17" s="48" t="s">
        <v>196</v>
      </c>
      <c r="K17" s="49" t="s">
        <v>197</v>
      </c>
      <c r="L17" s="48" t="s">
        <v>196</v>
      </c>
      <c r="M17" s="48" t="s">
        <v>196</v>
      </c>
      <c r="N17" s="50" t="s">
        <v>37</v>
      </c>
      <c r="O17" s="48" t="s">
        <v>196</v>
      </c>
      <c r="P17" s="79" t="s">
        <v>223</v>
      </c>
      <c r="Q17" s="48" t="s">
        <v>196</v>
      </c>
      <c r="R17" s="48" t="s">
        <v>196</v>
      </c>
      <c r="S17" s="52" t="s">
        <v>198</v>
      </c>
      <c r="T17" s="53" t="s">
        <v>198</v>
      </c>
      <c r="U17" s="52" t="s">
        <v>223</v>
      </c>
      <c r="V17" s="53" t="s">
        <v>37</v>
      </c>
      <c r="W17" s="54" t="str">
        <f>IF('⚙ OFF Weekends'!$D$18="OFF","OFF","")</f>
        <v>OFF</v>
      </c>
      <c r="X17" s="53" t="s">
        <v>37</v>
      </c>
      <c r="Y17" s="52" t="s">
        <v>196</v>
      </c>
      <c r="Z17" s="53" t="s">
        <v>223</v>
      </c>
      <c r="AA17" s="52" t="s">
        <v>196</v>
      </c>
      <c r="AB17" s="53" t="s">
        <v>37</v>
      </c>
      <c r="AC17" s="54" t="str">
        <f>IF('⚙ OFF Weekends'!$D$24="OFF","OFF","")</f>
        <v/>
      </c>
      <c r="AD17" s="56" t="str">
        <f>IF('⚙ OFF Weekends'!$D$25="OFF","OFF","")</f>
        <v/>
      </c>
      <c r="AE17" s="54" t="str">
        <f>IF('⚙ OFF Weekends'!$D$26="OFF","OFF","")</f>
        <v/>
      </c>
      <c r="AF17" s="56" t="str">
        <f>IF('⚙ OFF Weekends'!$D$27="OFF","OFF","")</f>
        <v/>
      </c>
      <c r="AG17" s="54" t="str">
        <f>IF('⚙ OFF Weekends'!$D$28="OFF","OFF","")</f>
        <v/>
      </c>
      <c r="AH17" s="56" t="str">
        <f>IF('⚙ OFF Weekends'!$D$29="OFF","OFF","")</f>
        <v/>
      </c>
      <c r="AI17" s="54" t="str">
        <f>IF('⚙ OFF Weekends'!$D$30="OFF","OFF","")</f>
        <v/>
      </c>
      <c r="AJ17" s="56" t="str">
        <f>IF('⚙ OFF Weekends'!$D$31="OFF","OFF","")</f>
        <v/>
      </c>
      <c r="AK17" s="54" t="str">
        <f>IF('⚙ OFF Weekends'!$D$32="OFF","OFF","")</f>
        <v/>
      </c>
      <c r="AL17" s="56" t="str">
        <f>IF('⚙ OFF Weekends'!$D$33="OFF","OFF","")</f>
        <v/>
      </c>
      <c r="AM17" s="54" t="str">
        <f>IF('⚙ OFF Weekends'!$D$34="OFF","OFF","")</f>
        <v/>
      </c>
      <c r="AN17" s="56" t="str">
        <f>IF('⚙ OFF Weekends'!$D$35="OFF","OFF","")</f>
        <v/>
      </c>
      <c r="AO17" s="54" t="str">
        <f>IF('⚙ OFF Weekends'!$D$36="OFF","OFF","")</f>
        <v/>
      </c>
      <c r="AP17" s="56" t="str">
        <f>IF('⚙ OFF Weekends'!$D$37="OFF","OFF","")</f>
        <v/>
      </c>
      <c r="AQ17" s="54" t="str">
        <f>IF('⚙ OFF Weekends'!$D$38="OFF","OFF","")</f>
        <v/>
      </c>
      <c r="AR17" s="56" t="str">
        <f>IF('⚙ OFF Weekends'!$D$39="OFF","OFF","")</f>
        <v/>
      </c>
      <c r="AS17" s="54" t="str">
        <f>IF('⚙ OFF Weekends'!$D$40="OFF","OFF","")</f>
        <v/>
      </c>
      <c r="AT17" s="56" t="str">
        <f>IF('⚙ OFF Weekends'!$D$41="OFF","OFF","")</f>
        <v/>
      </c>
      <c r="AU17" s="54" t="str">
        <f>IF('⚙ OFF Weekends'!$D$42="OFF","OFF","")</f>
        <v/>
      </c>
      <c r="AV17" s="56" t="str">
        <f>IF('⚙ OFF Weekends'!$D$43="OFF","OFF","")</f>
        <v/>
      </c>
      <c r="AW17" s="54" t="str">
        <f>IF('⚙ OFF Weekends'!$D$44="OFF","OFF","")</f>
        <v/>
      </c>
      <c r="AX17" s="56" t="str">
        <f>IF('⚙ OFF Weekends'!$D$45="OFF","OFF","")</f>
        <v/>
      </c>
      <c r="AY17" s="54" t="str">
        <f>IF('⚙ OFF Weekends'!$D$46="OFF","OFF","")</f>
        <v/>
      </c>
      <c r="AZ17" s="56" t="str">
        <f>IF('⚙ OFF Weekends'!$D$47="OFF","OFF","")</f>
        <v/>
      </c>
      <c r="BA17" s="54" t="str">
        <f>IF('⚙ OFF Weekends'!$D$48="OFF","OFF","")</f>
        <v/>
      </c>
      <c r="BB17" s="56" t="str">
        <f>IF('⚙ OFF Weekends'!$D$49="OFF","OFF","")</f>
        <v/>
      </c>
      <c r="BC17" s="54" t="str">
        <f>IF('⚙ OFF Weekends'!$D$50="OFF","OFF","")</f>
        <v/>
      </c>
      <c r="BD17" s="56" t="str">
        <f>IF('⚙ OFF Weekends'!$D$51="OFF","OFF","")</f>
        <v/>
      </c>
      <c r="BE17" s="54" t="str">
        <f>IF('⚙ OFF Weekends'!$D$52="OFF","OFF","")</f>
        <v/>
      </c>
      <c r="BF17" s="56" t="str">
        <f>IF('⚙ OFF Weekends'!$D$53="OFF","OFF","")</f>
        <v/>
      </c>
      <c r="BG17" s="54" t="str">
        <f>IF('⚙ OFF Weekends'!$D$54="OFF","OFF","")</f>
        <v/>
      </c>
      <c r="BH17" s="56" t="str">
        <f>IF('⚙ OFF Weekends'!$D$55="OFF","OFF","")</f>
        <v/>
      </c>
      <c r="BI17" s="54" t="str">
        <f>IF('⚙ OFF Weekends'!$D$56="OFF","OFF","")</f>
        <v/>
      </c>
      <c r="BJ17" s="56" t="str">
        <f>IF('⚙ OFF Weekends'!$D$57="OFF","OFF","")</f>
        <v/>
      </c>
      <c r="BK17" s="54" t="str">
        <f>IF('⚙ OFF Weekends'!$D$58="OFF","OFF","")</f>
        <v/>
      </c>
      <c r="BL17" s="56" t="str">
        <f>IF('⚙ OFF Weekends'!$D$59="OFF","OFF","")</f>
        <v/>
      </c>
      <c r="BM17" s="54" t="str">
        <f>IF('⚙ OFF Weekends'!$D$60="OFF","OFF","")</f>
        <v/>
      </c>
      <c r="BN17" s="56" t="str">
        <f>IF('⚙ OFF Weekends'!$D$61="OFF","OFF","")</f>
        <v/>
      </c>
      <c r="BO17" s="54" t="str">
        <f>IF('⚙ OFF Weekends'!$D$62="OFF","OFF","")</f>
        <v/>
      </c>
      <c r="BP17" s="56" t="str">
        <f>IF('⚙ OFF Weekends'!$D$63="OFF","OFF","")</f>
        <v/>
      </c>
      <c r="BQ17" s="54" t="str">
        <f>IF('⚙ OFF Weekends'!$D$64="OFF","OFF","")</f>
        <v/>
      </c>
      <c r="BR17" s="56" t="str">
        <f>IF('⚙ OFF Weekends'!$D$65="OFF","OFF","")</f>
        <v/>
      </c>
      <c r="BS17" s="54" t="str">
        <f>IF('⚙ OFF Weekends'!$D$66="OFF","OFF","")</f>
        <v/>
      </c>
      <c r="BT17" s="56" t="str">
        <f>IF('⚙ OFF Weekends'!$D$67="OFF","OFF","")</f>
        <v/>
      </c>
      <c r="BU17" s="54" t="str">
        <f>IF('⚙ OFF Weekends'!$D$68="OFF","OFF","")</f>
        <v/>
      </c>
      <c r="BV17" s="56" t="str">
        <f>IF('⚙ OFF Weekends'!$D$69="OFF","OFF","")</f>
        <v/>
      </c>
      <c r="BW17" s="54" t="str">
        <f>IF('⚙ OFF Weekends'!$D$70="OFF","OFF","")</f>
        <v/>
      </c>
      <c r="BX17" s="56" t="str">
        <f>IF('⚙ OFF Weekends'!$D$71="OFF","OFF","")</f>
        <v/>
      </c>
      <c r="BY17" s="54" t="str">
        <f>IF('⚙ OFF Weekends'!$D$72="OFF","OFF","")</f>
        <v/>
      </c>
      <c r="BZ17" s="56" t="str">
        <f>IF('⚙ OFF Weekends'!$D$73="OFF","OFF","")</f>
        <v/>
      </c>
      <c r="CA17" s="54" t="str">
        <f>IF('⚙ OFF Weekends'!$D$74="OFF","OFF","")</f>
        <v/>
      </c>
      <c r="CB17" s="56" t="str">
        <f>IF('⚙ OFF Weekends'!$D$75="OFF","OFF","")</f>
        <v/>
      </c>
      <c r="CC17" s="54" t="str">
        <f>IF('⚙ OFF Weekends'!$D$76="OFF","OFF","")</f>
        <v/>
      </c>
      <c r="CD17" s="56" t="str">
        <f>IF('⚙ OFF Weekends'!$D$77="OFF","OFF","")</f>
        <v/>
      </c>
      <c r="CE17" s="68">
        <f t="shared" si="3"/>
        <v>13</v>
      </c>
      <c r="CF17" s="68">
        <f t="shared" si="4"/>
        <v>3</v>
      </c>
      <c r="CG17" s="68">
        <f t="shared" si="5"/>
        <v>2</v>
      </c>
      <c r="CH17" s="68" t="str">
        <f t="shared" si="6"/>
        <v>81%</v>
      </c>
    </row>
    <row r="18" ht="18.0" customHeight="1">
      <c r="A18" s="73">
        <v>10.0</v>
      </c>
      <c r="B18" s="35" t="s">
        <v>247</v>
      </c>
      <c r="C18" s="74"/>
      <c r="D18" s="75" t="str">
        <f t="shared" si="1"/>
        <v/>
      </c>
      <c r="E18" s="80" t="str">
        <f t="shared" si="2"/>
        <v/>
      </c>
      <c r="F18" s="34"/>
      <c r="G18" s="34"/>
      <c r="H18" s="34" t="s">
        <v>244</v>
      </c>
      <c r="I18" s="48" t="s">
        <v>196</v>
      </c>
      <c r="J18" s="48" t="s">
        <v>196</v>
      </c>
      <c r="K18" s="49" t="s">
        <v>197</v>
      </c>
      <c r="L18" s="48" t="s">
        <v>196</v>
      </c>
      <c r="M18" s="48" t="s">
        <v>196</v>
      </c>
      <c r="N18" s="50" t="s">
        <v>37</v>
      </c>
      <c r="O18" s="48" t="s">
        <v>196</v>
      </c>
      <c r="P18" s="48" t="s">
        <v>196</v>
      </c>
      <c r="Q18" s="48" t="s">
        <v>196</v>
      </c>
      <c r="R18" s="48" t="s">
        <v>196</v>
      </c>
      <c r="S18" s="52" t="s">
        <v>196</v>
      </c>
      <c r="T18" s="53" t="s">
        <v>196</v>
      </c>
      <c r="U18" s="52" t="s">
        <v>196</v>
      </c>
      <c r="V18" s="53" t="s">
        <v>196</v>
      </c>
      <c r="W18" s="54" t="str">
        <f>IF('⚙ OFF Weekends'!$D$18="OFF","OFF","")</f>
        <v>OFF</v>
      </c>
      <c r="X18" s="53" t="s">
        <v>37</v>
      </c>
      <c r="Y18" s="52" t="s">
        <v>37</v>
      </c>
      <c r="Z18" s="53" t="s">
        <v>37</v>
      </c>
      <c r="AA18" s="52" t="s">
        <v>37</v>
      </c>
      <c r="AB18" s="53" t="s">
        <v>196</v>
      </c>
      <c r="AC18" s="54" t="str">
        <f>IF('⚙ OFF Weekends'!$D$24="OFF","OFF","")</f>
        <v/>
      </c>
      <c r="AD18" s="56" t="str">
        <f>IF('⚙ OFF Weekends'!$D$25="OFF","OFF","")</f>
        <v/>
      </c>
      <c r="AE18" s="54" t="str">
        <f>IF('⚙ OFF Weekends'!$D$26="OFF","OFF","")</f>
        <v/>
      </c>
      <c r="AF18" s="56" t="str">
        <f>IF('⚙ OFF Weekends'!$D$27="OFF","OFF","")</f>
        <v/>
      </c>
      <c r="AG18" s="54" t="str">
        <f>IF('⚙ OFF Weekends'!$D$28="OFF","OFF","")</f>
        <v/>
      </c>
      <c r="AH18" s="56" t="str">
        <f>IF('⚙ OFF Weekends'!$D$29="OFF","OFF","")</f>
        <v/>
      </c>
      <c r="AI18" s="54" t="str">
        <f>IF('⚙ OFF Weekends'!$D$30="OFF","OFF","")</f>
        <v/>
      </c>
      <c r="AJ18" s="56" t="str">
        <f>IF('⚙ OFF Weekends'!$D$31="OFF","OFF","")</f>
        <v/>
      </c>
      <c r="AK18" s="54" t="str">
        <f>IF('⚙ OFF Weekends'!$D$32="OFF","OFF","")</f>
        <v/>
      </c>
      <c r="AL18" s="56" t="str">
        <f>IF('⚙ OFF Weekends'!$D$33="OFF","OFF","")</f>
        <v/>
      </c>
      <c r="AM18" s="54" t="str">
        <f>IF('⚙ OFF Weekends'!$D$34="OFF","OFF","")</f>
        <v/>
      </c>
      <c r="AN18" s="56" t="str">
        <f>IF('⚙ OFF Weekends'!$D$35="OFF","OFF","")</f>
        <v/>
      </c>
      <c r="AO18" s="54" t="str">
        <f>IF('⚙ OFF Weekends'!$D$36="OFF","OFF","")</f>
        <v/>
      </c>
      <c r="AP18" s="56" t="str">
        <f>IF('⚙ OFF Weekends'!$D$37="OFF","OFF","")</f>
        <v/>
      </c>
      <c r="AQ18" s="54" t="str">
        <f>IF('⚙ OFF Weekends'!$D$38="OFF","OFF","")</f>
        <v/>
      </c>
      <c r="AR18" s="56" t="str">
        <f>IF('⚙ OFF Weekends'!$D$39="OFF","OFF","")</f>
        <v/>
      </c>
      <c r="AS18" s="54" t="str">
        <f>IF('⚙ OFF Weekends'!$D$40="OFF","OFF","")</f>
        <v/>
      </c>
      <c r="AT18" s="56" t="str">
        <f>IF('⚙ OFF Weekends'!$D$41="OFF","OFF","")</f>
        <v/>
      </c>
      <c r="AU18" s="54" t="str">
        <f>IF('⚙ OFF Weekends'!$D$42="OFF","OFF","")</f>
        <v/>
      </c>
      <c r="AV18" s="56" t="str">
        <f>IF('⚙ OFF Weekends'!$D$43="OFF","OFF","")</f>
        <v/>
      </c>
      <c r="AW18" s="54" t="str">
        <f>IF('⚙ OFF Weekends'!$D$44="OFF","OFF","")</f>
        <v/>
      </c>
      <c r="AX18" s="56" t="str">
        <f>IF('⚙ OFF Weekends'!$D$45="OFF","OFF","")</f>
        <v/>
      </c>
      <c r="AY18" s="54" t="str">
        <f>IF('⚙ OFF Weekends'!$D$46="OFF","OFF","")</f>
        <v/>
      </c>
      <c r="AZ18" s="56" t="str">
        <f>IF('⚙ OFF Weekends'!$D$47="OFF","OFF","")</f>
        <v/>
      </c>
      <c r="BA18" s="54" t="str">
        <f>IF('⚙ OFF Weekends'!$D$48="OFF","OFF","")</f>
        <v/>
      </c>
      <c r="BB18" s="56" t="str">
        <f>IF('⚙ OFF Weekends'!$D$49="OFF","OFF","")</f>
        <v/>
      </c>
      <c r="BC18" s="54" t="str">
        <f>IF('⚙ OFF Weekends'!$D$50="OFF","OFF","")</f>
        <v/>
      </c>
      <c r="BD18" s="56" t="str">
        <f>IF('⚙ OFF Weekends'!$D$51="OFF","OFF","")</f>
        <v/>
      </c>
      <c r="BE18" s="54" t="str">
        <f>IF('⚙ OFF Weekends'!$D$52="OFF","OFF","")</f>
        <v/>
      </c>
      <c r="BF18" s="56" t="str">
        <f>IF('⚙ OFF Weekends'!$D$53="OFF","OFF","")</f>
        <v/>
      </c>
      <c r="BG18" s="54" t="str">
        <f>IF('⚙ OFF Weekends'!$D$54="OFF","OFF","")</f>
        <v/>
      </c>
      <c r="BH18" s="56" t="str">
        <f>IF('⚙ OFF Weekends'!$D$55="OFF","OFF","")</f>
        <v/>
      </c>
      <c r="BI18" s="54" t="str">
        <f>IF('⚙ OFF Weekends'!$D$56="OFF","OFF","")</f>
        <v/>
      </c>
      <c r="BJ18" s="56" t="str">
        <f>IF('⚙ OFF Weekends'!$D$57="OFF","OFF","")</f>
        <v/>
      </c>
      <c r="BK18" s="54" t="str">
        <f>IF('⚙ OFF Weekends'!$D$58="OFF","OFF","")</f>
        <v/>
      </c>
      <c r="BL18" s="56" t="str">
        <f>IF('⚙ OFF Weekends'!$D$59="OFF","OFF","")</f>
        <v/>
      </c>
      <c r="BM18" s="54" t="str">
        <f>IF('⚙ OFF Weekends'!$D$60="OFF","OFF","")</f>
        <v/>
      </c>
      <c r="BN18" s="56" t="str">
        <f>IF('⚙ OFF Weekends'!$D$61="OFF","OFF","")</f>
        <v/>
      </c>
      <c r="BO18" s="54" t="str">
        <f>IF('⚙ OFF Weekends'!$D$62="OFF","OFF","")</f>
        <v/>
      </c>
      <c r="BP18" s="56" t="str">
        <f>IF('⚙ OFF Weekends'!$D$63="OFF","OFF","")</f>
        <v/>
      </c>
      <c r="BQ18" s="54" t="str">
        <f>IF('⚙ OFF Weekends'!$D$64="OFF","OFF","")</f>
        <v/>
      </c>
      <c r="BR18" s="56" t="str">
        <f>IF('⚙ OFF Weekends'!$D$65="OFF","OFF","")</f>
        <v/>
      </c>
      <c r="BS18" s="54" t="str">
        <f>IF('⚙ OFF Weekends'!$D$66="OFF","OFF","")</f>
        <v/>
      </c>
      <c r="BT18" s="56" t="str">
        <f>IF('⚙ OFF Weekends'!$D$67="OFF","OFF","")</f>
        <v/>
      </c>
      <c r="BU18" s="54" t="str">
        <f>IF('⚙ OFF Weekends'!$D$68="OFF","OFF","")</f>
        <v/>
      </c>
      <c r="BV18" s="56" t="str">
        <f>IF('⚙ OFF Weekends'!$D$69="OFF","OFF","")</f>
        <v/>
      </c>
      <c r="BW18" s="54" t="str">
        <f>IF('⚙ OFF Weekends'!$D$70="OFF","OFF","")</f>
        <v/>
      </c>
      <c r="BX18" s="56" t="str">
        <f>IF('⚙ OFF Weekends'!$D$71="OFF","OFF","")</f>
        <v/>
      </c>
      <c r="BY18" s="54" t="str">
        <f>IF('⚙ OFF Weekends'!$D$72="OFF","OFF","")</f>
        <v/>
      </c>
      <c r="BZ18" s="56" t="str">
        <f>IF('⚙ OFF Weekends'!$D$73="OFF","OFF","")</f>
        <v/>
      </c>
      <c r="CA18" s="54" t="str">
        <f>IF('⚙ OFF Weekends'!$D$74="OFF","OFF","")</f>
        <v/>
      </c>
      <c r="CB18" s="56" t="str">
        <f>IF('⚙ OFF Weekends'!$D$75="OFF","OFF","")</f>
        <v/>
      </c>
      <c r="CC18" s="54" t="str">
        <f>IF('⚙ OFF Weekends'!$D$76="OFF","OFF","")</f>
        <v/>
      </c>
      <c r="CD18" s="56" t="str">
        <f>IF('⚙ OFF Weekends'!$D$77="OFF","OFF","")</f>
        <v/>
      </c>
      <c r="CE18" s="73">
        <f t="shared" si="3"/>
        <v>18</v>
      </c>
      <c r="CF18" s="73">
        <f t="shared" si="4"/>
        <v>0</v>
      </c>
      <c r="CG18" s="73">
        <f t="shared" si="5"/>
        <v>0</v>
      </c>
      <c r="CH18" s="73" t="str">
        <f t="shared" si="6"/>
        <v>100%</v>
      </c>
    </row>
    <row r="19" ht="18.0" customHeight="1">
      <c r="A19" s="68">
        <v>11.0</v>
      </c>
      <c r="B19" s="25" t="s">
        <v>250</v>
      </c>
      <c r="C19" s="69" t="s">
        <v>251</v>
      </c>
      <c r="D19" s="70" t="str">
        <f t="shared" si="1"/>
        <v>📞 Call</v>
      </c>
      <c r="E19" s="71" t="str">
        <f t="shared" si="2"/>
        <v>💬 WhatsApp</v>
      </c>
      <c r="F19" s="21"/>
      <c r="G19" s="21"/>
      <c r="H19" s="81" t="s">
        <v>252</v>
      </c>
      <c r="I19" s="77" t="s">
        <v>198</v>
      </c>
      <c r="J19" s="77" t="s">
        <v>198</v>
      </c>
      <c r="K19" s="49" t="s">
        <v>197</v>
      </c>
      <c r="L19" s="77" t="s">
        <v>198</v>
      </c>
      <c r="M19" s="77" t="s">
        <v>198</v>
      </c>
      <c r="N19" s="77" t="s">
        <v>198</v>
      </c>
      <c r="O19" s="50" t="s">
        <v>37</v>
      </c>
      <c r="P19" s="79" t="s">
        <v>223</v>
      </c>
      <c r="Q19" s="50" t="s">
        <v>37</v>
      </c>
      <c r="R19" s="79" t="s">
        <v>223</v>
      </c>
      <c r="S19" s="52" t="s">
        <v>37</v>
      </c>
      <c r="T19" s="53" t="s">
        <v>223</v>
      </c>
      <c r="U19" s="52" t="s">
        <v>37</v>
      </c>
      <c r="V19" s="53" t="s">
        <v>37</v>
      </c>
      <c r="W19" s="54" t="str">
        <f>IF('⚙ OFF Weekends'!$D$18="OFF","OFF","")</f>
        <v>OFF</v>
      </c>
      <c r="X19" s="53" t="s">
        <v>37</v>
      </c>
      <c r="Y19" s="52" t="s">
        <v>223</v>
      </c>
      <c r="Z19" s="53" t="s">
        <v>37</v>
      </c>
      <c r="AA19" s="52" t="s">
        <v>37</v>
      </c>
      <c r="AB19" s="53" t="s">
        <v>223</v>
      </c>
      <c r="AC19" s="54" t="str">
        <f>IF('⚙ OFF Weekends'!$D$24="OFF","OFF","")</f>
        <v/>
      </c>
      <c r="AD19" s="56" t="str">
        <f>IF('⚙ OFF Weekends'!$D$25="OFF","OFF","")</f>
        <v/>
      </c>
      <c r="AE19" s="54" t="str">
        <f>IF('⚙ OFF Weekends'!$D$26="OFF","OFF","")</f>
        <v/>
      </c>
      <c r="AF19" s="56" t="str">
        <f>IF('⚙ OFF Weekends'!$D$27="OFF","OFF","")</f>
        <v/>
      </c>
      <c r="AG19" s="54" t="str">
        <f>IF('⚙ OFF Weekends'!$D$28="OFF","OFF","")</f>
        <v/>
      </c>
      <c r="AH19" s="56" t="str">
        <f>IF('⚙ OFF Weekends'!$D$29="OFF","OFF","")</f>
        <v/>
      </c>
      <c r="AI19" s="54" t="str">
        <f>IF('⚙ OFF Weekends'!$D$30="OFF","OFF","")</f>
        <v/>
      </c>
      <c r="AJ19" s="56" t="str">
        <f>IF('⚙ OFF Weekends'!$D$31="OFF","OFF","")</f>
        <v/>
      </c>
      <c r="AK19" s="54" t="str">
        <f>IF('⚙ OFF Weekends'!$D$32="OFF","OFF","")</f>
        <v/>
      </c>
      <c r="AL19" s="56" t="str">
        <f>IF('⚙ OFF Weekends'!$D$33="OFF","OFF","")</f>
        <v/>
      </c>
      <c r="AM19" s="54" t="str">
        <f>IF('⚙ OFF Weekends'!$D$34="OFF","OFF","")</f>
        <v/>
      </c>
      <c r="AN19" s="56" t="str">
        <f>IF('⚙ OFF Weekends'!$D$35="OFF","OFF","")</f>
        <v/>
      </c>
      <c r="AO19" s="54" t="str">
        <f>IF('⚙ OFF Weekends'!$D$36="OFF","OFF","")</f>
        <v/>
      </c>
      <c r="AP19" s="56" t="str">
        <f>IF('⚙ OFF Weekends'!$D$37="OFF","OFF","")</f>
        <v/>
      </c>
      <c r="AQ19" s="54" t="str">
        <f>IF('⚙ OFF Weekends'!$D$38="OFF","OFF","")</f>
        <v/>
      </c>
      <c r="AR19" s="56" t="str">
        <f>IF('⚙ OFF Weekends'!$D$39="OFF","OFF","")</f>
        <v/>
      </c>
      <c r="AS19" s="54" t="str">
        <f>IF('⚙ OFF Weekends'!$D$40="OFF","OFF","")</f>
        <v/>
      </c>
      <c r="AT19" s="56" t="str">
        <f>IF('⚙ OFF Weekends'!$D$41="OFF","OFF","")</f>
        <v/>
      </c>
      <c r="AU19" s="54" t="str">
        <f>IF('⚙ OFF Weekends'!$D$42="OFF","OFF","")</f>
        <v/>
      </c>
      <c r="AV19" s="56" t="str">
        <f>IF('⚙ OFF Weekends'!$D$43="OFF","OFF","")</f>
        <v/>
      </c>
      <c r="AW19" s="54" t="str">
        <f>IF('⚙ OFF Weekends'!$D$44="OFF","OFF","")</f>
        <v/>
      </c>
      <c r="AX19" s="56" t="str">
        <f>IF('⚙ OFF Weekends'!$D$45="OFF","OFF","")</f>
        <v/>
      </c>
      <c r="AY19" s="54" t="str">
        <f>IF('⚙ OFF Weekends'!$D$46="OFF","OFF","")</f>
        <v/>
      </c>
      <c r="AZ19" s="56" t="str">
        <f>IF('⚙ OFF Weekends'!$D$47="OFF","OFF","")</f>
        <v/>
      </c>
      <c r="BA19" s="54" t="str">
        <f>IF('⚙ OFF Weekends'!$D$48="OFF","OFF","")</f>
        <v/>
      </c>
      <c r="BB19" s="56" t="str">
        <f>IF('⚙ OFF Weekends'!$D$49="OFF","OFF","")</f>
        <v/>
      </c>
      <c r="BC19" s="54" t="str">
        <f>IF('⚙ OFF Weekends'!$D$50="OFF","OFF","")</f>
        <v/>
      </c>
      <c r="BD19" s="56" t="str">
        <f>IF('⚙ OFF Weekends'!$D$51="OFF","OFF","")</f>
        <v/>
      </c>
      <c r="BE19" s="54" t="str">
        <f>IF('⚙ OFF Weekends'!$D$52="OFF","OFF","")</f>
        <v/>
      </c>
      <c r="BF19" s="56" t="str">
        <f>IF('⚙ OFF Weekends'!$D$53="OFF","OFF","")</f>
        <v/>
      </c>
      <c r="BG19" s="54" t="str">
        <f>IF('⚙ OFF Weekends'!$D$54="OFF","OFF","")</f>
        <v/>
      </c>
      <c r="BH19" s="56" t="str">
        <f>IF('⚙ OFF Weekends'!$D$55="OFF","OFF","")</f>
        <v/>
      </c>
      <c r="BI19" s="54" t="str">
        <f>IF('⚙ OFF Weekends'!$D$56="OFF","OFF","")</f>
        <v/>
      </c>
      <c r="BJ19" s="56" t="str">
        <f>IF('⚙ OFF Weekends'!$D$57="OFF","OFF","")</f>
        <v/>
      </c>
      <c r="BK19" s="54" t="str">
        <f>IF('⚙ OFF Weekends'!$D$58="OFF","OFF","")</f>
        <v/>
      </c>
      <c r="BL19" s="56" t="str">
        <f>IF('⚙ OFF Weekends'!$D$59="OFF","OFF","")</f>
        <v/>
      </c>
      <c r="BM19" s="54" t="str">
        <f>IF('⚙ OFF Weekends'!$D$60="OFF","OFF","")</f>
        <v/>
      </c>
      <c r="BN19" s="56" t="str">
        <f>IF('⚙ OFF Weekends'!$D$61="OFF","OFF","")</f>
        <v/>
      </c>
      <c r="BO19" s="54" t="str">
        <f>IF('⚙ OFF Weekends'!$D$62="OFF","OFF","")</f>
        <v/>
      </c>
      <c r="BP19" s="56" t="str">
        <f>IF('⚙ OFF Weekends'!$D$63="OFF","OFF","")</f>
        <v/>
      </c>
      <c r="BQ19" s="54" t="str">
        <f>IF('⚙ OFF Weekends'!$D$64="OFF","OFF","")</f>
        <v/>
      </c>
      <c r="BR19" s="56" t="str">
        <f>IF('⚙ OFF Weekends'!$D$65="OFF","OFF","")</f>
        <v/>
      </c>
      <c r="BS19" s="54" t="str">
        <f>IF('⚙ OFF Weekends'!$D$66="OFF","OFF","")</f>
        <v/>
      </c>
      <c r="BT19" s="56" t="str">
        <f>IF('⚙ OFF Weekends'!$D$67="OFF","OFF","")</f>
        <v/>
      </c>
      <c r="BU19" s="54" t="str">
        <f>IF('⚙ OFF Weekends'!$D$68="OFF","OFF","")</f>
        <v/>
      </c>
      <c r="BV19" s="56" t="str">
        <f>IF('⚙ OFF Weekends'!$D$69="OFF","OFF","")</f>
        <v/>
      </c>
      <c r="BW19" s="54" t="str">
        <f>IF('⚙ OFF Weekends'!$D$70="OFF","OFF","")</f>
        <v/>
      </c>
      <c r="BX19" s="56" t="str">
        <f>IF('⚙ OFF Weekends'!$D$71="OFF","OFF","")</f>
        <v/>
      </c>
      <c r="BY19" s="54" t="str">
        <f>IF('⚙ OFF Weekends'!$D$72="OFF","OFF","")</f>
        <v/>
      </c>
      <c r="BZ19" s="56" t="str">
        <f>IF('⚙ OFF Weekends'!$D$73="OFF","OFF","")</f>
        <v/>
      </c>
      <c r="CA19" s="54" t="str">
        <f>IF('⚙ OFF Weekends'!$D$74="OFF","OFF","")</f>
        <v/>
      </c>
      <c r="CB19" s="56" t="str">
        <f>IF('⚙ OFF Weekends'!$D$75="OFF","OFF","")</f>
        <v/>
      </c>
      <c r="CC19" s="54" t="str">
        <f>IF('⚙ OFF Weekends'!$D$76="OFF","OFF","")</f>
        <v/>
      </c>
      <c r="CD19" s="56" t="str">
        <f>IF('⚙ OFF Weekends'!$D$77="OFF","OFF","")</f>
        <v/>
      </c>
      <c r="CE19" s="68">
        <f t="shared" si="3"/>
        <v>8</v>
      </c>
      <c r="CF19" s="68">
        <f t="shared" si="4"/>
        <v>5</v>
      </c>
      <c r="CG19" s="68">
        <f t="shared" si="5"/>
        <v>5</v>
      </c>
      <c r="CH19" s="68" t="str">
        <f t="shared" si="6"/>
        <v>62%</v>
      </c>
    </row>
    <row r="20" ht="18.0" customHeight="1">
      <c r="A20" s="73">
        <v>12.0</v>
      </c>
      <c r="B20" s="35" t="s">
        <v>255</v>
      </c>
      <c r="C20" s="82" t="s">
        <v>256</v>
      </c>
      <c r="D20" s="75" t="str">
        <f t="shared" si="1"/>
        <v>📞 Call</v>
      </c>
      <c r="E20" s="76" t="str">
        <f t="shared" si="2"/>
        <v>💬 WhatsApp</v>
      </c>
      <c r="F20" s="34"/>
      <c r="G20" s="34"/>
      <c r="H20" s="81" t="s">
        <v>252</v>
      </c>
      <c r="I20" s="54" t="str">
        <f>IF('⚙ OFF Weekends'!$D$4="OFF","OFF","")</f>
        <v/>
      </c>
      <c r="J20" s="56" t="str">
        <f>IF('⚙ OFF Weekends'!$D$5="OFF","OFF","")</f>
        <v/>
      </c>
      <c r="K20" s="54" t="str">
        <f>IF('⚙ OFF Weekends'!$D$6="OFF","OFF","")</f>
        <v/>
      </c>
      <c r="L20" s="56" t="str">
        <f>IF('⚙ OFF Weekends'!$D$7="OFF","OFF","")</f>
        <v/>
      </c>
      <c r="M20" s="54" t="str">
        <f>IF('⚙ OFF Weekends'!$D$8="OFF","OFF","")</f>
        <v/>
      </c>
      <c r="N20" s="56" t="str">
        <f>IF('⚙ OFF Weekends'!$D$9="OFF","OFF","")</f>
        <v/>
      </c>
      <c r="O20" s="54" t="str">
        <f>IF('⚙ OFF Weekends'!$D$10="OFF","OFF","")</f>
        <v/>
      </c>
      <c r="P20" s="56" t="str">
        <f>IF('⚙ OFF Weekends'!$D$11="OFF","OFF","")</f>
        <v/>
      </c>
      <c r="Q20" s="54" t="str">
        <f>IF('⚙ OFF Weekends'!$D$12="OFF","OFF","")</f>
        <v/>
      </c>
      <c r="R20" s="50" t="s">
        <v>37</v>
      </c>
      <c r="S20" s="52" t="s">
        <v>196</v>
      </c>
      <c r="T20" s="53" t="s">
        <v>198</v>
      </c>
      <c r="U20" s="52" t="s">
        <v>37</v>
      </c>
      <c r="V20" s="53" t="s">
        <v>37</v>
      </c>
      <c r="W20" s="54" t="str">
        <f>IF('⚙ OFF Weekends'!$D$18="OFF","OFF","")</f>
        <v>OFF</v>
      </c>
      <c r="X20" s="53" t="s">
        <v>37</v>
      </c>
      <c r="Y20" s="52" t="s">
        <v>37</v>
      </c>
      <c r="Z20" s="53" t="s">
        <v>37</v>
      </c>
      <c r="AA20" s="52" t="s">
        <v>223</v>
      </c>
      <c r="AB20" s="53" t="s">
        <v>37</v>
      </c>
      <c r="AC20" s="54" t="str">
        <f>IF('⚙ OFF Weekends'!$D$24="OFF","OFF","")</f>
        <v/>
      </c>
      <c r="AD20" s="56" t="str">
        <f>IF('⚙ OFF Weekends'!$D$25="OFF","OFF","")</f>
        <v/>
      </c>
      <c r="AE20" s="54" t="str">
        <f>IF('⚙ OFF Weekends'!$D$26="OFF","OFF","")</f>
        <v/>
      </c>
      <c r="AF20" s="56" t="str">
        <f>IF('⚙ OFF Weekends'!$D$27="OFF","OFF","")</f>
        <v/>
      </c>
      <c r="AG20" s="54" t="str">
        <f>IF('⚙ OFF Weekends'!$D$28="OFF","OFF","")</f>
        <v/>
      </c>
      <c r="AH20" s="56" t="str">
        <f>IF('⚙ OFF Weekends'!$D$29="OFF","OFF","")</f>
        <v/>
      </c>
      <c r="AI20" s="54" t="str">
        <f>IF('⚙ OFF Weekends'!$D$30="OFF","OFF","")</f>
        <v/>
      </c>
      <c r="AJ20" s="56" t="str">
        <f>IF('⚙ OFF Weekends'!$D$31="OFF","OFF","")</f>
        <v/>
      </c>
      <c r="AK20" s="54" t="str">
        <f>IF('⚙ OFF Weekends'!$D$32="OFF","OFF","")</f>
        <v/>
      </c>
      <c r="AL20" s="56" t="str">
        <f>IF('⚙ OFF Weekends'!$D$33="OFF","OFF","")</f>
        <v/>
      </c>
      <c r="AM20" s="54" t="str">
        <f>IF('⚙ OFF Weekends'!$D$34="OFF","OFF","")</f>
        <v/>
      </c>
      <c r="AN20" s="56" t="str">
        <f>IF('⚙ OFF Weekends'!$D$35="OFF","OFF","")</f>
        <v/>
      </c>
      <c r="AO20" s="54" t="str">
        <f>IF('⚙ OFF Weekends'!$D$36="OFF","OFF","")</f>
        <v/>
      </c>
      <c r="AP20" s="56" t="str">
        <f>IF('⚙ OFF Weekends'!$D$37="OFF","OFF","")</f>
        <v/>
      </c>
      <c r="AQ20" s="54" t="str">
        <f>IF('⚙ OFF Weekends'!$D$38="OFF","OFF","")</f>
        <v/>
      </c>
      <c r="AR20" s="56" t="str">
        <f>IF('⚙ OFF Weekends'!$D$39="OFF","OFF","")</f>
        <v/>
      </c>
      <c r="AS20" s="54" t="str">
        <f>IF('⚙ OFF Weekends'!$D$40="OFF","OFF","")</f>
        <v/>
      </c>
      <c r="AT20" s="56" t="str">
        <f>IF('⚙ OFF Weekends'!$D$41="OFF","OFF","")</f>
        <v/>
      </c>
      <c r="AU20" s="54" t="str">
        <f>IF('⚙ OFF Weekends'!$D$42="OFF","OFF","")</f>
        <v/>
      </c>
      <c r="AV20" s="56" t="str">
        <f>IF('⚙ OFF Weekends'!$D$43="OFF","OFF","")</f>
        <v/>
      </c>
      <c r="AW20" s="54" t="str">
        <f>IF('⚙ OFF Weekends'!$D$44="OFF","OFF","")</f>
        <v/>
      </c>
      <c r="AX20" s="56" t="str">
        <f>IF('⚙ OFF Weekends'!$D$45="OFF","OFF","")</f>
        <v/>
      </c>
      <c r="AY20" s="54" t="str">
        <f>IF('⚙ OFF Weekends'!$D$46="OFF","OFF","")</f>
        <v/>
      </c>
      <c r="AZ20" s="56" t="str">
        <f>IF('⚙ OFF Weekends'!$D$47="OFF","OFF","")</f>
        <v/>
      </c>
      <c r="BA20" s="54" t="str">
        <f>IF('⚙ OFF Weekends'!$D$48="OFF","OFF","")</f>
        <v/>
      </c>
      <c r="BB20" s="56" t="str">
        <f>IF('⚙ OFF Weekends'!$D$49="OFF","OFF","")</f>
        <v/>
      </c>
      <c r="BC20" s="54" t="str">
        <f>IF('⚙ OFF Weekends'!$D$50="OFF","OFF","")</f>
        <v/>
      </c>
      <c r="BD20" s="56" t="str">
        <f>IF('⚙ OFF Weekends'!$D$51="OFF","OFF","")</f>
        <v/>
      </c>
      <c r="BE20" s="54" t="str">
        <f>IF('⚙ OFF Weekends'!$D$52="OFF","OFF","")</f>
        <v/>
      </c>
      <c r="BF20" s="56" t="str">
        <f>IF('⚙ OFF Weekends'!$D$53="OFF","OFF","")</f>
        <v/>
      </c>
      <c r="BG20" s="54" t="str">
        <f>IF('⚙ OFF Weekends'!$D$54="OFF","OFF","")</f>
        <v/>
      </c>
      <c r="BH20" s="56" t="str">
        <f>IF('⚙ OFF Weekends'!$D$55="OFF","OFF","")</f>
        <v/>
      </c>
      <c r="BI20" s="54" t="str">
        <f>IF('⚙ OFF Weekends'!$D$56="OFF","OFF","")</f>
        <v/>
      </c>
      <c r="BJ20" s="56" t="str">
        <f>IF('⚙ OFF Weekends'!$D$57="OFF","OFF","")</f>
        <v/>
      </c>
      <c r="BK20" s="54" t="str">
        <f>IF('⚙ OFF Weekends'!$D$58="OFF","OFF","")</f>
        <v/>
      </c>
      <c r="BL20" s="56" t="str">
        <f>IF('⚙ OFF Weekends'!$D$59="OFF","OFF","")</f>
        <v/>
      </c>
      <c r="BM20" s="54" t="str">
        <f>IF('⚙ OFF Weekends'!$D$60="OFF","OFF","")</f>
        <v/>
      </c>
      <c r="BN20" s="56" t="str">
        <f>IF('⚙ OFF Weekends'!$D$61="OFF","OFF","")</f>
        <v/>
      </c>
      <c r="BO20" s="54" t="str">
        <f>IF('⚙ OFF Weekends'!$D$62="OFF","OFF","")</f>
        <v/>
      </c>
      <c r="BP20" s="56" t="str">
        <f>IF('⚙ OFF Weekends'!$D$63="OFF","OFF","")</f>
        <v/>
      </c>
      <c r="BQ20" s="54" t="str">
        <f>IF('⚙ OFF Weekends'!$D$64="OFF","OFF","")</f>
        <v/>
      </c>
      <c r="BR20" s="56" t="str">
        <f>IF('⚙ OFF Weekends'!$D$65="OFF","OFF","")</f>
        <v/>
      </c>
      <c r="BS20" s="54" t="str">
        <f>IF('⚙ OFF Weekends'!$D$66="OFF","OFF","")</f>
        <v/>
      </c>
      <c r="BT20" s="56" t="str">
        <f>IF('⚙ OFF Weekends'!$D$67="OFF","OFF","")</f>
        <v/>
      </c>
      <c r="BU20" s="54" t="str">
        <f>IF('⚙ OFF Weekends'!$D$68="OFF","OFF","")</f>
        <v/>
      </c>
      <c r="BV20" s="56" t="str">
        <f>IF('⚙ OFF Weekends'!$D$69="OFF","OFF","")</f>
        <v/>
      </c>
      <c r="BW20" s="54" t="str">
        <f>IF('⚙ OFF Weekends'!$D$70="OFF","OFF","")</f>
        <v/>
      </c>
      <c r="BX20" s="56" t="str">
        <f>IF('⚙ OFF Weekends'!$D$71="OFF","OFF","")</f>
        <v/>
      </c>
      <c r="BY20" s="54" t="str">
        <f>IF('⚙ OFF Weekends'!$D$72="OFF","OFF","")</f>
        <v/>
      </c>
      <c r="BZ20" s="56" t="str">
        <f>IF('⚙ OFF Weekends'!$D$73="OFF","OFF","")</f>
        <v/>
      </c>
      <c r="CA20" s="54" t="str">
        <f>IF('⚙ OFF Weekends'!$D$74="OFF","OFF","")</f>
        <v/>
      </c>
      <c r="CB20" s="56" t="str">
        <f>IF('⚙ OFF Weekends'!$D$75="OFF","OFF","")</f>
        <v/>
      </c>
      <c r="CC20" s="54" t="str">
        <f>IF('⚙ OFF Weekends'!$D$76="OFF","OFF","")</f>
        <v/>
      </c>
      <c r="CD20" s="56" t="str">
        <f>IF('⚙ OFF Weekends'!$D$77="OFF","OFF","")</f>
        <v/>
      </c>
      <c r="CE20" s="73">
        <f t="shared" si="3"/>
        <v>8</v>
      </c>
      <c r="CF20" s="73">
        <f t="shared" si="4"/>
        <v>1</v>
      </c>
      <c r="CG20" s="73">
        <f t="shared" si="5"/>
        <v>1</v>
      </c>
      <c r="CH20" s="73" t="str">
        <f t="shared" si="6"/>
        <v>89%</v>
      </c>
    </row>
    <row r="21" ht="18.0" customHeight="1">
      <c r="A21" s="84">
        <v>13.0</v>
      </c>
      <c r="B21" s="85" t="s">
        <v>258</v>
      </c>
      <c r="C21" s="86" t="s">
        <v>259</v>
      </c>
      <c r="D21" s="87" t="str">
        <f t="shared" si="1"/>
        <v>📞 Call</v>
      </c>
      <c r="E21" s="88" t="str">
        <f t="shared" si="2"/>
        <v>💬 WhatsApp</v>
      </c>
      <c r="F21" s="89"/>
      <c r="G21" s="89"/>
      <c r="H21" s="89"/>
      <c r="I21" s="90" t="str">
        <f>IF('⚙ OFF Weekends'!$D$4="OFF","OFF","")</f>
        <v/>
      </c>
      <c r="J21" s="90" t="str">
        <f>IF('⚙ OFF Weekends'!$D$5="OFF","OFF","")</f>
        <v/>
      </c>
      <c r="K21" s="90" t="str">
        <f>IF('⚙ OFF Weekends'!$D$6="OFF","OFF","")</f>
        <v/>
      </c>
      <c r="L21" s="90" t="str">
        <f>IF('⚙ OFF Weekends'!$D$7="OFF","OFF","")</f>
        <v/>
      </c>
      <c r="M21" s="90" t="str">
        <f>IF('⚙ OFF Weekends'!$D$8="OFF","OFF","")</f>
        <v/>
      </c>
      <c r="N21" s="90" t="str">
        <f>IF('⚙ OFF Weekends'!$D$9="OFF","OFF","")</f>
        <v/>
      </c>
      <c r="O21" s="90" t="str">
        <f>IF('⚙ OFF Weekends'!$D$10="OFF","OFF","")</f>
        <v/>
      </c>
      <c r="P21" s="90" t="str">
        <f>IF('⚙ OFF Weekends'!$D$11="OFF","OFF","")</f>
        <v/>
      </c>
      <c r="Q21" s="90" t="str">
        <f>IF('⚙ OFF Weekends'!$D$12="OFF","OFF","")</f>
        <v/>
      </c>
      <c r="R21" s="90" t="str">
        <f>IF('⚙ OFF Weekends'!$D$13="OFF","OFF","")</f>
        <v/>
      </c>
      <c r="S21" s="90" t="str">
        <f>IF('⚙ OFF Weekends'!$D$14="OFF","OFF","")</f>
        <v/>
      </c>
      <c r="T21" s="90" t="str">
        <f>IF('⚙ OFF Weekends'!$D$15="OFF","OFF","")</f>
        <v/>
      </c>
      <c r="U21" s="90" t="str">
        <f>IF('⚙ OFF Weekends'!$D$16="OFF","OFF","")</f>
        <v/>
      </c>
      <c r="V21" s="90" t="str">
        <f>IF('⚙ OFF Weekends'!$D$17="OFF","OFF","")</f>
        <v/>
      </c>
      <c r="W21" s="90" t="str">
        <f>IF('⚙ OFF Weekends'!$D$18="OFF","OFF","")</f>
        <v>OFF</v>
      </c>
      <c r="X21" s="90" t="str">
        <f>IF('⚙ OFF Weekends'!$D$19="OFF","OFF","")</f>
        <v/>
      </c>
      <c r="Y21" s="90" t="str">
        <f>IF('⚙ OFF Weekends'!$D$20="OFF","OFF","")</f>
        <v/>
      </c>
      <c r="Z21" s="90" t="str">
        <f>IF('⚙ OFF Weekends'!$D$21="OFF","OFF","")</f>
        <v/>
      </c>
      <c r="AA21" s="91" t="s">
        <v>37</v>
      </c>
      <c r="AB21" s="91" t="s">
        <v>223</v>
      </c>
      <c r="AC21" s="90" t="str">
        <f>IF('⚙ OFF Weekends'!$D$24="OFF","OFF","")</f>
        <v/>
      </c>
      <c r="AD21" s="90" t="str">
        <f>IF('⚙ OFF Weekends'!$D$25="OFF","OFF","")</f>
        <v/>
      </c>
      <c r="AE21" s="90" t="str">
        <f>IF('⚙ OFF Weekends'!$D$26="OFF","OFF","")</f>
        <v/>
      </c>
      <c r="AF21" s="90" t="str">
        <f>IF('⚙ OFF Weekends'!$D$27="OFF","OFF","")</f>
        <v/>
      </c>
      <c r="AG21" s="90" t="str">
        <f>IF('⚙ OFF Weekends'!$D$28="OFF","OFF","")</f>
        <v/>
      </c>
      <c r="AH21" s="90" t="str">
        <f>IF('⚙ OFF Weekends'!$D$29="OFF","OFF","")</f>
        <v/>
      </c>
      <c r="AI21" s="90" t="str">
        <f>IF('⚙ OFF Weekends'!$D$30="OFF","OFF","")</f>
        <v/>
      </c>
      <c r="AJ21" s="90" t="str">
        <f>IF('⚙ OFF Weekends'!$D$31="OFF","OFF","")</f>
        <v/>
      </c>
      <c r="AK21" s="90" t="str">
        <f>IF('⚙ OFF Weekends'!$D$32="OFF","OFF","")</f>
        <v/>
      </c>
      <c r="AL21" s="90" t="str">
        <f>IF('⚙ OFF Weekends'!$D$33="OFF","OFF","")</f>
        <v/>
      </c>
      <c r="AM21" s="90" t="str">
        <f>IF('⚙ OFF Weekends'!$D$34="OFF","OFF","")</f>
        <v/>
      </c>
      <c r="AN21" s="90" t="str">
        <f>IF('⚙ OFF Weekends'!$D$35="OFF","OFF","")</f>
        <v/>
      </c>
      <c r="AO21" s="90" t="str">
        <f>IF('⚙ OFF Weekends'!$D$36="OFF","OFF","")</f>
        <v/>
      </c>
      <c r="AP21" s="90" t="str">
        <f>IF('⚙ OFF Weekends'!$D$37="OFF","OFF","")</f>
        <v/>
      </c>
      <c r="AQ21" s="90" t="str">
        <f>IF('⚙ OFF Weekends'!$D$38="OFF","OFF","")</f>
        <v/>
      </c>
      <c r="AR21" s="90" t="str">
        <f>IF('⚙ OFF Weekends'!$D$39="OFF","OFF","")</f>
        <v/>
      </c>
      <c r="AS21" s="90" t="str">
        <f>IF('⚙ OFF Weekends'!$D$40="OFF","OFF","")</f>
        <v/>
      </c>
      <c r="AT21" s="90" t="str">
        <f>IF('⚙ OFF Weekends'!$D$41="OFF","OFF","")</f>
        <v/>
      </c>
      <c r="AU21" s="90" t="str">
        <f>IF('⚙ OFF Weekends'!$D$42="OFF","OFF","")</f>
        <v/>
      </c>
      <c r="AV21" s="90" t="str">
        <f>IF('⚙ OFF Weekends'!$D$43="OFF","OFF","")</f>
        <v/>
      </c>
      <c r="AW21" s="90" t="str">
        <f>IF('⚙ OFF Weekends'!$D$44="OFF","OFF","")</f>
        <v/>
      </c>
      <c r="AX21" s="90" t="str">
        <f>IF('⚙ OFF Weekends'!$D$45="OFF","OFF","")</f>
        <v/>
      </c>
      <c r="AY21" s="90" t="str">
        <f>IF('⚙ OFF Weekends'!$D$46="OFF","OFF","")</f>
        <v/>
      </c>
      <c r="AZ21" s="90" t="str">
        <f>IF('⚙ OFF Weekends'!$D$47="OFF","OFF","")</f>
        <v/>
      </c>
      <c r="BA21" s="90" t="str">
        <f>IF('⚙ OFF Weekends'!$D$48="OFF","OFF","")</f>
        <v/>
      </c>
      <c r="BB21" s="90" t="str">
        <f>IF('⚙ OFF Weekends'!$D$49="OFF","OFF","")</f>
        <v/>
      </c>
      <c r="BC21" s="90" t="str">
        <f>IF('⚙ OFF Weekends'!$D$50="OFF","OFF","")</f>
        <v/>
      </c>
      <c r="BD21" s="90" t="str">
        <f>IF('⚙ OFF Weekends'!$D$51="OFF","OFF","")</f>
        <v/>
      </c>
      <c r="BE21" s="90" t="str">
        <f>IF('⚙ OFF Weekends'!$D$52="OFF","OFF","")</f>
        <v/>
      </c>
      <c r="BF21" s="90" t="str">
        <f>IF('⚙ OFF Weekends'!$D$53="OFF","OFF","")</f>
        <v/>
      </c>
      <c r="BG21" s="90" t="str">
        <f>IF('⚙ OFF Weekends'!$D$54="OFF","OFF","")</f>
        <v/>
      </c>
      <c r="BH21" s="90" t="str">
        <f>IF('⚙ OFF Weekends'!$D$55="OFF","OFF","")</f>
        <v/>
      </c>
      <c r="BI21" s="90" t="str">
        <f>IF('⚙ OFF Weekends'!$D$56="OFF","OFF","")</f>
        <v/>
      </c>
      <c r="BJ21" s="90" t="str">
        <f>IF('⚙ OFF Weekends'!$D$57="OFF","OFF","")</f>
        <v/>
      </c>
      <c r="BK21" s="90" t="str">
        <f>IF('⚙ OFF Weekends'!$D$58="OFF","OFF","")</f>
        <v/>
      </c>
      <c r="BL21" s="90" t="str">
        <f>IF('⚙ OFF Weekends'!$D$59="OFF","OFF","")</f>
        <v/>
      </c>
      <c r="BM21" s="90" t="str">
        <f>IF('⚙ OFF Weekends'!$D$60="OFF","OFF","")</f>
        <v/>
      </c>
      <c r="BN21" s="90" t="str">
        <f>IF('⚙ OFF Weekends'!$D$61="OFF","OFF","")</f>
        <v/>
      </c>
      <c r="BO21" s="90" t="str">
        <f>IF('⚙ OFF Weekends'!$D$62="OFF","OFF","")</f>
        <v/>
      </c>
      <c r="BP21" s="90" t="str">
        <f>IF('⚙ OFF Weekends'!$D$63="OFF","OFF","")</f>
        <v/>
      </c>
      <c r="BQ21" s="90" t="str">
        <f>IF('⚙ OFF Weekends'!$D$64="OFF","OFF","")</f>
        <v/>
      </c>
      <c r="BR21" s="90" t="str">
        <f>IF('⚙ OFF Weekends'!$D$65="OFF","OFF","")</f>
        <v/>
      </c>
      <c r="BS21" s="90" t="str">
        <f>IF('⚙ OFF Weekends'!$D$66="OFF","OFF","")</f>
        <v/>
      </c>
      <c r="BT21" s="90" t="str">
        <f>IF('⚙ OFF Weekends'!$D$67="OFF","OFF","")</f>
        <v/>
      </c>
      <c r="BU21" s="90" t="str">
        <f>IF('⚙ OFF Weekends'!$D$68="OFF","OFF","")</f>
        <v/>
      </c>
      <c r="BV21" s="90" t="str">
        <f>IF('⚙ OFF Weekends'!$D$69="OFF","OFF","")</f>
        <v/>
      </c>
      <c r="BW21" s="90" t="str">
        <f>IF('⚙ OFF Weekends'!$D$70="OFF","OFF","")</f>
        <v/>
      </c>
      <c r="BX21" s="90" t="str">
        <f>IF('⚙ OFF Weekends'!$D$71="OFF","OFF","")</f>
        <v/>
      </c>
      <c r="BY21" s="90" t="str">
        <f>IF('⚙ OFF Weekends'!$D$72="OFF","OFF","")</f>
        <v/>
      </c>
      <c r="BZ21" s="90" t="str">
        <f>IF('⚙ OFF Weekends'!$D$73="OFF","OFF","")</f>
        <v/>
      </c>
      <c r="CA21" s="90" t="str">
        <f>IF('⚙ OFF Weekends'!$D$74="OFF","OFF","")</f>
        <v/>
      </c>
      <c r="CB21" s="90" t="str">
        <f>IF('⚙ OFF Weekends'!$D$75="OFF","OFF","")</f>
        <v/>
      </c>
      <c r="CC21" s="90" t="str">
        <f>IF('⚙ OFF Weekends'!$D$76="OFF","OFF","")</f>
        <v/>
      </c>
      <c r="CD21" s="90" t="str">
        <f>IF('⚙ OFF Weekends'!$D$77="OFF","OFF","")</f>
        <v/>
      </c>
      <c r="CE21" s="92">
        <f t="shared" si="3"/>
        <v>1</v>
      </c>
      <c r="CF21" s="92">
        <f t="shared" si="4"/>
        <v>1</v>
      </c>
      <c r="CG21" s="92">
        <f t="shared" si="5"/>
        <v>0</v>
      </c>
      <c r="CH21" s="92" t="str">
        <f t="shared" si="6"/>
        <v>50%</v>
      </c>
    </row>
    <row r="22" ht="18.0" customHeight="1">
      <c r="A22" s="84">
        <v>14.0</v>
      </c>
      <c r="B22" s="85" t="s">
        <v>263</v>
      </c>
      <c r="C22" s="89"/>
      <c r="D22" s="87" t="str">
        <f t="shared" si="1"/>
        <v/>
      </c>
      <c r="E22" s="93" t="str">
        <f t="shared" si="2"/>
        <v/>
      </c>
      <c r="F22" s="89"/>
      <c r="G22" s="89"/>
      <c r="H22" s="89"/>
      <c r="I22" s="90" t="str">
        <f>IF('⚙ OFF Weekends'!$D$4="OFF","OFF","")</f>
        <v/>
      </c>
      <c r="J22" s="90" t="str">
        <f>IF('⚙ OFF Weekends'!$D$5="OFF","OFF","")</f>
        <v/>
      </c>
      <c r="K22" s="90" t="str">
        <f>IF('⚙ OFF Weekends'!$D$6="OFF","OFF","")</f>
        <v/>
      </c>
      <c r="L22" s="90" t="str">
        <f>IF('⚙ OFF Weekends'!$D$7="OFF","OFF","")</f>
        <v/>
      </c>
      <c r="M22" s="90" t="str">
        <f>IF('⚙ OFF Weekends'!$D$8="OFF","OFF","")</f>
        <v/>
      </c>
      <c r="N22" s="90" t="str">
        <f>IF('⚙ OFF Weekends'!$D$9="OFF","OFF","")</f>
        <v/>
      </c>
      <c r="O22" s="90" t="str">
        <f>IF('⚙ OFF Weekends'!$D$10="OFF","OFF","")</f>
        <v/>
      </c>
      <c r="P22" s="90" t="str">
        <f>IF('⚙ OFF Weekends'!$D$11="OFF","OFF","")</f>
        <v/>
      </c>
      <c r="Q22" s="90" t="str">
        <f>IF('⚙ OFF Weekends'!$D$12="OFF","OFF","")</f>
        <v/>
      </c>
      <c r="R22" s="90" t="str">
        <f>IF('⚙ OFF Weekends'!$D$13="OFF","OFF","")</f>
        <v/>
      </c>
      <c r="S22" s="90" t="str">
        <f>IF('⚙ OFF Weekends'!$D$14="OFF","OFF","")</f>
        <v/>
      </c>
      <c r="T22" s="90" t="str">
        <f>IF('⚙ OFF Weekends'!$D$15="OFF","OFF","")</f>
        <v/>
      </c>
      <c r="U22" s="90" t="str">
        <f>IF('⚙ OFF Weekends'!$D$16="OFF","OFF","")</f>
        <v/>
      </c>
      <c r="V22" s="90" t="str">
        <f>IF('⚙ OFF Weekends'!$D$17="OFF","OFF","")</f>
        <v/>
      </c>
      <c r="W22" s="90" t="str">
        <f>IF('⚙ OFF Weekends'!$D$18="OFF","OFF","")</f>
        <v>OFF</v>
      </c>
      <c r="X22" s="90" t="str">
        <f>IF('⚙ OFF Weekends'!$D$19="OFF","OFF","")</f>
        <v/>
      </c>
      <c r="Y22" s="90" t="str">
        <f>IF('⚙ OFF Weekends'!$D$20="OFF","OFF","")</f>
        <v/>
      </c>
      <c r="Z22" s="90" t="str">
        <f>IF('⚙ OFF Weekends'!$D$21="OFF","OFF","")</f>
        <v/>
      </c>
      <c r="AA22" s="91" t="s">
        <v>223</v>
      </c>
      <c r="AB22" s="91" t="s">
        <v>37</v>
      </c>
      <c r="AC22" s="90" t="str">
        <f>IF('⚙ OFF Weekends'!$D$24="OFF","OFF","")</f>
        <v/>
      </c>
      <c r="AD22" s="90" t="str">
        <f>IF('⚙ OFF Weekends'!$D$25="OFF","OFF","")</f>
        <v/>
      </c>
      <c r="AE22" s="90" t="str">
        <f>IF('⚙ OFF Weekends'!$D$26="OFF","OFF","")</f>
        <v/>
      </c>
      <c r="AF22" s="90" t="str">
        <f>IF('⚙ OFF Weekends'!$D$27="OFF","OFF","")</f>
        <v/>
      </c>
      <c r="AG22" s="90" t="str">
        <f>IF('⚙ OFF Weekends'!$D$28="OFF","OFF","")</f>
        <v/>
      </c>
      <c r="AH22" s="90" t="str">
        <f>IF('⚙ OFF Weekends'!$D$29="OFF","OFF","")</f>
        <v/>
      </c>
      <c r="AI22" s="90" t="str">
        <f>IF('⚙ OFF Weekends'!$D$30="OFF","OFF","")</f>
        <v/>
      </c>
      <c r="AJ22" s="90" t="str">
        <f>IF('⚙ OFF Weekends'!$D$31="OFF","OFF","")</f>
        <v/>
      </c>
      <c r="AK22" s="90" t="str">
        <f>IF('⚙ OFF Weekends'!$D$32="OFF","OFF","")</f>
        <v/>
      </c>
      <c r="AL22" s="90" t="str">
        <f>IF('⚙ OFF Weekends'!$D$33="OFF","OFF","")</f>
        <v/>
      </c>
      <c r="AM22" s="90" t="str">
        <f>IF('⚙ OFF Weekends'!$D$34="OFF","OFF","")</f>
        <v/>
      </c>
      <c r="AN22" s="90" t="str">
        <f>IF('⚙ OFF Weekends'!$D$35="OFF","OFF","")</f>
        <v/>
      </c>
      <c r="AO22" s="90" t="str">
        <f>IF('⚙ OFF Weekends'!$D$36="OFF","OFF","")</f>
        <v/>
      </c>
      <c r="AP22" s="90" t="str">
        <f>IF('⚙ OFF Weekends'!$D$37="OFF","OFF","")</f>
        <v/>
      </c>
      <c r="AQ22" s="90" t="str">
        <f>IF('⚙ OFF Weekends'!$D$38="OFF","OFF","")</f>
        <v/>
      </c>
      <c r="AR22" s="90" t="str">
        <f>IF('⚙ OFF Weekends'!$D$39="OFF","OFF","")</f>
        <v/>
      </c>
      <c r="AS22" s="90" t="str">
        <f>IF('⚙ OFF Weekends'!$D$40="OFF","OFF","")</f>
        <v/>
      </c>
      <c r="AT22" s="90" t="str">
        <f>IF('⚙ OFF Weekends'!$D$41="OFF","OFF","")</f>
        <v/>
      </c>
      <c r="AU22" s="90" t="str">
        <f>IF('⚙ OFF Weekends'!$D$42="OFF","OFF","")</f>
        <v/>
      </c>
      <c r="AV22" s="90" t="str">
        <f>IF('⚙ OFF Weekends'!$D$43="OFF","OFF","")</f>
        <v/>
      </c>
      <c r="AW22" s="90" t="str">
        <f>IF('⚙ OFF Weekends'!$D$44="OFF","OFF","")</f>
        <v/>
      </c>
      <c r="AX22" s="90" t="str">
        <f>IF('⚙ OFF Weekends'!$D$45="OFF","OFF","")</f>
        <v/>
      </c>
      <c r="AY22" s="90" t="str">
        <f>IF('⚙ OFF Weekends'!$D$46="OFF","OFF","")</f>
        <v/>
      </c>
      <c r="AZ22" s="90" t="str">
        <f>IF('⚙ OFF Weekends'!$D$47="OFF","OFF","")</f>
        <v/>
      </c>
      <c r="BA22" s="90" t="str">
        <f>IF('⚙ OFF Weekends'!$D$48="OFF","OFF","")</f>
        <v/>
      </c>
      <c r="BB22" s="90" t="str">
        <f>IF('⚙ OFF Weekends'!$D$49="OFF","OFF","")</f>
        <v/>
      </c>
      <c r="BC22" s="90" t="str">
        <f>IF('⚙ OFF Weekends'!$D$50="OFF","OFF","")</f>
        <v/>
      </c>
      <c r="BD22" s="90" t="str">
        <f>IF('⚙ OFF Weekends'!$D$51="OFF","OFF","")</f>
        <v/>
      </c>
      <c r="BE22" s="90" t="str">
        <f>IF('⚙ OFF Weekends'!$D$52="OFF","OFF","")</f>
        <v/>
      </c>
      <c r="BF22" s="90" t="str">
        <f>IF('⚙ OFF Weekends'!$D$53="OFF","OFF","")</f>
        <v/>
      </c>
      <c r="BG22" s="90" t="str">
        <f>IF('⚙ OFF Weekends'!$D$54="OFF","OFF","")</f>
        <v/>
      </c>
      <c r="BH22" s="90" t="str">
        <f>IF('⚙ OFF Weekends'!$D$55="OFF","OFF","")</f>
        <v/>
      </c>
      <c r="BI22" s="90" t="str">
        <f>IF('⚙ OFF Weekends'!$D$56="OFF","OFF","")</f>
        <v/>
      </c>
      <c r="BJ22" s="90" t="str">
        <f>IF('⚙ OFF Weekends'!$D$57="OFF","OFF","")</f>
        <v/>
      </c>
      <c r="BK22" s="90" t="str">
        <f>IF('⚙ OFF Weekends'!$D$58="OFF","OFF","")</f>
        <v/>
      </c>
      <c r="BL22" s="90" t="str">
        <f>IF('⚙ OFF Weekends'!$D$59="OFF","OFF","")</f>
        <v/>
      </c>
      <c r="BM22" s="90" t="str">
        <f>IF('⚙ OFF Weekends'!$D$60="OFF","OFF","")</f>
        <v/>
      </c>
      <c r="BN22" s="90" t="str">
        <f>IF('⚙ OFF Weekends'!$D$61="OFF","OFF","")</f>
        <v/>
      </c>
      <c r="BO22" s="90" t="str">
        <f>IF('⚙ OFF Weekends'!$D$62="OFF","OFF","")</f>
        <v/>
      </c>
      <c r="BP22" s="90" t="str">
        <f>IF('⚙ OFF Weekends'!$D$63="OFF","OFF","")</f>
        <v/>
      </c>
      <c r="BQ22" s="90" t="str">
        <f>IF('⚙ OFF Weekends'!$D$64="OFF","OFF","")</f>
        <v/>
      </c>
      <c r="BR22" s="90" t="str">
        <f>IF('⚙ OFF Weekends'!$D$65="OFF","OFF","")</f>
        <v/>
      </c>
      <c r="BS22" s="90" t="str">
        <f>IF('⚙ OFF Weekends'!$D$66="OFF","OFF","")</f>
        <v/>
      </c>
      <c r="BT22" s="90" t="str">
        <f>IF('⚙ OFF Weekends'!$D$67="OFF","OFF","")</f>
        <v/>
      </c>
      <c r="BU22" s="90" t="str">
        <f>IF('⚙ OFF Weekends'!$D$68="OFF","OFF","")</f>
        <v/>
      </c>
      <c r="BV22" s="90" t="str">
        <f>IF('⚙ OFF Weekends'!$D$69="OFF","OFF","")</f>
        <v/>
      </c>
      <c r="BW22" s="90" t="str">
        <f>IF('⚙ OFF Weekends'!$D$70="OFF","OFF","")</f>
        <v/>
      </c>
      <c r="BX22" s="90" t="str">
        <f>IF('⚙ OFF Weekends'!$D$71="OFF","OFF","")</f>
        <v/>
      </c>
      <c r="BY22" s="90" t="str">
        <f>IF('⚙ OFF Weekends'!$D$72="OFF","OFF","")</f>
        <v/>
      </c>
      <c r="BZ22" s="90" t="str">
        <f>IF('⚙ OFF Weekends'!$D$73="OFF","OFF","")</f>
        <v/>
      </c>
      <c r="CA22" s="90" t="str">
        <f>IF('⚙ OFF Weekends'!$D$74="OFF","OFF","")</f>
        <v/>
      </c>
      <c r="CB22" s="90" t="str">
        <f>IF('⚙ OFF Weekends'!$D$75="OFF","OFF","")</f>
        <v/>
      </c>
      <c r="CC22" s="90" t="str">
        <f>IF('⚙ OFF Weekends'!$D$76="OFF","OFF","")</f>
        <v/>
      </c>
      <c r="CD22" s="90" t="str">
        <f>IF('⚙ OFF Weekends'!$D$77="OFF","OFF","")</f>
        <v/>
      </c>
      <c r="CE22" s="92">
        <f t="shared" si="3"/>
        <v>1</v>
      </c>
      <c r="CF22" s="92">
        <f t="shared" si="4"/>
        <v>1</v>
      </c>
      <c r="CG22" s="92">
        <f t="shared" si="5"/>
        <v>0</v>
      </c>
      <c r="CH22" s="92" t="str">
        <f t="shared" si="6"/>
        <v>50%</v>
      </c>
    </row>
    <row r="23" ht="18.0" customHeight="1">
      <c r="A23" s="84">
        <v>15.0</v>
      </c>
      <c r="B23" s="85" t="s">
        <v>266</v>
      </c>
      <c r="C23" s="86" t="s">
        <v>267</v>
      </c>
      <c r="D23" s="87" t="str">
        <f t="shared" si="1"/>
        <v>📞 Call</v>
      </c>
      <c r="E23" s="88" t="str">
        <f t="shared" si="2"/>
        <v>💬 WhatsApp</v>
      </c>
      <c r="F23" s="89"/>
      <c r="G23" s="89"/>
      <c r="H23" s="94" t="s">
        <v>268</v>
      </c>
      <c r="I23" s="90" t="str">
        <f>IF('⚙ OFF Weekends'!$D$4="OFF","OFF","")</f>
        <v/>
      </c>
      <c r="J23" s="90" t="str">
        <f>IF('⚙ OFF Weekends'!$D$5="OFF","OFF","")</f>
        <v/>
      </c>
      <c r="K23" s="90" t="str">
        <f>IF('⚙ OFF Weekends'!$D$6="OFF","OFF","")</f>
        <v/>
      </c>
      <c r="L23" s="90" t="str">
        <f>IF('⚙ OFF Weekends'!$D$7="OFF","OFF","")</f>
        <v/>
      </c>
      <c r="M23" s="90" t="str">
        <f>IF('⚙ OFF Weekends'!$D$8="OFF","OFF","")</f>
        <v/>
      </c>
      <c r="N23" s="90" t="str">
        <f>IF('⚙ OFF Weekends'!$D$9="OFF","OFF","")</f>
        <v/>
      </c>
      <c r="O23" s="90" t="str">
        <f>IF('⚙ OFF Weekends'!$D$10="OFF","OFF","")</f>
        <v/>
      </c>
      <c r="P23" s="90" t="str">
        <f>IF('⚙ OFF Weekends'!$D$11="OFF","OFF","")</f>
        <v/>
      </c>
      <c r="Q23" s="90" t="str">
        <f>IF('⚙ OFF Weekends'!$D$12="OFF","OFF","")</f>
        <v/>
      </c>
      <c r="R23" s="90" t="str">
        <f>IF('⚙ OFF Weekends'!$D$13="OFF","OFF","")</f>
        <v/>
      </c>
      <c r="S23" s="90" t="str">
        <f>IF('⚙ OFF Weekends'!$D$14="OFF","OFF","")</f>
        <v/>
      </c>
      <c r="T23" s="90" t="str">
        <f>IF('⚙ OFF Weekends'!$D$15="OFF","OFF","")</f>
        <v/>
      </c>
      <c r="U23" s="90" t="str">
        <f>IF('⚙ OFF Weekends'!$D$16="OFF","OFF","")</f>
        <v/>
      </c>
      <c r="V23" s="90" t="str">
        <f>IF('⚙ OFF Weekends'!$D$17="OFF","OFF","")</f>
        <v/>
      </c>
      <c r="W23" s="90" t="str">
        <f>IF('⚙ OFF Weekends'!$D$18="OFF","OFF","")</f>
        <v>OFF</v>
      </c>
      <c r="X23" s="90" t="str">
        <f>IF('⚙ OFF Weekends'!$D$19="OFF","OFF","")</f>
        <v/>
      </c>
      <c r="Y23" s="90" t="str">
        <f>IF('⚙ OFF Weekends'!$D$20="OFF","OFF","")</f>
        <v/>
      </c>
      <c r="Z23" s="90" t="str">
        <f>IF('⚙ OFF Weekends'!$D$21="OFF","OFF","")</f>
        <v/>
      </c>
      <c r="AA23" s="91" t="s">
        <v>196</v>
      </c>
      <c r="AB23" s="91" t="s">
        <v>37</v>
      </c>
      <c r="AC23" s="90" t="str">
        <f>IF('⚙ OFF Weekends'!$D$24="OFF","OFF","")</f>
        <v/>
      </c>
      <c r="AD23" s="90" t="str">
        <f>IF('⚙ OFF Weekends'!$D$25="OFF","OFF","")</f>
        <v/>
      </c>
      <c r="AE23" s="90" t="str">
        <f>IF('⚙ OFF Weekends'!$D$26="OFF","OFF","")</f>
        <v/>
      </c>
      <c r="AF23" s="90" t="str">
        <f>IF('⚙ OFF Weekends'!$D$27="OFF","OFF","")</f>
        <v/>
      </c>
      <c r="AG23" s="90" t="str">
        <f>IF('⚙ OFF Weekends'!$D$28="OFF","OFF","")</f>
        <v/>
      </c>
      <c r="AH23" s="90" t="str">
        <f>IF('⚙ OFF Weekends'!$D$29="OFF","OFF","")</f>
        <v/>
      </c>
      <c r="AI23" s="90" t="str">
        <f>IF('⚙ OFF Weekends'!$D$30="OFF","OFF","")</f>
        <v/>
      </c>
      <c r="AJ23" s="90" t="str">
        <f>IF('⚙ OFF Weekends'!$D$31="OFF","OFF","")</f>
        <v/>
      </c>
      <c r="AK23" s="90" t="str">
        <f>IF('⚙ OFF Weekends'!$D$32="OFF","OFF","")</f>
        <v/>
      </c>
      <c r="AL23" s="90" t="str">
        <f>IF('⚙ OFF Weekends'!$D$33="OFF","OFF","")</f>
        <v/>
      </c>
      <c r="AM23" s="90" t="str">
        <f>IF('⚙ OFF Weekends'!$D$34="OFF","OFF","")</f>
        <v/>
      </c>
      <c r="AN23" s="90" t="str">
        <f>IF('⚙ OFF Weekends'!$D$35="OFF","OFF","")</f>
        <v/>
      </c>
      <c r="AO23" s="90" t="str">
        <f>IF('⚙ OFF Weekends'!$D$36="OFF","OFF","")</f>
        <v/>
      </c>
      <c r="AP23" s="90" t="str">
        <f>IF('⚙ OFF Weekends'!$D$37="OFF","OFF","")</f>
        <v/>
      </c>
      <c r="AQ23" s="90" t="str">
        <f>IF('⚙ OFF Weekends'!$D$38="OFF","OFF","")</f>
        <v/>
      </c>
      <c r="AR23" s="90" t="str">
        <f>IF('⚙ OFF Weekends'!$D$39="OFF","OFF","")</f>
        <v/>
      </c>
      <c r="AS23" s="90" t="str">
        <f>IF('⚙ OFF Weekends'!$D$40="OFF","OFF","")</f>
        <v/>
      </c>
      <c r="AT23" s="90" t="str">
        <f>IF('⚙ OFF Weekends'!$D$41="OFF","OFF","")</f>
        <v/>
      </c>
      <c r="AU23" s="90" t="str">
        <f>IF('⚙ OFF Weekends'!$D$42="OFF","OFF","")</f>
        <v/>
      </c>
      <c r="AV23" s="90" t="str">
        <f>IF('⚙ OFF Weekends'!$D$43="OFF","OFF","")</f>
        <v/>
      </c>
      <c r="AW23" s="90" t="str">
        <f>IF('⚙ OFF Weekends'!$D$44="OFF","OFF","")</f>
        <v/>
      </c>
      <c r="AX23" s="90" t="str">
        <f>IF('⚙ OFF Weekends'!$D$45="OFF","OFF","")</f>
        <v/>
      </c>
      <c r="AY23" s="90" t="str">
        <f>IF('⚙ OFF Weekends'!$D$46="OFF","OFF","")</f>
        <v/>
      </c>
      <c r="AZ23" s="90" t="str">
        <f>IF('⚙ OFF Weekends'!$D$47="OFF","OFF","")</f>
        <v/>
      </c>
      <c r="BA23" s="90" t="str">
        <f>IF('⚙ OFF Weekends'!$D$48="OFF","OFF","")</f>
        <v/>
      </c>
      <c r="BB23" s="90" t="str">
        <f>IF('⚙ OFF Weekends'!$D$49="OFF","OFF","")</f>
        <v/>
      </c>
      <c r="BC23" s="90" t="str">
        <f>IF('⚙ OFF Weekends'!$D$50="OFF","OFF","")</f>
        <v/>
      </c>
      <c r="BD23" s="90" t="str">
        <f>IF('⚙ OFF Weekends'!$D$51="OFF","OFF","")</f>
        <v/>
      </c>
      <c r="BE23" s="90" t="str">
        <f>IF('⚙ OFF Weekends'!$D$52="OFF","OFF","")</f>
        <v/>
      </c>
      <c r="BF23" s="90" t="str">
        <f>IF('⚙ OFF Weekends'!$D$53="OFF","OFF","")</f>
        <v/>
      </c>
      <c r="BG23" s="90" t="str">
        <f>IF('⚙ OFF Weekends'!$D$54="OFF","OFF","")</f>
        <v/>
      </c>
      <c r="BH23" s="90" t="str">
        <f>IF('⚙ OFF Weekends'!$D$55="OFF","OFF","")</f>
        <v/>
      </c>
      <c r="BI23" s="90" t="str">
        <f>IF('⚙ OFF Weekends'!$D$56="OFF","OFF","")</f>
        <v/>
      </c>
      <c r="BJ23" s="90" t="str">
        <f>IF('⚙ OFF Weekends'!$D$57="OFF","OFF","")</f>
        <v/>
      </c>
      <c r="BK23" s="90" t="str">
        <f>IF('⚙ OFF Weekends'!$D$58="OFF","OFF","")</f>
        <v/>
      </c>
      <c r="BL23" s="90" t="str">
        <f>IF('⚙ OFF Weekends'!$D$59="OFF","OFF","")</f>
        <v/>
      </c>
      <c r="BM23" s="90" t="str">
        <f>IF('⚙ OFF Weekends'!$D$60="OFF","OFF","")</f>
        <v/>
      </c>
      <c r="BN23" s="90" t="str">
        <f>IF('⚙ OFF Weekends'!$D$61="OFF","OFF","")</f>
        <v/>
      </c>
      <c r="BO23" s="90" t="str">
        <f>IF('⚙ OFF Weekends'!$D$62="OFF","OFF","")</f>
        <v/>
      </c>
      <c r="BP23" s="90" t="str">
        <f>IF('⚙ OFF Weekends'!$D$63="OFF","OFF","")</f>
        <v/>
      </c>
      <c r="BQ23" s="90" t="str">
        <f>IF('⚙ OFF Weekends'!$D$64="OFF","OFF","")</f>
        <v/>
      </c>
      <c r="BR23" s="90" t="str">
        <f>IF('⚙ OFF Weekends'!$D$65="OFF","OFF","")</f>
        <v/>
      </c>
      <c r="BS23" s="90" t="str">
        <f>IF('⚙ OFF Weekends'!$D$66="OFF","OFF","")</f>
        <v/>
      </c>
      <c r="BT23" s="90" t="str">
        <f>IF('⚙ OFF Weekends'!$D$67="OFF","OFF","")</f>
        <v/>
      </c>
      <c r="BU23" s="90" t="str">
        <f>IF('⚙ OFF Weekends'!$D$68="OFF","OFF","")</f>
        <v/>
      </c>
      <c r="BV23" s="90" t="str">
        <f>IF('⚙ OFF Weekends'!$D$69="OFF","OFF","")</f>
        <v/>
      </c>
      <c r="BW23" s="90" t="str">
        <f>IF('⚙ OFF Weekends'!$D$70="OFF","OFF","")</f>
        <v/>
      </c>
      <c r="BX23" s="90" t="str">
        <f>IF('⚙ OFF Weekends'!$D$71="OFF","OFF","")</f>
        <v/>
      </c>
      <c r="BY23" s="90" t="str">
        <f>IF('⚙ OFF Weekends'!$D$72="OFF","OFF","")</f>
        <v/>
      </c>
      <c r="BZ23" s="90" t="str">
        <f>IF('⚙ OFF Weekends'!$D$73="OFF","OFF","")</f>
        <v/>
      </c>
      <c r="CA23" s="90" t="str">
        <f>IF('⚙ OFF Weekends'!$D$74="OFF","OFF","")</f>
        <v/>
      </c>
      <c r="CB23" s="90" t="str">
        <f>IF('⚙ OFF Weekends'!$D$75="OFF","OFF","")</f>
        <v/>
      </c>
      <c r="CC23" s="90" t="str">
        <f>IF('⚙ OFF Weekends'!$D$76="OFF","OFF","")</f>
        <v/>
      </c>
      <c r="CD23" s="90" t="str">
        <f>IF('⚙ OFF Weekends'!$D$77="OFF","OFF","")</f>
        <v/>
      </c>
      <c r="CE23" s="92">
        <f t="shared" si="3"/>
        <v>2</v>
      </c>
      <c r="CF23" s="92">
        <f t="shared" si="4"/>
        <v>0</v>
      </c>
      <c r="CG23" s="92">
        <f t="shared" si="5"/>
        <v>0</v>
      </c>
      <c r="CH23" s="92" t="str">
        <f t="shared" si="6"/>
        <v>100%</v>
      </c>
    </row>
    <row r="24" ht="6.0" customHeight="1">
      <c r="A24" s="67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3"/>
    </row>
    <row r="25" ht="19.5" customHeight="1">
      <c r="A25" s="8" t="s">
        <v>271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3"/>
    </row>
    <row r="26" ht="18.0" customHeight="1">
      <c r="A26" s="95">
        <v>1.0</v>
      </c>
      <c r="B26" s="12" t="s">
        <v>272</v>
      </c>
      <c r="C26" s="14" t="s">
        <v>273</v>
      </c>
      <c r="D26" s="17" t="str">
        <f t="shared" ref="D26:D48" si="7">IF(C26&lt;&gt;"",HYPERLINK("tel:"&amp;SUBSTITUTE(SUBSTITUTE(C26," ",""),"+","+"),"📞 Call"),"")</f>
        <v>📞 Call</v>
      </c>
      <c r="E26" s="19" t="str">
        <f t="shared" ref="E26:E48" si="8">IF(C26&lt;&gt;"",HYPERLINK("https://wa.me/"&amp;SUBSTITUTE(SUBSTITUTE(C26,"+","")," ",""),"💬 WhatsApp"),"")</f>
        <v>💬 WhatsApp</v>
      </c>
      <c r="F26" s="10"/>
      <c r="G26" s="10" t="s">
        <v>275</v>
      </c>
      <c r="H26" s="10"/>
      <c r="I26" s="48" t="s">
        <v>196</v>
      </c>
      <c r="J26" s="48" t="s">
        <v>196</v>
      </c>
      <c r="K26" s="49" t="s">
        <v>197</v>
      </c>
      <c r="L26" s="48" t="s">
        <v>196</v>
      </c>
      <c r="M26" s="50" t="s">
        <v>37</v>
      </c>
      <c r="N26" s="50" t="s">
        <v>37</v>
      </c>
      <c r="O26" s="50" t="s">
        <v>37</v>
      </c>
      <c r="P26" s="48" t="s">
        <v>196</v>
      </c>
      <c r="Q26" s="48" t="s">
        <v>196</v>
      </c>
      <c r="R26" s="48" t="s">
        <v>196</v>
      </c>
      <c r="S26" s="52" t="s">
        <v>196</v>
      </c>
      <c r="T26" s="53" t="s">
        <v>196</v>
      </c>
      <c r="U26" s="52" t="s">
        <v>196</v>
      </c>
      <c r="V26" s="53" t="s">
        <v>196</v>
      </c>
      <c r="W26" s="54" t="str">
        <f>IF('⚙ OFF Weekends'!$D$18="OFF","OFF","")</f>
        <v>OFF</v>
      </c>
      <c r="X26" s="53" t="s">
        <v>37</v>
      </c>
      <c r="Y26" s="52" t="s">
        <v>37</v>
      </c>
      <c r="Z26" s="53" t="s">
        <v>196</v>
      </c>
      <c r="AA26" s="52" t="s">
        <v>196</v>
      </c>
      <c r="AB26" s="53" t="s">
        <v>196</v>
      </c>
      <c r="AC26" s="54" t="str">
        <f>IF('⚙ OFF Weekends'!$D$24="OFF","OFF","")</f>
        <v/>
      </c>
      <c r="AD26" s="56" t="str">
        <f>IF('⚙ OFF Weekends'!$D$25="OFF","OFF","")</f>
        <v/>
      </c>
      <c r="AE26" s="54" t="str">
        <f>IF('⚙ OFF Weekends'!$D$26="OFF","OFF","")</f>
        <v/>
      </c>
      <c r="AF26" s="56" t="str">
        <f>IF('⚙ OFF Weekends'!$D$27="OFF","OFF","")</f>
        <v/>
      </c>
      <c r="AG26" s="54" t="str">
        <f>IF('⚙ OFF Weekends'!$D$28="OFF","OFF","")</f>
        <v/>
      </c>
      <c r="AH26" s="56" t="str">
        <f>IF('⚙ OFF Weekends'!$D$29="OFF","OFF","")</f>
        <v/>
      </c>
      <c r="AI26" s="54" t="str">
        <f>IF('⚙ OFF Weekends'!$D$30="OFF","OFF","")</f>
        <v/>
      </c>
      <c r="AJ26" s="56" t="str">
        <f>IF('⚙ OFF Weekends'!$D$31="OFF","OFF","")</f>
        <v/>
      </c>
      <c r="AK26" s="54" t="str">
        <f>IF('⚙ OFF Weekends'!$D$32="OFF","OFF","")</f>
        <v/>
      </c>
      <c r="AL26" s="56" t="str">
        <f>IF('⚙ OFF Weekends'!$D$33="OFF","OFF","")</f>
        <v/>
      </c>
      <c r="AM26" s="54" t="str">
        <f>IF('⚙ OFF Weekends'!$D$34="OFF","OFF","")</f>
        <v/>
      </c>
      <c r="AN26" s="56" t="str">
        <f>IF('⚙ OFF Weekends'!$D$35="OFF","OFF","")</f>
        <v/>
      </c>
      <c r="AO26" s="54" t="str">
        <f>IF('⚙ OFF Weekends'!$D$36="OFF","OFF","")</f>
        <v/>
      </c>
      <c r="AP26" s="56" t="str">
        <f>IF('⚙ OFF Weekends'!$D$37="OFF","OFF","")</f>
        <v/>
      </c>
      <c r="AQ26" s="54" t="str">
        <f>IF('⚙ OFF Weekends'!$D$38="OFF","OFF","")</f>
        <v/>
      </c>
      <c r="AR26" s="56" t="str">
        <f>IF('⚙ OFF Weekends'!$D$39="OFF","OFF","")</f>
        <v/>
      </c>
      <c r="AS26" s="54" t="str">
        <f>IF('⚙ OFF Weekends'!$D$40="OFF","OFF","")</f>
        <v/>
      </c>
      <c r="AT26" s="56" t="str">
        <f>IF('⚙ OFF Weekends'!$D$41="OFF","OFF","")</f>
        <v/>
      </c>
      <c r="AU26" s="54" t="str">
        <f>IF('⚙ OFF Weekends'!$D$42="OFF","OFF","")</f>
        <v/>
      </c>
      <c r="AV26" s="56" t="str">
        <f>IF('⚙ OFF Weekends'!$D$43="OFF","OFF","")</f>
        <v/>
      </c>
      <c r="AW26" s="54" t="str">
        <f>IF('⚙ OFF Weekends'!$D$44="OFF","OFF","")</f>
        <v/>
      </c>
      <c r="AX26" s="56" t="str">
        <f>IF('⚙ OFF Weekends'!$D$45="OFF","OFF","")</f>
        <v/>
      </c>
      <c r="AY26" s="54" t="str">
        <f>IF('⚙ OFF Weekends'!$D$46="OFF","OFF","")</f>
        <v/>
      </c>
      <c r="AZ26" s="56" t="str">
        <f>IF('⚙ OFF Weekends'!$D$47="OFF","OFF","")</f>
        <v/>
      </c>
      <c r="BA26" s="54" t="str">
        <f>IF('⚙ OFF Weekends'!$D$48="OFF","OFF","")</f>
        <v/>
      </c>
      <c r="BB26" s="56" t="str">
        <f>IF('⚙ OFF Weekends'!$D$49="OFF","OFF","")</f>
        <v/>
      </c>
      <c r="BC26" s="54" t="str">
        <f>IF('⚙ OFF Weekends'!$D$50="OFF","OFF","")</f>
        <v/>
      </c>
      <c r="BD26" s="56" t="str">
        <f>IF('⚙ OFF Weekends'!$D$51="OFF","OFF","")</f>
        <v/>
      </c>
      <c r="BE26" s="54" t="str">
        <f>IF('⚙ OFF Weekends'!$D$52="OFF","OFF","")</f>
        <v/>
      </c>
      <c r="BF26" s="56" t="str">
        <f>IF('⚙ OFF Weekends'!$D$53="OFF","OFF","")</f>
        <v/>
      </c>
      <c r="BG26" s="54" t="str">
        <f>IF('⚙ OFF Weekends'!$D$54="OFF","OFF","")</f>
        <v/>
      </c>
      <c r="BH26" s="56" t="str">
        <f>IF('⚙ OFF Weekends'!$D$55="OFF","OFF","")</f>
        <v/>
      </c>
      <c r="BI26" s="54" t="str">
        <f>IF('⚙ OFF Weekends'!$D$56="OFF","OFF","")</f>
        <v/>
      </c>
      <c r="BJ26" s="56" t="str">
        <f>IF('⚙ OFF Weekends'!$D$57="OFF","OFF","")</f>
        <v/>
      </c>
      <c r="BK26" s="54" t="str">
        <f>IF('⚙ OFF Weekends'!$D$58="OFF","OFF","")</f>
        <v/>
      </c>
      <c r="BL26" s="56" t="str">
        <f>IF('⚙ OFF Weekends'!$D$59="OFF","OFF","")</f>
        <v/>
      </c>
      <c r="BM26" s="54" t="str">
        <f>IF('⚙ OFF Weekends'!$D$60="OFF","OFF","")</f>
        <v/>
      </c>
      <c r="BN26" s="56" t="str">
        <f>IF('⚙ OFF Weekends'!$D$61="OFF","OFF","")</f>
        <v/>
      </c>
      <c r="BO26" s="54" t="str">
        <f>IF('⚙ OFF Weekends'!$D$62="OFF","OFF","")</f>
        <v/>
      </c>
      <c r="BP26" s="56" t="str">
        <f>IF('⚙ OFF Weekends'!$D$63="OFF","OFF","")</f>
        <v/>
      </c>
      <c r="BQ26" s="54" t="str">
        <f>IF('⚙ OFF Weekends'!$D$64="OFF","OFF","")</f>
        <v/>
      </c>
      <c r="BR26" s="56" t="str">
        <f>IF('⚙ OFF Weekends'!$D$65="OFF","OFF","")</f>
        <v/>
      </c>
      <c r="BS26" s="54" t="str">
        <f>IF('⚙ OFF Weekends'!$D$66="OFF","OFF","")</f>
        <v/>
      </c>
      <c r="BT26" s="56" t="str">
        <f>IF('⚙ OFF Weekends'!$D$67="OFF","OFF","")</f>
        <v/>
      </c>
      <c r="BU26" s="54" t="str">
        <f>IF('⚙ OFF Weekends'!$D$68="OFF","OFF","")</f>
        <v/>
      </c>
      <c r="BV26" s="56" t="str">
        <f>IF('⚙ OFF Weekends'!$D$69="OFF","OFF","")</f>
        <v/>
      </c>
      <c r="BW26" s="54" t="str">
        <f>IF('⚙ OFF Weekends'!$D$70="OFF","OFF","")</f>
        <v/>
      </c>
      <c r="BX26" s="56" t="str">
        <f>IF('⚙ OFF Weekends'!$D$71="OFF","OFF","")</f>
        <v/>
      </c>
      <c r="BY26" s="54" t="str">
        <f>IF('⚙ OFF Weekends'!$D$72="OFF","OFF","")</f>
        <v/>
      </c>
      <c r="BZ26" s="56" t="str">
        <f>IF('⚙ OFF Weekends'!$D$73="OFF","OFF","")</f>
        <v/>
      </c>
      <c r="CA26" s="54" t="str">
        <f>IF('⚙ OFF Weekends'!$D$74="OFF","OFF","")</f>
        <v/>
      </c>
      <c r="CB26" s="56" t="str">
        <f>IF('⚙ OFF Weekends'!$D$75="OFF","OFF","")</f>
        <v/>
      </c>
      <c r="CC26" s="54" t="str">
        <f>IF('⚙ OFF Weekends'!$D$76="OFF","OFF","")</f>
        <v/>
      </c>
      <c r="CD26" s="56" t="str">
        <f>IF('⚙ OFF Weekends'!$D$77="OFF","OFF","")</f>
        <v/>
      </c>
      <c r="CE26" s="95">
        <f t="shared" ref="CE26:CE48" si="9">COUNTIF(I26:CD26,"Present")+COUNTIF(I26:CD26,"Late")</f>
        <v>18</v>
      </c>
      <c r="CF26" s="95">
        <f t="shared" ref="CF26:CF48" si="10">COUNTIF(I26:CD26,"Absent")</f>
        <v>0</v>
      </c>
      <c r="CG26" s="95">
        <f t="shared" ref="CG26:CG48" si="11">COUNTIF(I26:CD26,"Leave")</f>
        <v>0</v>
      </c>
      <c r="CH26" s="95" t="str">
        <f t="shared" ref="CH26:CH48" si="12">IF(CE26+CF26=0,"0%",TEXT(CE26/(CE26+CF26),"0%"))</f>
        <v>100%</v>
      </c>
    </row>
    <row r="27" ht="18.0" customHeight="1">
      <c r="A27" s="96">
        <v>2.0</v>
      </c>
      <c r="B27" s="22" t="s">
        <v>280</v>
      </c>
      <c r="C27" s="23"/>
      <c r="D27" s="24" t="str">
        <f t="shared" si="7"/>
        <v/>
      </c>
      <c r="E27" s="26" t="str">
        <f t="shared" si="8"/>
        <v/>
      </c>
      <c r="F27" s="20"/>
      <c r="G27" s="20" t="s">
        <v>275</v>
      </c>
      <c r="H27" s="20"/>
      <c r="I27" s="79" t="s">
        <v>223</v>
      </c>
      <c r="J27" s="79" t="s">
        <v>223</v>
      </c>
      <c r="K27" s="49" t="s">
        <v>197</v>
      </c>
      <c r="L27" s="77" t="s">
        <v>198</v>
      </c>
      <c r="M27" s="77" t="s">
        <v>198</v>
      </c>
      <c r="N27" s="77" t="s">
        <v>198</v>
      </c>
      <c r="O27" s="79" t="s">
        <v>223</v>
      </c>
      <c r="P27" s="77" t="s">
        <v>198</v>
      </c>
      <c r="Q27" s="77" t="s">
        <v>198</v>
      </c>
      <c r="R27" s="50" t="s">
        <v>37</v>
      </c>
      <c r="S27" s="52" t="s">
        <v>37</v>
      </c>
      <c r="T27" s="53" t="s">
        <v>196</v>
      </c>
      <c r="U27" s="52" t="s">
        <v>37</v>
      </c>
      <c r="V27" s="53" t="s">
        <v>37</v>
      </c>
      <c r="W27" s="54" t="str">
        <f>IF('⚙ OFF Weekends'!$D$18="OFF","OFF","")</f>
        <v>OFF</v>
      </c>
      <c r="X27" s="53" t="s">
        <v>37</v>
      </c>
      <c r="Y27" s="52" t="s">
        <v>37</v>
      </c>
      <c r="Z27" s="53" t="s">
        <v>37</v>
      </c>
      <c r="AA27" s="52" t="s">
        <v>223</v>
      </c>
      <c r="AB27" s="53" t="s">
        <v>223</v>
      </c>
      <c r="AC27" s="54" t="str">
        <f>IF('⚙ OFF Weekends'!$D$24="OFF","OFF","")</f>
        <v/>
      </c>
      <c r="AD27" s="56" t="str">
        <f>IF('⚙ OFF Weekends'!$D$25="OFF","OFF","")</f>
        <v/>
      </c>
      <c r="AE27" s="54" t="str">
        <f>IF('⚙ OFF Weekends'!$D$26="OFF","OFF","")</f>
        <v/>
      </c>
      <c r="AF27" s="56" t="str">
        <f>IF('⚙ OFF Weekends'!$D$27="OFF","OFF","")</f>
        <v/>
      </c>
      <c r="AG27" s="54" t="str">
        <f>IF('⚙ OFF Weekends'!$D$28="OFF","OFF","")</f>
        <v/>
      </c>
      <c r="AH27" s="56" t="str">
        <f>IF('⚙ OFF Weekends'!$D$29="OFF","OFF","")</f>
        <v/>
      </c>
      <c r="AI27" s="54" t="str">
        <f>IF('⚙ OFF Weekends'!$D$30="OFF","OFF","")</f>
        <v/>
      </c>
      <c r="AJ27" s="56" t="str">
        <f>IF('⚙ OFF Weekends'!$D$31="OFF","OFF","")</f>
        <v/>
      </c>
      <c r="AK27" s="54" t="str">
        <f>IF('⚙ OFF Weekends'!$D$32="OFF","OFF","")</f>
        <v/>
      </c>
      <c r="AL27" s="56" t="str">
        <f>IF('⚙ OFF Weekends'!$D$33="OFF","OFF","")</f>
        <v/>
      </c>
      <c r="AM27" s="54" t="str">
        <f>IF('⚙ OFF Weekends'!$D$34="OFF","OFF","")</f>
        <v/>
      </c>
      <c r="AN27" s="56" t="str">
        <f>IF('⚙ OFF Weekends'!$D$35="OFF","OFF","")</f>
        <v/>
      </c>
      <c r="AO27" s="54" t="str">
        <f>IF('⚙ OFF Weekends'!$D$36="OFF","OFF","")</f>
        <v/>
      </c>
      <c r="AP27" s="56" t="str">
        <f>IF('⚙ OFF Weekends'!$D$37="OFF","OFF","")</f>
        <v/>
      </c>
      <c r="AQ27" s="54" t="str">
        <f>IF('⚙ OFF Weekends'!$D$38="OFF","OFF","")</f>
        <v/>
      </c>
      <c r="AR27" s="56" t="str">
        <f>IF('⚙ OFF Weekends'!$D$39="OFF","OFF","")</f>
        <v/>
      </c>
      <c r="AS27" s="54" t="str">
        <f>IF('⚙ OFF Weekends'!$D$40="OFF","OFF","")</f>
        <v/>
      </c>
      <c r="AT27" s="56" t="str">
        <f>IF('⚙ OFF Weekends'!$D$41="OFF","OFF","")</f>
        <v/>
      </c>
      <c r="AU27" s="54" t="str">
        <f>IF('⚙ OFF Weekends'!$D$42="OFF","OFF","")</f>
        <v/>
      </c>
      <c r="AV27" s="56" t="str">
        <f>IF('⚙ OFF Weekends'!$D$43="OFF","OFF","")</f>
        <v/>
      </c>
      <c r="AW27" s="54" t="str">
        <f>IF('⚙ OFF Weekends'!$D$44="OFF","OFF","")</f>
        <v/>
      </c>
      <c r="AX27" s="56" t="str">
        <f>IF('⚙ OFF Weekends'!$D$45="OFF","OFF","")</f>
        <v/>
      </c>
      <c r="AY27" s="54" t="str">
        <f>IF('⚙ OFF Weekends'!$D$46="OFF","OFF","")</f>
        <v/>
      </c>
      <c r="AZ27" s="56" t="str">
        <f>IF('⚙ OFF Weekends'!$D$47="OFF","OFF","")</f>
        <v/>
      </c>
      <c r="BA27" s="54" t="str">
        <f>IF('⚙ OFF Weekends'!$D$48="OFF","OFF","")</f>
        <v/>
      </c>
      <c r="BB27" s="56" t="str">
        <f>IF('⚙ OFF Weekends'!$D$49="OFF","OFF","")</f>
        <v/>
      </c>
      <c r="BC27" s="54" t="str">
        <f>IF('⚙ OFF Weekends'!$D$50="OFF","OFF","")</f>
        <v/>
      </c>
      <c r="BD27" s="56" t="str">
        <f>IF('⚙ OFF Weekends'!$D$51="OFF","OFF","")</f>
        <v/>
      </c>
      <c r="BE27" s="54" t="str">
        <f>IF('⚙ OFF Weekends'!$D$52="OFF","OFF","")</f>
        <v/>
      </c>
      <c r="BF27" s="56" t="str">
        <f>IF('⚙ OFF Weekends'!$D$53="OFF","OFF","")</f>
        <v/>
      </c>
      <c r="BG27" s="54" t="str">
        <f>IF('⚙ OFF Weekends'!$D$54="OFF","OFF","")</f>
        <v/>
      </c>
      <c r="BH27" s="56" t="str">
        <f>IF('⚙ OFF Weekends'!$D$55="OFF","OFF","")</f>
        <v/>
      </c>
      <c r="BI27" s="54" t="str">
        <f>IF('⚙ OFF Weekends'!$D$56="OFF","OFF","")</f>
        <v/>
      </c>
      <c r="BJ27" s="56" t="str">
        <f>IF('⚙ OFF Weekends'!$D$57="OFF","OFF","")</f>
        <v/>
      </c>
      <c r="BK27" s="54" t="str">
        <f>IF('⚙ OFF Weekends'!$D$58="OFF","OFF","")</f>
        <v/>
      </c>
      <c r="BL27" s="56" t="str">
        <f>IF('⚙ OFF Weekends'!$D$59="OFF","OFF","")</f>
        <v/>
      </c>
      <c r="BM27" s="54" t="str">
        <f>IF('⚙ OFF Weekends'!$D$60="OFF","OFF","")</f>
        <v/>
      </c>
      <c r="BN27" s="56" t="str">
        <f>IF('⚙ OFF Weekends'!$D$61="OFF","OFF","")</f>
        <v/>
      </c>
      <c r="BO27" s="54" t="str">
        <f>IF('⚙ OFF Weekends'!$D$62="OFF","OFF","")</f>
        <v/>
      </c>
      <c r="BP27" s="56" t="str">
        <f>IF('⚙ OFF Weekends'!$D$63="OFF","OFF","")</f>
        <v/>
      </c>
      <c r="BQ27" s="54" t="str">
        <f>IF('⚙ OFF Weekends'!$D$64="OFF","OFF","")</f>
        <v/>
      </c>
      <c r="BR27" s="56" t="str">
        <f>IF('⚙ OFF Weekends'!$D$65="OFF","OFF","")</f>
        <v/>
      </c>
      <c r="BS27" s="54" t="str">
        <f>IF('⚙ OFF Weekends'!$D$66="OFF","OFF","")</f>
        <v/>
      </c>
      <c r="BT27" s="56" t="str">
        <f>IF('⚙ OFF Weekends'!$D$67="OFF","OFF","")</f>
        <v/>
      </c>
      <c r="BU27" s="54" t="str">
        <f>IF('⚙ OFF Weekends'!$D$68="OFF","OFF","")</f>
        <v/>
      </c>
      <c r="BV27" s="56" t="str">
        <f>IF('⚙ OFF Weekends'!$D$69="OFF","OFF","")</f>
        <v/>
      </c>
      <c r="BW27" s="54" t="str">
        <f>IF('⚙ OFF Weekends'!$D$70="OFF","OFF","")</f>
        <v/>
      </c>
      <c r="BX27" s="56" t="str">
        <f>IF('⚙ OFF Weekends'!$D$71="OFF","OFF","")</f>
        <v/>
      </c>
      <c r="BY27" s="54" t="str">
        <f>IF('⚙ OFF Weekends'!$D$72="OFF","OFF","")</f>
        <v/>
      </c>
      <c r="BZ27" s="56" t="str">
        <f>IF('⚙ OFF Weekends'!$D$73="OFF","OFF","")</f>
        <v/>
      </c>
      <c r="CA27" s="54" t="str">
        <f>IF('⚙ OFF Weekends'!$D$74="OFF","OFF","")</f>
        <v/>
      </c>
      <c r="CB27" s="56" t="str">
        <f>IF('⚙ OFF Weekends'!$D$75="OFF","OFF","")</f>
        <v/>
      </c>
      <c r="CC27" s="54" t="str">
        <f>IF('⚙ OFF Weekends'!$D$76="OFF","OFF","")</f>
        <v/>
      </c>
      <c r="CD27" s="56" t="str">
        <f>IF('⚙ OFF Weekends'!$D$77="OFF","OFF","")</f>
        <v/>
      </c>
      <c r="CE27" s="96">
        <f t="shared" si="9"/>
        <v>8</v>
      </c>
      <c r="CF27" s="96">
        <f t="shared" si="10"/>
        <v>5</v>
      </c>
      <c r="CG27" s="96">
        <f t="shared" si="11"/>
        <v>5</v>
      </c>
      <c r="CH27" s="96" t="str">
        <f t="shared" si="12"/>
        <v>62%</v>
      </c>
    </row>
    <row r="28" ht="18.0" customHeight="1">
      <c r="A28" s="95">
        <v>3.0</v>
      </c>
      <c r="B28" s="12" t="s">
        <v>285</v>
      </c>
      <c r="C28" s="14"/>
      <c r="D28" s="17" t="str">
        <f t="shared" si="7"/>
        <v/>
      </c>
      <c r="E28" s="28" t="str">
        <f t="shared" si="8"/>
        <v/>
      </c>
      <c r="F28" s="10"/>
      <c r="G28" s="10" t="s">
        <v>275</v>
      </c>
      <c r="H28" s="10"/>
      <c r="I28" s="48" t="s">
        <v>196</v>
      </c>
      <c r="J28" s="48" t="s">
        <v>196</v>
      </c>
      <c r="K28" s="49" t="s">
        <v>197</v>
      </c>
      <c r="L28" s="77" t="s">
        <v>198</v>
      </c>
      <c r="M28" s="77" t="s">
        <v>198</v>
      </c>
      <c r="N28" s="50" t="s">
        <v>37</v>
      </c>
      <c r="O28" s="48" t="s">
        <v>196</v>
      </c>
      <c r="P28" s="50" t="s">
        <v>37</v>
      </c>
      <c r="Q28" s="50" t="s">
        <v>37</v>
      </c>
      <c r="R28" s="48" t="s">
        <v>196</v>
      </c>
      <c r="S28" s="52" t="s">
        <v>198</v>
      </c>
      <c r="T28" s="53" t="s">
        <v>198</v>
      </c>
      <c r="U28" s="52" t="s">
        <v>223</v>
      </c>
      <c r="V28" s="53" t="s">
        <v>223</v>
      </c>
      <c r="W28" s="54" t="str">
        <f>IF('⚙ OFF Weekends'!$D$18="OFF","OFF","")</f>
        <v>OFF</v>
      </c>
      <c r="X28" s="53" t="s">
        <v>37</v>
      </c>
      <c r="Y28" s="52" t="s">
        <v>198</v>
      </c>
      <c r="Z28" s="53" t="s">
        <v>198</v>
      </c>
      <c r="AA28" s="52" t="s">
        <v>198</v>
      </c>
      <c r="AB28" s="53" t="s">
        <v>198</v>
      </c>
      <c r="AC28" s="54" t="str">
        <f>IF('⚙ OFF Weekends'!$D$24="OFF","OFF","")</f>
        <v/>
      </c>
      <c r="AD28" s="56" t="str">
        <f>IF('⚙ OFF Weekends'!$D$25="OFF","OFF","")</f>
        <v/>
      </c>
      <c r="AE28" s="54" t="str">
        <f>IF('⚙ OFF Weekends'!$D$26="OFF","OFF","")</f>
        <v/>
      </c>
      <c r="AF28" s="56" t="str">
        <f>IF('⚙ OFF Weekends'!$D$27="OFF","OFF","")</f>
        <v/>
      </c>
      <c r="AG28" s="54" t="str">
        <f>IF('⚙ OFF Weekends'!$D$28="OFF","OFF","")</f>
        <v/>
      </c>
      <c r="AH28" s="56" t="str">
        <f>IF('⚙ OFF Weekends'!$D$29="OFF","OFF","")</f>
        <v/>
      </c>
      <c r="AI28" s="54" t="str">
        <f>IF('⚙ OFF Weekends'!$D$30="OFF","OFF","")</f>
        <v/>
      </c>
      <c r="AJ28" s="56" t="str">
        <f>IF('⚙ OFF Weekends'!$D$31="OFF","OFF","")</f>
        <v/>
      </c>
      <c r="AK28" s="54" t="str">
        <f>IF('⚙ OFF Weekends'!$D$32="OFF","OFF","")</f>
        <v/>
      </c>
      <c r="AL28" s="56" t="str">
        <f>IF('⚙ OFF Weekends'!$D$33="OFF","OFF","")</f>
        <v/>
      </c>
      <c r="AM28" s="54" t="str">
        <f>IF('⚙ OFF Weekends'!$D$34="OFF","OFF","")</f>
        <v/>
      </c>
      <c r="AN28" s="56" t="str">
        <f>IF('⚙ OFF Weekends'!$D$35="OFF","OFF","")</f>
        <v/>
      </c>
      <c r="AO28" s="54" t="str">
        <f>IF('⚙ OFF Weekends'!$D$36="OFF","OFF","")</f>
        <v/>
      </c>
      <c r="AP28" s="56" t="str">
        <f>IF('⚙ OFF Weekends'!$D$37="OFF","OFF","")</f>
        <v/>
      </c>
      <c r="AQ28" s="54" t="str">
        <f>IF('⚙ OFF Weekends'!$D$38="OFF","OFF","")</f>
        <v/>
      </c>
      <c r="AR28" s="56" t="str">
        <f>IF('⚙ OFF Weekends'!$D$39="OFF","OFF","")</f>
        <v/>
      </c>
      <c r="AS28" s="54" t="str">
        <f>IF('⚙ OFF Weekends'!$D$40="OFF","OFF","")</f>
        <v/>
      </c>
      <c r="AT28" s="56" t="str">
        <f>IF('⚙ OFF Weekends'!$D$41="OFF","OFF","")</f>
        <v/>
      </c>
      <c r="AU28" s="54" t="str">
        <f>IF('⚙ OFF Weekends'!$D$42="OFF","OFF","")</f>
        <v/>
      </c>
      <c r="AV28" s="56" t="str">
        <f>IF('⚙ OFF Weekends'!$D$43="OFF","OFF","")</f>
        <v/>
      </c>
      <c r="AW28" s="54" t="str">
        <f>IF('⚙ OFF Weekends'!$D$44="OFF","OFF","")</f>
        <v/>
      </c>
      <c r="AX28" s="56" t="str">
        <f>IF('⚙ OFF Weekends'!$D$45="OFF","OFF","")</f>
        <v/>
      </c>
      <c r="AY28" s="54" t="str">
        <f>IF('⚙ OFF Weekends'!$D$46="OFF","OFF","")</f>
        <v/>
      </c>
      <c r="AZ28" s="56" t="str">
        <f>IF('⚙ OFF Weekends'!$D$47="OFF","OFF","")</f>
        <v/>
      </c>
      <c r="BA28" s="54" t="str">
        <f>IF('⚙ OFF Weekends'!$D$48="OFF","OFF","")</f>
        <v/>
      </c>
      <c r="BB28" s="56" t="str">
        <f>IF('⚙ OFF Weekends'!$D$49="OFF","OFF","")</f>
        <v/>
      </c>
      <c r="BC28" s="54" t="str">
        <f>IF('⚙ OFF Weekends'!$D$50="OFF","OFF","")</f>
        <v/>
      </c>
      <c r="BD28" s="56" t="str">
        <f>IF('⚙ OFF Weekends'!$D$51="OFF","OFF","")</f>
        <v/>
      </c>
      <c r="BE28" s="54" t="str">
        <f>IF('⚙ OFF Weekends'!$D$52="OFF","OFF","")</f>
        <v/>
      </c>
      <c r="BF28" s="56" t="str">
        <f>IF('⚙ OFF Weekends'!$D$53="OFF","OFF","")</f>
        <v/>
      </c>
      <c r="BG28" s="54" t="str">
        <f>IF('⚙ OFF Weekends'!$D$54="OFF","OFF","")</f>
        <v/>
      </c>
      <c r="BH28" s="56" t="str">
        <f>IF('⚙ OFF Weekends'!$D$55="OFF","OFF","")</f>
        <v/>
      </c>
      <c r="BI28" s="54" t="str">
        <f>IF('⚙ OFF Weekends'!$D$56="OFF","OFF","")</f>
        <v/>
      </c>
      <c r="BJ28" s="56" t="str">
        <f>IF('⚙ OFF Weekends'!$D$57="OFF","OFF","")</f>
        <v/>
      </c>
      <c r="BK28" s="54" t="str">
        <f>IF('⚙ OFF Weekends'!$D$58="OFF","OFF","")</f>
        <v/>
      </c>
      <c r="BL28" s="56" t="str">
        <f>IF('⚙ OFF Weekends'!$D$59="OFF","OFF","")</f>
        <v/>
      </c>
      <c r="BM28" s="54" t="str">
        <f>IF('⚙ OFF Weekends'!$D$60="OFF","OFF","")</f>
        <v/>
      </c>
      <c r="BN28" s="56" t="str">
        <f>IF('⚙ OFF Weekends'!$D$61="OFF","OFF","")</f>
        <v/>
      </c>
      <c r="BO28" s="54" t="str">
        <f>IF('⚙ OFF Weekends'!$D$62="OFF","OFF","")</f>
        <v/>
      </c>
      <c r="BP28" s="56" t="str">
        <f>IF('⚙ OFF Weekends'!$D$63="OFF","OFF","")</f>
        <v/>
      </c>
      <c r="BQ28" s="54" t="str">
        <f>IF('⚙ OFF Weekends'!$D$64="OFF","OFF","")</f>
        <v/>
      </c>
      <c r="BR28" s="56" t="str">
        <f>IF('⚙ OFF Weekends'!$D$65="OFF","OFF","")</f>
        <v/>
      </c>
      <c r="BS28" s="54" t="str">
        <f>IF('⚙ OFF Weekends'!$D$66="OFF","OFF","")</f>
        <v/>
      </c>
      <c r="BT28" s="56" t="str">
        <f>IF('⚙ OFF Weekends'!$D$67="OFF","OFF","")</f>
        <v/>
      </c>
      <c r="BU28" s="54" t="str">
        <f>IF('⚙ OFF Weekends'!$D$68="OFF","OFF","")</f>
        <v/>
      </c>
      <c r="BV28" s="56" t="str">
        <f>IF('⚙ OFF Weekends'!$D$69="OFF","OFF","")</f>
        <v/>
      </c>
      <c r="BW28" s="54" t="str">
        <f>IF('⚙ OFF Weekends'!$D$70="OFF","OFF","")</f>
        <v/>
      </c>
      <c r="BX28" s="56" t="str">
        <f>IF('⚙ OFF Weekends'!$D$71="OFF","OFF","")</f>
        <v/>
      </c>
      <c r="BY28" s="54" t="str">
        <f>IF('⚙ OFF Weekends'!$D$72="OFF","OFF","")</f>
        <v/>
      </c>
      <c r="BZ28" s="56" t="str">
        <f>IF('⚙ OFF Weekends'!$D$73="OFF","OFF","")</f>
        <v/>
      </c>
      <c r="CA28" s="54" t="str">
        <f>IF('⚙ OFF Weekends'!$D$74="OFF","OFF","")</f>
        <v/>
      </c>
      <c r="CB28" s="56" t="str">
        <f>IF('⚙ OFF Weekends'!$D$75="OFF","OFF","")</f>
        <v/>
      </c>
      <c r="CC28" s="54" t="str">
        <f>IF('⚙ OFF Weekends'!$D$76="OFF","OFF","")</f>
        <v/>
      </c>
      <c r="CD28" s="56" t="str">
        <f>IF('⚙ OFF Weekends'!$D$77="OFF","OFF","")</f>
        <v/>
      </c>
      <c r="CE28" s="95">
        <f t="shared" si="9"/>
        <v>8</v>
      </c>
      <c r="CF28" s="95">
        <f t="shared" si="10"/>
        <v>2</v>
      </c>
      <c r="CG28" s="95">
        <f t="shared" si="11"/>
        <v>8</v>
      </c>
      <c r="CH28" s="95" t="str">
        <f t="shared" si="12"/>
        <v>80%</v>
      </c>
    </row>
    <row r="29" ht="18.0" customHeight="1">
      <c r="A29" s="96">
        <v>4.0</v>
      </c>
      <c r="B29" s="22" t="s">
        <v>289</v>
      </c>
      <c r="C29" s="23"/>
      <c r="D29" s="24" t="str">
        <f t="shared" si="7"/>
        <v/>
      </c>
      <c r="E29" s="26" t="str">
        <f t="shared" si="8"/>
        <v/>
      </c>
      <c r="F29" s="20"/>
      <c r="G29" s="20" t="s">
        <v>275</v>
      </c>
      <c r="H29" s="20"/>
      <c r="I29" s="77" t="s">
        <v>198</v>
      </c>
      <c r="J29" s="48" t="s">
        <v>196</v>
      </c>
      <c r="K29" s="49" t="s">
        <v>197</v>
      </c>
      <c r="L29" s="48" t="s">
        <v>196</v>
      </c>
      <c r="M29" s="79" t="s">
        <v>223</v>
      </c>
      <c r="N29" s="50" t="s">
        <v>37</v>
      </c>
      <c r="O29" s="100" t="s">
        <v>290</v>
      </c>
      <c r="P29" s="50" t="s">
        <v>37</v>
      </c>
      <c r="Q29" s="77" t="s">
        <v>198</v>
      </c>
      <c r="R29" s="50" t="s">
        <v>37</v>
      </c>
      <c r="S29" s="52" t="s">
        <v>198</v>
      </c>
      <c r="T29" s="53" t="s">
        <v>196</v>
      </c>
      <c r="U29" s="52" t="s">
        <v>198</v>
      </c>
      <c r="V29" s="53" t="s">
        <v>37</v>
      </c>
      <c r="W29" s="54" t="str">
        <f>IF('⚙ OFF Weekends'!$D$18="OFF","OFF","")</f>
        <v>OFF</v>
      </c>
      <c r="X29" s="53" t="s">
        <v>37</v>
      </c>
      <c r="Y29" s="52" t="s">
        <v>198</v>
      </c>
      <c r="Z29" s="53" t="s">
        <v>37</v>
      </c>
      <c r="AA29" s="52" t="s">
        <v>290</v>
      </c>
      <c r="AB29" s="53" t="s">
        <v>223</v>
      </c>
      <c r="AC29" s="54" t="str">
        <f>IF('⚙ OFF Weekends'!$D$24="OFF","OFF","")</f>
        <v/>
      </c>
      <c r="AD29" s="56" t="str">
        <f>IF('⚙ OFF Weekends'!$D$25="OFF","OFF","")</f>
        <v/>
      </c>
      <c r="AE29" s="54" t="str">
        <f>IF('⚙ OFF Weekends'!$D$26="OFF","OFF","")</f>
        <v/>
      </c>
      <c r="AF29" s="56" t="str">
        <f>IF('⚙ OFF Weekends'!$D$27="OFF","OFF","")</f>
        <v/>
      </c>
      <c r="AG29" s="54" t="str">
        <f>IF('⚙ OFF Weekends'!$D$28="OFF","OFF","")</f>
        <v/>
      </c>
      <c r="AH29" s="56" t="str">
        <f>IF('⚙ OFF Weekends'!$D$29="OFF","OFF","")</f>
        <v/>
      </c>
      <c r="AI29" s="54" t="str">
        <f>IF('⚙ OFF Weekends'!$D$30="OFF","OFF","")</f>
        <v/>
      </c>
      <c r="AJ29" s="56" t="str">
        <f>IF('⚙ OFF Weekends'!$D$31="OFF","OFF","")</f>
        <v/>
      </c>
      <c r="AK29" s="54" t="str">
        <f>IF('⚙ OFF Weekends'!$D$32="OFF","OFF","")</f>
        <v/>
      </c>
      <c r="AL29" s="56" t="str">
        <f>IF('⚙ OFF Weekends'!$D$33="OFF","OFF","")</f>
        <v/>
      </c>
      <c r="AM29" s="54" t="str">
        <f>IF('⚙ OFF Weekends'!$D$34="OFF","OFF","")</f>
        <v/>
      </c>
      <c r="AN29" s="56" t="str">
        <f>IF('⚙ OFF Weekends'!$D$35="OFF","OFF","")</f>
        <v/>
      </c>
      <c r="AO29" s="54" t="str">
        <f>IF('⚙ OFF Weekends'!$D$36="OFF","OFF","")</f>
        <v/>
      </c>
      <c r="AP29" s="56" t="str">
        <f>IF('⚙ OFF Weekends'!$D$37="OFF","OFF","")</f>
        <v/>
      </c>
      <c r="AQ29" s="54" t="str">
        <f>IF('⚙ OFF Weekends'!$D$38="OFF","OFF","")</f>
        <v/>
      </c>
      <c r="AR29" s="56" t="str">
        <f>IF('⚙ OFF Weekends'!$D$39="OFF","OFF","")</f>
        <v/>
      </c>
      <c r="AS29" s="54" t="str">
        <f>IF('⚙ OFF Weekends'!$D$40="OFF","OFF","")</f>
        <v/>
      </c>
      <c r="AT29" s="56" t="str">
        <f>IF('⚙ OFF Weekends'!$D$41="OFF","OFF","")</f>
        <v/>
      </c>
      <c r="AU29" s="54" t="str">
        <f>IF('⚙ OFF Weekends'!$D$42="OFF","OFF","")</f>
        <v/>
      </c>
      <c r="AV29" s="56" t="str">
        <f>IF('⚙ OFF Weekends'!$D$43="OFF","OFF","")</f>
        <v/>
      </c>
      <c r="AW29" s="54" t="str">
        <f>IF('⚙ OFF Weekends'!$D$44="OFF","OFF","")</f>
        <v/>
      </c>
      <c r="AX29" s="56" t="str">
        <f>IF('⚙ OFF Weekends'!$D$45="OFF","OFF","")</f>
        <v/>
      </c>
      <c r="AY29" s="54" t="str">
        <f>IF('⚙ OFF Weekends'!$D$46="OFF","OFF","")</f>
        <v/>
      </c>
      <c r="AZ29" s="56" t="str">
        <f>IF('⚙ OFF Weekends'!$D$47="OFF","OFF","")</f>
        <v/>
      </c>
      <c r="BA29" s="54" t="str">
        <f>IF('⚙ OFF Weekends'!$D$48="OFF","OFF","")</f>
        <v/>
      </c>
      <c r="BB29" s="56" t="str">
        <f>IF('⚙ OFF Weekends'!$D$49="OFF","OFF","")</f>
        <v/>
      </c>
      <c r="BC29" s="54" t="str">
        <f>IF('⚙ OFF Weekends'!$D$50="OFF","OFF","")</f>
        <v/>
      </c>
      <c r="BD29" s="56" t="str">
        <f>IF('⚙ OFF Weekends'!$D$51="OFF","OFF","")</f>
        <v/>
      </c>
      <c r="BE29" s="54" t="str">
        <f>IF('⚙ OFF Weekends'!$D$52="OFF","OFF","")</f>
        <v/>
      </c>
      <c r="BF29" s="56" t="str">
        <f>IF('⚙ OFF Weekends'!$D$53="OFF","OFF","")</f>
        <v/>
      </c>
      <c r="BG29" s="54" t="str">
        <f>IF('⚙ OFF Weekends'!$D$54="OFF","OFF","")</f>
        <v/>
      </c>
      <c r="BH29" s="56" t="str">
        <f>IF('⚙ OFF Weekends'!$D$55="OFF","OFF","")</f>
        <v/>
      </c>
      <c r="BI29" s="54" t="str">
        <f>IF('⚙ OFF Weekends'!$D$56="OFF","OFF","")</f>
        <v/>
      </c>
      <c r="BJ29" s="56" t="str">
        <f>IF('⚙ OFF Weekends'!$D$57="OFF","OFF","")</f>
        <v/>
      </c>
      <c r="BK29" s="54" t="str">
        <f>IF('⚙ OFF Weekends'!$D$58="OFF","OFF","")</f>
        <v/>
      </c>
      <c r="BL29" s="56" t="str">
        <f>IF('⚙ OFF Weekends'!$D$59="OFF","OFF","")</f>
        <v/>
      </c>
      <c r="BM29" s="54" t="str">
        <f>IF('⚙ OFF Weekends'!$D$60="OFF","OFF","")</f>
        <v/>
      </c>
      <c r="BN29" s="56" t="str">
        <f>IF('⚙ OFF Weekends'!$D$61="OFF","OFF","")</f>
        <v/>
      </c>
      <c r="BO29" s="54" t="str">
        <f>IF('⚙ OFF Weekends'!$D$62="OFF","OFF","")</f>
        <v/>
      </c>
      <c r="BP29" s="56" t="str">
        <f>IF('⚙ OFF Weekends'!$D$63="OFF","OFF","")</f>
        <v/>
      </c>
      <c r="BQ29" s="54" t="str">
        <f>IF('⚙ OFF Weekends'!$D$64="OFF","OFF","")</f>
        <v/>
      </c>
      <c r="BR29" s="56" t="str">
        <f>IF('⚙ OFF Weekends'!$D$65="OFF","OFF","")</f>
        <v/>
      </c>
      <c r="BS29" s="54" t="str">
        <f>IF('⚙ OFF Weekends'!$D$66="OFF","OFF","")</f>
        <v/>
      </c>
      <c r="BT29" s="56" t="str">
        <f>IF('⚙ OFF Weekends'!$D$67="OFF","OFF","")</f>
        <v/>
      </c>
      <c r="BU29" s="54" t="str">
        <f>IF('⚙ OFF Weekends'!$D$68="OFF","OFF","")</f>
        <v/>
      </c>
      <c r="BV29" s="56" t="str">
        <f>IF('⚙ OFF Weekends'!$D$69="OFF","OFF","")</f>
        <v/>
      </c>
      <c r="BW29" s="54" t="str">
        <f>IF('⚙ OFF Weekends'!$D$70="OFF","OFF","")</f>
        <v/>
      </c>
      <c r="BX29" s="56" t="str">
        <f>IF('⚙ OFF Weekends'!$D$71="OFF","OFF","")</f>
        <v/>
      </c>
      <c r="BY29" s="54" t="str">
        <f>IF('⚙ OFF Weekends'!$D$72="OFF","OFF","")</f>
        <v/>
      </c>
      <c r="BZ29" s="56" t="str">
        <f>IF('⚙ OFF Weekends'!$D$73="OFF","OFF","")</f>
        <v/>
      </c>
      <c r="CA29" s="54" t="str">
        <f>IF('⚙ OFF Weekends'!$D$74="OFF","OFF","")</f>
        <v/>
      </c>
      <c r="CB29" s="56" t="str">
        <f>IF('⚙ OFF Weekends'!$D$75="OFF","OFF","")</f>
        <v/>
      </c>
      <c r="CC29" s="54" t="str">
        <f>IF('⚙ OFF Weekends'!$D$76="OFF","OFF","")</f>
        <v/>
      </c>
      <c r="CD29" s="56" t="str">
        <f>IF('⚙ OFF Weekends'!$D$77="OFF","OFF","")</f>
        <v/>
      </c>
      <c r="CE29" s="96">
        <f t="shared" si="9"/>
        <v>9</v>
      </c>
      <c r="CF29" s="96">
        <f t="shared" si="10"/>
        <v>2</v>
      </c>
      <c r="CG29" s="96">
        <f t="shared" si="11"/>
        <v>5</v>
      </c>
      <c r="CH29" s="96" t="str">
        <f t="shared" si="12"/>
        <v>82%</v>
      </c>
    </row>
    <row r="30" ht="18.0" customHeight="1">
      <c r="A30" s="95">
        <v>5.0</v>
      </c>
      <c r="B30" s="12" t="s">
        <v>293</v>
      </c>
      <c r="C30" s="14"/>
      <c r="D30" s="17" t="str">
        <f t="shared" si="7"/>
        <v/>
      </c>
      <c r="E30" s="28" t="str">
        <f t="shared" si="8"/>
        <v/>
      </c>
      <c r="F30" s="10"/>
      <c r="G30" s="10" t="s">
        <v>294</v>
      </c>
      <c r="H30" s="10" t="s">
        <v>295</v>
      </c>
      <c r="I30" s="79" t="s">
        <v>223</v>
      </c>
      <c r="J30" s="79" t="s">
        <v>223</v>
      </c>
      <c r="K30" s="49" t="s">
        <v>197</v>
      </c>
      <c r="L30" s="79" t="s">
        <v>223</v>
      </c>
      <c r="M30" s="79" t="s">
        <v>223</v>
      </c>
      <c r="N30" s="79" t="s">
        <v>223</v>
      </c>
      <c r="O30" s="79" t="s">
        <v>223</v>
      </c>
      <c r="P30" s="79" t="s">
        <v>223</v>
      </c>
      <c r="Q30" s="79" t="s">
        <v>223</v>
      </c>
      <c r="R30" s="101" t="s">
        <v>296</v>
      </c>
      <c r="S30" s="101" t="s">
        <v>296</v>
      </c>
      <c r="T30" s="101" t="s">
        <v>296</v>
      </c>
      <c r="U30" s="101" t="s">
        <v>296</v>
      </c>
      <c r="V30" s="101" t="s">
        <v>296</v>
      </c>
      <c r="W30" s="101" t="s">
        <v>296</v>
      </c>
      <c r="X30" s="101" t="s">
        <v>296</v>
      </c>
      <c r="Y30" s="101" t="s">
        <v>296</v>
      </c>
      <c r="Z30" s="101" t="s">
        <v>296</v>
      </c>
      <c r="AA30" s="101" t="s">
        <v>296</v>
      </c>
      <c r="AB30" s="101" t="s">
        <v>296</v>
      </c>
      <c r="AC30" s="101" t="s">
        <v>296</v>
      </c>
      <c r="AD30" s="101" t="s">
        <v>296</v>
      </c>
      <c r="AE30" s="101" t="s">
        <v>296</v>
      </c>
      <c r="AF30" s="101" t="s">
        <v>296</v>
      </c>
      <c r="AG30" s="101" t="s">
        <v>296</v>
      </c>
      <c r="AH30" s="101" t="s">
        <v>296</v>
      </c>
      <c r="AI30" s="101" t="s">
        <v>296</v>
      </c>
      <c r="AJ30" s="101" t="s">
        <v>296</v>
      </c>
      <c r="AK30" s="101" t="s">
        <v>296</v>
      </c>
      <c r="AL30" s="101" t="s">
        <v>296</v>
      </c>
      <c r="AM30" s="101" t="s">
        <v>296</v>
      </c>
      <c r="AN30" s="101" t="s">
        <v>296</v>
      </c>
      <c r="AO30" s="101" t="s">
        <v>296</v>
      </c>
      <c r="AP30" s="101" t="s">
        <v>296</v>
      </c>
      <c r="AQ30" s="101" t="s">
        <v>296</v>
      </c>
      <c r="AR30" s="101" t="s">
        <v>296</v>
      </c>
      <c r="AS30" s="101" t="s">
        <v>296</v>
      </c>
      <c r="AT30" s="101" t="s">
        <v>296</v>
      </c>
      <c r="AU30" s="101" t="s">
        <v>296</v>
      </c>
      <c r="AV30" s="101" t="s">
        <v>296</v>
      </c>
      <c r="AW30" s="101" t="s">
        <v>296</v>
      </c>
      <c r="AX30" s="101" t="s">
        <v>296</v>
      </c>
      <c r="AY30" s="101" t="s">
        <v>296</v>
      </c>
      <c r="AZ30" s="101" t="s">
        <v>296</v>
      </c>
      <c r="BA30" s="101" t="s">
        <v>296</v>
      </c>
      <c r="BB30" s="101" t="s">
        <v>296</v>
      </c>
      <c r="BC30" s="101" t="s">
        <v>296</v>
      </c>
      <c r="BD30" s="101" t="s">
        <v>296</v>
      </c>
      <c r="BE30" s="101" t="s">
        <v>296</v>
      </c>
      <c r="BF30" s="101" t="s">
        <v>296</v>
      </c>
      <c r="BG30" s="101" t="s">
        <v>296</v>
      </c>
      <c r="BH30" s="101" t="s">
        <v>296</v>
      </c>
      <c r="BI30" s="101" t="s">
        <v>296</v>
      </c>
      <c r="BJ30" s="101" t="s">
        <v>296</v>
      </c>
      <c r="BK30" s="101" t="s">
        <v>296</v>
      </c>
      <c r="BL30" s="101" t="s">
        <v>296</v>
      </c>
      <c r="BM30" s="101" t="s">
        <v>296</v>
      </c>
      <c r="BN30" s="101" t="s">
        <v>296</v>
      </c>
      <c r="BO30" s="101" t="s">
        <v>296</v>
      </c>
      <c r="BP30" s="101" t="s">
        <v>296</v>
      </c>
      <c r="BQ30" s="101" t="s">
        <v>296</v>
      </c>
      <c r="BR30" s="101" t="s">
        <v>296</v>
      </c>
      <c r="BS30" s="101" t="s">
        <v>296</v>
      </c>
      <c r="BT30" s="101" t="s">
        <v>296</v>
      </c>
      <c r="BU30" s="101" t="s">
        <v>296</v>
      </c>
      <c r="BV30" s="101" t="s">
        <v>296</v>
      </c>
      <c r="BW30" s="101" t="s">
        <v>296</v>
      </c>
      <c r="BX30" s="101" t="s">
        <v>296</v>
      </c>
      <c r="BY30" s="101" t="s">
        <v>296</v>
      </c>
      <c r="BZ30" s="101" t="s">
        <v>296</v>
      </c>
      <c r="CA30" s="101" t="s">
        <v>296</v>
      </c>
      <c r="CB30" s="101" t="s">
        <v>296</v>
      </c>
      <c r="CC30" s="101" t="s">
        <v>296</v>
      </c>
      <c r="CD30" s="101" t="s">
        <v>296</v>
      </c>
      <c r="CE30" s="95">
        <f t="shared" si="9"/>
        <v>0</v>
      </c>
      <c r="CF30" s="95">
        <f t="shared" si="10"/>
        <v>8</v>
      </c>
      <c r="CG30" s="95">
        <f t="shared" si="11"/>
        <v>0</v>
      </c>
      <c r="CH30" s="95" t="str">
        <f t="shared" si="12"/>
        <v>0%</v>
      </c>
    </row>
    <row r="31" ht="18.0" customHeight="1">
      <c r="A31" s="96">
        <v>6.0</v>
      </c>
      <c r="B31" s="22" t="s">
        <v>298</v>
      </c>
      <c r="C31" s="23"/>
      <c r="D31" s="24" t="str">
        <f t="shared" si="7"/>
        <v/>
      </c>
      <c r="E31" s="26" t="str">
        <f t="shared" si="8"/>
        <v/>
      </c>
      <c r="F31" s="20"/>
      <c r="G31" s="20" t="s">
        <v>294</v>
      </c>
      <c r="H31" s="20" t="s">
        <v>299</v>
      </c>
      <c r="I31" s="48" t="s">
        <v>196</v>
      </c>
      <c r="J31" s="48" t="s">
        <v>196</v>
      </c>
      <c r="K31" s="49" t="s">
        <v>197</v>
      </c>
      <c r="L31" s="48" t="s">
        <v>196</v>
      </c>
      <c r="M31" s="48" t="s">
        <v>196</v>
      </c>
      <c r="N31" s="50" t="s">
        <v>37</v>
      </c>
      <c r="O31" s="50" t="s">
        <v>37</v>
      </c>
      <c r="P31" s="50" t="s">
        <v>37</v>
      </c>
      <c r="Q31" s="48" t="s">
        <v>196</v>
      </c>
      <c r="R31" s="48" t="s">
        <v>196</v>
      </c>
      <c r="S31" s="52" t="s">
        <v>196</v>
      </c>
      <c r="T31" s="53" t="s">
        <v>196</v>
      </c>
      <c r="U31" s="52" t="s">
        <v>196</v>
      </c>
      <c r="V31" s="53" t="s">
        <v>196</v>
      </c>
      <c r="W31" s="54" t="str">
        <f>IF('⚙ OFF Weekends'!$D$18="OFF","OFF","")</f>
        <v>OFF</v>
      </c>
      <c r="X31" s="53" t="s">
        <v>196</v>
      </c>
      <c r="Y31" s="52" t="s">
        <v>37</v>
      </c>
      <c r="Z31" s="53" t="s">
        <v>196</v>
      </c>
      <c r="AA31" s="52" t="s">
        <v>196</v>
      </c>
      <c r="AB31" s="53" t="s">
        <v>196</v>
      </c>
      <c r="AC31" s="54" t="str">
        <f>IF('⚙ OFF Weekends'!$D$24="OFF","OFF","")</f>
        <v/>
      </c>
      <c r="AD31" s="56" t="str">
        <f>IF('⚙ OFF Weekends'!$D$25="OFF","OFF","")</f>
        <v/>
      </c>
      <c r="AE31" s="54" t="str">
        <f>IF('⚙ OFF Weekends'!$D$26="OFF","OFF","")</f>
        <v/>
      </c>
      <c r="AF31" s="56" t="str">
        <f>IF('⚙ OFF Weekends'!$D$27="OFF","OFF","")</f>
        <v/>
      </c>
      <c r="AG31" s="54" t="str">
        <f>IF('⚙ OFF Weekends'!$D$28="OFF","OFF","")</f>
        <v/>
      </c>
      <c r="AH31" s="56" t="str">
        <f>IF('⚙ OFF Weekends'!$D$29="OFF","OFF","")</f>
        <v/>
      </c>
      <c r="AI31" s="54" t="str">
        <f>IF('⚙ OFF Weekends'!$D$30="OFF","OFF","")</f>
        <v/>
      </c>
      <c r="AJ31" s="56" t="str">
        <f>IF('⚙ OFF Weekends'!$D$31="OFF","OFF","")</f>
        <v/>
      </c>
      <c r="AK31" s="54" t="str">
        <f>IF('⚙ OFF Weekends'!$D$32="OFF","OFF","")</f>
        <v/>
      </c>
      <c r="AL31" s="56" t="str">
        <f>IF('⚙ OFF Weekends'!$D$33="OFF","OFF","")</f>
        <v/>
      </c>
      <c r="AM31" s="54" t="str">
        <f>IF('⚙ OFF Weekends'!$D$34="OFF","OFF","")</f>
        <v/>
      </c>
      <c r="AN31" s="56" t="str">
        <f>IF('⚙ OFF Weekends'!$D$35="OFF","OFF","")</f>
        <v/>
      </c>
      <c r="AO31" s="54" t="str">
        <f>IF('⚙ OFF Weekends'!$D$36="OFF","OFF","")</f>
        <v/>
      </c>
      <c r="AP31" s="56" t="str">
        <f>IF('⚙ OFF Weekends'!$D$37="OFF","OFF","")</f>
        <v/>
      </c>
      <c r="AQ31" s="54" t="str">
        <f>IF('⚙ OFF Weekends'!$D$38="OFF","OFF","")</f>
        <v/>
      </c>
      <c r="AR31" s="56" t="str">
        <f>IF('⚙ OFF Weekends'!$D$39="OFF","OFF","")</f>
        <v/>
      </c>
      <c r="AS31" s="54" t="str">
        <f>IF('⚙ OFF Weekends'!$D$40="OFF","OFF","")</f>
        <v/>
      </c>
      <c r="AT31" s="56" t="str">
        <f>IF('⚙ OFF Weekends'!$D$41="OFF","OFF","")</f>
        <v/>
      </c>
      <c r="AU31" s="54" t="str">
        <f>IF('⚙ OFF Weekends'!$D$42="OFF","OFF","")</f>
        <v/>
      </c>
      <c r="AV31" s="56" t="str">
        <f>IF('⚙ OFF Weekends'!$D$43="OFF","OFF","")</f>
        <v/>
      </c>
      <c r="AW31" s="54" t="str">
        <f>IF('⚙ OFF Weekends'!$D$44="OFF","OFF","")</f>
        <v/>
      </c>
      <c r="AX31" s="56" t="str">
        <f>IF('⚙ OFF Weekends'!$D$45="OFF","OFF","")</f>
        <v/>
      </c>
      <c r="AY31" s="54" t="str">
        <f>IF('⚙ OFF Weekends'!$D$46="OFF","OFF","")</f>
        <v/>
      </c>
      <c r="AZ31" s="56" t="str">
        <f>IF('⚙ OFF Weekends'!$D$47="OFF","OFF","")</f>
        <v/>
      </c>
      <c r="BA31" s="54" t="str">
        <f>IF('⚙ OFF Weekends'!$D$48="OFF","OFF","")</f>
        <v/>
      </c>
      <c r="BB31" s="56" t="str">
        <f>IF('⚙ OFF Weekends'!$D$49="OFF","OFF","")</f>
        <v/>
      </c>
      <c r="BC31" s="54" t="str">
        <f>IF('⚙ OFF Weekends'!$D$50="OFF","OFF","")</f>
        <v/>
      </c>
      <c r="BD31" s="56" t="str">
        <f>IF('⚙ OFF Weekends'!$D$51="OFF","OFF","")</f>
        <v/>
      </c>
      <c r="BE31" s="54" t="str">
        <f>IF('⚙ OFF Weekends'!$D$52="OFF","OFF","")</f>
        <v/>
      </c>
      <c r="BF31" s="56" t="str">
        <f>IF('⚙ OFF Weekends'!$D$53="OFF","OFF","")</f>
        <v/>
      </c>
      <c r="BG31" s="54" t="str">
        <f>IF('⚙ OFF Weekends'!$D$54="OFF","OFF","")</f>
        <v/>
      </c>
      <c r="BH31" s="56" t="str">
        <f>IF('⚙ OFF Weekends'!$D$55="OFF","OFF","")</f>
        <v/>
      </c>
      <c r="BI31" s="54" t="str">
        <f>IF('⚙ OFF Weekends'!$D$56="OFF","OFF","")</f>
        <v/>
      </c>
      <c r="BJ31" s="56" t="str">
        <f>IF('⚙ OFF Weekends'!$D$57="OFF","OFF","")</f>
        <v/>
      </c>
      <c r="BK31" s="54" t="str">
        <f>IF('⚙ OFF Weekends'!$D$58="OFF","OFF","")</f>
        <v/>
      </c>
      <c r="BL31" s="56" t="str">
        <f>IF('⚙ OFF Weekends'!$D$59="OFF","OFF","")</f>
        <v/>
      </c>
      <c r="BM31" s="54" t="str">
        <f>IF('⚙ OFF Weekends'!$D$60="OFF","OFF","")</f>
        <v/>
      </c>
      <c r="BN31" s="56" t="str">
        <f>IF('⚙ OFF Weekends'!$D$61="OFF","OFF","")</f>
        <v/>
      </c>
      <c r="BO31" s="54" t="str">
        <f>IF('⚙ OFF Weekends'!$D$62="OFF","OFF","")</f>
        <v/>
      </c>
      <c r="BP31" s="56" t="str">
        <f>IF('⚙ OFF Weekends'!$D$63="OFF","OFF","")</f>
        <v/>
      </c>
      <c r="BQ31" s="54" t="str">
        <f>IF('⚙ OFF Weekends'!$D$64="OFF","OFF","")</f>
        <v/>
      </c>
      <c r="BR31" s="56" t="str">
        <f>IF('⚙ OFF Weekends'!$D$65="OFF","OFF","")</f>
        <v/>
      </c>
      <c r="BS31" s="54" t="str">
        <f>IF('⚙ OFF Weekends'!$D$66="OFF","OFF","")</f>
        <v/>
      </c>
      <c r="BT31" s="56" t="str">
        <f>IF('⚙ OFF Weekends'!$D$67="OFF","OFF","")</f>
        <v/>
      </c>
      <c r="BU31" s="54" t="str">
        <f>IF('⚙ OFF Weekends'!$D$68="OFF","OFF","")</f>
        <v/>
      </c>
      <c r="BV31" s="56" t="str">
        <f>IF('⚙ OFF Weekends'!$D$69="OFF","OFF","")</f>
        <v/>
      </c>
      <c r="BW31" s="54" t="str">
        <f>IF('⚙ OFF Weekends'!$D$70="OFF","OFF","")</f>
        <v/>
      </c>
      <c r="BX31" s="56" t="str">
        <f>IF('⚙ OFF Weekends'!$D$71="OFF","OFF","")</f>
        <v/>
      </c>
      <c r="BY31" s="54" t="str">
        <f>IF('⚙ OFF Weekends'!$D$72="OFF","OFF","")</f>
        <v/>
      </c>
      <c r="BZ31" s="56" t="str">
        <f>IF('⚙ OFF Weekends'!$D$73="OFF","OFF","")</f>
        <v/>
      </c>
      <c r="CA31" s="54" t="str">
        <f>IF('⚙ OFF Weekends'!$D$74="OFF","OFF","")</f>
        <v/>
      </c>
      <c r="CB31" s="56" t="str">
        <f>IF('⚙ OFF Weekends'!$D$75="OFF","OFF","")</f>
        <v/>
      </c>
      <c r="CC31" s="54" t="str">
        <f>IF('⚙ OFF Weekends'!$D$76="OFF","OFF","")</f>
        <v/>
      </c>
      <c r="CD31" s="56" t="str">
        <f>IF('⚙ OFF Weekends'!$D$77="OFF","OFF","")</f>
        <v/>
      </c>
      <c r="CE31" s="96">
        <f t="shared" si="9"/>
        <v>18</v>
      </c>
      <c r="CF31" s="96">
        <f t="shared" si="10"/>
        <v>0</v>
      </c>
      <c r="CG31" s="96">
        <f t="shared" si="11"/>
        <v>0</v>
      </c>
      <c r="CH31" s="96" t="str">
        <f t="shared" si="12"/>
        <v>100%</v>
      </c>
    </row>
    <row r="32" ht="18.0" customHeight="1">
      <c r="A32" s="95">
        <v>7.0</v>
      </c>
      <c r="B32" s="12" t="s">
        <v>303</v>
      </c>
      <c r="C32" s="14"/>
      <c r="D32" s="17" t="str">
        <f t="shared" si="7"/>
        <v/>
      </c>
      <c r="E32" s="28" t="str">
        <f t="shared" si="8"/>
        <v/>
      </c>
      <c r="F32" s="10"/>
      <c r="G32" s="10" t="s">
        <v>294</v>
      </c>
      <c r="H32" s="10"/>
      <c r="I32" s="79" t="s">
        <v>223</v>
      </c>
      <c r="J32" s="48" t="s">
        <v>196</v>
      </c>
      <c r="K32" s="49" t="s">
        <v>197</v>
      </c>
      <c r="L32" s="48" t="s">
        <v>196</v>
      </c>
      <c r="M32" s="48" t="s">
        <v>196</v>
      </c>
      <c r="N32" s="50" t="s">
        <v>37</v>
      </c>
      <c r="O32" s="50" t="s">
        <v>37</v>
      </c>
      <c r="P32" s="48" t="s">
        <v>196</v>
      </c>
      <c r="Q32" s="48" t="s">
        <v>196</v>
      </c>
      <c r="R32" s="48" t="s">
        <v>196</v>
      </c>
      <c r="S32" s="52" t="s">
        <v>223</v>
      </c>
      <c r="T32" s="53" t="s">
        <v>198</v>
      </c>
      <c r="U32" s="52" t="s">
        <v>196</v>
      </c>
      <c r="V32" s="53" t="s">
        <v>196</v>
      </c>
      <c r="W32" s="54" t="str">
        <f>IF('⚙ OFF Weekends'!$D$18="OFF","OFF","")</f>
        <v>OFF</v>
      </c>
      <c r="X32" s="53" t="s">
        <v>196</v>
      </c>
      <c r="Y32" s="52" t="s">
        <v>223</v>
      </c>
      <c r="Z32" s="53" t="s">
        <v>223</v>
      </c>
      <c r="AA32" s="52" t="s">
        <v>223</v>
      </c>
      <c r="AB32" s="53" t="s">
        <v>223</v>
      </c>
      <c r="AC32" s="54" t="str">
        <f>IF('⚙ OFF Weekends'!$D$24="OFF","OFF","")</f>
        <v/>
      </c>
      <c r="AD32" s="56" t="str">
        <f>IF('⚙ OFF Weekends'!$D$25="OFF","OFF","")</f>
        <v/>
      </c>
      <c r="AE32" s="54" t="str">
        <f>IF('⚙ OFF Weekends'!$D$26="OFF","OFF","")</f>
        <v/>
      </c>
      <c r="AF32" s="56" t="str">
        <f>IF('⚙ OFF Weekends'!$D$27="OFF","OFF","")</f>
        <v/>
      </c>
      <c r="AG32" s="54" t="str">
        <f>IF('⚙ OFF Weekends'!$D$28="OFF","OFF","")</f>
        <v/>
      </c>
      <c r="AH32" s="56" t="str">
        <f>IF('⚙ OFF Weekends'!$D$29="OFF","OFF","")</f>
        <v/>
      </c>
      <c r="AI32" s="54" t="str">
        <f>IF('⚙ OFF Weekends'!$D$30="OFF","OFF","")</f>
        <v/>
      </c>
      <c r="AJ32" s="56" t="str">
        <f>IF('⚙ OFF Weekends'!$D$31="OFF","OFF","")</f>
        <v/>
      </c>
      <c r="AK32" s="54" t="str">
        <f>IF('⚙ OFF Weekends'!$D$32="OFF","OFF","")</f>
        <v/>
      </c>
      <c r="AL32" s="56" t="str">
        <f>IF('⚙ OFF Weekends'!$D$33="OFF","OFF","")</f>
        <v/>
      </c>
      <c r="AM32" s="54" t="str">
        <f>IF('⚙ OFF Weekends'!$D$34="OFF","OFF","")</f>
        <v/>
      </c>
      <c r="AN32" s="56" t="str">
        <f>IF('⚙ OFF Weekends'!$D$35="OFF","OFF","")</f>
        <v/>
      </c>
      <c r="AO32" s="54" t="str">
        <f>IF('⚙ OFF Weekends'!$D$36="OFF","OFF","")</f>
        <v/>
      </c>
      <c r="AP32" s="56" t="str">
        <f>IF('⚙ OFF Weekends'!$D$37="OFF","OFF","")</f>
        <v/>
      </c>
      <c r="AQ32" s="54" t="str">
        <f>IF('⚙ OFF Weekends'!$D$38="OFF","OFF","")</f>
        <v/>
      </c>
      <c r="AR32" s="56" t="str">
        <f>IF('⚙ OFF Weekends'!$D$39="OFF","OFF","")</f>
        <v/>
      </c>
      <c r="AS32" s="54" t="str">
        <f>IF('⚙ OFF Weekends'!$D$40="OFF","OFF","")</f>
        <v/>
      </c>
      <c r="AT32" s="56" t="str">
        <f>IF('⚙ OFF Weekends'!$D$41="OFF","OFF","")</f>
        <v/>
      </c>
      <c r="AU32" s="54" t="str">
        <f>IF('⚙ OFF Weekends'!$D$42="OFF","OFF","")</f>
        <v/>
      </c>
      <c r="AV32" s="56" t="str">
        <f>IF('⚙ OFF Weekends'!$D$43="OFF","OFF","")</f>
        <v/>
      </c>
      <c r="AW32" s="54" t="str">
        <f>IF('⚙ OFF Weekends'!$D$44="OFF","OFF","")</f>
        <v/>
      </c>
      <c r="AX32" s="56" t="str">
        <f>IF('⚙ OFF Weekends'!$D$45="OFF","OFF","")</f>
        <v/>
      </c>
      <c r="AY32" s="54" t="str">
        <f>IF('⚙ OFF Weekends'!$D$46="OFF","OFF","")</f>
        <v/>
      </c>
      <c r="AZ32" s="56" t="str">
        <f>IF('⚙ OFF Weekends'!$D$47="OFF","OFF","")</f>
        <v/>
      </c>
      <c r="BA32" s="54" t="str">
        <f>IF('⚙ OFF Weekends'!$D$48="OFF","OFF","")</f>
        <v/>
      </c>
      <c r="BB32" s="56" t="str">
        <f>IF('⚙ OFF Weekends'!$D$49="OFF","OFF","")</f>
        <v/>
      </c>
      <c r="BC32" s="54" t="str">
        <f>IF('⚙ OFF Weekends'!$D$50="OFF","OFF","")</f>
        <v/>
      </c>
      <c r="BD32" s="56" t="str">
        <f>IF('⚙ OFF Weekends'!$D$51="OFF","OFF","")</f>
        <v/>
      </c>
      <c r="BE32" s="54" t="str">
        <f>IF('⚙ OFF Weekends'!$D$52="OFF","OFF","")</f>
        <v/>
      </c>
      <c r="BF32" s="56" t="str">
        <f>IF('⚙ OFF Weekends'!$D$53="OFF","OFF","")</f>
        <v/>
      </c>
      <c r="BG32" s="54" t="str">
        <f>IF('⚙ OFF Weekends'!$D$54="OFF","OFF","")</f>
        <v/>
      </c>
      <c r="BH32" s="56" t="str">
        <f>IF('⚙ OFF Weekends'!$D$55="OFF","OFF","")</f>
        <v/>
      </c>
      <c r="BI32" s="54" t="str">
        <f>IF('⚙ OFF Weekends'!$D$56="OFF","OFF","")</f>
        <v/>
      </c>
      <c r="BJ32" s="56" t="str">
        <f>IF('⚙ OFF Weekends'!$D$57="OFF","OFF","")</f>
        <v/>
      </c>
      <c r="BK32" s="54" t="str">
        <f>IF('⚙ OFF Weekends'!$D$58="OFF","OFF","")</f>
        <v/>
      </c>
      <c r="BL32" s="56" t="str">
        <f>IF('⚙ OFF Weekends'!$D$59="OFF","OFF","")</f>
        <v/>
      </c>
      <c r="BM32" s="54" t="str">
        <f>IF('⚙ OFF Weekends'!$D$60="OFF","OFF","")</f>
        <v/>
      </c>
      <c r="BN32" s="56" t="str">
        <f>IF('⚙ OFF Weekends'!$D$61="OFF","OFF","")</f>
        <v/>
      </c>
      <c r="BO32" s="54" t="str">
        <f>IF('⚙ OFF Weekends'!$D$62="OFF","OFF","")</f>
        <v/>
      </c>
      <c r="BP32" s="56" t="str">
        <f>IF('⚙ OFF Weekends'!$D$63="OFF","OFF","")</f>
        <v/>
      </c>
      <c r="BQ32" s="54" t="str">
        <f>IF('⚙ OFF Weekends'!$D$64="OFF","OFF","")</f>
        <v/>
      </c>
      <c r="BR32" s="56" t="str">
        <f>IF('⚙ OFF Weekends'!$D$65="OFF","OFF","")</f>
        <v/>
      </c>
      <c r="BS32" s="54" t="str">
        <f>IF('⚙ OFF Weekends'!$D$66="OFF","OFF","")</f>
        <v/>
      </c>
      <c r="BT32" s="56" t="str">
        <f>IF('⚙ OFF Weekends'!$D$67="OFF","OFF","")</f>
        <v/>
      </c>
      <c r="BU32" s="54" t="str">
        <f>IF('⚙ OFF Weekends'!$D$68="OFF","OFF","")</f>
        <v/>
      </c>
      <c r="BV32" s="56" t="str">
        <f>IF('⚙ OFF Weekends'!$D$69="OFF","OFF","")</f>
        <v/>
      </c>
      <c r="BW32" s="54" t="str">
        <f>IF('⚙ OFF Weekends'!$D$70="OFF","OFF","")</f>
        <v/>
      </c>
      <c r="BX32" s="56" t="str">
        <f>IF('⚙ OFF Weekends'!$D$71="OFF","OFF","")</f>
        <v/>
      </c>
      <c r="BY32" s="54" t="str">
        <f>IF('⚙ OFF Weekends'!$D$72="OFF","OFF","")</f>
        <v/>
      </c>
      <c r="BZ32" s="56" t="str">
        <f>IF('⚙ OFF Weekends'!$D$73="OFF","OFF","")</f>
        <v/>
      </c>
      <c r="CA32" s="54" t="str">
        <f>IF('⚙ OFF Weekends'!$D$74="OFF","OFF","")</f>
        <v/>
      </c>
      <c r="CB32" s="56" t="str">
        <f>IF('⚙ OFF Weekends'!$D$75="OFF","OFF","")</f>
        <v/>
      </c>
      <c r="CC32" s="54" t="str">
        <f>IF('⚙ OFF Weekends'!$D$76="OFF","OFF","")</f>
        <v/>
      </c>
      <c r="CD32" s="56" t="str">
        <f>IF('⚙ OFF Weekends'!$D$77="OFF","OFF","")</f>
        <v/>
      </c>
      <c r="CE32" s="95">
        <f t="shared" si="9"/>
        <v>11</v>
      </c>
      <c r="CF32" s="95">
        <f t="shared" si="10"/>
        <v>6</v>
      </c>
      <c r="CG32" s="95">
        <f t="shared" si="11"/>
        <v>1</v>
      </c>
      <c r="CH32" s="95" t="str">
        <f t="shared" si="12"/>
        <v>65%</v>
      </c>
    </row>
    <row r="33" ht="18.0" customHeight="1">
      <c r="A33" s="96">
        <v>8.0</v>
      </c>
      <c r="B33" s="22" t="s">
        <v>306</v>
      </c>
      <c r="C33" s="23"/>
      <c r="D33" s="24" t="str">
        <f t="shared" si="7"/>
        <v/>
      </c>
      <c r="E33" s="26" t="str">
        <f t="shared" si="8"/>
        <v/>
      </c>
      <c r="F33" s="20"/>
      <c r="G33" s="20" t="s">
        <v>294</v>
      </c>
      <c r="H33" s="20"/>
      <c r="I33" s="79" t="s">
        <v>223</v>
      </c>
      <c r="J33" s="48" t="s">
        <v>196</v>
      </c>
      <c r="K33" s="49" t="s">
        <v>197</v>
      </c>
      <c r="L33" s="79" t="s">
        <v>223</v>
      </c>
      <c r="M33" s="48" t="s">
        <v>196</v>
      </c>
      <c r="N33" s="50" t="s">
        <v>37</v>
      </c>
      <c r="O33" s="50" t="s">
        <v>37</v>
      </c>
      <c r="P33" s="50" t="s">
        <v>37</v>
      </c>
      <c r="Q33" s="50" t="s">
        <v>37</v>
      </c>
      <c r="R33" s="50" t="s">
        <v>37</v>
      </c>
      <c r="S33" s="52" t="s">
        <v>198</v>
      </c>
      <c r="T33" s="53" t="s">
        <v>196</v>
      </c>
      <c r="U33" s="52" t="s">
        <v>37</v>
      </c>
      <c r="V33" s="53" t="s">
        <v>37</v>
      </c>
      <c r="W33" s="54" t="str">
        <f>IF('⚙ OFF Weekends'!$D$18="OFF","OFF","")</f>
        <v>OFF</v>
      </c>
      <c r="X33" s="53" t="s">
        <v>223</v>
      </c>
      <c r="Y33" s="52" t="s">
        <v>37</v>
      </c>
      <c r="Z33" s="53" t="s">
        <v>37</v>
      </c>
      <c r="AA33" s="52" t="s">
        <v>223</v>
      </c>
      <c r="AB33" s="53" t="s">
        <v>37</v>
      </c>
      <c r="AC33" s="54" t="str">
        <f>IF('⚙ OFF Weekends'!$D$24="OFF","OFF","")</f>
        <v/>
      </c>
      <c r="AD33" s="56" t="str">
        <f>IF('⚙ OFF Weekends'!$D$25="OFF","OFF","")</f>
        <v/>
      </c>
      <c r="AE33" s="54" t="str">
        <f>IF('⚙ OFF Weekends'!$D$26="OFF","OFF","")</f>
        <v/>
      </c>
      <c r="AF33" s="56" t="str">
        <f>IF('⚙ OFF Weekends'!$D$27="OFF","OFF","")</f>
        <v/>
      </c>
      <c r="AG33" s="54" t="str">
        <f>IF('⚙ OFF Weekends'!$D$28="OFF","OFF","")</f>
        <v/>
      </c>
      <c r="AH33" s="56" t="str">
        <f>IF('⚙ OFF Weekends'!$D$29="OFF","OFF","")</f>
        <v/>
      </c>
      <c r="AI33" s="54" t="str">
        <f>IF('⚙ OFF Weekends'!$D$30="OFF","OFF","")</f>
        <v/>
      </c>
      <c r="AJ33" s="56" t="str">
        <f>IF('⚙ OFF Weekends'!$D$31="OFF","OFF","")</f>
        <v/>
      </c>
      <c r="AK33" s="54" t="str">
        <f>IF('⚙ OFF Weekends'!$D$32="OFF","OFF","")</f>
        <v/>
      </c>
      <c r="AL33" s="56" t="str">
        <f>IF('⚙ OFF Weekends'!$D$33="OFF","OFF","")</f>
        <v/>
      </c>
      <c r="AM33" s="54" t="str">
        <f>IF('⚙ OFF Weekends'!$D$34="OFF","OFF","")</f>
        <v/>
      </c>
      <c r="AN33" s="56" t="str">
        <f>IF('⚙ OFF Weekends'!$D$35="OFF","OFF","")</f>
        <v/>
      </c>
      <c r="AO33" s="54" t="str">
        <f>IF('⚙ OFF Weekends'!$D$36="OFF","OFF","")</f>
        <v/>
      </c>
      <c r="AP33" s="56" t="str">
        <f>IF('⚙ OFF Weekends'!$D$37="OFF","OFF","")</f>
        <v/>
      </c>
      <c r="AQ33" s="54" t="str">
        <f>IF('⚙ OFF Weekends'!$D$38="OFF","OFF","")</f>
        <v/>
      </c>
      <c r="AR33" s="56" t="str">
        <f>IF('⚙ OFF Weekends'!$D$39="OFF","OFF","")</f>
        <v/>
      </c>
      <c r="AS33" s="54" t="str">
        <f>IF('⚙ OFF Weekends'!$D$40="OFF","OFF","")</f>
        <v/>
      </c>
      <c r="AT33" s="56" t="str">
        <f>IF('⚙ OFF Weekends'!$D$41="OFF","OFF","")</f>
        <v/>
      </c>
      <c r="AU33" s="54" t="str">
        <f>IF('⚙ OFF Weekends'!$D$42="OFF","OFF","")</f>
        <v/>
      </c>
      <c r="AV33" s="56" t="str">
        <f>IF('⚙ OFF Weekends'!$D$43="OFF","OFF","")</f>
        <v/>
      </c>
      <c r="AW33" s="54" t="str">
        <f>IF('⚙ OFF Weekends'!$D$44="OFF","OFF","")</f>
        <v/>
      </c>
      <c r="AX33" s="56" t="str">
        <f>IF('⚙ OFF Weekends'!$D$45="OFF","OFF","")</f>
        <v/>
      </c>
      <c r="AY33" s="54" t="str">
        <f>IF('⚙ OFF Weekends'!$D$46="OFF","OFF","")</f>
        <v/>
      </c>
      <c r="AZ33" s="56" t="str">
        <f>IF('⚙ OFF Weekends'!$D$47="OFF","OFF","")</f>
        <v/>
      </c>
      <c r="BA33" s="54" t="str">
        <f>IF('⚙ OFF Weekends'!$D$48="OFF","OFF","")</f>
        <v/>
      </c>
      <c r="BB33" s="56" t="str">
        <f>IF('⚙ OFF Weekends'!$D$49="OFF","OFF","")</f>
        <v/>
      </c>
      <c r="BC33" s="54" t="str">
        <f>IF('⚙ OFF Weekends'!$D$50="OFF","OFF","")</f>
        <v/>
      </c>
      <c r="BD33" s="56" t="str">
        <f>IF('⚙ OFF Weekends'!$D$51="OFF","OFF","")</f>
        <v/>
      </c>
      <c r="BE33" s="54" t="str">
        <f>IF('⚙ OFF Weekends'!$D$52="OFF","OFF","")</f>
        <v/>
      </c>
      <c r="BF33" s="56" t="str">
        <f>IF('⚙ OFF Weekends'!$D$53="OFF","OFF","")</f>
        <v/>
      </c>
      <c r="BG33" s="54" t="str">
        <f>IF('⚙ OFF Weekends'!$D$54="OFF","OFF","")</f>
        <v/>
      </c>
      <c r="BH33" s="56" t="str">
        <f>IF('⚙ OFF Weekends'!$D$55="OFF","OFF","")</f>
        <v/>
      </c>
      <c r="BI33" s="54" t="str">
        <f>IF('⚙ OFF Weekends'!$D$56="OFF","OFF","")</f>
        <v/>
      </c>
      <c r="BJ33" s="56" t="str">
        <f>IF('⚙ OFF Weekends'!$D$57="OFF","OFF","")</f>
        <v/>
      </c>
      <c r="BK33" s="54" t="str">
        <f>IF('⚙ OFF Weekends'!$D$58="OFF","OFF","")</f>
        <v/>
      </c>
      <c r="BL33" s="56" t="str">
        <f>IF('⚙ OFF Weekends'!$D$59="OFF","OFF","")</f>
        <v/>
      </c>
      <c r="BM33" s="54" t="str">
        <f>IF('⚙ OFF Weekends'!$D$60="OFF","OFF","")</f>
        <v/>
      </c>
      <c r="BN33" s="56" t="str">
        <f>IF('⚙ OFF Weekends'!$D$61="OFF","OFF","")</f>
        <v/>
      </c>
      <c r="BO33" s="54" t="str">
        <f>IF('⚙ OFF Weekends'!$D$62="OFF","OFF","")</f>
        <v/>
      </c>
      <c r="BP33" s="56" t="str">
        <f>IF('⚙ OFF Weekends'!$D$63="OFF","OFF","")</f>
        <v/>
      </c>
      <c r="BQ33" s="54" t="str">
        <f>IF('⚙ OFF Weekends'!$D$64="OFF","OFF","")</f>
        <v/>
      </c>
      <c r="BR33" s="56" t="str">
        <f>IF('⚙ OFF Weekends'!$D$65="OFF","OFF","")</f>
        <v/>
      </c>
      <c r="BS33" s="54" t="str">
        <f>IF('⚙ OFF Weekends'!$D$66="OFF","OFF","")</f>
        <v/>
      </c>
      <c r="BT33" s="56" t="str">
        <f>IF('⚙ OFF Weekends'!$D$67="OFF","OFF","")</f>
        <v/>
      </c>
      <c r="BU33" s="54" t="str">
        <f>IF('⚙ OFF Weekends'!$D$68="OFF","OFF","")</f>
        <v/>
      </c>
      <c r="BV33" s="56" t="str">
        <f>IF('⚙ OFF Weekends'!$D$69="OFF","OFF","")</f>
        <v/>
      </c>
      <c r="BW33" s="54" t="str">
        <f>IF('⚙ OFF Weekends'!$D$70="OFF","OFF","")</f>
        <v/>
      </c>
      <c r="BX33" s="56" t="str">
        <f>IF('⚙ OFF Weekends'!$D$71="OFF","OFF","")</f>
        <v/>
      </c>
      <c r="BY33" s="54" t="str">
        <f>IF('⚙ OFF Weekends'!$D$72="OFF","OFF","")</f>
        <v/>
      </c>
      <c r="BZ33" s="56" t="str">
        <f>IF('⚙ OFF Weekends'!$D$73="OFF","OFF","")</f>
        <v/>
      </c>
      <c r="CA33" s="54" t="str">
        <f>IF('⚙ OFF Weekends'!$D$74="OFF","OFF","")</f>
        <v/>
      </c>
      <c r="CB33" s="56" t="str">
        <f>IF('⚙ OFF Weekends'!$D$75="OFF","OFF","")</f>
        <v/>
      </c>
      <c r="CC33" s="54" t="str">
        <f>IF('⚙ OFF Weekends'!$D$76="OFF","OFF","")</f>
        <v/>
      </c>
      <c r="CD33" s="56" t="str">
        <f>IF('⚙ OFF Weekends'!$D$77="OFF","OFF","")</f>
        <v/>
      </c>
      <c r="CE33" s="96">
        <f t="shared" si="9"/>
        <v>13</v>
      </c>
      <c r="CF33" s="96">
        <f t="shared" si="10"/>
        <v>4</v>
      </c>
      <c r="CG33" s="96">
        <f t="shared" si="11"/>
        <v>1</v>
      </c>
      <c r="CH33" s="96" t="str">
        <f t="shared" si="12"/>
        <v>76%</v>
      </c>
    </row>
    <row r="34" ht="18.0" customHeight="1">
      <c r="A34" s="95">
        <v>9.0</v>
      </c>
      <c r="B34" s="12" t="s">
        <v>309</v>
      </c>
      <c r="C34" s="14" t="s">
        <v>310</v>
      </c>
      <c r="D34" s="17" t="str">
        <f t="shared" si="7"/>
        <v>📞 Call</v>
      </c>
      <c r="E34" s="19" t="str">
        <f t="shared" si="8"/>
        <v>💬 WhatsApp</v>
      </c>
      <c r="F34" s="10"/>
      <c r="G34" s="10" t="s">
        <v>294</v>
      </c>
      <c r="H34" s="10" t="s">
        <v>295</v>
      </c>
      <c r="I34" s="79" t="s">
        <v>223</v>
      </c>
      <c r="J34" s="48" t="s">
        <v>196</v>
      </c>
      <c r="K34" s="49" t="s">
        <v>197</v>
      </c>
      <c r="L34" s="48" t="s">
        <v>196</v>
      </c>
      <c r="M34" s="50" t="s">
        <v>37</v>
      </c>
      <c r="N34" s="50" t="s">
        <v>37</v>
      </c>
      <c r="O34" s="50" t="s">
        <v>37</v>
      </c>
      <c r="P34" s="50" t="s">
        <v>37</v>
      </c>
      <c r="Q34" s="48" t="s">
        <v>196</v>
      </c>
      <c r="R34" s="50" t="s">
        <v>37</v>
      </c>
      <c r="S34" s="52" t="s">
        <v>37</v>
      </c>
      <c r="T34" s="53" t="s">
        <v>196</v>
      </c>
      <c r="U34" s="52" t="s">
        <v>37</v>
      </c>
      <c r="V34" s="53" t="s">
        <v>37</v>
      </c>
      <c r="W34" s="54" t="str">
        <f>IF('⚙ OFF Weekends'!$D$18="OFF","OFF","")</f>
        <v>OFF</v>
      </c>
      <c r="X34" s="53" t="s">
        <v>198</v>
      </c>
      <c r="Y34" s="52" t="s">
        <v>196</v>
      </c>
      <c r="Z34" s="53" t="s">
        <v>196</v>
      </c>
      <c r="AA34" s="52" t="s">
        <v>37</v>
      </c>
      <c r="AB34" s="53" t="s">
        <v>37</v>
      </c>
      <c r="AC34" s="54" t="str">
        <f>IF('⚙ OFF Weekends'!$D$24="OFF","OFF","")</f>
        <v/>
      </c>
      <c r="AD34" s="56" t="str">
        <f>IF('⚙ OFF Weekends'!$D$25="OFF","OFF","")</f>
        <v/>
      </c>
      <c r="AE34" s="54" t="str">
        <f>IF('⚙ OFF Weekends'!$D$26="OFF","OFF","")</f>
        <v/>
      </c>
      <c r="AF34" s="56" t="str">
        <f>IF('⚙ OFF Weekends'!$D$27="OFF","OFF","")</f>
        <v/>
      </c>
      <c r="AG34" s="54" t="str">
        <f>IF('⚙ OFF Weekends'!$D$28="OFF","OFF","")</f>
        <v/>
      </c>
      <c r="AH34" s="56" t="str">
        <f>IF('⚙ OFF Weekends'!$D$29="OFF","OFF","")</f>
        <v/>
      </c>
      <c r="AI34" s="54" t="str">
        <f>IF('⚙ OFF Weekends'!$D$30="OFF","OFF","")</f>
        <v/>
      </c>
      <c r="AJ34" s="56" t="str">
        <f>IF('⚙ OFF Weekends'!$D$31="OFF","OFF","")</f>
        <v/>
      </c>
      <c r="AK34" s="54" t="str">
        <f>IF('⚙ OFF Weekends'!$D$32="OFF","OFF","")</f>
        <v/>
      </c>
      <c r="AL34" s="56" t="str">
        <f>IF('⚙ OFF Weekends'!$D$33="OFF","OFF","")</f>
        <v/>
      </c>
      <c r="AM34" s="54" t="str">
        <f>IF('⚙ OFF Weekends'!$D$34="OFF","OFF","")</f>
        <v/>
      </c>
      <c r="AN34" s="56" t="str">
        <f>IF('⚙ OFF Weekends'!$D$35="OFF","OFF","")</f>
        <v/>
      </c>
      <c r="AO34" s="54" t="str">
        <f>IF('⚙ OFF Weekends'!$D$36="OFF","OFF","")</f>
        <v/>
      </c>
      <c r="AP34" s="56" t="str">
        <f>IF('⚙ OFF Weekends'!$D$37="OFF","OFF","")</f>
        <v/>
      </c>
      <c r="AQ34" s="54" t="str">
        <f>IF('⚙ OFF Weekends'!$D$38="OFF","OFF","")</f>
        <v/>
      </c>
      <c r="AR34" s="56" t="str">
        <f>IF('⚙ OFF Weekends'!$D$39="OFF","OFF","")</f>
        <v/>
      </c>
      <c r="AS34" s="54" t="str">
        <f>IF('⚙ OFF Weekends'!$D$40="OFF","OFF","")</f>
        <v/>
      </c>
      <c r="AT34" s="56" t="str">
        <f>IF('⚙ OFF Weekends'!$D$41="OFF","OFF","")</f>
        <v/>
      </c>
      <c r="AU34" s="54" t="str">
        <f>IF('⚙ OFF Weekends'!$D$42="OFF","OFF","")</f>
        <v/>
      </c>
      <c r="AV34" s="56" t="str">
        <f>IF('⚙ OFF Weekends'!$D$43="OFF","OFF","")</f>
        <v/>
      </c>
      <c r="AW34" s="54" t="str">
        <f>IF('⚙ OFF Weekends'!$D$44="OFF","OFF","")</f>
        <v/>
      </c>
      <c r="AX34" s="56" t="str">
        <f>IF('⚙ OFF Weekends'!$D$45="OFF","OFF","")</f>
        <v/>
      </c>
      <c r="AY34" s="54" t="str">
        <f>IF('⚙ OFF Weekends'!$D$46="OFF","OFF","")</f>
        <v/>
      </c>
      <c r="AZ34" s="56" t="str">
        <f>IF('⚙ OFF Weekends'!$D$47="OFF","OFF","")</f>
        <v/>
      </c>
      <c r="BA34" s="54" t="str">
        <f>IF('⚙ OFF Weekends'!$D$48="OFF","OFF","")</f>
        <v/>
      </c>
      <c r="BB34" s="56" t="str">
        <f>IF('⚙ OFF Weekends'!$D$49="OFF","OFF","")</f>
        <v/>
      </c>
      <c r="BC34" s="54" t="str">
        <f>IF('⚙ OFF Weekends'!$D$50="OFF","OFF","")</f>
        <v/>
      </c>
      <c r="BD34" s="56" t="str">
        <f>IF('⚙ OFF Weekends'!$D$51="OFF","OFF","")</f>
        <v/>
      </c>
      <c r="BE34" s="54" t="str">
        <f>IF('⚙ OFF Weekends'!$D$52="OFF","OFF","")</f>
        <v/>
      </c>
      <c r="BF34" s="56" t="str">
        <f>IF('⚙ OFF Weekends'!$D$53="OFF","OFF","")</f>
        <v/>
      </c>
      <c r="BG34" s="54" t="str">
        <f>IF('⚙ OFF Weekends'!$D$54="OFF","OFF","")</f>
        <v/>
      </c>
      <c r="BH34" s="56" t="str">
        <f>IF('⚙ OFF Weekends'!$D$55="OFF","OFF","")</f>
        <v/>
      </c>
      <c r="BI34" s="54" t="str">
        <f>IF('⚙ OFF Weekends'!$D$56="OFF","OFF","")</f>
        <v/>
      </c>
      <c r="BJ34" s="56" t="str">
        <f>IF('⚙ OFF Weekends'!$D$57="OFF","OFF","")</f>
        <v/>
      </c>
      <c r="BK34" s="54" t="str">
        <f>IF('⚙ OFF Weekends'!$D$58="OFF","OFF","")</f>
        <v/>
      </c>
      <c r="BL34" s="56" t="str">
        <f>IF('⚙ OFF Weekends'!$D$59="OFF","OFF","")</f>
        <v/>
      </c>
      <c r="BM34" s="54" t="str">
        <f>IF('⚙ OFF Weekends'!$D$60="OFF","OFF","")</f>
        <v/>
      </c>
      <c r="BN34" s="56" t="str">
        <f>IF('⚙ OFF Weekends'!$D$61="OFF","OFF","")</f>
        <v/>
      </c>
      <c r="BO34" s="54" t="str">
        <f>IF('⚙ OFF Weekends'!$D$62="OFF","OFF","")</f>
        <v/>
      </c>
      <c r="BP34" s="56" t="str">
        <f>IF('⚙ OFF Weekends'!$D$63="OFF","OFF","")</f>
        <v/>
      </c>
      <c r="BQ34" s="54" t="str">
        <f>IF('⚙ OFF Weekends'!$D$64="OFF","OFF","")</f>
        <v/>
      </c>
      <c r="BR34" s="56" t="str">
        <f>IF('⚙ OFF Weekends'!$D$65="OFF","OFF","")</f>
        <v/>
      </c>
      <c r="BS34" s="54" t="str">
        <f>IF('⚙ OFF Weekends'!$D$66="OFF","OFF","")</f>
        <v/>
      </c>
      <c r="BT34" s="56" t="str">
        <f>IF('⚙ OFF Weekends'!$D$67="OFF","OFF","")</f>
        <v/>
      </c>
      <c r="BU34" s="54" t="str">
        <f>IF('⚙ OFF Weekends'!$D$68="OFF","OFF","")</f>
        <v/>
      </c>
      <c r="BV34" s="56" t="str">
        <f>IF('⚙ OFF Weekends'!$D$69="OFF","OFF","")</f>
        <v/>
      </c>
      <c r="BW34" s="54" t="str">
        <f>IF('⚙ OFF Weekends'!$D$70="OFF","OFF","")</f>
        <v/>
      </c>
      <c r="BX34" s="56" t="str">
        <f>IF('⚙ OFF Weekends'!$D$71="OFF","OFF","")</f>
        <v/>
      </c>
      <c r="BY34" s="54" t="str">
        <f>IF('⚙ OFF Weekends'!$D$72="OFF","OFF","")</f>
        <v/>
      </c>
      <c r="BZ34" s="56" t="str">
        <f>IF('⚙ OFF Weekends'!$D$73="OFF","OFF","")</f>
        <v/>
      </c>
      <c r="CA34" s="54" t="str">
        <f>IF('⚙ OFF Weekends'!$D$74="OFF","OFF","")</f>
        <v/>
      </c>
      <c r="CB34" s="56" t="str">
        <f>IF('⚙ OFF Weekends'!$D$75="OFF","OFF","")</f>
        <v/>
      </c>
      <c r="CC34" s="54" t="str">
        <f>IF('⚙ OFF Weekends'!$D$76="OFF","OFF","")</f>
        <v/>
      </c>
      <c r="CD34" s="56" t="str">
        <f>IF('⚙ OFF Weekends'!$D$77="OFF","OFF","")</f>
        <v/>
      </c>
      <c r="CE34" s="95">
        <f t="shared" si="9"/>
        <v>16</v>
      </c>
      <c r="CF34" s="95">
        <f t="shared" si="10"/>
        <v>1</v>
      </c>
      <c r="CG34" s="95">
        <f t="shared" si="11"/>
        <v>1</v>
      </c>
      <c r="CH34" s="95" t="str">
        <f t="shared" si="12"/>
        <v>94%</v>
      </c>
    </row>
    <row r="35" ht="18.0" customHeight="1">
      <c r="A35" s="96">
        <v>10.0</v>
      </c>
      <c r="B35" s="22" t="s">
        <v>314</v>
      </c>
      <c r="C35" s="23" t="s">
        <v>315</v>
      </c>
      <c r="D35" s="24" t="str">
        <f t="shared" si="7"/>
        <v>📞 Call</v>
      </c>
      <c r="E35" s="41" t="str">
        <f t="shared" si="8"/>
        <v>💬 WhatsApp</v>
      </c>
      <c r="F35" s="20"/>
      <c r="G35" s="20" t="s">
        <v>294</v>
      </c>
      <c r="H35" s="20" t="s">
        <v>299</v>
      </c>
      <c r="I35" s="79" t="s">
        <v>223</v>
      </c>
      <c r="J35" s="79" t="s">
        <v>223</v>
      </c>
      <c r="K35" s="49" t="s">
        <v>197</v>
      </c>
      <c r="L35" s="79" t="s">
        <v>223</v>
      </c>
      <c r="M35" s="79" t="s">
        <v>223</v>
      </c>
      <c r="N35" s="79" t="s">
        <v>223</v>
      </c>
      <c r="O35" s="79" t="s">
        <v>223</v>
      </c>
      <c r="P35" s="79" t="s">
        <v>223</v>
      </c>
      <c r="Q35" s="79" t="s">
        <v>223</v>
      </c>
      <c r="R35" s="101" t="s">
        <v>296</v>
      </c>
      <c r="S35" s="101" t="s">
        <v>296</v>
      </c>
      <c r="T35" s="101" t="s">
        <v>296</v>
      </c>
      <c r="U35" s="101" t="s">
        <v>296</v>
      </c>
      <c r="V35" s="101" t="s">
        <v>296</v>
      </c>
      <c r="W35" s="101" t="s">
        <v>296</v>
      </c>
      <c r="X35" s="101" t="s">
        <v>296</v>
      </c>
      <c r="Y35" s="101" t="s">
        <v>296</v>
      </c>
      <c r="Z35" s="101" t="s">
        <v>296</v>
      </c>
      <c r="AA35" s="101" t="s">
        <v>296</v>
      </c>
      <c r="AB35" s="101" t="s">
        <v>296</v>
      </c>
      <c r="AC35" s="101" t="s">
        <v>296</v>
      </c>
      <c r="AD35" s="101" t="s">
        <v>296</v>
      </c>
      <c r="AE35" s="101" t="s">
        <v>296</v>
      </c>
      <c r="AF35" s="101" t="s">
        <v>296</v>
      </c>
      <c r="AG35" s="101" t="s">
        <v>296</v>
      </c>
      <c r="AH35" s="101" t="s">
        <v>296</v>
      </c>
      <c r="AI35" s="101" t="s">
        <v>296</v>
      </c>
      <c r="AJ35" s="101" t="s">
        <v>296</v>
      </c>
      <c r="AK35" s="101" t="s">
        <v>296</v>
      </c>
      <c r="AL35" s="101" t="s">
        <v>296</v>
      </c>
      <c r="AM35" s="101" t="s">
        <v>296</v>
      </c>
      <c r="AN35" s="101" t="s">
        <v>296</v>
      </c>
      <c r="AO35" s="101" t="s">
        <v>296</v>
      </c>
      <c r="AP35" s="101" t="s">
        <v>296</v>
      </c>
      <c r="AQ35" s="101" t="s">
        <v>296</v>
      </c>
      <c r="AR35" s="101" t="s">
        <v>296</v>
      </c>
      <c r="AS35" s="101" t="s">
        <v>296</v>
      </c>
      <c r="AT35" s="101" t="s">
        <v>296</v>
      </c>
      <c r="AU35" s="101" t="s">
        <v>296</v>
      </c>
      <c r="AV35" s="101" t="s">
        <v>296</v>
      </c>
      <c r="AW35" s="101" t="s">
        <v>296</v>
      </c>
      <c r="AX35" s="101" t="s">
        <v>296</v>
      </c>
      <c r="AY35" s="101" t="s">
        <v>296</v>
      </c>
      <c r="AZ35" s="101" t="s">
        <v>296</v>
      </c>
      <c r="BA35" s="101" t="s">
        <v>296</v>
      </c>
      <c r="BB35" s="101" t="s">
        <v>296</v>
      </c>
      <c r="BC35" s="101" t="s">
        <v>296</v>
      </c>
      <c r="BD35" s="101" t="s">
        <v>296</v>
      </c>
      <c r="BE35" s="101" t="s">
        <v>296</v>
      </c>
      <c r="BF35" s="101" t="s">
        <v>296</v>
      </c>
      <c r="BG35" s="101" t="s">
        <v>296</v>
      </c>
      <c r="BH35" s="101" t="s">
        <v>296</v>
      </c>
      <c r="BI35" s="101" t="s">
        <v>296</v>
      </c>
      <c r="BJ35" s="101" t="s">
        <v>296</v>
      </c>
      <c r="BK35" s="101" t="s">
        <v>296</v>
      </c>
      <c r="BL35" s="101" t="s">
        <v>296</v>
      </c>
      <c r="BM35" s="101" t="s">
        <v>296</v>
      </c>
      <c r="BN35" s="101" t="s">
        <v>296</v>
      </c>
      <c r="BO35" s="101" t="s">
        <v>296</v>
      </c>
      <c r="BP35" s="101" t="s">
        <v>296</v>
      </c>
      <c r="BQ35" s="101" t="s">
        <v>296</v>
      </c>
      <c r="BR35" s="101" t="s">
        <v>296</v>
      </c>
      <c r="BS35" s="101" t="s">
        <v>296</v>
      </c>
      <c r="BT35" s="101" t="s">
        <v>296</v>
      </c>
      <c r="BU35" s="101" t="s">
        <v>296</v>
      </c>
      <c r="BV35" s="101" t="s">
        <v>296</v>
      </c>
      <c r="BW35" s="101" t="s">
        <v>296</v>
      </c>
      <c r="BX35" s="101" t="s">
        <v>296</v>
      </c>
      <c r="BY35" s="101" t="s">
        <v>296</v>
      </c>
      <c r="BZ35" s="101" t="s">
        <v>296</v>
      </c>
      <c r="CA35" s="101" t="s">
        <v>296</v>
      </c>
      <c r="CB35" s="101" t="s">
        <v>296</v>
      </c>
      <c r="CC35" s="101" t="s">
        <v>296</v>
      </c>
      <c r="CD35" s="101" t="s">
        <v>296</v>
      </c>
      <c r="CE35" s="96">
        <f t="shared" si="9"/>
        <v>0</v>
      </c>
      <c r="CF35" s="96">
        <f t="shared" si="10"/>
        <v>8</v>
      </c>
      <c r="CG35" s="96">
        <f t="shared" si="11"/>
        <v>0</v>
      </c>
      <c r="CH35" s="96" t="str">
        <f t="shared" si="12"/>
        <v>0%</v>
      </c>
    </row>
    <row r="36" ht="18.0" customHeight="1">
      <c r="A36" s="95">
        <v>11.0</v>
      </c>
      <c r="B36" s="12" t="s">
        <v>318</v>
      </c>
      <c r="C36" s="14" t="s">
        <v>319</v>
      </c>
      <c r="D36" s="17" t="str">
        <f t="shared" si="7"/>
        <v>📞 Call</v>
      </c>
      <c r="E36" s="19" t="str">
        <f t="shared" si="8"/>
        <v>💬 WhatsApp</v>
      </c>
      <c r="F36" s="10"/>
      <c r="G36" s="10" t="s">
        <v>294</v>
      </c>
      <c r="H36" s="10" t="s">
        <v>320</v>
      </c>
      <c r="I36" s="48" t="s">
        <v>196</v>
      </c>
      <c r="J36" s="48" t="s">
        <v>196</v>
      </c>
      <c r="K36" s="49" t="s">
        <v>197</v>
      </c>
      <c r="L36" s="48" t="s">
        <v>196</v>
      </c>
      <c r="M36" s="50" t="s">
        <v>37</v>
      </c>
      <c r="N36" s="77" t="s">
        <v>198</v>
      </c>
      <c r="O36" s="48" t="s">
        <v>196</v>
      </c>
      <c r="P36" s="48" t="s">
        <v>196</v>
      </c>
      <c r="Q36" s="79" t="s">
        <v>223</v>
      </c>
      <c r="R36" s="79" t="s">
        <v>223</v>
      </c>
      <c r="S36" s="52" t="s">
        <v>196</v>
      </c>
      <c r="T36" s="53" t="s">
        <v>198</v>
      </c>
      <c r="U36" s="52" t="s">
        <v>37</v>
      </c>
      <c r="V36" s="53" t="s">
        <v>196</v>
      </c>
      <c r="W36" s="54" t="str">
        <f>IF('⚙ OFF Weekends'!$D$18="OFF","OFF","")</f>
        <v>OFF</v>
      </c>
      <c r="X36" s="53" t="s">
        <v>198</v>
      </c>
      <c r="Y36" s="52" t="s">
        <v>37</v>
      </c>
      <c r="Z36" s="53" t="s">
        <v>223</v>
      </c>
      <c r="AA36" s="52" t="s">
        <v>198</v>
      </c>
      <c r="AB36" s="53" t="s">
        <v>223</v>
      </c>
      <c r="AC36" s="54" t="str">
        <f>IF('⚙ OFF Weekends'!$D$24="OFF","OFF","")</f>
        <v/>
      </c>
      <c r="AD36" s="56" t="str">
        <f>IF('⚙ OFF Weekends'!$D$25="OFF","OFF","")</f>
        <v/>
      </c>
      <c r="AE36" s="54" t="str">
        <f>IF('⚙ OFF Weekends'!$D$26="OFF","OFF","")</f>
        <v/>
      </c>
      <c r="AF36" s="56" t="str">
        <f>IF('⚙ OFF Weekends'!$D$27="OFF","OFF","")</f>
        <v/>
      </c>
      <c r="AG36" s="54" t="str">
        <f>IF('⚙ OFF Weekends'!$D$28="OFF","OFF","")</f>
        <v/>
      </c>
      <c r="AH36" s="56" t="str">
        <f>IF('⚙ OFF Weekends'!$D$29="OFF","OFF","")</f>
        <v/>
      </c>
      <c r="AI36" s="54" t="str">
        <f>IF('⚙ OFF Weekends'!$D$30="OFF","OFF","")</f>
        <v/>
      </c>
      <c r="AJ36" s="56" t="str">
        <f>IF('⚙ OFF Weekends'!$D$31="OFF","OFF","")</f>
        <v/>
      </c>
      <c r="AK36" s="54" t="str">
        <f>IF('⚙ OFF Weekends'!$D$32="OFF","OFF","")</f>
        <v/>
      </c>
      <c r="AL36" s="56" t="str">
        <f>IF('⚙ OFF Weekends'!$D$33="OFF","OFF","")</f>
        <v/>
      </c>
      <c r="AM36" s="54" t="str">
        <f>IF('⚙ OFF Weekends'!$D$34="OFF","OFF","")</f>
        <v/>
      </c>
      <c r="AN36" s="56" t="str">
        <f>IF('⚙ OFF Weekends'!$D$35="OFF","OFF","")</f>
        <v/>
      </c>
      <c r="AO36" s="54" t="str">
        <f>IF('⚙ OFF Weekends'!$D$36="OFF","OFF","")</f>
        <v/>
      </c>
      <c r="AP36" s="56" t="str">
        <f>IF('⚙ OFF Weekends'!$D$37="OFF","OFF","")</f>
        <v/>
      </c>
      <c r="AQ36" s="54" t="str">
        <f>IF('⚙ OFF Weekends'!$D$38="OFF","OFF","")</f>
        <v/>
      </c>
      <c r="AR36" s="56" t="str">
        <f>IF('⚙ OFF Weekends'!$D$39="OFF","OFF","")</f>
        <v/>
      </c>
      <c r="AS36" s="54" t="str">
        <f>IF('⚙ OFF Weekends'!$D$40="OFF","OFF","")</f>
        <v/>
      </c>
      <c r="AT36" s="56" t="str">
        <f>IF('⚙ OFF Weekends'!$D$41="OFF","OFF","")</f>
        <v/>
      </c>
      <c r="AU36" s="54" t="str">
        <f>IF('⚙ OFF Weekends'!$D$42="OFF","OFF","")</f>
        <v/>
      </c>
      <c r="AV36" s="56" t="str">
        <f>IF('⚙ OFF Weekends'!$D$43="OFF","OFF","")</f>
        <v/>
      </c>
      <c r="AW36" s="54" t="str">
        <f>IF('⚙ OFF Weekends'!$D$44="OFF","OFF","")</f>
        <v/>
      </c>
      <c r="AX36" s="56" t="str">
        <f>IF('⚙ OFF Weekends'!$D$45="OFF","OFF","")</f>
        <v/>
      </c>
      <c r="AY36" s="54" t="str">
        <f>IF('⚙ OFF Weekends'!$D$46="OFF","OFF","")</f>
        <v/>
      </c>
      <c r="AZ36" s="56" t="str">
        <f>IF('⚙ OFF Weekends'!$D$47="OFF","OFF","")</f>
        <v/>
      </c>
      <c r="BA36" s="54" t="str">
        <f>IF('⚙ OFF Weekends'!$D$48="OFF","OFF","")</f>
        <v/>
      </c>
      <c r="BB36" s="56" t="str">
        <f>IF('⚙ OFF Weekends'!$D$49="OFF","OFF","")</f>
        <v/>
      </c>
      <c r="BC36" s="54" t="str">
        <f>IF('⚙ OFF Weekends'!$D$50="OFF","OFF","")</f>
        <v/>
      </c>
      <c r="BD36" s="56" t="str">
        <f>IF('⚙ OFF Weekends'!$D$51="OFF","OFF","")</f>
        <v/>
      </c>
      <c r="BE36" s="54" t="str">
        <f>IF('⚙ OFF Weekends'!$D$52="OFF","OFF","")</f>
        <v/>
      </c>
      <c r="BF36" s="56" t="str">
        <f>IF('⚙ OFF Weekends'!$D$53="OFF","OFF","")</f>
        <v/>
      </c>
      <c r="BG36" s="54" t="str">
        <f>IF('⚙ OFF Weekends'!$D$54="OFF","OFF","")</f>
        <v/>
      </c>
      <c r="BH36" s="56" t="str">
        <f>IF('⚙ OFF Weekends'!$D$55="OFF","OFF","")</f>
        <v/>
      </c>
      <c r="BI36" s="54" t="str">
        <f>IF('⚙ OFF Weekends'!$D$56="OFF","OFF","")</f>
        <v/>
      </c>
      <c r="BJ36" s="56" t="str">
        <f>IF('⚙ OFF Weekends'!$D$57="OFF","OFF","")</f>
        <v/>
      </c>
      <c r="BK36" s="54" t="str">
        <f>IF('⚙ OFF Weekends'!$D$58="OFF","OFF","")</f>
        <v/>
      </c>
      <c r="BL36" s="56" t="str">
        <f>IF('⚙ OFF Weekends'!$D$59="OFF","OFF","")</f>
        <v/>
      </c>
      <c r="BM36" s="54" t="str">
        <f>IF('⚙ OFF Weekends'!$D$60="OFF","OFF","")</f>
        <v/>
      </c>
      <c r="BN36" s="56" t="str">
        <f>IF('⚙ OFF Weekends'!$D$61="OFF","OFF","")</f>
        <v/>
      </c>
      <c r="BO36" s="54" t="str">
        <f>IF('⚙ OFF Weekends'!$D$62="OFF","OFF","")</f>
        <v/>
      </c>
      <c r="BP36" s="56" t="str">
        <f>IF('⚙ OFF Weekends'!$D$63="OFF","OFF","")</f>
        <v/>
      </c>
      <c r="BQ36" s="54" t="str">
        <f>IF('⚙ OFF Weekends'!$D$64="OFF","OFF","")</f>
        <v/>
      </c>
      <c r="BR36" s="56" t="str">
        <f>IF('⚙ OFF Weekends'!$D$65="OFF","OFF","")</f>
        <v/>
      </c>
      <c r="BS36" s="54" t="str">
        <f>IF('⚙ OFF Weekends'!$D$66="OFF","OFF","")</f>
        <v/>
      </c>
      <c r="BT36" s="56" t="str">
        <f>IF('⚙ OFF Weekends'!$D$67="OFF","OFF","")</f>
        <v/>
      </c>
      <c r="BU36" s="54" t="str">
        <f>IF('⚙ OFF Weekends'!$D$68="OFF","OFF","")</f>
        <v/>
      </c>
      <c r="BV36" s="56" t="str">
        <f>IF('⚙ OFF Weekends'!$D$69="OFF","OFF","")</f>
        <v/>
      </c>
      <c r="BW36" s="54" t="str">
        <f>IF('⚙ OFF Weekends'!$D$70="OFF","OFF","")</f>
        <v/>
      </c>
      <c r="BX36" s="56" t="str">
        <f>IF('⚙ OFF Weekends'!$D$71="OFF","OFF","")</f>
        <v/>
      </c>
      <c r="BY36" s="54" t="str">
        <f>IF('⚙ OFF Weekends'!$D$72="OFF","OFF","")</f>
        <v/>
      </c>
      <c r="BZ36" s="56" t="str">
        <f>IF('⚙ OFF Weekends'!$D$73="OFF","OFF","")</f>
        <v/>
      </c>
      <c r="CA36" s="54" t="str">
        <f>IF('⚙ OFF Weekends'!$D$74="OFF","OFF","")</f>
        <v/>
      </c>
      <c r="CB36" s="56" t="str">
        <f>IF('⚙ OFF Weekends'!$D$75="OFF","OFF","")</f>
        <v/>
      </c>
      <c r="CC36" s="54" t="str">
        <f>IF('⚙ OFF Weekends'!$D$76="OFF","OFF","")</f>
        <v/>
      </c>
      <c r="CD36" s="56" t="str">
        <f>IF('⚙ OFF Weekends'!$D$77="OFF","OFF","")</f>
        <v/>
      </c>
      <c r="CE36" s="95">
        <f t="shared" si="9"/>
        <v>10</v>
      </c>
      <c r="CF36" s="95">
        <f t="shared" si="10"/>
        <v>4</v>
      </c>
      <c r="CG36" s="95">
        <f t="shared" si="11"/>
        <v>4</v>
      </c>
      <c r="CH36" s="95" t="str">
        <f t="shared" si="12"/>
        <v>71%</v>
      </c>
    </row>
    <row r="37" ht="18.0" customHeight="1">
      <c r="A37" s="96">
        <v>12.0</v>
      </c>
      <c r="B37" s="22" t="s">
        <v>323</v>
      </c>
      <c r="C37" s="23" t="s">
        <v>324</v>
      </c>
      <c r="D37" s="24" t="str">
        <f t="shared" si="7"/>
        <v>📞 Call</v>
      </c>
      <c r="E37" s="41" t="str">
        <f t="shared" si="8"/>
        <v>💬 WhatsApp</v>
      </c>
      <c r="F37" s="20"/>
      <c r="G37" s="20" t="s">
        <v>294</v>
      </c>
      <c r="H37" s="20" t="s">
        <v>295</v>
      </c>
      <c r="I37" s="79" t="s">
        <v>223</v>
      </c>
      <c r="J37" s="48" t="s">
        <v>196</v>
      </c>
      <c r="K37" s="49" t="s">
        <v>197</v>
      </c>
      <c r="L37" s="48" t="s">
        <v>196</v>
      </c>
      <c r="M37" s="48" t="s">
        <v>196</v>
      </c>
      <c r="N37" s="50" t="s">
        <v>37</v>
      </c>
      <c r="O37" s="50" t="s">
        <v>37</v>
      </c>
      <c r="P37" s="48" t="s">
        <v>196</v>
      </c>
      <c r="Q37" s="48" t="s">
        <v>196</v>
      </c>
      <c r="R37" s="48" t="s">
        <v>196</v>
      </c>
      <c r="S37" s="52" t="s">
        <v>196</v>
      </c>
      <c r="T37" s="53" t="s">
        <v>196</v>
      </c>
      <c r="U37" s="52" t="s">
        <v>196</v>
      </c>
      <c r="V37" s="53" t="s">
        <v>196</v>
      </c>
      <c r="W37" s="54" t="str">
        <f>IF('⚙ OFF Weekends'!$D$18="OFF","OFF","")</f>
        <v>OFF</v>
      </c>
      <c r="X37" s="53" t="s">
        <v>198</v>
      </c>
      <c r="Y37" s="52" t="s">
        <v>37</v>
      </c>
      <c r="Z37" s="53" t="s">
        <v>223</v>
      </c>
      <c r="AA37" s="52" t="s">
        <v>37</v>
      </c>
      <c r="AB37" s="53" t="s">
        <v>37</v>
      </c>
      <c r="AC37" s="54" t="str">
        <f>IF('⚙ OFF Weekends'!$D$24="OFF","OFF","")</f>
        <v/>
      </c>
      <c r="AD37" s="56" t="str">
        <f>IF('⚙ OFF Weekends'!$D$25="OFF","OFF","")</f>
        <v/>
      </c>
      <c r="AE37" s="54" t="str">
        <f>IF('⚙ OFF Weekends'!$D$26="OFF","OFF","")</f>
        <v/>
      </c>
      <c r="AF37" s="56" t="str">
        <f>IF('⚙ OFF Weekends'!$D$27="OFF","OFF","")</f>
        <v/>
      </c>
      <c r="AG37" s="54" t="str">
        <f>IF('⚙ OFF Weekends'!$D$28="OFF","OFF","")</f>
        <v/>
      </c>
      <c r="AH37" s="56" t="str">
        <f>IF('⚙ OFF Weekends'!$D$29="OFF","OFF","")</f>
        <v/>
      </c>
      <c r="AI37" s="54" t="str">
        <f>IF('⚙ OFF Weekends'!$D$30="OFF","OFF","")</f>
        <v/>
      </c>
      <c r="AJ37" s="56" t="str">
        <f>IF('⚙ OFF Weekends'!$D$31="OFF","OFF","")</f>
        <v/>
      </c>
      <c r="AK37" s="54" t="str">
        <f>IF('⚙ OFF Weekends'!$D$32="OFF","OFF","")</f>
        <v/>
      </c>
      <c r="AL37" s="56" t="str">
        <f>IF('⚙ OFF Weekends'!$D$33="OFF","OFF","")</f>
        <v/>
      </c>
      <c r="AM37" s="54" t="str">
        <f>IF('⚙ OFF Weekends'!$D$34="OFF","OFF","")</f>
        <v/>
      </c>
      <c r="AN37" s="56" t="str">
        <f>IF('⚙ OFF Weekends'!$D$35="OFF","OFF","")</f>
        <v/>
      </c>
      <c r="AO37" s="54" t="str">
        <f>IF('⚙ OFF Weekends'!$D$36="OFF","OFF","")</f>
        <v/>
      </c>
      <c r="AP37" s="56" t="str">
        <f>IF('⚙ OFF Weekends'!$D$37="OFF","OFF","")</f>
        <v/>
      </c>
      <c r="AQ37" s="54" t="str">
        <f>IF('⚙ OFF Weekends'!$D$38="OFF","OFF","")</f>
        <v/>
      </c>
      <c r="AR37" s="56" t="str">
        <f>IF('⚙ OFF Weekends'!$D$39="OFF","OFF","")</f>
        <v/>
      </c>
      <c r="AS37" s="54" t="str">
        <f>IF('⚙ OFF Weekends'!$D$40="OFF","OFF","")</f>
        <v/>
      </c>
      <c r="AT37" s="56" t="str">
        <f>IF('⚙ OFF Weekends'!$D$41="OFF","OFF","")</f>
        <v/>
      </c>
      <c r="AU37" s="54" t="str">
        <f>IF('⚙ OFF Weekends'!$D$42="OFF","OFF","")</f>
        <v/>
      </c>
      <c r="AV37" s="56" t="str">
        <f>IF('⚙ OFF Weekends'!$D$43="OFF","OFF","")</f>
        <v/>
      </c>
      <c r="AW37" s="54" t="str">
        <f>IF('⚙ OFF Weekends'!$D$44="OFF","OFF","")</f>
        <v/>
      </c>
      <c r="AX37" s="56" t="str">
        <f>IF('⚙ OFF Weekends'!$D$45="OFF","OFF","")</f>
        <v/>
      </c>
      <c r="AY37" s="54" t="str">
        <f>IF('⚙ OFF Weekends'!$D$46="OFF","OFF","")</f>
        <v/>
      </c>
      <c r="AZ37" s="56" t="str">
        <f>IF('⚙ OFF Weekends'!$D$47="OFF","OFF","")</f>
        <v/>
      </c>
      <c r="BA37" s="54" t="str">
        <f>IF('⚙ OFF Weekends'!$D$48="OFF","OFF","")</f>
        <v/>
      </c>
      <c r="BB37" s="56" t="str">
        <f>IF('⚙ OFF Weekends'!$D$49="OFF","OFF","")</f>
        <v/>
      </c>
      <c r="BC37" s="54" t="str">
        <f>IF('⚙ OFF Weekends'!$D$50="OFF","OFF","")</f>
        <v/>
      </c>
      <c r="BD37" s="56" t="str">
        <f>IF('⚙ OFF Weekends'!$D$51="OFF","OFF","")</f>
        <v/>
      </c>
      <c r="BE37" s="54" t="str">
        <f>IF('⚙ OFF Weekends'!$D$52="OFF","OFF","")</f>
        <v/>
      </c>
      <c r="BF37" s="56" t="str">
        <f>IF('⚙ OFF Weekends'!$D$53="OFF","OFF","")</f>
        <v/>
      </c>
      <c r="BG37" s="54" t="str">
        <f>IF('⚙ OFF Weekends'!$D$54="OFF","OFF","")</f>
        <v/>
      </c>
      <c r="BH37" s="56" t="str">
        <f>IF('⚙ OFF Weekends'!$D$55="OFF","OFF","")</f>
        <v/>
      </c>
      <c r="BI37" s="54" t="str">
        <f>IF('⚙ OFF Weekends'!$D$56="OFF","OFF","")</f>
        <v/>
      </c>
      <c r="BJ37" s="56" t="str">
        <f>IF('⚙ OFF Weekends'!$D$57="OFF","OFF","")</f>
        <v/>
      </c>
      <c r="BK37" s="54" t="str">
        <f>IF('⚙ OFF Weekends'!$D$58="OFF","OFF","")</f>
        <v/>
      </c>
      <c r="BL37" s="56" t="str">
        <f>IF('⚙ OFF Weekends'!$D$59="OFF","OFF","")</f>
        <v/>
      </c>
      <c r="BM37" s="54" t="str">
        <f>IF('⚙ OFF Weekends'!$D$60="OFF","OFF","")</f>
        <v/>
      </c>
      <c r="BN37" s="56" t="str">
        <f>IF('⚙ OFF Weekends'!$D$61="OFF","OFF","")</f>
        <v/>
      </c>
      <c r="BO37" s="54" t="str">
        <f>IF('⚙ OFF Weekends'!$D$62="OFF","OFF","")</f>
        <v/>
      </c>
      <c r="BP37" s="56" t="str">
        <f>IF('⚙ OFF Weekends'!$D$63="OFF","OFF","")</f>
        <v/>
      </c>
      <c r="BQ37" s="54" t="str">
        <f>IF('⚙ OFF Weekends'!$D$64="OFF","OFF","")</f>
        <v/>
      </c>
      <c r="BR37" s="56" t="str">
        <f>IF('⚙ OFF Weekends'!$D$65="OFF","OFF","")</f>
        <v/>
      </c>
      <c r="BS37" s="54" t="str">
        <f>IF('⚙ OFF Weekends'!$D$66="OFF","OFF","")</f>
        <v/>
      </c>
      <c r="BT37" s="56" t="str">
        <f>IF('⚙ OFF Weekends'!$D$67="OFF","OFF","")</f>
        <v/>
      </c>
      <c r="BU37" s="54" t="str">
        <f>IF('⚙ OFF Weekends'!$D$68="OFF","OFF","")</f>
        <v/>
      </c>
      <c r="BV37" s="56" t="str">
        <f>IF('⚙ OFF Weekends'!$D$69="OFF","OFF","")</f>
        <v/>
      </c>
      <c r="BW37" s="54" t="str">
        <f>IF('⚙ OFF Weekends'!$D$70="OFF","OFF","")</f>
        <v/>
      </c>
      <c r="BX37" s="56" t="str">
        <f>IF('⚙ OFF Weekends'!$D$71="OFF","OFF","")</f>
        <v/>
      </c>
      <c r="BY37" s="54" t="str">
        <f>IF('⚙ OFF Weekends'!$D$72="OFF","OFF","")</f>
        <v/>
      </c>
      <c r="BZ37" s="56" t="str">
        <f>IF('⚙ OFF Weekends'!$D$73="OFF","OFF","")</f>
        <v/>
      </c>
      <c r="CA37" s="54" t="str">
        <f>IF('⚙ OFF Weekends'!$D$74="OFF","OFF","")</f>
        <v/>
      </c>
      <c r="CB37" s="56" t="str">
        <f>IF('⚙ OFF Weekends'!$D$75="OFF","OFF","")</f>
        <v/>
      </c>
      <c r="CC37" s="54" t="str">
        <f>IF('⚙ OFF Weekends'!$D$76="OFF","OFF","")</f>
        <v/>
      </c>
      <c r="CD37" s="56" t="str">
        <f>IF('⚙ OFF Weekends'!$D$77="OFF","OFF","")</f>
        <v/>
      </c>
      <c r="CE37" s="96">
        <f t="shared" si="9"/>
        <v>15</v>
      </c>
      <c r="CF37" s="96">
        <f t="shared" si="10"/>
        <v>2</v>
      </c>
      <c r="CG37" s="96">
        <f t="shared" si="11"/>
        <v>1</v>
      </c>
      <c r="CH37" s="96" t="str">
        <f t="shared" si="12"/>
        <v>88%</v>
      </c>
    </row>
    <row r="38" ht="18.0" customHeight="1">
      <c r="A38" s="95">
        <v>13.0</v>
      </c>
      <c r="B38" s="12" t="s">
        <v>328</v>
      </c>
      <c r="C38" s="14" t="s">
        <v>329</v>
      </c>
      <c r="D38" s="17" t="str">
        <f t="shared" si="7"/>
        <v>📞 Call</v>
      </c>
      <c r="E38" s="19" t="str">
        <f t="shared" si="8"/>
        <v>💬 WhatsApp</v>
      </c>
      <c r="F38" s="10"/>
      <c r="G38" s="10" t="s">
        <v>294</v>
      </c>
      <c r="H38" s="10" t="s">
        <v>330</v>
      </c>
      <c r="I38" s="48" t="s">
        <v>196</v>
      </c>
      <c r="J38" s="79" t="s">
        <v>223</v>
      </c>
      <c r="K38" s="49" t="s">
        <v>197</v>
      </c>
      <c r="L38" s="77" t="s">
        <v>198</v>
      </c>
      <c r="M38" s="77" t="s">
        <v>198</v>
      </c>
      <c r="N38" s="77" t="s">
        <v>198</v>
      </c>
      <c r="O38" s="77" t="s">
        <v>198</v>
      </c>
      <c r="P38" s="77" t="s">
        <v>198</v>
      </c>
      <c r="Q38" s="77" t="s">
        <v>198</v>
      </c>
      <c r="R38" s="77" t="s">
        <v>198</v>
      </c>
      <c r="S38" s="77" t="s">
        <v>198</v>
      </c>
      <c r="T38" s="77" t="s">
        <v>198</v>
      </c>
      <c r="U38" s="77" t="s">
        <v>198</v>
      </c>
      <c r="V38" s="77" t="s">
        <v>198</v>
      </c>
      <c r="W38" s="54" t="str">
        <f>IF('⚙ OFF Weekends'!$D$18="OFF","OFF","")</f>
        <v>OFF</v>
      </c>
      <c r="X38" s="53" t="s">
        <v>37</v>
      </c>
      <c r="Y38" s="52" t="s">
        <v>223</v>
      </c>
      <c r="Z38" s="53" t="s">
        <v>196</v>
      </c>
      <c r="AA38" s="52" t="s">
        <v>37</v>
      </c>
      <c r="AB38" s="53" t="s">
        <v>223</v>
      </c>
      <c r="AC38" s="54" t="str">
        <f>IF('⚙ OFF Weekends'!$D$24="OFF","OFF","")</f>
        <v/>
      </c>
      <c r="AD38" s="56" t="str">
        <f>IF('⚙ OFF Weekends'!$D$25="OFF","OFF","")</f>
        <v/>
      </c>
      <c r="AE38" s="54" t="str">
        <f>IF('⚙ OFF Weekends'!$D$26="OFF","OFF","")</f>
        <v/>
      </c>
      <c r="AF38" s="56" t="str">
        <f>IF('⚙ OFF Weekends'!$D$27="OFF","OFF","")</f>
        <v/>
      </c>
      <c r="AG38" s="54" t="str">
        <f>IF('⚙ OFF Weekends'!$D$28="OFF","OFF","")</f>
        <v/>
      </c>
      <c r="AH38" s="56" t="str">
        <f>IF('⚙ OFF Weekends'!$D$29="OFF","OFF","")</f>
        <v/>
      </c>
      <c r="AI38" s="54" t="str">
        <f>IF('⚙ OFF Weekends'!$D$30="OFF","OFF","")</f>
        <v/>
      </c>
      <c r="AJ38" s="56" t="str">
        <f>IF('⚙ OFF Weekends'!$D$31="OFF","OFF","")</f>
        <v/>
      </c>
      <c r="AK38" s="54" t="str">
        <f>IF('⚙ OFF Weekends'!$D$32="OFF","OFF","")</f>
        <v/>
      </c>
      <c r="AL38" s="56" t="str">
        <f>IF('⚙ OFF Weekends'!$D$33="OFF","OFF","")</f>
        <v/>
      </c>
      <c r="AM38" s="54" t="str">
        <f>IF('⚙ OFF Weekends'!$D$34="OFF","OFF","")</f>
        <v/>
      </c>
      <c r="AN38" s="56" t="str">
        <f>IF('⚙ OFF Weekends'!$D$35="OFF","OFF","")</f>
        <v/>
      </c>
      <c r="AO38" s="54" t="str">
        <f>IF('⚙ OFF Weekends'!$D$36="OFF","OFF","")</f>
        <v/>
      </c>
      <c r="AP38" s="56" t="str">
        <f>IF('⚙ OFF Weekends'!$D$37="OFF","OFF","")</f>
        <v/>
      </c>
      <c r="AQ38" s="54" t="str">
        <f>IF('⚙ OFF Weekends'!$D$38="OFF","OFF","")</f>
        <v/>
      </c>
      <c r="AR38" s="56" t="str">
        <f>IF('⚙ OFF Weekends'!$D$39="OFF","OFF","")</f>
        <v/>
      </c>
      <c r="AS38" s="54" t="str">
        <f>IF('⚙ OFF Weekends'!$D$40="OFF","OFF","")</f>
        <v/>
      </c>
      <c r="AT38" s="56" t="str">
        <f>IF('⚙ OFF Weekends'!$D$41="OFF","OFF","")</f>
        <v/>
      </c>
      <c r="AU38" s="54" t="str">
        <f>IF('⚙ OFF Weekends'!$D$42="OFF","OFF","")</f>
        <v/>
      </c>
      <c r="AV38" s="56" t="str">
        <f>IF('⚙ OFF Weekends'!$D$43="OFF","OFF","")</f>
        <v/>
      </c>
      <c r="AW38" s="54" t="str">
        <f>IF('⚙ OFF Weekends'!$D$44="OFF","OFF","")</f>
        <v/>
      </c>
      <c r="AX38" s="56" t="str">
        <f>IF('⚙ OFF Weekends'!$D$45="OFF","OFF","")</f>
        <v/>
      </c>
      <c r="AY38" s="54" t="str">
        <f>IF('⚙ OFF Weekends'!$D$46="OFF","OFF","")</f>
        <v/>
      </c>
      <c r="AZ38" s="56" t="str">
        <f>IF('⚙ OFF Weekends'!$D$47="OFF","OFF","")</f>
        <v/>
      </c>
      <c r="BA38" s="54" t="str">
        <f>IF('⚙ OFF Weekends'!$D$48="OFF","OFF","")</f>
        <v/>
      </c>
      <c r="BB38" s="56" t="str">
        <f>IF('⚙ OFF Weekends'!$D$49="OFF","OFF","")</f>
        <v/>
      </c>
      <c r="BC38" s="54" t="str">
        <f>IF('⚙ OFF Weekends'!$D$50="OFF","OFF","")</f>
        <v/>
      </c>
      <c r="BD38" s="56" t="str">
        <f>IF('⚙ OFF Weekends'!$D$51="OFF","OFF","")</f>
        <v/>
      </c>
      <c r="BE38" s="54" t="str">
        <f>IF('⚙ OFF Weekends'!$D$52="OFF","OFF","")</f>
        <v/>
      </c>
      <c r="BF38" s="56" t="str">
        <f>IF('⚙ OFF Weekends'!$D$53="OFF","OFF","")</f>
        <v/>
      </c>
      <c r="BG38" s="54" t="str">
        <f>IF('⚙ OFF Weekends'!$D$54="OFF","OFF","")</f>
        <v/>
      </c>
      <c r="BH38" s="56" t="str">
        <f>IF('⚙ OFF Weekends'!$D$55="OFF","OFF","")</f>
        <v/>
      </c>
      <c r="BI38" s="54" t="str">
        <f>IF('⚙ OFF Weekends'!$D$56="OFF","OFF","")</f>
        <v/>
      </c>
      <c r="BJ38" s="56" t="str">
        <f>IF('⚙ OFF Weekends'!$D$57="OFF","OFF","")</f>
        <v/>
      </c>
      <c r="BK38" s="54" t="str">
        <f>IF('⚙ OFF Weekends'!$D$58="OFF","OFF","")</f>
        <v/>
      </c>
      <c r="BL38" s="56" t="str">
        <f>IF('⚙ OFF Weekends'!$D$59="OFF","OFF","")</f>
        <v/>
      </c>
      <c r="BM38" s="54" t="str">
        <f>IF('⚙ OFF Weekends'!$D$60="OFF","OFF","")</f>
        <v/>
      </c>
      <c r="BN38" s="56" t="str">
        <f>IF('⚙ OFF Weekends'!$D$61="OFF","OFF","")</f>
        <v/>
      </c>
      <c r="BO38" s="54" t="str">
        <f>IF('⚙ OFF Weekends'!$D$62="OFF","OFF","")</f>
        <v/>
      </c>
      <c r="BP38" s="56" t="str">
        <f>IF('⚙ OFF Weekends'!$D$63="OFF","OFF","")</f>
        <v/>
      </c>
      <c r="BQ38" s="54" t="str">
        <f>IF('⚙ OFF Weekends'!$D$64="OFF","OFF","")</f>
        <v/>
      </c>
      <c r="BR38" s="56" t="str">
        <f>IF('⚙ OFF Weekends'!$D$65="OFF","OFF","")</f>
        <v/>
      </c>
      <c r="BS38" s="54" t="str">
        <f>IF('⚙ OFF Weekends'!$D$66="OFF","OFF","")</f>
        <v/>
      </c>
      <c r="BT38" s="56" t="str">
        <f>IF('⚙ OFF Weekends'!$D$67="OFF","OFF","")</f>
        <v/>
      </c>
      <c r="BU38" s="54" t="str">
        <f>IF('⚙ OFF Weekends'!$D$68="OFF","OFF","")</f>
        <v/>
      </c>
      <c r="BV38" s="56" t="str">
        <f>IF('⚙ OFF Weekends'!$D$69="OFF","OFF","")</f>
        <v/>
      </c>
      <c r="BW38" s="54" t="str">
        <f>IF('⚙ OFF Weekends'!$D$70="OFF","OFF","")</f>
        <v/>
      </c>
      <c r="BX38" s="56" t="str">
        <f>IF('⚙ OFF Weekends'!$D$71="OFF","OFF","")</f>
        <v/>
      </c>
      <c r="BY38" s="54" t="str">
        <f>IF('⚙ OFF Weekends'!$D$72="OFF","OFF","")</f>
        <v/>
      </c>
      <c r="BZ38" s="56" t="str">
        <f>IF('⚙ OFF Weekends'!$D$73="OFF","OFF","")</f>
        <v/>
      </c>
      <c r="CA38" s="54" t="str">
        <f>IF('⚙ OFF Weekends'!$D$74="OFF","OFF","")</f>
        <v/>
      </c>
      <c r="CB38" s="56" t="str">
        <f>IF('⚙ OFF Weekends'!$D$75="OFF","OFF","")</f>
        <v/>
      </c>
      <c r="CC38" s="54" t="str">
        <f>IF('⚙ OFF Weekends'!$D$76="OFF","OFF","")</f>
        <v/>
      </c>
      <c r="CD38" s="56" t="str">
        <f>IF('⚙ OFF Weekends'!$D$77="OFF","OFF","")</f>
        <v/>
      </c>
      <c r="CE38" s="95">
        <f t="shared" si="9"/>
        <v>4</v>
      </c>
      <c r="CF38" s="95">
        <f t="shared" si="10"/>
        <v>3</v>
      </c>
      <c r="CG38" s="95">
        <f t="shared" si="11"/>
        <v>11</v>
      </c>
      <c r="CH38" s="95" t="str">
        <f t="shared" si="12"/>
        <v>57%</v>
      </c>
    </row>
    <row r="39" ht="18.0" customHeight="1">
      <c r="A39" s="96">
        <v>14.0</v>
      </c>
      <c r="B39" s="22" t="s">
        <v>333</v>
      </c>
      <c r="C39" s="23" t="s">
        <v>334</v>
      </c>
      <c r="D39" s="24" t="str">
        <f t="shared" si="7"/>
        <v>📞 Call</v>
      </c>
      <c r="E39" s="41" t="str">
        <f t="shared" si="8"/>
        <v>💬 WhatsApp</v>
      </c>
      <c r="F39" s="20"/>
      <c r="G39" s="20" t="s">
        <v>294</v>
      </c>
      <c r="H39" s="20"/>
      <c r="I39" s="48" t="s">
        <v>196</v>
      </c>
      <c r="J39" s="48" t="s">
        <v>196</v>
      </c>
      <c r="K39" s="49" t="s">
        <v>197</v>
      </c>
      <c r="L39" s="48" t="s">
        <v>196</v>
      </c>
      <c r="M39" s="48" t="s">
        <v>196</v>
      </c>
      <c r="N39" s="48" t="s">
        <v>196</v>
      </c>
      <c r="O39" s="50" t="s">
        <v>37</v>
      </c>
      <c r="P39" s="79" t="s">
        <v>223</v>
      </c>
      <c r="Q39" s="48" t="s">
        <v>196</v>
      </c>
      <c r="R39" s="48" t="s">
        <v>196</v>
      </c>
      <c r="S39" s="52" t="s">
        <v>196</v>
      </c>
      <c r="T39" s="53" t="s">
        <v>196</v>
      </c>
      <c r="U39" s="52" t="s">
        <v>196</v>
      </c>
      <c r="V39" s="53" t="s">
        <v>37</v>
      </c>
      <c r="W39" s="54" t="str">
        <f>IF('⚙ OFF Weekends'!$D$18="OFF","OFF","")</f>
        <v>OFF</v>
      </c>
      <c r="X39" s="53" t="s">
        <v>196</v>
      </c>
      <c r="Y39" s="52" t="s">
        <v>196</v>
      </c>
      <c r="Z39" s="53" t="s">
        <v>37</v>
      </c>
      <c r="AA39" s="52" t="s">
        <v>223</v>
      </c>
      <c r="AB39" s="53" t="s">
        <v>223</v>
      </c>
      <c r="AC39" s="54" t="str">
        <f>IF('⚙ OFF Weekends'!$D$24="OFF","OFF","")</f>
        <v/>
      </c>
      <c r="AD39" s="56" t="str">
        <f>IF('⚙ OFF Weekends'!$D$25="OFF","OFF","")</f>
        <v/>
      </c>
      <c r="AE39" s="54" t="str">
        <f>IF('⚙ OFF Weekends'!$D$26="OFF","OFF","")</f>
        <v/>
      </c>
      <c r="AF39" s="56" t="str">
        <f>IF('⚙ OFF Weekends'!$D$27="OFF","OFF","")</f>
        <v/>
      </c>
      <c r="AG39" s="54" t="str">
        <f>IF('⚙ OFF Weekends'!$D$28="OFF","OFF","")</f>
        <v/>
      </c>
      <c r="AH39" s="56" t="str">
        <f>IF('⚙ OFF Weekends'!$D$29="OFF","OFF","")</f>
        <v/>
      </c>
      <c r="AI39" s="54" t="str">
        <f>IF('⚙ OFF Weekends'!$D$30="OFF","OFF","")</f>
        <v/>
      </c>
      <c r="AJ39" s="56" t="str">
        <f>IF('⚙ OFF Weekends'!$D$31="OFF","OFF","")</f>
        <v/>
      </c>
      <c r="AK39" s="54" t="str">
        <f>IF('⚙ OFF Weekends'!$D$32="OFF","OFF","")</f>
        <v/>
      </c>
      <c r="AL39" s="56" t="str">
        <f>IF('⚙ OFF Weekends'!$D$33="OFF","OFF","")</f>
        <v/>
      </c>
      <c r="AM39" s="54" t="str">
        <f>IF('⚙ OFF Weekends'!$D$34="OFF","OFF","")</f>
        <v/>
      </c>
      <c r="AN39" s="56" t="str">
        <f>IF('⚙ OFF Weekends'!$D$35="OFF","OFF","")</f>
        <v/>
      </c>
      <c r="AO39" s="54" t="str">
        <f>IF('⚙ OFF Weekends'!$D$36="OFF","OFF","")</f>
        <v/>
      </c>
      <c r="AP39" s="56" t="str">
        <f>IF('⚙ OFF Weekends'!$D$37="OFF","OFF","")</f>
        <v/>
      </c>
      <c r="AQ39" s="54" t="str">
        <f>IF('⚙ OFF Weekends'!$D$38="OFF","OFF","")</f>
        <v/>
      </c>
      <c r="AR39" s="56" t="str">
        <f>IF('⚙ OFF Weekends'!$D$39="OFF","OFF","")</f>
        <v/>
      </c>
      <c r="AS39" s="54" t="str">
        <f>IF('⚙ OFF Weekends'!$D$40="OFF","OFF","")</f>
        <v/>
      </c>
      <c r="AT39" s="56" t="str">
        <f>IF('⚙ OFF Weekends'!$D$41="OFF","OFF","")</f>
        <v/>
      </c>
      <c r="AU39" s="54" t="str">
        <f>IF('⚙ OFF Weekends'!$D$42="OFF","OFF","")</f>
        <v/>
      </c>
      <c r="AV39" s="56" t="str">
        <f>IF('⚙ OFF Weekends'!$D$43="OFF","OFF","")</f>
        <v/>
      </c>
      <c r="AW39" s="54" t="str">
        <f>IF('⚙ OFF Weekends'!$D$44="OFF","OFF","")</f>
        <v/>
      </c>
      <c r="AX39" s="56" t="str">
        <f>IF('⚙ OFF Weekends'!$D$45="OFF","OFF","")</f>
        <v/>
      </c>
      <c r="AY39" s="54" t="str">
        <f>IF('⚙ OFF Weekends'!$D$46="OFF","OFF","")</f>
        <v/>
      </c>
      <c r="AZ39" s="56" t="str">
        <f>IF('⚙ OFF Weekends'!$D$47="OFF","OFF","")</f>
        <v/>
      </c>
      <c r="BA39" s="54" t="str">
        <f>IF('⚙ OFF Weekends'!$D$48="OFF","OFF","")</f>
        <v/>
      </c>
      <c r="BB39" s="56" t="str">
        <f>IF('⚙ OFF Weekends'!$D$49="OFF","OFF","")</f>
        <v/>
      </c>
      <c r="BC39" s="54" t="str">
        <f>IF('⚙ OFF Weekends'!$D$50="OFF","OFF","")</f>
        <v/>
      </c>
      <c r="BD39" s="56" t="str">
        <f>IF('⚙ OFF Weekends'!$D$51="OFF","OFF","")</f>
        <v/>
      </c>
      <c r="BE39" s="54" t="str">
        <f>IF('⚙ OFF Weekends'!$D$52="OFF","OFF","")</f>
        <v/>
      </c>
      <c r="BF39" s="56" t="str">
        <f>IF('⚙ OFF Weekends'!$D$53="OFF","OFF","")</f>
        <v/>
      </c>
      <c r="BG39" s="54" t="str">
        <f>IF('⚙ OFF Weekends'!$D$54="OFF","OFF","")</f>
        <v/>
      </c>
      <c r="BH39" s="56" t="str">
        <f>IF('⚙ OFF Weekends'!$D$55="OFF","OFF","")</f>
        <v/>
      </c>
      <c r="BI39" s="54" t="str">
        <f>IF('⚙ OFF Weekends'!$D$56="OFF","OFF","")</f>
        <v/>
      </c>
      <c r="BJ39" s="56" t="str">
        <f>IF('⚙ OFF Weekends'!$D$57="OFF","OFF","")</f>
        <v/>
      </c>
      <c r="BK39" s="54" t="str">
        <f>IF('⚙ OFF Weekends'!$D$58="OFF","OFF","")</f>
        <v/>
      </c>
      <c r="BL39" s="56" t="str">
        <f>IF('⚙ OFF Weekends'!$D$59="OFF","OFF","")</f>
        <v/>
      </c>
      <c r="BM39" s="54" t="str">
        <f>IF('⚙ OFF Weekends'!$D$60="OFF","OFF","")</f>
        <v/>
      </c>
      <c r="BN39" s="56" t="str">
        <f>IF('⚙ OFF Weekends'!$D$61="OFF","OFF","")</f>
        <v/>
      </c>
      <c r="BO39" s="54" t="str">
        <f>IF('⚙ OFF Weekends'!$D$62="OFF","OFF","")</f>
        <v/>
      </c>
      <c r="BP39" s="56" t="str">
        <f>IF('⚙ OFF Weekends'!$D$63="OFF","OFF","")</f>
        <v/>
      </c>
      <c r="BQ39" s="54" t="str">
        <f>IF('⚙ OFF Weekends'!$D$64="OFF","OFF","")</f>
        <v/>
      </c>
      <c r="BR39" s="56" t="str">
        <f>IF('⚙ OFF Weekends'!$D$65="OFF","OFF","")</f>
        <v/>
      </c>
      <c r="BS39" s="54" t="str">
        <f>IF('⚙ OFF Weekends'!$D$66="OFF","OFF","")</f>
        <v/>
      </c>
      <c r="BT39" s="56" t="str">
        <f>IF('⚙ OFF Weekends'!$D$67="OFF","OFF","")</f>
        <v/>
      </c>
      <c r="BU39" s="54" t="str">
        <f>IF('⚙ OFF Weekends'!$D$68="OFF","OFF","")</f>
        <v/>
      </c>
      <c r="BV39" s="56" t="str">
        <f>IF('⚙ OFF Weekends'!$D$69="OFF","OFF","")</f>
        <v/>
      </c>
      <c r="BW39" s="54" t="str">
        <f>IF('⚙ OFF Weekends'!$D$70="OFF","OFF","")</f>
        <v/>
      </c>
      <c r="BX39" s="56" t="str">
        <f>IF('⚙ OFF Weekends'!$D$71="OFF","OFF","")</f>
        <v/>
      </c>
      <c r="BY39" s="54" t="str">
        <f>IF('⚙ OFF Weekends'!$D$72="OFF","OFF","")</f>
        <v/>
      </c>
      <c r="BZ39" s="56" t="str">
        <f>IF('⚙ OFF Weekends'!$D$73="OFF","OFF","")</f>
        <v/>
      </c>
      <c r="CA39" s="54" t="str">
        <f>IF('⚙ OFF Weekends'!$D$74="OFF","OFF","")</f>
        <v/>
      </c>
      <c r="CB39" s="56" t="str">
        <f>IF('⚙ OFF Weekends'!$D$75="OFF","OFF","")</f>
        <v/>
      </c>
      <c r="CC39" s="54" t="str">
        <f>IF('⚙ OFF Weekends'!$D$76="OFF","OFF","")</f>
        <v/>
      </c>
      <c r="CD39" s="56" t="str">
        <f>IF('⚙ OFF Weekends'!$D$77="OFF","OFF","")</f>
        <v/>
      </c>
      <c r="CE39" s="96">
        <f t="shared" si="9"/>
        <v>15</v>
      </c>
      <c r="CF39" s="96">
        <f t="shared" si="10"/>
        <v>3</v>
      </c>
      <c r="CG39" s="96">
        <f t="shared" si="11"/>
        <v>0</v>
      </c>
      <c r="CH39" s="96" t="str">
        <f t="shared" si="12"/>
        <v>83%</v>
      </c>
    </row>
    <row r="40" ht="18.0" customHeight="1">
      <c r="A40" s="95">
        <v>15.0</v>
      </c>
      <c r="B40" s="12" t="s">
        <v>337</v>
      </c>
      <c r="C40" s="14" t="s">
        <v>338</v>
      </c>
      <c r="D40" s="17" t="str">
        <f t="shared" si="7"/>
        <v>📞 Call</v>
      </c>
      <c r="E40" s="19" t="str">
        <f t="shared" si="8"/>
        <v>💬 WhatsApp</v>
      </c>
      <c r="F40" s="10"/>
      <c r="G40" s="10" t="s">
        <v>339</v>
      </c>
      <c r="H40" s="10" t="s">
        <v>299</v>
      </c>
      <c r="I40" s="79" t="s">
        <v>223</v>
      </c>
      <c r="J40" s="79" t="s">
        <v>223</v>
      </c>
      <c r="K40" s="49" t="s">
        <v>197</v>
      </c>
      <c r="L40" s="79" t="s">
        <v>223</v>
      </c>
      <c r="M40" s="79" t="s">
        <v>223</v>
      </c>
      <c r="N40" s="50" t="s">
        <v>37</v>
      </c>
      <c r="O40" s="79" t="s">
        <v>223</v>
      </c>
      <c r="P40" s="50" t="s">
        <v>37</v>
      </c>
      <c r="Q40" s="79" t="s">
        <v>223</v>
      </c>
      <c r="R40" s="48" t="s">
        <v>196</v>
      </c>
      <c r="S40" s="52" t="s">
        <v>198</v>
      </c>
      <c r="T40" s="53" t="s">
        <v>223</v>
      </c>
      <c r="U40" s="52" t="s">
        <v>198</v>
      </c>
      <c r="V40" s="53" t="s">
        <v>196</v>
      </c>
      <c r="W40" s="54" t="str">
        <f>IF('⚙ OFF Weekends'!$D$18="OFF","OFF","")</f>
        <v>OFF</v>
      </c>
      <c r="X40" s="53" t="s">
        <v>37</v>
      </c>
      <c r="Y40" s="52" t="s">
        <v>37</v>
      </c>
      <c r="Z40" s="53" t="s">
        <v>223</v>
      </c>
      <c r="AA40" s="52" t="s">
        <v>290</v>
      </c>
      <c r="AB40" s="53" t="s">
        <v>196</v>
      </c>
      <c r="AC40" s="54" t="str">
        <f>IF('⚙ OFF Weekends'!$D$24="OFF","OFF","")</f>
        <v/>
      </c>
      <c r="AD40" s="56" t="str">
        <f>IF('⚙ OFF Weekends'!$D$25="OFF","OFF","")</f>
        <v/>
      </c>
      <c r="AE40" s="54" t="str">
        <f>IF('⚙ OFF Weekends'!$D$26="OFF","OFF","")</f>
        <v/>
      </c>
      <c r="AF40" s="56" t="str">
        <f>IF('⚙ OFF Weekends'!$D$27="OFF","OFF","")</f>
        <v/>
      </c>
      <c r="AG40" s="54" t="str">
        <f>IF('⚙ OFF Weekends'!$D$28="OFF","OFF","")</f>
        <v/>
      </c>
      <c r="AH40" s="56" t="str">
        <f>IF('⚙ OFF Weekends'!$D$29="OFF","OFF","")</f>
        <v/>
      </c>
      <c r="AI40" s="54" t="str">
        <f>IF('⚙ OFF Weekends'!$D$30="OFF","OFF","")</f>
        <v/>
      </c>
      <c r="AJ40" s="56" t="str">
        <f>IF('⚙ OFF Weekends'!$D$31="OFF","OFF","")</f>
        <v/>
      </c>
      <c r="AK40" s="54" t="str">
        <f>IF('⚙ OFF Weekends'!$D$32="OFF","OFF","")</f>
        <v/>
      </c>
      <c r="AL40" s="56" t="str">
        <f>IF('⚙ OFF Weekends'!$D$33="OFF","OFF","")</f>
        <v/>
      </c>
      <c r="AM40" s="54" t="str">
        <f>IF('⚙ OFF Weekends'!$D$34="OFF","OFF","")</f>
        <v/>
      </c>
      <c r="AN40" s="56" t="str">
        <f>IF('⚙ OFF Weekends'!$D$35="OFF","OFF","")</f>
        <v/>
      </c>
      <c r="AO40" s="54" t="str">
        <f>IF('⚙ OFF Weekends'!$D$36="OFF","OFF","")</f>
        <v/>
      </c>
      <c r="AP40" s="56" t="str">
        <f>IF('⚙ OFF Weekends'!$D$37="OFF","OFF","")</f>
        <v/>
      </c>
      <c r="AQ40" s="54" t="str">
        <f>IF('⚙ OFF Weekends'!$D$38="OFF","OFF","")</f>
        <v/>
      </c>
      <c r="AR40" s="56" t="str">
        <f>IF('⚙ OFF Weekends'!$D$39="OFF","OFF","")</f>
        <v/>
      </c>
      <c r="AS40" s="54" t="str">
        <f>IF('⚙ OFF Weekends'!$D$40="OFF","OFF","")</f>
        <v/>
      </c>
      <c r="AT40" s="56" t="str">
        <f>IF('⚙ OFF Weekends'!$D$41="OFF","OFF","")</f>
        <v/>
      </c>
      <c r="AU40" s="54" t="str">
        <f>IF('⚙ OFF Weekends'!$D$42="OFF","OFF","")</f>
        <v/>
      </c>
      <c r="AV40" s="56" t="str">
        <f>IF('⚙ OFF Weekends'!$D$43="OFF","OFF","")</f>
        <v/>
      </c>
      <c r="AW40" s="54" t="str">
        <f>IF('⚙ OFF Weekends'!$D$44="OFF","OFF","")</f>
        <v/>
      </c>
      <c r="AX40" s="56" t="str">
        <f>IF('⚙ OFF Weekends'!$D$45="OFF","OFF","")</f>
        <v/>
      </c>
      <c r="AY40" s="54" t="str">
        <f>IF('⚙ OFF Weekends'!$D$46="OFF","OFF","")</f>
        <v/>
      </c>
      <c r="AZ40" s="56" t="str">
        <f>IF('⚙ OFF Weekends'!$D$47="OFF","OFF","")</f>
        <v/>
      </c>
      <c r="BA40" s="54" t="str">
        <f>IF('⚙ OFF Weekends'!$D$48="OFF","OFF","")</f>
        <v/>
      </c>
      <c r="BB40" s="56" t="str">
        <f>IF('⚙ OFF Weekends'!$D$49="OFF","OFF","")</f>
        <v/>
      </c>
      <c r="BC40" s="54" t="str">
        <f>IF('⚙ OFF Weekends'!$D$50="OFF","OFF","")</f>
        <v/>
      </c>
      <c r="BD40" s="56" t="str">
        <f>IF('⚙ OFF Weekends'!$D$51="OFF","OFF","")</f>
        <v/>
      </c>
      <c r="BE40" s="54" t="str">
        <f>IF('⚙ OFF Weekends'!$D$52="OFF","OFF","")</f>
        <v/>
      </c>
      <c r="BF40" s="56" t="str">
        <f>IF('⚙ OFF Weekends'!$D$53="OFF","OFF","")</f>
        <v/>
      </c>
      <c r="BG40" s="54" t="str">
        <f>IF('⚙ OFF Weekends'!$D$54="OFF","OFF","")</f>
        <v/>
      </c>
      <c r="BH40" s="56" t="str">
        <f>IF('⚙ OFF Weekends'!$D$55="OFF","OFF","")</f>
        <v/>
      </c>
      <c r="BI40" s="54" t="str">
        <f>IF('⚙ OFF Weekends'!$D$56="OFF","OFF","")</f>
        <v/>
      </c>
      <c r="BJ40" s="56" t="str">
        <f>IF('⚙ OFF Weekends'!$D$57="OFF","OFF","")</f>
        <v/>
      </c>
      <c r="BK40" s="54" t="str">
        <f>IF('⚙ OFF Weekends'!$D$58="OFF","OFF","")</f>
        <v/>
      </c>
      <c r="BL40" s="56" t="str">
        <f>IF('⚙ OFF Weekends'!$D$59="OFF","OFF","")</f>
        <v/>
      </c>
      <c r="BM40" s="54" t="str">
        <f>IF('⚙ OFF Weekends'!$D$60="OFF","OFF","")</f>
        <v/>
      </c>
      <c r="BN40" s="56" t="str">
        <f>IF('⚙ OFF Weekends'!$D$61="OFF","OFF","")</f>
        <v/>
      </c>
      <c r="BO40" s="54" t="str">
        <f>IF('⚙ OFF Weekends'!$D$62="OFF","OFF","")</f>
        <v/>
      </c>
      <c r="BP40" s="56" t="str">
        <f>IF('⚙ OFF Weekends'!$D$63="OFF","OFF","")</f>
        <v/>
      </c>
      <c r="BQ40" s="54" t="str">
        <f>IF('⚙ OFF Weekends'!$D$64="OFF","OFF","")</f>
        <v/>
      </c>
      <c r="BR40" s="56" t="str">
        <f>IF('⚙ OFF Weekends'!$D$65="OFF","OFF","")</f>
        <v/>
      </c>
      <c r="BS40" s="54" t="str">
        <f>IF('⚙ OFF Weekends'!$D$66="OFF","OFF","")</f>
        <v/>
      </c>
      <c r="BT40" s="56" t="str">
        <f>IF('⚙ OFF Weekends'!$D$67="OFF","OFF","")</f>
        <v/>
      </c>
      <c r="BU40" s="54" t="str">
        <f>IF('⚙ OFF Weekends'!$D$68="OFF","OFF","")</f>
        <v/>
      </c>
      <c r="BV40" s="56" t="str">
        <f>IF('⚙ OFF Weekends'!$D$69="OFF","OFF","")</f>
        <v/>
      </c>
      <c r="BW40" s="54" t="str">
        <f>IF('⚙ OFF Weekends'!$D$70="OFF","OFF","")</f>
        <v/>
      </c>
      <c r="BX40" s="56" t="str">
        <f>IF('⚙ OFF Weekends'!$D$71="OFF","OFF","")</f>
        <v/>
      </c>
      <c r="BY40" s="54" t="str">
        <f>IF('⚙ OFF Weekends'!$D$72="OFF","OFF","")</f>
        <v/>
      </c>
      <c r="BZ40" s="56" t="str">
        <f>IF('⚙ OFF Weekends'!$D$73="OFF","OFF","")</f>
        <v/>
      </c>
      <c r="CA40" s="54" t="str">
        <f>IF('⚙ OFF Weekends'!$D$74="OFF","OFF","")</f>
        <v/>
      </c>
      <c r="CB40" s="56" t="str">
        <f>IF('⚙ OFF Weekends'!$D$75="OFF","OFF","")</f>
        <v/>
      </c>
      <c r="CC40" s="54" t="str">
        <f>IF('⚙ OFF Weekends'!$D$76="OFF","OFF","")</f>
        <v/>
      </c>
      <c r="CD40" s="56" t="str">
        <f>IF('⚙ OFF Weekends'!$D$77="OFF","OFF","")</f>
        <v/>
      </c>
      <c r="CE40" s="95">
        <f t="shared" si="9"/>
        <v>7</v>
      </c>
      <c r="CF40" s="95">
        <f t="shared" si="10"/>
        <v>8</v>
      </c>
      <c r="CG40" s="95">
        <f t="shared" si="11"/>
        <v>2</v>
      </c>
      <c r="CH40" s="95" t="str">
        <f t="shared" si="12"/>
        <v>47%</v>
      </c>
    </row>
    <row r="41" ht="18.0" customHeight="1">
      <c r="A41" s="96">
        <v>16.0</v>
      </c>
      <c r="B41" s="22" t="s">
        <v>342</v>
      </c>
      <c r="C41" s="23" t="s">
        <v>343</v>
      </c>
      <c r="D41" s="24" t="str">
        <f t="shared" si="7"/>
        <v>📞 Call</v>
      </c>
      <c r="E41" s="41" t="str">
        <f t="shared" si="8"/>
        <v>💬 WhatsApp</v>
      </c>
      <c r="F41" s="20"/>
      <c r="G41" s="20" t="s">
        <v>344</v>
      </c>
      <c r="H41" s="20" t="s">
        <v>345</v>
      </c>
      <c r="I41" s="54" t="str">
        <f>IF('⚙ OFF Weekends'!$D$4="OFF","OFF","")</f>
        <v/>
      </c>
      <c r="J41" s="56" t="str">
        <f>IF('⚙ OFF Weekends'!$D$5="OFF","OFF","")</f>
        <v/>
      </c>
      <c r="K41" s="49" t="s">
        <v>197</v>
      </c>
      <c r="L41" s="56" t="str">
        <f>IF('⚙ OFF Weekends'!$D$7="OFF","OFF","")</f>
        <v/>
      </c>
      <c r="M41" s="54" t="str">
        <f>IF('⚙ OFF Weekends'!$D$8="OFF","OFF","")</f>
        <v/>
      </c>
      <c r="N41" s="48" t="s">
        <v>196</v>
      </c>
      <c r="O41" s="79" t="s">
        <v>223</v>
      </c>
      <c r="P41" s="77" t="s">
        <v>198</v>
      </c>
      <c r="Q41" s="79" t="s">
        <v>223</v>
      </c>
      <c r="R41" s="79" t="s">
        <v>223</v>
      </c>
      <c r="S41" s="52" t="s">
        <v>223</v>
      </c>
      <c r="T41" s="53" t="s">
        <v>296</v>
      </c>
      <c r="U41" s="53" t="s">
        <v>198</v>
      </c>
      <c r="V41" s="53" t="s">
        <v>198</v>
      </c>
      <c r="W41" s="53" t="s">
        <v>198</v>
      </c>
      <c r="X41" s="53" t="s">
        <v>223</v>
      </c>
      <c r="Y41" s="53" t="s">
        <v>296</v>
      </c>
      <c r="Z41" s="53" t="s">
        <v>296</v>
      </c>
      <c r="AA41" s="53" t="s">
        <v>296</v>
      </c>
      <c r="AB41" s="53" t="s">
        <v>296</v>
      </c>
      <c r="AC41" s="53" t="s">
        <v>296</v>
      </c>
      <c r="AD41" s="53" t="s">
        <v>296</v>
      </c>
      <c r="AE41" s="53" t="s">
        <v>296</v>
      </c>
      <c r="AF41" s="53" t="s">
        <v>296</v>
      </c>
      <c r="AG41" s="53" t="s">
        <v>296</v>
      </c>
      <c r="AH41" s="53" t="s">
        <v>296</v>
      </c>
      <c r="AI41" s="53" t="s">
        <v>296</v>
      </c>
      <c r="AJ41" s="53" t="s">
        <v>296</v>
      </c>
      <c r="AK41" s="53" t="s">
        <v>296</v>
      </c>
      <c r="AL41" s="53" t="s">
        <v>296</v>
      </c>
      <c r="AM41" s="53" t="s">
        <v>296</v>
      </c>
      <c r="AN41" s="53" t="s">
        <v>296</v>
      </c>
      <c r="AO41" s="53" t="s">
        <v>296</v>
      </c>
      <c r="AP41" s="53" t="s">
        <v>296</v>
      </c>
      <c r="AQ41" s="53" t="s">
        <v>296</v>
      </c>
      <c r="AR41" s="53" t="s">
        <v>296</v>
      </c>
      <c r="AS41" s="53" t="s">
        <v>296</v>
      </c>
      <c r="AT41" s="53" t="s">
        <v>296</v>
      </c>
      <c r="AU41" s="53" t="s">
        <v>296</v>
      </c>
      <c r="AV41" s="53" t="s">
        <v>296</v>
      </c>
      <c r="AW41" s="53" t="s">
        <v>296</v>
      </c>
      <c r="AX41" s="53" t="s">
        <v>296</v>
      </c>
      <c r="AY41" s="53" t="s">
        <v>296</v>
      </c>
      <c r="AZ41" s="53" t="s">
        <v>296</v>
      </c>
      <c r="BA41" s="53" t="s">
        <v>296</v>
      </c>
      <c r="BB41" s="53" t="s">
        <v>296</v>
      </c>
      <c r="BC41" s="53" t="s">
        <v>296</v>
      </c>
      <c r="BD41" s="53" t="s">
        <v>296</v>
      </c>
      <c r="BE41" s="53" t="s">
        <v>296</v>
      </c>
      <c r="BF41" s="53" t="s">
        <v>296</v>
      </c>
      <c r="BG41" s="53" t="s">
        <v>296</v>
      </c>
      <c r="BH41" s="53" t="s">
        <v>296</v>
      </c>
      <c r="BI41" s="53" t="s">
        <v>296</v>
      </c>
      <c r="BJ41" s="53" t="s">
        <v>296</v>
      </c>
      <c r="BK41" s="53" t="s">
        <v>296</v>
      </c>
      <c r="BL41" s="53" t="s">
        <v>296</v>
      </c>
      <c r="BM41" s="53" t="s">
        <v>296</v>
      </c>
      <c r="BN41" s="53" t="s">
        <v>296</v>
      </c>
      <c r="BO41" s="53" t="s">
        <v>296</v>
      </c>
      <c r="BP41" s="53" t="s">
        <v>296</v>
      </c>
      <c r="BQ41" s="53" t="s">
        <v>296</v>
      </c>
      <c r="BR41" s="53" t="s">
        <v>296</v>
      </c>
      <c r="BS41" s="53" t="s">
        <v>296</v>
      </c>
      <c r="BT41" s="53" t="s">
        <v>296</v>
      </c>
      <c r="BU41" s="53" t="s">
        <v>296</v>
      </c>
      <c r="BV41" s="53" t="s">
        <v>296</v>
      </c>
      <c r="BW41" s="53" t="s">
        <v>296</v>
      </c>
      <c r="BX41" s="53" t="s">
        <v>296</v>
      </c>
      <c r="BY41" s="53" t="s">
        <v>296</v>
      </c>
      <c r="BZ41" s="53" t="s">
        <v>296</v>
      </c>
      <c r="CA41" s="53" t="s">
        <v>296</v>
      </c>
      <c r="CB41" s="53" t="s">
        <v>296</v>
      </c>
      <c r="CC41" s="53" t="s">
        <v>296</v>
      </c>
      <c r="CD41" s="53" t="s">
        <v>296</v>
      </c>
      <c r="CE41" s="96">
        <f t="shared" si="9"/>
        <v>1</v>
      </c>
      <c r="CF41" s="96">
        <f t="shared" si="10"/>
        <v>5</v>
      </c>
      <c r="CG41" s="96">
        <f t="shared" si="11"/>
        <v>4</v>
      </c>
      <c r="CH41" s="96" t="str">
        <f t="shared" si="12"/>
        <v>17%</v>
      </c>
    </row>
    <row r="42" ht="18.0" customHeight="1">
      <c r="A42" s="95">
        <v>17.0</v>
      </c>
      <c r="B42" s="12" t="s">
        <v>346</v>
      </c>
      <c r="C42" s="14"/>
      <c r="D42" s="17" t="str">
        <f t="shared" si="7"/>
        <v/>
      </c>
      <c r="E42" s="28" t="str">
        <f t="shared" si="8"/>
        <v/>
      </c>
      <c r="F42" s="10"/>
      <c r="G42" s="10"/>
      <c r="H42" s="10"/>
      <c r="I42" s="54" t="str">
        <f>IF('⚙ OFF Weekends'!$D$4="OFF","OFF","")</f>
        <v/>
      </c>
      <c r="J42" s="56" t="str">
        <f>IF('⚙ OFF Weekends'!$D$5="OFF","OFF","")</f>
        <v/>
      </c>
      <c r="K42" s="54" t="str">
        <f>IF('⚙ OFF Weekends'!$D$6="OFF","OFF","")</f>
        <v/>
      </c>
      <c r="L42" s="56" t="str">
        <f>IF('⚙ OFF Weekends'!$D$7="OFF","OFF","")</f>
        <v/>
      </c>
      <c r="M42" s="54" t="str">
        <f>IF('⚙ OFF Weekends'!$D$8="OFF","OFF","")</f>
        <v/>
      </c>
      <c r="N42" s="56" t="str">
        <f>IF('⚙ OFF Weekends'!$D$9="OFF","OFF","")</f>
        <v/>
      </c>
      <c r="O42" s="54" t="str">
        <f>IF('⚙ OFF Weekends'!$D$10="OFF","OFF","")</f>
        <v/>
      </c>
      <c r="P42" s="56" t="str">
        <f>IF('⚙ OFF Weekends'!$D$11="OFF","OFF","")</f>
        <v/>
      </c>
      <c r="Q42" s="102" t="s">
        <v>348</v>
      </c>
      <c r="R42" s="48" t="s">
        <v>196</v>
      </c>
      <c r="S42" s="52" t="s">
        <v>223</v>
      </c>
      <c r="T42" s="53" t="s">
        <v>223</v>
      </c>
      <c r="U42" s="52" t="s">
        <v>223</v>
      </c>
      <c r="V42" s="53" t="s">
        <v>223</v>
      </c>
      <c r="W42" s="54" t="str">
        <f>IF('⚙ OFF Weekends'!$D$18="OFF","OFF","")</f>
        <v>OFF</v>
      </c>
      <c r="X42" s="53" t="s">
        <v>223</v>
      </c>
      <c r="Y42" s="52" t="s">
        <v>223</v>
      </c>
      <c r="Z42" s="53" t="s">
        <v>223</v>
      </c>
      <c r="AA42" s="52" t="s">
        <v>223</v>
      </c>
      <c r="AB42" s="53" t="s">
        <v>296</v>
      </c>
      <c r="AC42" s="53" t="s">
        <v>296</v>
      </c>
      <c r="AD42" s="53" t="s">
        <v>296</v>
      </c>
      <c r="AE42" s="53" t="s">
        <v>296</v>
      </c>
      <c r="AF42" s="53" t="s">
        <v>296</v>
      </c>
      <c r="AG42" s="53" t="s">
        <v>296</v>
      </c>
      <c r="AH42" s="53" t="s">
        <v>296</v>
      </c>
      <c r="AI42" s="53" t="s">
        <v>296</v>
      </c>
      <c r="AJ42" s="53" t="s">
        <v>296</v>
      </c>
      <c r="AK42" s="53" t="s">
        <v>296</v>
      </c>
      <c r="AL42" s="53" t="s">
        <v>296</v>
      </c>
      <c r="AM42" s="53" t="s">
        <v>296</v>
      </c>
      <c r="AN42" s="53" t="s">
        <v>296</v>
      </c>
      <c r="AO42" s="53" t="s">
        <v>296</v>
      </c>
      <c r="AP42" s="53" t="s">
        <v>296</v>
      </c>
      <c r="AQ42" s="53" t="s">
        <v>296</v>
      </c>
      <c r="AR42" s="53" t="s">
        <v>296</v>
      </c>
      <c r="AS42" s="53" t="s">
        <v>296</v>
      </c>
      <c r="AT42" s="53" t="s">
        <v>296</v>
      </c>
      <c r="AU42" s="53" t="s">
        <v>296</v>
      </c>
      <c r="AV42" s="53" t="s">
        <v>296</v>
      </c>
      <c r="AW42" s="53" t="s">
        <v>296</v>
      </c>
      <c r="AX42" s="53" t="s">
        <v>296</v>
      </c>
      <c r="AY42" s="53" t="s">
        <v>296</v>
      </c>
      <c r="AZ42" s="53" t="s">
        <v>296</v>
      </c>
      <c r="BA42" s="53" t="s">
        <v>296</v>
      </c>
      <c r="BB42" s="53" t="s">
        <v>296</v>
      </c>
      <c r="BC42" s="53" t="s">
        <v>296</v>
      </c>
      <c r="BD42" s="53" t="s">
        <v>296</v>
      </c>
      <c r="BE42" s="53" t="s">
        <v>296</v>
      </c>
      <c r="BF42" s="53" t="s">
        <v>296</v>
      </c>
      <c r="BG42" s="53" t="s">
        <v>296</v>
      </c>
      <c r="BH42" s="53" t="s">
        <v>296</v>
      </c>
      <c r="BI42" s="53" t="s">
        <v>296</v>
      </c>
      <c r="BJ42" s="53" t="s">
        <v>296</v>
      </c>
      <c r="BK42" s="53" t="s">
        <v>296</v>
      </c>
      <c r="BL42" s="53" t="s">
        <v>296</v>
      </c>
      <c r="BM42" s="53" t="s">
        <v>296</v>
      </c>
      <c r="BN42" s="53" t="s">
        <v>296</v>
      </c>
      <c r="BO42" s="53" t="s">
        <v>296</v>
      </c>
      <c r="BP42" s="53" t="s">
        <v>296</v>
      </c>
      <c r="BQ42" s="53" t="s">
        <v>296</v>
      </c>
      <c r="BR42" s="53" t="s">
        <v>296</v>
      </c>
      <c r="BS42" s="53" t="s">
        <v>296</v>
      </c>
      <c r="BT42" s="53" t="s">
        <v>296</v>
      </c>
      <c r="BU42" s="53" t="s">
        <v>296</v>
      </c>
      <c r="BV42" s="53" t="s">
        <v>296</v>
      </c>
      <c r="BW42" s="53" t="s">
        <v>296</v>
      </c>
      <c r="BX42" s="53" t="s">
        <v>296</v>
      </c>
      <c r="BY42" s="53" t="s">
        <v>296</v>
      </c>
      <c r="BZ42" s="53" t="s">
        <v>296</v>
      </c>
      <c r="CA42" s="53" t="s">
        <v>296</v>
      </c>
      <c r="CB42" s="53" t="s">
        <v>296</v>
      </c>
      <c r="CC42" s="53" t="s">
        <v>296</v>
      </c>
      <c r="CD42" s="53" t="s">
        <v>296</v>
      </c>
      <c r="CE42" s="95">
        <f t="shared" si="9"/>
        <v>1</v>
      </c>
      <c r="CF42" s="95">
        <f t="shared" si="10"/>
        <v>8</v>
      </c>
      <c r="CG42" s="95">
        <f t="shared" si="11"/>
        <v>0</v>
      </c>
      <c r="CH42" s="95" t="str">
        <f t="shared" si="12"/>
        <v>11%</v>
      </c>
    </row>
    <row r="43" ht="18.0" customHeight="1">
      <c r="A43" s="96">
        <v>18.0</v>
      </c>
      <c r="B43" s="22" t="s">
        <v>349</v>
      </c>
      <c r="C43" s="23"/>
      <c r="D43" s="24" t="str">
        <f t="shared" si="7"/>
        <v/>
      </c>
      <c r="E43" s="26" t="str">
        <f t="shared" si="8"/>
        <v/>
      </c>
      <c r="F43" s="20"/>
      <c r="G43" s="20"/>
      <c r="H43" s="20"/>
      <c r="I43" s="54" t="str">
        <f>IF('⚙ OFF Weekends'!$D$4="OFF","OFF","")</f>
        <v/>
      </c>
      <c r="J43" s="56" t="str">
        <f>IF('⚙ OFF Weekends'!$D$5="OFF","OFF","")</f>
        <v/>
      </c>
      <c r="K43" s="54" t="str">
        <f>IF('⚙ OFF Weekends'!$D$6="OFF","OFF","")</f>
        <v/>
      </c>
      <c r="L43" s="56" t="str">
        <f>IF('⚙ OFF Weekends'!$D$7="OFF","OFF","")</f>
        <v/>
      </c>
      <c r="M43" s="54" t="str">
        <f>IF('⚙ OFF Weekends'!$D$8="OFF","OFF","")</f>
        <v/>
      </c>
      <c r="N43" s="56" t="str">
        <f>IF('⚙ OFF Weekends'!$D$9="OFF","OFF","")</f>
        <v/>
      </c>
      <c r="O43" s="54" t="str">
        <f>IF('⚙ OFF Weekends'!$D$10="OFF","OFF","")</f>
        <v/>
      </c>
      <c r="P43" s="56" t="str">
        <f>IF('⚙ OFF Weekends'!$D$11="OFF","OFF","")</f>
        <v/>
      </c>
      <c r="Q43" s="54" t="str">
        <f>IF('⚙ OFF Weekends'!$D$12="OFF","OFF","")</f>
        <v/>
      </c>
      <c r="R43" s="48" t="s">
        <v>196</v>
      </c>
      <c r="S43" s="52" t="s">
        <v>223</v>
      </c>
      <c r="T43" s="53" t="s">
        <v>223</v>
      </c>
      <c r="U43" s="52" t="s">
        <v>196</v>
      </c>
      <c r="V43" s="53" t="s">
        <v>37</v>
      </c>
      <c r="W43" s="54" t="str">
        <f>IF('⚙ OFF Weekends'!$D$18="OFF","OFF","")</f>
        <v>OFF</v>
      </c>
      <c r="X43" s="53" t="s">
        <v>223</v>
      </c>
      <c r="Y43" s="52" t="s">
        <v>223</v>
      </c>
      <c r="Z43" s="53" t="s">
        <v>37</v>
      </c>
      <c r="AA43" s="52" t="s">
        <v>290</v>
      </c>
      <c r="AB43" s="53" t="s">
        <v>223</v>
      </c>
      <c r="AC43" s="54" t="str">
        <f>IF('⚙ OFF Weekends'!$D$24="OFF","OFF","")</f>
        <v/>
      </c>
      <c r="AD43" s="56" t="str">
        <f>IF('⚙ OFF Weekends'!$D$25="OFF","OFF","")</f>
        <v/>
      </c>
      <c r="AE43" s="54" t="str">
        <f>IF('⚙ OFF Weekends'!$D$26="OFF","OFF","")</f>
        <v/>
      </c>
      <c r="AF43" s="56" t="str">
        <f>IF('⚙ OFF Weekends'!$D$27="OFF","OFF","")</f>
        <v/>
      </c>
      <c r="AG43" s="54" t="str">
        <f>IF('⚙ OFF Weekends'!$D$28="OFF","OFF","")</f>
        <v/>
      </c>
      <c r="AH43" s="56" t="str">
        <f>IF('⚙ OFF Weekends'!$D$29="OFF","OFF","")</f>
        <v/>
      </c>
      <c r="AI43" s="54" t="str">
        <f>IF('⚙ OFF Weekends'!$D$30="OFF","OFF","")</f>
        <v/>
      </c>
      <c r="AJ43" s="56" t="str">
        <f>IF('⚙ OFF Weekends'!$D$31="OFF","OFF","")</f>
        <v/>
      </c>
      <c r="AK43" s="54" t="str">
        <f>IF('⚙ OFF Weekends'!$D$32="OFF","OFF","")</f>
        <v/>
      </c>
      <c r="AL43" s="56" t="str">
        <f>IF('⚙ OFF Weekends'!$D$33="OFF","OFF","")</f>
        <v/>
      </c>
      <c r="AM43" s="54" t="str">
        <f>IF('⚙ OFF Weekends'!$D$34="OFF","OFF","")</f>
        <v/>
      </c>
      <c r="AN43" s="56" t="str">
        <f>IF('⚙ OFF Weekends'!$D$35="OFF","OFF","")</f>
        <v/>
      </c>
      <c r="AO43" s="54" t="str">
        <f>IF('⚙ OFF Weekends'!$D$36="OFF","OFF","")</f>
        <v/>
      </c>
      <c r="AP43" s="56" t="str">
        <f>IF('⚙ OFF Weekends'!$D$37="OFF","OFF","")</f>
        <v/>
      </c>
      <c r="AQ43" s="54" t="str">
        <f>IF('⚙ OFF Weekends'!$D$38="OFF","OFF","")</f>
        <v/>
      </c>
      <c r="AR43" s="56" t="str">
        <f>IF('⚙ OFF Weekends'!$D$39="OFF","OFF","")</f>
        <v/>
      </c>
      <c r="AS43" s="54" t="str">
        <f>IF('⚙ OFF Weekends'!$D$40="OFF","OFF","")</f>
        <v/>
      </c>
      <c r="AT43" s="56" t="str">
        <f>IF('⚙ OFF Weekends'!$D$41="OFF","OFF","")</f>
        <v/>
      </c>
      <c r="AU43" s="54" t="str">
        <f>IF('⚙ OFF Weekends'!$D$42="OFF","OFF","")</f>
        <v/>
      </c>
      <c r="AV43" s="56" t="str">
        <f>IF('⚙ OFF Weekends'!$D$43="OFF","OFF","")</f>
        <v/>
      </c>
      <c r="AW43" s="54" t="str">
        <f>IF('⚙ OFF Weekends'!$D$44="OFF","OFF","")</f>
        <v/>
      </c>
      <c r="AX43" s="56" t="str">
        <f>IF('⚙ OFF Weekends'!$D$45="OFF","OFF","")</f>
        <v/>
      </c>
      <c r="AY43" s="54" t="str">
        <f>IF('⚙ OFF Weekends'!$D$46="OFF","OFF","")</f>
        <v/>
      </c>
      <c r="AZ43" s="56" t="str">
        <f>IF('⚙ OFF Weekends'!$D$47="OFF","OFF","")</f>
        <v/>
      </c>
      <c r="BA43" s="54" t="str">
        <f>IF('⚙ OFF Weekends'!$D$48="OFF","OFF","")</f>
        <v/>
      </c>
      <c r="BB43" s="56" t="str">
        <f>IF('⚙ OFF Weekends'!$D$49="OFF","OFF","")</f>
        <v/>
      </c>
      <c r="BC43" s="54" t="str">
        <f>IF('⚙ OFF Weekends'!$D$50="OFF","OFF","")</f>
        <v/>
      </c>
      <c r="BD43" s="56" t="str">
        <f>IF('⚙ OFF Weekends'!$D$51="OFF","OFF","")</f>
        <v/>
      </c>
      <c r="BE43" s="54" t="str">
        <f>IF('⚙ OFF Weekends'!$D$52="OFF","OFF","")</f>
        <v/>
      </c>
      <c r="BF43" s="56" t="str">
        <f>IF('⚙ OFF Weekends'!$D$53="OFF","OFF","")</f>
        <v/>
      </c>
      <c r="BG43" s="54" t="str">
        <f>IF('⚙ OFF Weekends'!$D$54="OFF","OFF","")</f>
        <v/>
      </c>
      <c r="BH43" s="56" t="str">
        <f>IF('⚙ OFF Weekends'!$D$55="OFF","OFF","")</f>
        <v/>
      </c>
      <c r="BI43" s="54" t="str">
        <f>IF('⚙ OFF Weekends'!$D$56="OFF","OFF","")</f>
        <v/>
      </c>
      <c r="BJ43" s="56" t="str">
        <f>IF('⚙ OFF Weekends'!$D$57="OFF","OFF","")</f>
        <v/>
      </c>
      <c r="BK43" s="54" t="str">
        <f>IF('⚙ OFF Weekends'!$D$58="OFF","OFF","")</f>
        <v/>
      </c>
      <c r="BL43" s="56" t="str">
        <f>IF('⚙ OFF Weekends'!$D$59="OFF","OFF","")</f>
        <v/>
      </c>
      <c r="BM43" s="54" t="str">
        <f>IF('⚙ OFF Weekends'!$D$60="OFF","OFF","")</f>
        <v/>
      </c>
      <c r="BN43" s="56" t="str">
        <f>IF('⚙ OFF Weekends'!$D$61="OFF","OFF","")</f>
        <v/>
      </c>
      <c r="BO43" s="54" t="str">
        <f>IF('⚙ OFF Weekends'!$D$62="OFF","OFF","")</f>
        <v/>
      </c>
      <c r="BP43" s="56" t="str">
        <f>IF('⚙ OFF Weekends'!$D$63="OFF","OFF","")</f>
        <v/>
      </c>
      <c r="BQ43" s="54" t="str">
        <f>IF('⚙ OFF Weekends'!$D$64="OFF","OFF","")</f>
        <v/>
      </c>
      <c r="BR43" s="56" t="str">
        <f>IF('⚙ OFF Weekends'!$D$65="OFF","OFF","")</f>
        <v/>
      </c>
      <c r="BS43" s="54" t="str">
        <f>IF('⚙ OFF Weekends'!$D$66="OFF","OFF","")</f>
        <v/>
      </c>
      <c r="BT43" s="56" t="str">
        <f>IF('⚙ OFF Weekends'!$D$67="OFF","OFF","")</f>
        <v/>
      </c>
      <c r="BU43" s="54" t="str">
        <f>IF('⚙ OFF Weekends'!$D$68="OFF","OFF","")</f>
        <v/>
      </c>
      <c r="BV43" s="56" t="str">
        <f>IF('⚙ OFF Weekends'!$D$69="OFF","OFF","")</f>
        <v/>
      </c>
      <c r="BW43" s="54" t="str">
        <f>IF('⚙ OFF Weekends'!$D$70="OFF","OFF","")</f>
        <v/>
      </c>
      <c r="BX43" s="56" t="str">
        <f>IF('⚙ OFF Weekends'!$D$71="OFF","OFF","")</f>
        <v/>
      </c>
      <c r="BY43" s="54" t="str">
        <f>IF('⚙ OFF Weekends'!$D$72="OFF","OFF","")</f>
        <v/>
      </c>
      <c r="BZ43" s="56" t="str">
        <f>IF('⚙ OFF Weekends'!$D$73="OFF","OFF","")</f>
        <v/>
      </c>
      <c r="CA43" s="54" t="str">
        <f>IF('⚙ OFF Weekends'!$D$74="OFF","OFF","")</f>
        <v/>
      </c>
      <c r="CB43" s="56" t="str">
        <f>IF('⚙ OFF Weekends'!$D$75="OFF","OFF","")</f>
        <v/>
      </c>
      <c r="CC43" s="54" t="str">
        <f>IF('⚙ OFF Weekends'!$D$76="OFF","OFF","")</f>
        <v/>
      </c>
      <c r="CD43" s="56" t="str">
        <f>IF('⚙ OFF Weekends'!$D$77="OFF","OFF","")</f>
        <v/>
      </c>
      <c r="CE43" s="96">
        <f t="shared" si="9"/>
        <v>4</v>
      </c>
      <c r="CF43" s="96">
        <f t="shared" si="10"/>
        <v>5</v>
      </c>
      <c r="CG43" s="96">
        <f t="shared" si="11"/>
        <v>0</v>
      </c>
      <c r="CH43" s="96" t="str">
        <f t="shared" si="12"/>
        <v>44%</v>
      </c>
    </row>
    <row r="44" ht="18.0" customHeight="1">
      <c r="A44" s="95">
        <v>19.0</v>
      </c>
      <c r="B44" s="12" t="s">
        <v>355</v>
      </c>
      <c r="C44" s="14"/>
      <c r="D44" s="17" t="str">
        <f t="shared" si="7"/>
        <v/>
      </c>
      <c r="E44" s="28" t="str">
        <f t="shared" si="8"/>
        <v/>
      </c>
      <c r="F44" s="10"/>
      <c r="G44" s="10">
        <v>14.0</v>
      </c>
      <c r="H44" s="10"/>
      <c r="I44" s="54" t="str">
        <f>IF('⚙ OFF Weekends'!$D$4="OFF","OFF","")</f>
        <v/>
      </c>
      <c r="J44" s="56" t="str">
        <f>IF('⚙ OFF Weekends'!$D$5="OFF","OFF","")</f>
        <v/>
      </c>
      <c r="K44" s="54" t="str">
        <f>IF('⚙ OFF Weekends'!$D$6="OFF","OFF","")</f>
        <v/>
      </c>
      <c r="L44" s="56" t="str">
        <f>IF('⚙ OFF Weekends'!$D$7="OFF","OFF","")</f>
        <v/>
      </c>
      <c r="M44" s="54" t="str">
        <f>IF('⚙ OFF Weekends'!$D$8="OFF","OFF","")</f>
        <v/>
      </c>
      <c r="N44" s="56" t="str">
        <f>IF('⚙ OFF Weekends'!$D$9="OFF","OFF","")</f>
        <v/>
      </c>
      <c r="O44" s="54" t="str">
        <f>IF('⚙ OFF Weekends'!$D$10="OFF","OFF","")</f>
        <v/>
      </c>
      <c r="P44" s="56" t="str">
        <f>IF('⚙ OFF Weekends'!$D$11="OFF","OFF","")</f>
        <v/>
      </c>
      <c r="Q44" s="102" t="str">
        <f>IF('⚙ OFF Weekends'!$D$12="OFF","OFF","")</f>
        <v/>
      </c>
      <c r="R44" s="48" t="str">
        <f>IF('⚙ OFF Weekends'!$D$13="OFF","OFF","")</f>
        <v/>
      </c>
      <c r="S44" s="52" t="str">
        <f>IF('⚙ OFF Weekends'!$D$14="OFF","OFF","")</f>
        <v/>
      </c>
      <c r="T44" s="53" t="str">
        <f>IF('⚙ OFF Weekends'!$D$15="OFF","OFF","")</f>
        <v/>
      </c>
      <c r="U44" s="52" t="str">
        <f>IF('⚙ OFF Weekends'!$D$16="OFF","OFF","")</f>
        <v/>
      </c>
      <c r="V44" s="53" t="str">
        <f>IF('⚙ OFF Weekends'!$D$17="OFF","OFF","")</f>
        <v/>
      </c>
      <c r="W44" s="54" t="str">
        <f>IF('⚙ OFF Weekends'!$D$18="OFF","OFF","")</f>
        <v>OFF</v>
      </c>
      <c r="X44" s="53" t="s">
        <v>223</v>
      </c>
      <c r="Y44" s="52" t="s">
        <v>37</v>
      </c>
      <c r="Z44" s="53" t="s">
        <v>223</v>
      </c>
      <c r="AA44" s="52" t="s">
        <v>223</v>
      </c>
      <c r="AB44" s="53" t="s">
        <v>223</v>
      </c>
      <c r="AC44" s="54" t="str">
        <f>IF('⚙ OFF Weekends'!$D$24="OFF","OFF","")</f>
        <v/>
      </c>
      <c r="AD44" s="56" t="str">
        <f>IF('⚙ OFF Weekends'!$D$25="OFF","OFF","")</f>
        <v/>
      </c>
      <c r="AE44" s="54" t="str">
        <f>IF('⚙ OFF Weekends'!$D$26="OFF","OFF","")</f>
        <v/>
      </c>
      <c r="AF44" s="56" t="str">
        <f>IF('⚙ OFF Weekends'!$D$27="OFF","OFF","")</f>
        <v/>
      </c>
      <c r="AG44" s="54" t="str">
        <f>IF('⚙ OFF Weekends'!$D$28="OFF","OFF","")</f>
        <v/>
      </c>
      <c r="AH44" s="56" t="str">
        <f>IF('⚙ OFF Weekends'!$D$29="OFF","OFF","")</f>
        <v/>
      </c>
      <c r="AI44" s="54" t="str">
        <f>IF('⚙ OFF Weekends'!$D$30="OFF","OFF","")</f>
        <v/>
      </c>
      <c r="AJ44" s="56" t="str">
        <f>IF('⚙ OFF Weekends'!$D$31="OFF","OFF","")</f>
        <v/>
      </c>
      <c r="AK44" s="54" t="str">
        <f>IF('⚙ OFF Weekends'!$D$32="OFF","OFF","")</f>
        <v/>
      </c>
      <c r="AL44" s="56" t="str">
        <f>IF('⚙ OFF Weekends'!$D$33="OFF","OFF","")</f>
        <v/>
      </c>
      <c r="AM44" s="54" t="str">
        <f>IF('⚙ OFF Weekends'!$D$34="OFF","OFF","")</f>
        <v/>
      </c>
      <c r="AN44" s="56" t="str">
        <f>IF('⚙ OFF Weekends'!$D$35="OFF","OFF","")</f>
        <v/>
      </c>
      <c r="AO44" s="54" t="str">
        <f>IF('⚙ OFF Weekends'!$D$36="OFF","OFF","")</f>
        <v/>
      </c>
      <c r="AP44" s="56" t="str">
        <f>IF('⚙ OFF Weekends'!$D$37="OFF","OFF","")</f>
        <v/>
      </c>
      <c r="AQ44" s="54" t="str">
        <f>IF('⚙ OFF Weekends'!$D$38="OFF","OFF","")</f>
        <v/>
      </c>
      <c r="AR44" s="56" t="str">
        <f>IF('⚙ OFF Weekends'!$D$39="OFF","OFF","")</f>
        <v/>
      </c>
      <c r="AS44" s="54" t="str">
        <f>IF('⚙ OFF Weekends'!$D$40="OFF","OFF","")</f>
        <v/>
      </c>
      <c r="AT44" s="56" t="str">
        <f>IF('⚙ OFF Weekends'!$D$41="OFF","OFF","")</f>
        <v/>
      </c>
      <c r="AU44" s="54" t="str">
        <f>IF('⚙ OFF Weekends'!$D$42="OFF","OFF","")</f>
        <v/>
      </c>
      <c r="AV44" s="56" t="str">
        <f>IF('⚙ OFF Weekends'!$D$43="OFF","OFF","")</f>
        <v/>
      </c>
      <c r="AW44" s="54" t="str">
        <f>IF('⚙ OFF Weekends'!$D$44="OFF","OFF","")</f>
        <v/>
      </c>
      <c r="AX44" s="56" t="str">
        <f>IF('⚙ OFF Weekends'!$D$45="OFF","OFF","")</f>
        <v/>
      </c>
      <c r="AY44" s="54" t="str">
        <f>IF('⚙ OFF Weekends'!$D$46="OFF","OFF","")</f>
        <v/>
      </c>
      <c r="AZ44" s="56" t="str">
        <f>IF('⚙ OFF Weekends'!$D$47="OFF","OFF","")</f>
        <v/>
      </c>
      <c r="BA44" s="54" t="str">
        <f>IF('⚙ OFF Weekends'!$D$48="OFF","OFF","")</f>
        <v/>
      </c>
      <c r="BB44" s="56" t="str">
        <f>IF('⚙ OFF Weekends'!$D$49="OFF","OFF","")</f>
        <v/>
      </c>
      <c r="BC44" s="54" t="str">
        <f>IF('⚙ OFF Weekends'!$D$50="OFF","OFF","")</f>
        <v/>
      </c>
      <c r="BD44" s="56" t="str">
        <f>IF('⚙ OFF Weekends'!$D$51="OFF","OFF","")</f>
        <v/>
      </c>
      <c r="BE44" s="54" t="str">
        <f>IF('⚙ OFF Weekends'!$D$52="OFF","OFF","")</f>
        <v/>
      </c>
      <c r="BF44" s="56" t="str">
        <f>IF('⚙ OFF Weekends'!$D$53="OFF","OFF","")</f>
        <v/>
      </c>
      <c r="BG44" s="54" t="str">
        <f>IF('⚙ OFF Weekends'!$D$54="OFF","OFF","")</f>
        <v/>
      </c>
      <c r="BH44" s="56" t="str">
        <f>IF('⚙ OFF Weekends'!$D$55="OFF","OFF","")</f>
        <v/>
      </c>
      <c r="BI44" s="54" t="str">
        <f>IF('⚙ OFF Weekends'!$D$56="OFF","OFF","")</f>
        <v/>
      </c>
      <c r="BJ44" s="56" t="str">
        <f>IF('⚙ OFF Weekends'!$D$57="OFF","OFF","")</f>
        <v/>
      </c>
      <c r="BK44" s="54" t="str">
        <f>IF('⚙ OFF Weekends'!$D$58="OFF","OFF","")</f>
        <v/>
      </c>
      <c r="BL44" s="56" t="str">
        <f>IF('⚙ OFF Weekends'!$D$59="OFF","OFF","")</f>
        <v/>
      </c>
      <c r="BM44" s="54" t="str">
        <f>IF('⚙ OFF Weekends'!$D$60="OFF","OFF","")</f>
        <v/>
      </c>
      <c r="BN44" s="56" t="str">
        <f>IF('⚙ OFF Weekends'!$D$61="OFF","OFF","")</f>
        <v/>
      </c>
      <c r="BO44" s="54" t="str">
        <f>IF('⚙ OFF Weekends'!$D$62="OFF","OFF","")</f>
        <v/>
      </c>
      <c r="BP44" s="56" t="str">
        <f>IF('⚙ OFF Weekends'!$D$63="OFF","OFF","")</f>
        <v/>
      </c>
      <c r="BQ44" s="54" t="str">
        <f>IF('⚙ OFF Weekends'!$D$64="OFF","OFF","")</f>
        <v/>
      </c>
      <c r="BR44" s="56" t="str">
        <f>IF('⚙ OFF Weekends'!$D$65="OFF","OFF","")</f>
        <v/>
      </c>
      <c r="BS44" s="54" t="str">
        <f>IF('⚙ OFF Weekends'!$D$66="OFF","OFF","")</f>
        <v/>
      </c>
      <c r="BT44" s="56" t="str">
        <f>IF('⚙ OFF Weekends'!$D$67="OFF","OFF","")</f>
        <v/>
      </c>
      <c r="BU44" s="54" t="str">
        <f>IF('⚙ OFF Weekends'!$D$68="OFF","OFF","")</f>
        <v/>
      </c>
      <c r="BV44" s="56" t="str">
        <f>IF('⚙ OFF Weekends'!$D$69="OFF","OFF","")</f>
        <v/>
      </c>
      <c r="BW44" s="54" t="str">
        <f>IF('⚙ OFF Weekends'!$D$70="OFF","OFF","")</f>
        <v/>
      </c>
      <c r="BX44" s="56" t="str">
        <f>IF('⚙ OFF Weekends'!$D$71="OFF","OFF","")</f>
        <v/>
      </c>
      <c r="BY44" s="54" t="str">
        <f>IF('⚙ OFF Weekends'!$D$72="OFF","OFF","")</f>
        <v/>
      </c>
      <c r="BZ44" s="56" t="str">
        <f>IF('⚙ OFF Weekends'!$D$73="OFF","OFF","")</f>
        <v/>
      </c>
      <c r="CA44" s="54" t="str">
        <f>IF('⚙ OFF Weekends'!$D$74="OFF","OFF","")</f>
        <v/>
      </c>
      <c r="CB44" s="56" t="str">
        <f>IF('⚙ OFF Weekends'!$D$75="OFF","OFF","")</f>
        <v/>
      </c>
      <c r="CC44" s="54" t="str">
        <f>IF('⚙ OFF Weekends'!$D$76="OFF","OFF","")</f>
        <v/>
      </c>
      <c r="CD44" s="56" t="str">
        <f>IF('⚙ OFF Weekends'!$D$77="OFF","OFF","")</f>
        <v/>
      </c>
      <c r="CE44" s="95">
        <f t="shared" si="9"/>
        <v>1</v>
      </c>
      <c r="CF44" s="95">
        <f t="shared" si="10"/>
        <v>4</v>
      </c>
      <c r="CG44" s="95">
        <f t="shared" si="11"/>
        <v>0</v>
      </c>
      <c r="CH44" s="95" t="str">
        <f t="shared" si="12"/>
        <v>20%</v>
      </c>
    </row>
    <row r="45" ht="18.0" customHeight="1">
      <c r="A45" s="96">
        <v>20.0</v>
      </c>
      <c r="B45" s="22" t="s">
        <v>360</v>
      </c>
      <c r="C45" s="103" t="s">
        <v>361</v>
      </c>
      <c r="D45" s="24" t="str">
        <f t="shared" si="7"/>
        <v>📞 Call</v>
      </c>
      <c r="E45" s="41" t="str">
        <f t="shared" si="8"/>
        <v>💬 WhatsApp</v>
      </c>
      <c r="F45" s="20"/>
      <c r="G45" s="104">
        <v>14.0</v>
      </c>
      <c r="H45" s="20"/>
      <c r="I45" s="54" t="str">
        <f>IF('⚙ OFF Weekends'!$D$4="OFF","OFF","")</f>
        <v/>
      </c>
      <c r="J45" s="56" t="str">
        <f>IF('⚙ OFF Weekends'!$D$5="OFF","OFF","")</f>
        <v/>
      </c>
      <c r="K45" s="54" t="str">
        <f>IF('⚙ OFF Weekends'!$D$6="OFF","OFF","")</f>
        <v/>
      </c>
      <c r="L45" s="56" t="str">
        <f>IF('⚙ OFF Weekends'!$D$7="OFF","OFF","")</f>
        <v/>
      </c>
      <c r="M45" s="54" t="str">
        <f>IF('⚙ OFF Weekends'!$D$8="OFF","OFF","")</f>
        <v/>
      </c>
      <c r="N45" s="56" t="str">
        <f>IF('⚙ OFF Weekends'!$D$9="OFF","OFF","")</f>
        <v/>
      </c>
      <c r="O45" s="54" t="str">
        <f>IF('⚙ OFF Weekends'!$D$10="OFF","OFF","")</f>
        <v/>
      </c>
      <c r="P45" s="56" t="str">
        <f>IF('⚙ OFF Weekends'!$D$11="OFF","OFF","")</f>
        <v/>
      </c>
      <c r="Q45" s="54" t="str">
        <f>IF('⚙ OFF Weekends'!$D$12="OFF","OFF","")</f>
        <v/>
      </c>
      <c r="R45" s="48" t="str">
        <f>IF('⚙ OFF Weekends'!$D$13="OFF","OFF","")</f>
        <v/>
      </c>
      <c r="S45" s="52" t="str">
        <f>IF('⚙ OFF Weekends'!$D$14="OFF","OFF","")</f>
        <v/>
      </c>
      <c r="T45" s="53" t="str">
        <f>IF('⚙ OFF Weekends'!$D$15="OFF","OFF","")</f>
        <v/>
      </c>
      <c r="U45" s="52" t="str">
        <f>IF('⚙ OFF Weekends'!$D$16="OFF","OFF","")</f>
        <v/>
      </c>
      <c r="V45" s="53" t="str">
        <f>IF('⚙ OFF Weekends'!$D$17="OFF","OFF","")</f>
        <v/>
      </c>
      <c r="W45" s="54" t="str">
        <f>IF('⚙ OFF Weekends'!$D$18="OFF","OFF","")</f>
        <v>OFF</v>
      </c>
      <c r="X45" s="53" t="str">
        <f>IF('⚙ OFF Weekends'!$D$19="OFF","OFF","")</f>
        <v/>
      </c>
      <c r="Y45" s="105" t="s">
        <v>290</v>
      </c>
      <c r="Z45" s="98" t="s">
        <v>196</v>
      </c>
      <c r="AA45" s="105" t="s">
        <v>290</v>
      </c>
      <c r="AB45" s="98" t="s">
        <v>37</v>
      </c>
      <c r="AC45" s="54" t="str">
        <f>IF('⚙ OFF Weekends'!$D$24="OFF","OFF","")</f>
        <v/>
      </c>
      <c r="AD45" s="56" t="str">
        <f>IF('⚙ OFF Weekends'!$D$25="OFF","OFF","")</f>
        <v/>
      </c>
      <c r="AE45" s="54" t="str">
        <f>IF('⚙ OFF Weekends'!$D$26="OFF","OFF","")</f>
        <v/>
      </c>
      <c r="AF45" s="56" t="str">
        <f>IF('⚙ OFF Weekends'!$D$27="OFF","OFF","")</f>
        <v/>
      </c>
      <c r="AG45" s="54" t="str">
        <f>IF('⚙ OFF Weekends'!$D$28="OFF","OFF","")</f>
        <v/>
      </c>
      <c r="AH45" s="56" t="str">
        <f>IF('⚙ OFF Weekends'!$D$29="OFF","OFF","")</f>
        <v/>
      </c>
      <c r="AI45" s="54" t="str">
        <f>IF('⚙ OFF Weekends'!$D$30="OFF","OFF","")</f>
        <v/>
      </c>
      <c r="AJ45" s="56" t="str">
        <f>IF('⚙ OFF Weekends'!$D$31="OFF","OFF","")</f>
        <v/>
      </c>
      <c r="AK45" s="54" t="str">
        <f>IF('⚙ OFF Weekends'!$D$32="OFF","OFF","")</f>
        <v/>
      </c>
      <c r="AL45" s="56" t="str">
        <f>IF('⚙ OFF Weekends'!$D$33="OFF","OFF","")</f>
        <v/>
      </c>
      <c r="AM45" s="54" t="str">
        <f>IF('⚙ OFF Weekends'!$D$34="OFF","OFF","")</f>
        <v/>
      </c>
      <c r="AN45" s="56" t="str">
        <f>IF('⚙ OFF Weekends'!$D$35="OFF","OFF","")</f>
        <v/>
      </c>
      <c r="AO45" s="54" t="str">
        <f>IF('⚙ OFF Weekends'!$D$36="OFF","OFF","")</f>
        <v/>
      </c>
      <c r="AP45" s="56" t="str">
        <f>IF('⚙ OFF Weekends'!$D$37="OFF","OFF","")</f>
        <v/>
      </c>
      <c r="AQ45" s="54" t="str">
        <f>IF('⚙ OFF Weekends'!$D$38="OFF","OFF","")</f>
        <v/>
      </c>
      <c r="AR45" s="56" t="str">
        <f>IF('⚙ OFF Weekends'!$D$39="OFF","OFF","")</f>
        <v/>
      </c>
      <c r="AS45" s="54" t="str">
        <f>IF('⚙ OFF Weekends'!$D$40="OFF","OFF","")</f>
        <v/>
      </c>
      <c r="AT45" s="56" t="str">
        <f>IF('⚙ OFF Weekends'!$D$41="OFF","OFF","")</f>
        <v/>
      </c>
      <c r="AU45" s="54" t="str">
        <f>IF('⚙ OFF Weekends'!$D$42="OFF","OFF","")</f>
        <v/>
      </c>
      <c r="AV45" s="56" t="str">
        <f>IF('⚙ OFF Weekends'!$D$43="OFF","OFF","")</f>
        <v/>
      </c>
      <c r="AW45" s="54" t="str">
        <f>IF('⚙ OFF Weekends'!$D$44="OFF","OFF","")</f>
        <v/>
      </c>
      <c r="AX45" s="56" t="str">
        <f>IF('⚙ OFF Weekends'!$D$45="OFF","OFF","")</f>
        <v/>
      </c>
      <c r="AY45" s="54" t="str">
        <f>IF('⚙ OFF Weekends'!$D$46="OFF","OFF","")</f>
        <v/>
      </c>
      <c r="AZ45" s="56" t="str">
        <f>IF('⚙ OFF Weekends'!$D$47="OFF","OFF","")</f>
        <v/>
      </c>
      <c r="BA45" s="54" t="str">
        <f>IF('⚙ OFF Weekends'!$D$48="OFF","OFF","")</f>
        <v/>
      </c>
      <c r="BB45" s="56" t="str">
        <f>IF('⚙ OFF Weekends'!$D$49="OFF","OFF","")</f>
        <v/>
      </c>
      <c r="BC45" s="54" t="str">
        <f>IF('⚙ OFF Weekends'!$D$50="OFF","OFF","")</f>
        <v/>
      </c>
      <c r="BD45" s="56" t="str">
        <f>IF('⚙ OFF Weekends'!$D$51="OFF","OFF","")</f>
        <v/>
      </c>
      <c r="BE45" s="54" t="str">
        <f>IF('⚙ OFF Weekends'!$D$52="OFF","OFF","")</f>
        <v/>
      </c>
      <c r="BF45" s="56" t="str">
        <f>IF('⚙ OFF Weekends'!$D$53="OFF","OFF","")</f>
        <v/>
      </c>
      <c r="BG45" s="54" t="str">
        <f>IF('⚙ OFF Weekends'!$D$54="OFF","OFF","")</f>
        <v/>
      </c>
      <c r="BH45" s="56" t="str">
        <f>IF('⚙ OFF Weekends'!$D$55="OFF","OFF","")</f>
        <v/>
      </c>
      <c r="BI45" s="54" t="str">
        <f>IF('⚙ OFF Weekends'!$D$56="OFF","OFF","")</f>
        <v/>
      </c>
      <c r="BJ45" s="56" t="str">
        <f>IF('⚙ OFF Weekends'!$D$57="OFF","OFF","")</f>
        <v/>
      </c>
      <c r="BK45" s="54" t="str">
        <f>IF('⚙ OFF Weekends'!$D$58="OFF","OFF","")</f>
        <v/>
      </c>
      <c r="BL45" s="56" t="str">
        <f>IF('⚙ OFF Weekends'!$D$59="OFF","OFF","")</f>
        <v/>
      </c>
      <c r="BM45" s="54" t="str">
        <f>IF('⚙ OFF Weekends'!$D$60="OFF","OFF","")</f>
        <v/>
      </c>
      <c r="BN45" s="56" t="str">
        <f>IF('⚙ OFF Weekends'!$D$61="OFF","OFF","")</f>
        <v/>
      </c>
      <c r="BO45" s="54" t="str">
        <f>IF('⚙ OFF Weekends'!$D$62="OFF","OFF","")</f>
        <v/>
      </c>
      <c r="BP45" s="56" t="str">
        <f>IF('⚙ OFF Weekends'!$D$63="OFF","OFF","")</f>
        <v/>
      </c>
      <c r="BQ45" s="54" t="str">
        <f>IF('⚙ OFF Weekends'!$D$64="OFF","OFF","")</f>
        <v/>
      </c>
      <c r="BR45" s="56" t="str">
        <f>IF('⚙ OFF Weekends'!$D$65="OFF","OFF","")</f>
        <v/>
      </c>
      <c r="BS45" s="54" t="str">
        <f>IF('⚙ OFF Weekends'!$D$66="OFF","OFF","")</f>
        <v/>
      </c>
      <c r="BT45" s="56" t="str">
        <f>IF('⚙ OFF Weekends'!$D$67="OFF","OFF","")</f>
        <v/>
      </c>
      <c r="BU45" s="54" t="str">
        <f>IF('⚙ OFF Weekends'!$D$68="OFF","OFF","")</f>
        <v/>
      </c>
      <c r="BV45" s="56" t="str">
        <f>IF('⚙ OFF Weekends'!$D$69="OFF","OFF","")</f>
        <v/>
      </c>
      <c r="BW45" s="54" t="str">
        <f>IF('⚙ OFF Weekends'!$D$70="OFF","OFF","")</f>
        <v/>
      </c>
      <c r="BX45" s="56" t="str">
        <f>IF('⚙ OFF Weekends'!$D$71="OFF","OFF","")</f>
        <v/>
      </c>
      <c r="BY45" s="54" t="str">
        <f>IF('⚙ OFF Weekends'!$D$72="OFF","OFF","")</f>
        <v/>
      </c>
      <c r="BZ45" s="56" t="str">
        <f>IF('⚙ OFF Weekends'!$D$73="OFF","OFF","")</f>
        <v/>
      </c>
      <c r="CA45" s="54" t="str">
        <f>IF('⚙ OFF Weekends'!$D$74="OFF","OFF","")</f>
        <v/>
      </c>
      <c r="CB45" s="56" t="str">
        <f>IF('⚙ OFF Weekends'!$D$75="OFF","OFF","")</f>
        <v/>
      </c>
      <c r="CC45" s="54" t="str">
        <f>IF('⚙ OFF Weekends'!$D$76="OFF","OFF","")</f>
        <v/>
      </c>
      <c r="CD45" s="56" t="str">
        <f>IF('⚙ OFF Weekends'!$D$77="OFF","OFF","")</f>
        <v/>
      </c>
      <c r="CE45" s="96">
        <f t="shared" si="9"/>
        <v>2</v>
      </c>
      <c r="CF45" s="96">
        <f t="shared" si="10"/>
        <v>0</v>
      </c>
      <c r="CG45" s="96">
        <f t="shared" si="11"/>
        <v>0</v>
      </c>
      <c r="CH45" s="96" t="str">
        <f t="shared" si="12"/>
        <v>100%</v>
      </c>
    </row>
    <row r="46" ht="18.0" customHeight="1">
      <c r="A46" s="107">
        <v>21.0</v>
      </c>
      <c r="B46" s="108"/>
      <c r="C46" s="108"/>
      <c r="D46" s="109" t="str">
        <f t="shared" si="7"/>
        <v/>
      </c>
      <c r="E46" s="110" t="str">
        <f t="shared" si="8"/>
        <v/>
      </c>
      <c r="F46" s="108"/>
      <c r="G46" s="108"/>
      <c r="H46" s="108"/>
      <c r="I46" s="111" t="str">
        <f>IF('⚙ OFF Weekends'!$D$4="OFF","OFF","")</f>
        <v/>
      </c>
      <c r="J46" s="111" t="str">
        <f>IF('⚙ OFF Weekends'!$D$5="OFF","OFF","")</f>
        <v/>
      </c>
      <c r="K46" s="111" t="str">
        <f>IF('⚙ OFF Weekends'!$D$6="OFF","OFF","")</f>
        <v/>
      </c>
      <c r="L46" s="111" t="str">
        <f>IF('⚙ OFF Weekends'!$D$7="OFF","OFF","")</f>
        <v/>
      </c>
      <c r="M46" s="111" t="str">
        <f>IF('⚙ OFF Weekends'!$D$8="OFF","OFF","")</f>
        <v/>
      </c>
      <c r="N46" s="111" t="str">
        <f>IF('⚙ OFF Weekends'!$D$9="OFF","OFF","")</f>
        <v/>
      </c>
      <c r="O46" s="111" t="str">
        <f>IF('⚙ OFF Weekends'!$D$10="OFF","OFF","")</f>
        <v/>
      </c>
      <c r="P46" s="111" t="str">
        <f>IF('⚙ OFF Weekends'!$D$11="OFF","OFF","")</f>
        <v/>
      </c>
      <c r="Q46" s="111" t="str">
        <f>IF('⚙ OFF Weekends'!$D$12="OFF","OFF","")</f>
        <v/>
      </c>
      <c r="R46" s="111" t="str">
        <f>IF('⚙ OFF Weekends'!$D$13="OFF","OFF","")</f>
        <v/>
      </c>
      <c r="S46" s="111" t="str">
        <f>IF('⚙ OFF Weekends'!$D$14="OFF","OFF","")</f>
        <v/>
      </c>
      <c r="T46" s="111" t="str">
        <f>IF('⚙ OFF Weekends'!$D$15="OFF","OFF","")</f>
        <v/>
      </c>
      <c r="U46" s="111" t="str">
        <f>IF('⚙ OFF Weekends'!$D$16="OFF","OFF","")</f>
        <v/>
      </c>
      <c r="V46" s="111" t="str">
        <f>IF('⚙ OFF Weekends'!$D$17="OFF","OFF","")</f>
        <v/>
      </c>
      <c r="W46" s="111" t="str">
        <f>IF('⚙ OFF Weekends'!$D$18="OFF","OFF","")</f>
        <v>OFF</v>
      </c>
      <c r="X46" s="111" t="str">
        <f>IF('⚙ OFF Weekends'!$D$19="OFF","OFF","")</f>
        <v/>
      </c>
      <c r="Y46" s="111" t="str">
        <f>IF('⚙ OFF Weekends'!$D$20="OFF","OFF","")</f>
        <v/>
      </c>
      <c r="Z46" s="111" t="str">
        <f>IF('⚙ OFF Weekends'!$D$21="OFF","OFF","")</f>
        <v/>
      </c>
      <c r="AA46" s="111" t="str">
        <f>IF('⚙ OFF Weekends'!$D$22="OFF","OFF","")</f>
        <v/>
      </c>
      <c r="AB46" s="111" t="str">
        <f>IF('⚙ OFF Weekends'!$D$23="OFF","OFF","")</f>
        <v/>
      </c>
      <c r="AC46" s="111" t="str">
        <f>IF('⚙ OFF Weekends'!$D$24="OFF","OFF","")</f>
        <v/>
      </c>
      <c r="AD46" s="111" t="str">
        <f>IF('⚙ OFF Weekends'!$D$25="OFF","OFF","")</f>
        <v/>
      </c>
      <c r="AE46" s="111" t="str">
        <f>IF('⚙ OFF Weekends'!$D$26="OFF","OFF","")</f>
        <v/>
      </c>
      <c r="AF46" s="111" t="str">
        <f>IF('⚙ OFF Weekends'!$D$27="OFF","OFF","")</f>
        <v/>
      </c>
      <c r="AG46" s="111" t="str">
        <f>IF('⚙ OFF Weekends'!$D$28="OFF","OFF","")</f>
        <v/>
      </c>
      <c r="AH46" s="111" t="str">
        <f>IF('⚙ OFF Weekends'!$D$29="OFF","OFF","")</f>
        <v/>
      </c>
      <c r="AI46" s="111" t="str">
        <f>IF('⚙ OFF Weekends'!$D$30="OFF","OFF","")</f>
        <v/>
      </c>
      <c r="AJ46" s="111" t="str">
        <f>IF('⚙ OFF Weekends'!$D$31="OFF","OFF","")</f>
        <v/>
      </c>
      <c r="AK46" s="111" t="str">
        <f>IF('⚙ OFF Weekends'!$D$32="OFF","OFF","")</f>
        <v/>
      </c>
      <c r="AL46" s="111" t="str">
        <f>IF('⚙ OFF Weekends'!$D$33="OFF","OFF","")</f>
        <v/>
      </c>
      <c r="AM46" s="111" t="str">
        <f>IF('⚙ OFF Weekends'!$D$34="OFF","OFF","")</f>
        <v/>
      </c>
      <c r="AN46" s="111" t="str">
        <f>IF('⚙ OFF Weekends'!$D$35="OFF","OFF","")</f>
        <v/>
      </c>
      <c r="AO46" s="111" t="str">
        <f>IF('⚙ OFF Weekends'!$D$36="OFF","OFF","")</f>
        <v/>
      </c>
      <c r="AP46" s="111" t="str">
        <f>IF('⚙ OFF Weekends'!$D$37="OFF","OFF","")</f>
        <v/>
      </c>
      <c r="AQ46" s="111" t="str">
        <f>IF('⚙ OFF Weekends'!$D$38="OFF","OFF","")</f>
        <v/>
      </c>
      <c r="AR46" s="111" t="str">
        <f>IF('⚙ OFF Weekends'!$D$39="OFF","OFF","")</f>
        <v/>
      </c>
      <c r="AS46" s="111" t="str">
        <f>IF('⚙ OFF Weekends'!$D$40="OFF","OFF","")</f>
        <v/>
      </c>
      <c r="AT46" s="111" t="str">
        <f>IF('⚙ OFF Weekends'!$D$41="OFF","OFF","")</f>
        <v/>
      </c>
      <c r="AU46" s="111" t="str">
        <f>IF('⚙ OFF Weekends'!$D$42="OFF","OFF","")</f>
        <v/>
      </c>
      <c r="AV46" s="111" t="str">
        <f>IF('⚙ OFF Weekends'!$D$43="OFF","OFF","")</f>
        <v/>
      </c>
      <c r="AW46" s="111" t="str">
        <f>IF('⚙ OFF Weekends'!$D$44="OFF","OFF","")</f>
        <v/>
      </c>
      <c r="AX46" s="111" t="str">
        <f>IF('⚙ OFF Weekends'!$D$45="OFF","OFF","")</f>
        <v/>
      </c>
      <c r="AY46" s="111" t="str">
        <f>IF('⚙ OFF Weekends'!$D$46="OFF","OFF","")</f>
        <v/>
      </c>
      <c r="AZ46" s="111" t="str">
        <f>IF('⚙ OFF Weekends'!$D$47="OFF","OFF","")</f>
        <v/>
      </c>
      <c r="BA46" s="111" t="str">
        <f>IF('⚙ OFF Weekends'!$D$48="OFF","OFF","")</f>
        <v/>
      </c>
      <c r="BB46" s="111" t="str">
        <f>IF('⚙ OFF Weekends'!$D$49="OFF","OFF","")</f>
        <v/>
      </c>
      <c r="BC46" s="111" t="str">
        <f>IF('⚙ OFF Weekends'!$D$50="OFF","OFF","")</f>
        <v/>
      </c>
      <c r="BD46" s="111" t="str">
        <f>IF('⚙ OFF Weekends'!$D$51="OFF","OFF","")</f>
        <v/>
      </c>
      <c r="BE46" s="111" t="str">
        <f>IF('⚙ OFF Weekends'!$D$52="OFF","OFF","")</f>
        <v/>
      </c>
      <c r="BF46" s="111" t="str">
        <f>IF('⚙ OFF Weekends'!$D$53="OFF","OFF","")</f>
        <v/>
      </c>
      <c r="BG46" s="111" t="str">
        <f>IF('⚙ OFF Weekends'!$D$54="OFF","OFF","")</f>
        <v/>
      </c>
      <c r="BH46" s="111" t="str">
        <f>IF('⚙ OFF Weekends'!$D$55="OFF","OFF","")</f>
        <v/>
      </c>
      <c r="BI46" s="111" t="str">
        <f>IF('⚙ OFF Weekends'!$D$56="OFF","OFF","")</f>
        <v/>
      </c>
      <c r="BJ46" s="111" t="str">
        <f>IF('⚙ OFF Weekends'!$D$57="OFF","OFF","")</f>
        <v/>
      </c>
      <c r="BK46" s="111" t="str">
        <f>IF('⚙ OFF Weekends'!$D$58="OFF","OFF","")</f>
        <v/>
      </c>
      <c r="BL46" s="111" t="str">
        <f>IF('⚙ OFF Weekends'!$D$59="OFF","OFF","")</f>
        <v/>
      </c>
      <c r="BM46" s="111" t="str">
        <f>IF('⚙ OFF Weekends'!$D$60="OFF","OFF","")</f>
        <v/>
      </c>
      <c r="BN46" s="111" t="str">
        <f>IF('⚙ OFF Weekends'!$D$61="OFF","OFF","")</f>
        <v/>
      </c>
      <c r="BO46" s="111" t="str">
        <f>IF('⚙ OFF Weekends'!$D$62="OFF","OFF","")</f>
        <v/>
      </c>
      <c r="BP46" s="111" t="str">
        <f>IF('⚙ OFF Weekends'!$D$63="OFF","OFF","")</f>
        <v/>
      </c>
      <c r="BQ46" s="111" t="str">
        <f>IF('⚙ OFF Weekends'!$D$64="OFF","OFF","")</f>
        <v/>
      </c>
      <c r="BR46" s="111" t="str">
        <f>IF('⚙ OFF Weekends'!$D$65="OFF","OFF","")</f>
        <v/>
      </c>
      <c r="BS46" s="111" t="str">
        <f>IF('⚙ OFF Weekends'!$D$66="OFF","OFF","")</f>
        <v/>
      </c>
      <c r="BT46" s="111" t="str">
        <f>IF('⚙ OFF Weekends'!$D$67="OFF","OFF","")</f>
        <v/>
      </c>
      <c r="BU46" s="111" t="str">
        <f>IF('⚙ OFF Weekends'!$D$68="OFF","OFF","")</f>
        <v/>
      </c>
      <c r="BV46" s="111" t="str">
        <f>IF('⚙ OFF Weekends'!$D$69="OFF","OFF","")</f>
        <v/>
      </c>
      <c r="BW46" s="111" t="str">
        <f>IF('⚙ OFF Weekends'!$D$70="OFF","OFF","")</f>
        <v/>
      </c>
      <c r="BX46" s="111" t="str">
        <f>IF('⚙ OFF Weekends'!$D$71="OFF","OFF","")</f>
        <v/>
      </c>
      <c r="BY46" s="111" t="str">
        <f>IF('⚙ OFF Weekends'!$D$72="OFF","OFF","")</f>
        <v/>
      </c>
      <c r="BZ46" s="111" t="str">
        <f>IF('⚙ OFF Weekends'!$D$73="OFF","OFF","")</f>
        <v/>
      </c>
      <c r="CA46" s="111" t="str">
        <f>IF('⚙ OFF Weekends'!$D$74="OFF","OFF","")</f>
        <v/>
      </c>
      <c r="CB46" s="111" t="str">
        <f>IF('⚙ OFF Weekends'!$D$75="OFF","OFF","")</f>
        <v/>
      </c>
      <c r="CC46" s="111" t="str">
        <f>IF('⚙ OFF Weekends'!$D$76="OFF","OFF","")</f>
        <v/>
      </c>
      <c r="CD46" s="111" t="str">
        <f>IF('⚙ OFF Weekends'!$D$77="OFF","OFF","")</f>
        <v/>
      </c>
      <c r="CE46" s="112">
        <f t="shared" si="9"/>
        <v>0</v>
      </c>
      <c r="CF46" s="112">
        <f t="shared" si="10"/>
        <v>0</v>
      </c>
      <c r="CG46" s="112">
        <f t="shared" si="11"/>
        <v>0</v>
      </c>
      <c r="CH46" s="112" t="str">
        <f t="shared" si="12"/>
        <v>0%</v>
      </c>
    </row>
    <row r="47" ht="18.0" customHeight="1">
      <c r="A47" s="107">
        <v>22.0</v>
      </c>
      <c r="B47" s="108"/>
      <c r="C47" s="108"/>
      <c r="D47" s="109" t="str">
        <f t="shared" si="7"/>
        <v/>
      </c>
      <c r="E47" s="110" t="str">
        <f t="shared" si="8"/>
        <v/>
      </c>
      <c r="F47" s="108"/>
      <c r="G47" s="108"/>
      <c r="H47" s="108"/>
      <c r="I47" s="111" t="str">
        <f>IF('⚙ OFF Weekends'!$D$4="OFF","OFF","")</f>
        <v/>
      </c>
      <c r="J47" s="111" t="str">
        <f>IF('⚙ OFF Weekends'!$D$5="OFF","OFF","")</f>
        <v/>
      </c>
      <c r="K47" s="111" t="str">
        <f>IF('⚙ OFF Weekends'!$D$6="OFF","OFF","")</f>
        <v/>
      </c>
      <c r="L47" s="111" t="str">
        <f>IF('⚙ OFF Weekends'!$D$7="OFF","OFF","")</f>
        <v/>
      </c>
      <c r="M47" s="111" t="str">
        <f>IF('⚙ OFF Weekends'!$D$8="OFF","OFF","")</f>
        <v/>
      </c>
      <c r="N47" s="111" t="str">
        <f>IF('⚙ OFF Weekends'!$D$9="OFF","OFF","")</f>
        <v/>
      </c>
      <c r="O47" s="111" t="str">
        <f>IF('⚙ OFF Weekends'!$D$10="OFF","OFF","")</f>
        <v/>
      </c>
      <c r="P47" s="111" t="str">
        <f>IF('⚙ OFF Weekends'!$D$11="OFF","OFF","")</f>
        <v/>
      </c>
      <c r="Q47" s="111" t="str">
        <f>IF('⚙ OFF Weekends'!$D$12="OFF","OFF","")</f>
        <v/>
      </c>
      <c r="R47" s="111" t="str">
        <f>IF('⚙ OFF Weekends'!$D$13="OFF","OFF","")</f>
        <v/>
      </c>
      <c r="S47" s="111" t="str">
        <f>IF('⚙ OFF Weekends'!$D$14="OFF","OFF","")</f>
        <v/>
      </c>
      <c r="T47" s="111" t="str">
        <f>IF('⚙ OFF Weekends'!$D$15="OFF","OFF","")</f>
        <v/>
      </c>
      <c r="U47" s="111" t="str">
        <f>IF('⚙ OFF Weekends'!$D$16="OFF","OFF","")</f>
        <v/>
      </c>
      <c r="V47" s="111" t="str">
        <f>IF('⚙ OFF Weekends'!$D$17="OFF","OFF","")</f>
        <v/>
      </c>
      <c r="W47" s="111" t="str">
        <f>IF('⚙ OFF Weekends'!$D$18="OFF","OFF","")</f>
        <v>OFF</v>
      </c>
      <c r="X47" s="111" t="str">
        <f>IF('⚙ OFF Weekends'!$D$19="OFF","OFF","")</f>
        <v/>
      </c>
      <c r="Y47" s="111" t="str">
        <f>IF('⚙ OFF Weekends'!$D$20="OFF","OFF","")</f>
        <v/>
      </c>
      <c r="Z47" s="111" t="str">
        <f>IF('⚙ OFF Weekends'!$D$21="OFF","OFF","")</f>
        <v/>
      </c>
      <c r="AA47" s="111" t="str">
        <f>IF('⚙ OFF Weekends'!$D$22="OFF","OFF","")</f>
        <v/>
      </c>
      <c r="AB47" s="111" t="str">
        <f>IF('⚙ OFF Weekends'!$D$23="OFF","OFF","")</f>
        <v/>
      </c>
      <c r="AC47" s="111" t="str">
        <f>IF('⚙ OFF Weekends'!$D$24="OFF","OFF","")</f>
        <v/>
      </c>
      <c r="AD47" s="111" t="str">
        <f>IF('⚙ OFF Weekends'!$D$25="OFF","OFF","")</f>
        <v/>
      </c>
      <c r="AE47" s="111" t="str">
        <f>IF('⚙ OFF Weekends'!$D$26="OFF","OFF","")</f>
        <v/>
      </c>
      <c r="AF47" s="111" t="str">
        <f>IF('⚙ OFF Weekends'!$D$27="OFF","OFF","")</f>
        <v/>
      </c>
      <c r="AG47" s="111" t="str">
        <f>IF('⚙ OFF Weekends'!$D$28="OFF","OFF","")</f>
        <v/>
      </c>
      <c r="AH47" s="111" t="str">
        <f>IF('⚙ OFF Weekends'!$D$29="OFF","OFF","")</f>
        <v/>
      </c>
      <c r="AI47" s="111" t="str">
        <f>IF('⚙ OFF Weekends'!$D$30="OFF","OFF","")</f>
        <v/>
      </c>
      <c r="AJ47" s="111" t="str">
        <f>IF('⚙ OFF Weekends'!$D$31="OFF","OFF","")</f>
        <v/>
      </c>
      <c r="AK47" s="111" t="str">
        <f>IF('⚙ OFF Weekends'!$D$32="OFF","OFF","")</f>
        <v/>
      </c>
      <c r="AL47" s="111" t="str">
        <f>IF('⚙ OFF Weekends'!$D$33="OFF","OFF","")</f>
        <v/>
      </c>
      <c r="AM47" s="111" t="str">
        <f>IF('⚙ OFF Weekends'!$D$34="OFF","OFF","")</f>
        <v/>
      </c>
      <c r="AN47" s="111" t="str">
        <f>IF('⚙ OFF Weekends'!$D$35="OFF","OFF","")</f>
        <v/>
      </c>
      <c r="AO47" s="111" t="str">
        <f>IF('⚙ OFF Weekends'!$D$36="OFF","OFF","")</f>
        <v/>
      </c>
      <c r="AP47" s="111" t="str">
        <f>IF('⚙ OFF Weekends'!$D$37="OFF","OFF","")</f>
        <v/>
      </c>
      <c r="AQ47" s="111" t="str">
        <f>IF('⚙ OFF Weekends'!$D$38="OFF","OFF","")</f>
        <v/>
      </c>
      <c r="AR47" s="111" t="str">
        <f>IF('⚙ OFF Weekends'!$D$39="OFF","OFF","")</f>
        <v/>
      </c>
      <c r="AS47" s="111" t="str">
        <f>IF('⚙ OFF Weekends'!$D$40="OFF","OFF","")</f>
        <v/>
      </c>
      <c r="AT47" s="111" t="str">
        <f>IF('⚙ OFF Weekends'!$D$41="OFF","OFF","")</f>
        <v/>
      </c>
      <c r="AU47" s="111" t="str">
        <f>IF('⚙ OFF Weekends'!$D$42="OFF","OFF","")</f>
        <v/>
      </c>
      <c r="AV47" s="111" t="str">
        <f>IF('⚙ OFF Weekends'!$D$43="OFF","OFF","")</f>
        <v/>
      </c>
      <c r="AW47" s="111" t="str">
        <f>IF('⚙ OFF Weekends'!$D$44="OFF","OFF","")</f>
        <v/>
      </c>
      <c r="AX47" s="111" t="str">
        <f>IF('⚙ OFF Weekends'!$D$45="OFF","OFF","")</f>
        <v/>
      </c>
      <c r="AY47" s="111" t="str">
        <f>IF('⚙ OFF Weekends'!$D$46="OFF","OFF","")</f>
        <v/>
      </c>
      <c r="AZ47" s="111" t="str">
        <f>IF('⚙ OFF Weekends'!$D$47="OFF","OFF","")</f>
        <v/>
      </c>
      <c r="BA47" s="111" t="str">
        <f>IF('⚙ OFF Weekends'!$D$48="OFF","OFF","")</f>
        <v/>
      </c>
      <c r="BB47" s="111" t="str">
        <f>IF('⚙ OFF Weekends'!$D$49="OFF","OFF","")</f>
        <v/>
      </c>
      <c r="BC47" s="111" t="str">
        <f>IF('⚙ OFF Weekends'!$D$50="OFF","OFF","")</f>
        <v/>
      </c>
      <c r="BD47" s="111" t="str">
        <f>IF('⚙ OFF Weekends'!$D$51="OFF","OFF","")</f>
        <v/>
      </c>
      <c r="BE47" s="111" t="str">
        <f>IF('⚙ OFF Weekends'!$D$52="OFF","OFF","")</f>
        <v/>
      </c>
      <c r="BF47" s="111" t="str">
        <f>IF('⚙ OFF Weekends'!$D$53="OFF","OFF","")</f>
        <v/>
      </c>
      <c r="BG47" s="111" t="str">
        <f>IF('⚙ OFF Weekends'!$D$54="OFF","OFF","")</f>
        <v/>
      </c>
      <c r="BH47" s="111" t="str">
        <f>IF('⚙ OFF Weekends'!$D$55="OFF","OFF","")</f>
        <v/>
      </c>
      <c r="BI47" s="111" t="str">
        <f>IF('⚙ OFF Weekends'!$D$56="OFF","OFF","")</f>
        <v/>
      </c>
      <c r="BJ47" s="111" t="str">
        <f>IF('⚙ OFF Weekends'!$D$57="OFF","OFF","")</f>
        <v/>
      </c>
      <c r="BK47" s="111" t="str">
        <f>IF('⚙ OFF Weekends'!$D$58="OFF","OFF","")</f>
        <v/>
      </c>
      <c r="BL47" s="111" t="str">
        <f>IF('⚙ OFF Weekends'!$D$59="OFF","OFF","")</f>
        <v/>
      </c>
      <c r="BM47" s="111" t="str">
        <f>IF('⚙ OFF Weekends'!$D$60="OFF","OFF","")</f>
        <v/>
      </c>
      <c r="BN47" s="111" t="str">
        <f>IF('⚙ OFF Weekends'!$D$61="OFF","OFF","")</f>
        <v/>
      </c>
      <c r="BO47" s="111" t="str">
        <f>IF('⚙ OFF Weekends'!$D$62="OFF","OFF","")</f>
        <v/>
      </c>
      <c r="BP47" s="111" t="str">
        <f>IF('⚙ OFF Weekends'!$D$63="OFF","OFF","")</f>
        <v/>
      </c>
      <c r="BQ47" s="111" t="str">
        <f>IF('⚙ OFF Weekends'!$D$64="OFF","OFF","")</f>
        <v/>
      </c>
      <c r="BR47" s="111" t="str">
        <f>IF('⚙ OFF Weekends'!$D$65="OFF","OFF","")</f>
        <v/>
      </c>
      <c r="BS47" s="111" t="str">
        <f>IF('⚙ OFF Weekends'!$D$66="OFF","OFF","")</f>
        <v/>
      </c>
      <c r="BT47" s="111" t="str">
        <f>IF('⚙ OFF Weekends'!$D$67="OFF","OFF","")</f>
        <v/>
      </c>
      <c r="BU47" s="111" t="str">
        <f>IF('⚙ OFF Weekends'!$D$68="OFF","OFF","")</f>
        <v/>
      </c>
      <c r="BV47" s="111" t="str">
        <f>IF('⚙ OFF Weekends'!$D$69="OFF","OFF","")</f>
        <v/>
      </c>
      <c r="BW47" s="111" t="str">
        <f>IF('⚙ OFF Weekends'!$D$70="OFF","OFF","")</f>
        <v/>
      </c>
      <c r="BX47" s="111" t="str">
        <f>IF('⚙ OFF Weekends'!$D$71="OFF","OFF","")</f>
        <v/>
      </c>
      <c r="BY47" s="111" t="str">
        <f>IF('⚙ OFF Weekends'!$D$72="OFF","OFF","")</f>
        <v/>
      </c>
      <c r="BZ47" s="111" t="str">
        <f>IF('⚙ OFF Weekends'!$D$73="OFF","OFF","")</f>
        <v/>
      </c>
      <c r="CA47" s="111" t="str">
        <f>IF('⚙ OFF Weekends'!$D$74="OFF","OFF","")</f>
        <v/>
      </c>
      <c r="CB47" s="111" t="str">
        <f>IF('⚙ OFF Weekends'!$D$75="OFF","OFF","")</f>
        <v/>
      </c>
      <c r="CC47" s="111" t="str">
        <f>IF('⚙ OFF Weekends'!$D$76="OFF","OFF","")</f>
        <v/>
      </c>
      <c r="CD47" s="111" t="str">
        <f>IF('⚙ OFF Weekends'!$D$77="OFF","OFF","")</f>
        <v/>
      </c>
      <c r="CE47" s="112">
        <f t="shared" si="9"/>
        <v>0</v>
      </c>
      <c r="CF47" s="112">
        <f t="shared" si="10"/>
        <v>0</v>
      </c>
      <c r="CG47" s="112">
        <f t="shared" si="11"/>
        <v>0</v>
      </c>
      <c r="CH47" s="112" t="str">
        <f t="shared" si="12"/>
        <v>0%</v>
      </c>
    </row>
    <row r="48" ht="18.0" customHeight="1">
      <c r="A48" s="107">
        <v>23.0</v>
      </c>
      <c r="B48" s="108"/>
      <c r="C48" s="108"/>
      <c r="D48" s="109" t="str">
        <f t="shared" si="7"/>
        <v/>
      </c>
      <c r="E48" s="110" t="str">
        <f t="shared" si="8"/>
        <v/>
      </c>
      <c r="F48" s="108"/>
      <c r="G48" s="108"/>
      <c r="H48" s="108"/>
      <c r="I48" s="111" t="str">
        <f>IF('⚙ OFF Weekends'!$D$4="OFF","OFF","")</f>
        <v/>
      </c>
      <c r="J48" s="111" t="str">
        <f>IF('⚙ OFF Weekends'!$D$5="OFF","OFF","")</f>
        <v/>
      </c>
      <c r="K48" s="111" t="str">
        <f>IF('⚙ OFF Weekends'!$D$6="OFF","OFF","")</f>
        <v/>
      </c>
      <c r="L48" s="111" t="str">
        <f>IF('⚙ OFF Weekends'!$D$7="OFF","OFF","")</f>
        <v/>
      </c>
      <c r="M48" s="111" t="str">
        <f>IF('⚙ OFF Weekends'!$D$8="OFF","OFF","")</f>
        <v/>
      </c>
      <c r="N48" s="111" t="str">
        <f>IF('⚙ OFF Weekends'!$D$9="OFF","OFF","")</f>
        <v/>
      </c>
      <c r="O48" s="111" t="str">
        <f>IF('⚙ OFF Weekends'!$D$10="OFF","OFF","")</f>
        <v/>
      </c>
      <c r="P48" s="111" t="str">
        <f>IF('⚙ OFF Weekends'!$D$11="OFF","OFF","")</f>
        <v/>
      </c>
      <c r="Q48" s="111" t="str">
        <f>IF('⚙ OFF Weekends'!$D$12="OFF","OFF","")</f>
        <v/>
      </c>
      <c r="R48" s="111" t="str">
        <f>IF('⚙ OFF Weekends'!$D$13="OFF","OFF","")</f>
        <v/>
      </c>
      <c r="S48" s="111" t="str">
        <f>IF('⚙ OFF Weekends'!$D$14="OFF","OFF","")</f>
        <v/>
      </c>
      <c r="T48" s="111" t="str">
        <f>IF('⚙ OFF Weekends'!$D$15="OFF","OFF","")</f>
        <v/>
      </c>
      <c r="U48" s="111" t="str">
        <f>IF('⚙ OFF Weekends'!$D$16="OFF","OFF","")</f>
        <v/>
      </c>
      <c r="V48" s="111" t="str">
        <f>IF('⚙ OFF Weekends'!$D$17="OFF","OFF","")</f>
        <v/>
      </c>
      <c r="W48" s="111" t="str">
        <f>IF('⚙ OFF Weekends'!$D$18="OFF","OFF","")</f>
        <v>OFF</v>
      </c>
      <c r="X48" s="111" t="str">
        <f>IF('⚙ OFF Weekends'!$D$19="OFF","OFF","")</f>
        <v/>
      </c>
      <c r="Y48" s="111" t="str">
        <f>IF('⚙ OFF Weekends'!$D$20="OFF","OFF","")</f>
        <v/>
      </c>
      <c r="Z48" s="111" t="str">
        <f>IF('⚙ OFF Weekends'!$D$21="OFF","OFF","")</f>
        <v/>
      </c>
      <c r="AA48" s="111" t="str">
        <f>IF('⚙ OFF Weekends'!$D$22="OFF","OFF","")</f>
        <v/>
      </c>
      <c r="AB48" s="111" t="str">
        <f>IF('⚙ OFF Weekends'!$D$23="OFF","OFF","")</f>
        <v/>
      </c>
      <c r="AC48" s="111" t="str">
        <f>IF('⚙ OFF Weekends'!$D$24="OFF","OFF","")</f>
        <v/>
      </c>
      <c r="AD48" s="111" t="str">
        <f>IF('⚙ OFF Weekends'!$D$25="OFF","OFF","")</f>
        <v/>
      </c>
      <c r="AE48" s="111" t="str">
        <f>IF('⚙ OFF Weekends'!$D$26="OFF","OFF","")</f>
        <v/>
      </c>
      <c r="AF48" s="111" t="str">
        <f>IF('⚙ OFF Weekends'!$D$27="OFF","OFF","")</f>
        <v/>
      </c>
      <c r="AG48" s="111" t="str">
        <f>IF('⚙ OFF Weekends'!$D$28="OFF","OFF","")</f>
        <v/>
      </c>
      <c r="AH48" s="111" t="str">
        <f>IF('⚙ OFF Weekends'!$D$29="OFF","OFF","")</f>
        <v/>
      </c>
      <c r="AI48" s="111" t="str">
        <f>IF('⚙ OFF Weekends'!$D$30="OFF","OFF","")</f>
        <v/>
      </c>
      <c r="AJ48" s="111" t="str">
        <f>IF('⚙ OFF Weekends'!$D$31="OFF","OFF","")</f>
        <v/>
      </c>
      <c r="AK48" s="111" t="str">
        <f>IF('⚙ OFF Weekends'!$D$32="OFF","OFF","")</f>
        <v/>
      </c>
      <c r="AL48" s="111" t="str">
        <f>IF('⚙ OFF Weekends'!$D$33="OFF","OFF","")</f>
        <v/>
      </c>
      <c r="AM48" s="111" t="str">
        <f>IF('⚙ OFF Weekends'!$D$34="OFF","OFF","")</f>
        <v/>
      </c>
      <c r="AN48" s="111" t="str">
        <f>IF('⚙ OFF Weekends'!$D$35="OFF","OFF","")</f>
        <v/>
      </c>
      <c r="AO48" s="111" t="str">
        <f>IF('⚙ OFF Weekends'!$D$36="OFF","OFF","")</f>
        <v/>
      </c>
      <c r="AP48" s="111" t="str">
        <f>IF('⚙ OFF Weekends'!$D$37="OFF","OFF","")</f>
        <v/>
      </c>
      <c r="AQ48" s="111" t="str">
        <f>IF('⚙ OFF Weekends'!$D$38="OFF","OFF","")</f>
        <v/>
      </c>
      <c r="AR48" s="111" t="str">
        <f>IF('⚙ OFF Weekends'!$D$39="OFF","OFF","")</f>
        <v/>
      </c>
      <c r="AS48" s="111" t="str">
        <f>IF('⚙ OFF Weekends'!$D$40="OFF","OFF","")</f>
        <v/>
      </c>
      <c r="AT48" s="111" t="str">
        <f>IF('⚙ OFF Weekends'!$D$41="OFF","OFF","")</f>
        <v/>
      </c>
      <c r="AU48" s="111" t="str">
        <f>IF('⚙ OFF Weekends'!$D$42="OFF","OFF","")</f>
        <v/>
      </c>
      <c r="AV48" s="111" t="str">
        <f>IF('⚙ OFF Weekends'!$D$43="OFF","OFF","")</f>
        <v/>
      </c>
      <c r="AW48" s="111" t="str">
        <f>IF('⚙ OFF Weekends'!$D$44="OFF","OFF","")</f>
        <v/>
      </c>
      <c r="AX48" s="111" t="str">
        <f>IF('⚙ OFF Weekends'!$D$45="OFF","OFF","")</f>
        <v/>
      </c>
      <c r="AY48" s="111" t="str">
        <f>IF('⚙ OFF Weekends'!$D$46="OFF","OFF","")</f>
        <v/>
      </c>
      <c r="AZ48" s="111" t="str">
        <f>IF('⚙ OFF Weekends'!$D$47="OFF","OFF","")</f>
        <v/>
      </c>
      <c r="BA48" s="111" t="str">
        <f>IF('⚙ OFF Weekends'!$D$48="OFF","OFF","")</f>
        <v/>
      </c>
      <c r="BB48" s="111" t="str">
        <f>IF('⚙ OFF Weekends'!$D$49="OFF","OFF","")</f>
        <v/>
      </c>
      <c r="BC48" s="111" t="str">
        <f>IF('⚙ OFF Weekends'!$D$50="OFF","OFF","")</f>
        <v/>
      </c>
      <c r="BD48" s="111" t="str">
        <f>IF('⚙ OFF Weekends'!$D$51="OFF","OFF","")</f>
        <v/>
      </c>
      <c r="BE48" s="111" t="str">
        <f>IF('⚙ OFF Weekends'!$D$52="OFF","OFF","")</f>
        <v/>
      </c>
      <c r="BF48" s="111" t="str">
        <f>IF('⚙ OFF Weekends'!$D$53="OFF","OFF","")</f>
        <v/>
      </c>
      <c r="BG48" s="111" t="str">
        <f>IF('⚙ OFF Weekends'!$D$54="OFF","OFF","")</f>
        <v/>
      </c>
      <c r="BH48" s="111" t="str">
        <f>IF('⚙ OFF Weekends'!$D$55="OFF","OFF","")</f>
        <v/>
      </c>
      <c r="BI48" s="111" t="str">
        <f>IF('⚙ OFF Weekends'!$D$56="OFF","OFF","")</f>
        <v/>
      </c>
      <c r="BJ48" s="111" t="str">
        <f>IF('⚙ OFF Weekends'!$D$57="OFF","OFF","")</f>
        <v/>
      </c>
      <c r="BK48" s="111" t="str">
        <f>IF('⚙ OFF Weekends'!$D$58="OFF","OFF","")</f>
        <v/>
      </c>
      <c r="BL48" s="111" t="str">
        <f>IF('⚙ OFF Weekends'!$D$59="OFF","OFF","")</f>
        <v/>
      </c>
      <c r="BM48" s="111" t="str">
        <f>IF('⚙ OFF Weekends'!$D$60="OFF","OFF","")</f>
        <v/>
      </c>
      <c r="BN48" s="111" t="str">
        <f>IF('⚙ OFF Weekends'!$D$61="OFF","OFF","")</f>
        <v/>
      </c>
      <c r="BO48" s="111" t="str">
        <f>IF('⚙ OFF Weekends'!$D$62="OFF","OFF","")</f>
        <v/>
      </c>
      <c r="BP48" s="111" t="str">
        <f>IF('⚙ OFF Weekends'!$D$63="OFF","OFF","")</f>
        <v/>
      </c>
      <c r="BQ48" s="111" t="str">
        <f>IF('⚙ OFF Weekends'!$D$64="OFF","OFF","")</f>
        <v/>
      </c>
      <c r="BR48" s="111" t="str">
        <f>IF('⚙ OFF Weekends'!$D$65="OFF","OFF","")</f>
        <v/>
      </c>
      <c r="BS48" s="111" t="str">
        <f>IF('⚙ OFF Weekends'!$D$66="OFF","OFF","")</f>
        <v/>
      </c>
      <c r="BT48" s="111" t="str">
        <f>IF('⚙ OFF Weekends'!$D$67="OFF","OFF","")</f>
        <v/>
      </c>
      <c r="BU48" s="111" t="str">
        <f>IF('⚙ OFF Weekends'!$D$68="OFF","OFF","")</f>
        <v/>
      </c>
      <c r="BV48" s="111" t="str">
        <f>IF('⚙ OFF Weekends'!$D$69="OFF","OFF","")</f>
        <v/>
      </c>
      <c r="BW48" s="111" t="str">
        <f>IF('⚙ OFF Weekends'!$D$70="OFF","OFF","")</f>
        <v/>
      </c>
      <c r="BX48" s="111" t="str">
        <f>IF('⚙ OFF Weekends'!$D$71="OFF","OFF","")</f>
        <v/>
      </c>
      <c r="BY48" s="111" t="str">
        <f>IF('⚙ OFF Weekends'!$D$72="OFF","OFF","")</f>
        <v/>
      </c>
      <c r="BZ48" s="111" t="str">
        <f>IF('⚙ OFF Weekends'!$D$73="OFF","OFF","")</f>
        <v/>
      </c>
      <c r="CA48" s="111" t="str">
        <f>IF('⚙ OFF Weekends'!$D$74="OFF","OFF","")</f>
        <v/>
      </c>
      <c r="CB48" s="111" t="str">
        <f>IF('⚙ OFF Weekends'!$D$75="OFF","OFF","")</f>
        <v/>
      </c>
      <c r="CC48" s="111" t="str">
        <f>IF('⚙ OFF Weekends'!$D$76="OFF","OFF","")</f>
        <v/>
      </c>
      <c r="CD48" s="111" t="str">
        <f>IF('⚙ OFF Weekends'!$D$77="OFF","OFF","")</f>
        <v/>
      </c>
      <c r="CE48" s="112">
        <f t="shared" si="9"/>
        <v>0</v>
      </c>
      <c r="CF48" s="112">
        <f t="shared" si="10"/>
        <v>0</v>
      </c>
      <c r="CG48" s="112">
        <f t="shared" si="11"/>
        <v>0</v>
      </c>
      <c r="CH48" s="112" t="str">
        <f t="shared" si="12"/>
        <v>0%</v>
      </c>
    </row>
    <row r="49" ht="15.0" customHeight="1">
      <c r="A49" s="113" t="str">
        <f>"Group Strength: "&amp;COUNTA(B26:B48)</f>
        <v>Group Strength: 20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3"/>
    </row>
    <row r="50" ht="4.5" customHeight="1">
      <c r="A50" s="11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3"/>
    </row>
    <row r="51" ht="19.5" customHeight="1">
      <c r="A51" s="8" t="s">
        <v>377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3"/>
    </row>
    <row r="52" ht="21.0" customHeight="1">
      <c r="A52" s="95">
        <v>1.0</v>
      </c>
      <c r="B52" s="12" t="s">
        <v>378</v>
      </c>
      <c r="C52" s="14" t="s">
        <v>379</v>
      </c>
      <c r="D52" s="17" t="str">
        <f t="shared" ref="D52:D78" si="13">IF(C52&lt;&gt;"",HYPERLINK("tel:"&amp;SUBSTITUTE(SUBSTITUTE(C52," ",""),"+","+"),"📞 Call"),"")</f>
        <v>📞 Call</v>
      </c>
      <c r="E52" s="19" t="str">
        <f t="shared" ref="E52:E78" si="14">IF(C52&lt;&gt;"",HYPERLINK("https://wa.me/"&amp;SUBSTITUTE(SUBSTITUTE(C52,"+","")," ",""),"💬 WhatsApp"),"")</f>
        <v>💬 WhatsApp</v>
      </c>
      <c r="F52" s="10"/>
      <c r="G52" s="10" t="s">
        <v>381</v>
      </c>
      <c r="H52" s="10"/>
      <c r="I52" s="48" t="s">
        <v>196</v>
      </c>
      <c r="J52" s="48" t="s">
        <v>196</v>
      </c>
      <c r="K52" s="49" t="s">
        <v>197</v>
      </c>
      <c r="L52" s="48" t="s">
        <v>196</v>
      </c>
      <c r="M52" s="50" t="s">
        <v>37</v>
      </c>
      <c r="N52" s="50" t="s">
        <v>37</v>
      </c>
      <c r="O52" s="79" t="s">
        <v>223</v>
      </c>
      <c r="P52" s="48" t="s">
        <v>196</v>
      </c>
      <c r="Q52" s="48" t="s">
        <v>196</v>
      </c>
      <c r="R52" s="48" t="s">
        <v>196</v>
      </c>
      <c r="S52" s="52" t="s">
        <v>223</v>
      </c>
      <c r="T52" s="53" t="s">
        <v>196</v>
      </c>
      <c r="U52" s="52" t="s">
        <v>196</v>
      </c>
      <c r="V52" s="53" t="s">
        <v>37</v>
      </c>
      <c r="W52" s="54" t="str">
        <f>IF('⚙ OFF Weekends'!$D$18="OFF","OFF","")</f>
        <v>OFF</v>
      </c>
      <c r="X52" s="53" t="s">
        <v>196</v>
      </c>
      <c r="Y52" s="52" t="s">
        <v>223</v>
      </c>
      <c r="Z52" s="53" t="s">
        <v>223</v>
      </c>
      <c r="AA52" s="52" t="s">
        <v>223</v>
      </c>
      <c r="AB52" s="53" t="s">
        <v>196</v>
      </c>
      <c r="AC52" s="54" t="str">
        <f>IF('⚙ OFF Weekends'!$D$24="OFF","OFF","")</f>
        <v/>
      </c>
      <c r="AD52" s="56" t="str">
        <f>IF('⚙ OFF Weekends'!$D$25="OFF","OFF","")</f>
        <v/>
      </c>
      <c r="AE52" s="54" t="str">
        <f>IF('⚙ OFF Weekends'!$D$26="OFF","OFF","")</f>
        <v/>
      </c>
      <c r="AF52" s="56" t="str">
        <f>IF('⚙ OFF Weekends'!$D$27="OFF","OFF","")</f>
        <v/>
      </c>
      <c r="AG52" s="54" t="str">
        <f>IF('⚙ OFF Weekends'!$D$28="OFF","OFF","")</f>
        <v/>
      </c>
      <c r="AH52" s="56" t="str">
        <f>IF('⚙ OFF Weekends'!$D$29="OFF","OFF","")</f>
        <v/>
      </c>
      <c r="AI52" s="54" t="str">
        <f>IF('⚙ OFF Weekends'!$D$30="OFF","OFF","")</f>
        <v/>
      </c>
      <c r="AJ52" s="56" t="str">
        <f>IF('⚙ OFF Weekends'!$D$31="OFF","OFF","")</f>
        <v/>
      </c>
      <c r="AK52" s="54" t="str">
        <f>IF('⚙ OFF Weekends'!$D$32="OFF","OFF","")</f>
        <v/>
      </c>
      <c r="AL52" s="56" t="str">
        <f>IF('⚙ OFF Weekends'!$D$33="OFF","OFF","")</f>
        <v/>
      </c>
      <c r="AM52" s="54" t="str">
        <f>IF('⚙ OFF Weekends'!$D$34="OFF","OFF","")</f>
        <v/>
      </c>
      <c r="AN52" s="56" t="str">
        <f>IF('⚙ OFF Weekends'!$D$35="OFF","OFF","")</f>
        <v/>
      </c>
      <c r="AO52" s="54" t="str">
        <f>IF('⚙ OFF Weekends'!$D$36="OFF","OFF","")</f>
        <v/>
      </c>
      <c r="AP52" s="56" t="str">
        <f>IF('⚙ OFF Weekends'!$D$37="OFF","OFF","")</f>
        <v/>
      </c>
      <c r="AQ52" s="54" t="str">
        <f>IF('⚙ OFF Weekends'!$D$38="OFF","OFF","")</f>
        <v/>
      </c>
      <c r="AR52" s="56" t="str">
        <f>IF('⚙ OFF Weekends'!$D$39="OFF","OFF","")</f>
        <v/>
      </c>
      <c r="AS52" s="54" t="str">
        <f>IF('⚙ OFF Weekends'!$D$40="OFF","OFF","")</f>
        <v/>
      </c>
      <c r="AT52" s="56" t="str">
        <f>IF('⚙ OFF Weekends'!$D$41="OFF","OFF","")</f>
        <v/>
      </c>
      <c r="AU52" s="54" t="str">
        <f>IF('⚙ OFF Weekends'!$D$42="OFF","OFF","")</f>
        <v/>
      </c>
      <c r="AV52" s="56" t="str">
        <f>IF('⚙ OFF Weekends'!$D$43="OFF","OFF","")</f>
        <v/>
      </c>
      <c r="AW52" s="54" t="str">
        <f>IF('⚙ OFF Weekends'!$D$44="OFF","OFF","")</f>
        <v/>
      </c>
      <c r="AX52" s="56" t="str">
        <f>IF('⚙ OFF Weekends'!$D$45="OFF","OFF","")</f>
        <v/>
      </c>
      <c r="AY52" s="54" t="str">
        <f>IF('⚙ OFF Weekends'!$D$46="OFF","OFF","")</f>
        <v/>
      </c>
      <c r="AZ52" s="56" t="str">
        <f>IF('⚙ OFF Weekends'!$D$47="OFF","OFF","")</f>
        <v/>
      </c>
      <c r="BA52" s="54" t="str">
        <f>IF('⚙ OFF Weekends'!$D$48="OFF","OFF","")</f>
        <v/>
      </c>
      <c r="BB52" s="56" t="str">
        <f>IF('⚙ OFF Weekends'!$D$49="OFF","OFF","")</f>
        <v/>
      </c>
      <c r="BC52" s="54" t="str">
        <f>IF('⚙ OFF Weekends'!$D$50="OFF","OFF","")</f>
        <v/>
      </c>
      <c r="BD52" s="56" t="str">
        <f>IF('⚙ OFF Weekends'!$D$51="OFF","OFF","")</f>
        <v/>
      </c>
      <c r="BE52" s="54" t="str">
        <f>IF('⚙ OFF Weekends'!$D$52="OFF","OFF","")</f>
        <v/>
      </c>
      <c r="BF52" s="56" t="str">
        <f>IF('⚙ OFF Weekends'!$D$53="OFF","OFF","")</f>
        <v/>
      </c>
      <c r="BG52" s="54" t="str">
        <f>IF('⚙ OFF Weekends'!$D$54="OFF","OFF","")</f>
        <v/>
      </c>
      <c r="BH52" s="56" t="str">
        <f>IF('⚙ OFF Weekends'!$D$55="OFF","OFF","")</f>
        <v/>
      </c>
      <c r="BI52" s="54" t="str">
        <f>IF('⚙ OFF Weekends'!$D$56="OFF","OFF","")</f>
        <v/>
      </c>
      <c r="BJ52" s="56" t="str">
        <f>IF('⚙ OFF Weekends'!$D$57="OFF","OFF","")</f>
        <v/>
      </c>
      <c r="BK52" s="54" t="str">
        <f>IF('⚙ OFF Weekends'!$D$58="OFF","OFF","")</f>
        <v/>
      </c>
      <c r="BL52" s="56" t="str">
        <f>IF('⚙ OFF Weekends'!$D$59="OFF","OFF","")</f>
        <v/>
      </c>
      <c r="BM52" s="54" t="str">
        <f>IF('⚙ OFF Weekends'!$D$60="OFF","OFF","")</f>
        <v/>
      </c>
      <c r="BN52" s="56" t="str">
        <f>IF('⚙ OFF Weekends'!$D$61="OFF","OFF","")</f>
        <v/>
      </c>
      <c r="BO52" s="54" t="str">
        <f>IF('⚙ OFF Weekends'!$D$62="OFF","OFF","")</f>
        <v/>
      </c>
      <c r="BP52" s="56" t="str">
        <f>IF('⚙ OFF Weekends'!$D$63="OFF","OFF","")</f>
        <v/>
      </c>
      <c r="BQ52" s="54" t="str">
        <f>IF('⚙ OFF Weekends'!$D$64="OFF","OFF","")</f>
        <v/>
      </c>
      <c r="BR52" s="56" t="str">
        <f>IF('⚙ OFF Weekends'!$D$65="OFF","OFF","")</f>
        <v/>
      </c>
      <c r="BS52" s="54" t="str">
        <f>IF('⚙ OFF Weekends'!$D$66="OFF","OFF","")</f>
        <v/>
      </c>
      <c r="BT52" s="56" t="str">
        <f>IF('⚙ OFF Weekends'!$D$67="OFF","OFF","")</f>
        <v/>
      </c>
      <c r="BU52" s="54" t="str">
        <f>IF('⚙ OFF Weekends'!$D$68="OFF","OFF","")</f>
        <v/>
      </c>
      <c r="BV52" s="56" t="str">
        <f>IF('⚙ OFF Weekends'!$D$69="OFF","OFF","")</f>
        <v/>
      </c>
      <c r="BW52" s="54" t="str">
        <f>IF('⚙ OFF Weekends'!$D$70="OFF","OFF","")</f>
        <v/>
      </c>
      <c r="BX52" s="56" t="str">
        <f>IF('⚙ OFF Weekends'!$D$71="OFF","OFF","")</f>
        <v/>
      </c>
      <c r="BY52" s="54" t="str">
        <f>IF('⚙ OFF Weekends'!$D$72="OFF","OFF","")</f>
        <v/>
      </c>
      <c r="BZ52" s="56" t="str">
        <f>IF('⚙ OFF Weekends'!$D$73="OFF","OFF","")</f>
        <v/>
      </c>
      <c r="CA52" s="54" t="str">
        <f>IF('⚙ OFF Weekends'!$D$74="OFF","OFF","")</f>
        <v/>
      </c>
      <c r="CB52" s="56" t="str">
        <f>IF('⚙ OFF Weekends'!$D$75="OFF","OFF","")</f>
        <v/>
      </c>
      <c r="CC52" s="54" t="str">
        <f>IF('⚙ OFF Weekends'!$D$76="OFF","OFF","")</f>
        <v/>
      </c>
      <c r="CD52" s="56" t="str">
        <f>IF('⚙ OFF Weekends'!$D$77="OFF","OFF","")</f>
        <v/>
      </c>
      <c r="CE52" s="95">
        <f t="shared" ref="CE52:CE78" si="15">COUNTIF(I52:CD52,"Present")+COUNTIF(I52:CD52,"Late")</f>
        <v>13</v>
      </c>
      <c r="CF52" s="95">
        <f t="shared" ref="CF52:CF78" si="16">COUNTIF(I52:CD52,"Absent")</f>
        <v>5</v>
      </c>
      <c r="CG52" s="95">
        <f t="shared" ref="CG52:CG78" si="17">COUNTIF(I52:CD52,"Leave")</f>
        <v>0</v>
      </c>
      <c r="CH52" s="95" t="str">
        <f t="shared" ref="CH52:CH78" si="18">IF(CE52+CF52=0,"0%",TEXT(CE52/(CE52+CF52),"0%"))</f>
        <v>72%</v>
      </c>
    </row>
    <row r="53" ht="18.0" customHeight="1">
      <c r="A53" s="96">
        <v>2.0</v>
      </c>
      <c r="B53" s="22" t="s">
        <v>385</v>
      </c>
      <c r="C53" s="23" t="s">
        <v>386</v>
      </c>
      <c r="D53" s="24" t="str">
        <f t="shared" si="13"/>
        <v>📞 Call</v>
      </c>
      <c r="E53" s="41" t="str">
        <f t="shared" si="14"/>
        <v>💬 WhatsApp</v>
      </c>
      <c r="F53" s="20"/>
      <c r="G53" s="20" t="s">
        <v>381</v>
      </c>
      <c r="H53" s="20" t="s">
        <v>295</v>
      </c>
      <c r="I53" s="79" t="s">
        <v>223</v>
      </c>
      <c r="J53" s="48" t="s">
        <v>196</v>
      </c>
      <c r="K53" s="49" t="s">
        <v>197</v>
      </c>
      <c r="L53" s="48" t="s">
        <v>196</v>
      </c>
      <c r="M53" s="50" t="s">
        <v>37</v>
      </c>
      <c r="N53" s="48" t="s">
        <v>196</v>
      </c>
      <c r="O53" s="50" t="s">
        <v>37</v>
      </c>
      <c r="P53" s="48" t="s">
        <v>196</v>
      </c>
      <c r="Q53" s="50" t="s">
        <v>37</v>
      </c>
      <c r="R53" s="50" t="s">
        <v>37</v>
      </c>
      <c r="S53" s="52" t="s">
        <v>223</v>
      </c>
      <c r="T53" s="53" t="s">
        <v>196</v>
      </c>
      <c r="U53" s="52" t="s">
        <v>37</v>
      </c>
      <c r="V53" s="53" t="s">
        <v>37</v>
      </c>
      <c r="W53" s="54" t="str">
        <f>IF('⚙ OFF Weekends'!$D$18="OFF","OFF","")</f>
        <v>OFF</v>
      </c>
      <c r="X53" s="53" t="s">
        <v>37</v>
      </c>
      <c r="Y53" s="52" t="s">
        <v>37</v>
      </c>
      <c r="Z53" s="53" t="s">
        <v>223</v>
      </c>
      <c r="AA53" s="52" t="s">
        <v>37</v>
      </c>
      <c r="AB53" s="53" t="s">
        <v>223</v>
      </c>
      <c r="AC53" s="54" t="str">
        <f>IF('⚙ OFF Weekends'!$D$24="OFF","OFF","")</f>
        <v/>
      </c>
      <c r="AD53" s="56" t="str">
        <f>IF('⚙ OFF Weekends'!$D$25="OFF","OFF","")</f>
        <v/>
      </c>
      <c r="AE53" s="54" t="str">
        <f>IF('⚙ OFF Weekends'!$D$26="OFF","OFF","")</f>
        <v/>
      </c>
      <c r="AF53" s="56" t="str">
        <f>IF('⚙ OFF Weekends'!$D$27="OFF","OFF","")</f>
        <v/>
      </c>
      <c r="AG53" s="54" t="str">
        <f>IF('⚙ OFF Weekends'!$D$28="OFF","OFF","")</f>
        <v/>
      </c>
      <c r="AH53" s="56" t="str">
        <f>IF('⚙ OFF Weekends'!$D$29="OFF","OFF","")</f>
        <v/>
      </c>
      <c r="AI53" s="54" t="str">
        <f>IF('⚙ OFF Weekends'!$D$30="OFF","OFF","")</f>
        <v/>
      </c>
      <c r="AJ53" s="56" t="str">
        <f>IF('⚙ OFF Weekends'!$D$31="OFF","OFF","")</f>
        <v/>
      </c>
      <c r="AK53" s="54" t="str">
        <f>IF('⚙ OFF Weekends'!$D$32="OFF","OFF","")</f>
        <v/>
      </c>
      <c r="AL53" s="56" t="str">
        <f>IF('⚙ OFF Weekends'!$D$33="OFF","OFF","")</f>
        <v/>
      </c>
      <c r="AM53" s="54" t="str">
        <f>IF('⚙ OFF Weekends'!$D$34="OFF","OFF","")</f>
        <v/>
      </c>
      <c r="AN53" s="56" t="str">
        <f>IF('⚙ OFF Weekends'!$D$35="OFF","OFF","")</f>
        <v/>
      </c>
      <c r="AO53" s="54" t="str">
        <f>IF('⚙ OFF Weekends'!$D$36="OFF","OFF","")</f>
        <v/>
      </c>
      <c r="AP53" s="56" t="str">
        <f>IF('⚙ OFF Weekends'!$D$37="OFF","OFF","")</f>
        <v/>
      </c>
      <c r="AQ53" s="54" t="str">
        <f>IF('⚙ OFF Weekends'!$D$38="OFF","OFF","")</f>
        <v/>
      </c>
      <c r="AR53" s="56" t="str">
        <f>IF('⚙ OFF Weekends'!$D$39="OFF","OFF","")</f>
        <v/>
      </c>
      <c r="AS53" s="54" t="str">
        <f>IF('⚙ OFF Weekends'!$D$40="OFF","OFF","")</f>
        <v/>
      </c>
      <c r="AT53" s="56" t="str">
        <f>IF('⚙ OFF Weekends'!$D$41="OFF","OFF","")</f>
        <v/>
      </c>
      <c r="AU53" s="54" t="str">
        <f>IF('⚙ OFF Weekends'!$D$42="OFF","OFF","")</f>
        <v/>
      </c>
      <c r="AV53" s="56" t="str">
        <f>IF('⚙ OFF Weekends'!$D$43="OFF","OFF","")</f>
        <v/>
      </c>
      <c r="AW53" s="54" t="str">
        <f>IF('⚙ OFF Weekends'!$D$44="OFF","OFF","")</f>
        <v/>
      </c>
      <c r="AX53" s="56" t="str">
        <f>IF('⚙ OFF Weekends'!$D$45="OFF","OFF","")</f>
        <v/>
      </c>
      <c r="AY53" s="54" t="str">
        <f>IF('⚙ OFF Weekends'!$D$46="OFF","OFF","")</f>
        <v/>
      </c>
      <c r="AZ53" s="56" t="str">
        <f>IF('⚙ OFF Weekends'!$D$47="OFF","OFF","")</f>
        <v/>
      </c>
      <c r="BA53" s="54" t="str">
        <f>IF('⚙ OFF Weekends'!$D$48="OFF","OFF","")</f>
        <v/>
      </c>
      <c r="BB53" s="56" t="str">
        <f>IF('⚙ OFF Weekends'!$D$49="OFF","OFF","")</f>
        <v/>
      </c>
      <c r="BC53" s="54" t="str">
        <f>IF('⚙ OFF Weekends'!$D$50="OFF","OFF","")</f>
        <v/>
      </c>
      <c r="BD53" s="56" t="str">
        <f>IF('⚙ OFF Weekends'!$D$51="OFF","OFF","")</f>
        <v/>
      </c>
      <c r="BE53" s="54" t="str">
        <f>IF('⚙ OFF Weekends'!$D$52="OFF","OFF","")</f>
        <v/>
      </c>
      <c r="BF53" s="56" t="str">
        <f>IF('⚙ OFF Weekends'!$D$53="OFF","OFF","")</f>
        <v/>
      </c>
      <c r="BG53" s="54" t="str">
        <f>IF('⚙ OFF Weekends'!$D$54="OFF","OFF","")</f>
        <v/>
      </c>
      <c r="BH53" s="56" t="str">
        <f>IF('⚙ OFF Weekends'!$D$55="OFF","OFF","")</f>
        <v/>
      </c>
      <c r="BI53" s="54" t="str">
        <f>IF('⚙ OFF Weekends'!$D$56="OFF","OFF","")</f>
        <v/>
      </c>
      <c r="BJ53" s="56" t="str">
        <f>IF('⚙ OFF Weekends'!$D$57="OFF","OFF","")</f>
        <v/>
      </c>
      <c r="BK53" s="54" t="str">
        <f>IF('⚙ OFF Weekends'!$D$58="OFF","OFF","")</f>
        <v/>
      </c>
      <c r="BL53" s="56" t="str">
        <f>IF('⚙ OFF Weekends'!$D$59="OFF","OFF","")</f>
        <v/>
      </c>
      <c r="BM53" s="54" t="str">
        <f>IF('⚙ OFF Weekends'!$D$60="OFF","OFF","")</f>
        <v/>
      </c>
      <c r="BN53" s="56" t="str">
        <f>IF('⚙ OFF Weekends'!$D$61="OFF","OFF","")</f>
        <v/>
      </c>
      <c r="BO53" s="54" t="str">
        <f>IF('⚙ OFF Weekends'!$D$62="OFF","OFF","")</f>
        <v/>
      </c>
      <c r="BP53" s="56" t="str">
        <f>IF('⚙ OFF Weekends'!$D$63="OFF","OFF","")</f>
        <v/>
      </c>
      <c r="BQ53" s="54" t="str">
        <f>IF('⚙ OFF Weekends'!$D$64="OFF","OFF","")</f>
        <v/>
      </c>
      <c r="BR53" s="56" t="str">
        <f>IF('⚙ OFF Weekends'!$D$65="OFF","OFF","")</f>
        <v/>
      </c>
      <c r="BS53" s="54" t="str">
        <f>IF('⚙ OFF Weekends'!$D$66="OFF","OFF","")</f>
        <v/>
      </c>
      <c r="BT53" s="56" t="str">
        <f>IF('⚙ OFF Weekends'!$D$67="OFF","OFF","")</f>
        <v/>
      </c>
      <c r="BU53" s="54" t="str">
        <f>IF('⚙ OFF Weekends'!$D$68="OFF","OFF","")</f>
        <v/>
      </c>
      <c r="BV53" s="56" t="str">
        <f>IF('⚙ OFF Weekends'!$D$69="OFF","OFF","")</f>
        <v/>
      </c>
      <c r="BW53" s="54" t="str">
        <f>IF('⚙ OFF Weekends'!$D$70="OFF","OFF","")</f>
        <v/>
      </c>
      <c r="BX53" s="56" t="str">
        <f>IF('⚙ OFF Weekends'!$D$71="OFF","OFF","")</f>
        <v/>
      </c>
      <c r="BY53" s="54" t="str">
        <f>IF('⚙ OFF Weekends'!$D$72="OFF","OFF","")</f>
        <v/>
      </c>
      <c r="BZ53" s="56" t="str">
        <f>IF('⚙ OFF Weekends'!$D$73="OFF","OFF","")</f>
        <v/>
      </c>
      <c r="CA53" s="54" t="str">
        <f>IF('⚙ OFF Weekends'!$D$74="OFF","OFF","")</f>
        <v/>
      </c>
      <c r="CB53" s="56" t="str">
        <f>IF('⚙ OFF Weekends'!$D$75="OFF","OFF","")</f>
        <v/>
      </c>
      <c r="CC53" s="54" t="str">
        <f>IF('⚙ OFF Weekends'!$D$76="OFF","OFF","")</f>
        <v/>
      </c>
      <c r="CD53" s="56" t="str">
        <f>IF('⚙ OFF Weekends'!$D$77="OFF","OFF","")</f>
        <v/>
      </c>
      <c r="CE53" s="96">
        <f t="shared" si="15"/>
        <v>14</v>
      </c>
      <c r="CF53" s="96">
        <f t="shared" si="16"/>
        <v>4</v>
      </c>
      <c r="CG53" s="96">
        <f t="shared" si="17"/>
        <v>0</v>
      </c>
      <c r="CH53" s="96" t="str">
        <f t="shared" si="18"/>
        <v>78%</v>
      </c>
    </row>
    <row r="54" ht="18.0" customHeight="1">
      <c r="A54" s="95">
        <v>3.0</v>
      </c>
      <c r="B54" s="12" t="s">
        <v>388</v>
      </c>
      <c r="C54" s="14" t="s">
        <v>389</v>
      </c>
      <c r="D54" s="17" t="str">
        <f t="shared" si="13"/>
        <v>📞 Call</v>
      </c>
      <c r="E54" s="19" t="str">
        <f t="shared" si="14"/>
        <v>💬 WhatsApp</v>
      </c>
      <c r="F54" s="10"/>
      <c r="G54" s="10" t="s">
        <v>339</v>
      </c>
      <c r="H54" s="10" t="s">
        <v>299</v>
      </c>
      <c r="I54" s="48" t="s">
        <v>196</v>
      </c>
      <c r="J54" s="48" t="s">
        <v>196</v>
      </c>
      <c r="K54" s="49" t="s">
        <v>197</v>
      </c>
      <c r="L54" s="48" t="s">
        <v>196</v>
      </c>
      <c r="M54" s="79" t="s">
        <v>223</v>
      </c>
      <c r="N54" s="50" t="s">
        <v>37</v>
      </c>
      <c r="O54" s="48" t="s">
        <v>196</v>
      </c>
      <c r="P54" s="50" t="s">
        <v>37</v>
      </c>
      <c r="Q54" s="50" t="s">
        <v>37</v>
      </c>
      <c r="R54" s="50" t="s">
        <v>37</v>
      </c>
      <c r="S54" s="52" t="s">
        <v>37</v>
      </c>
      <c r="T54" s="53" t="s">
        <v>196</v>
      </c>
      <c r="U54" s="52" t="s">
        <v>223</v>
      </c>
      <c r="V54" s="53" t="s">
        <v>37</v>
      </c>
      <c r="W54" s="54" t="str">
        <f>IF('⚙ OFF Weekends'!$D$18="OFF","OFF","")</f>
        <v>OFF</v>
      </c>
      <c r="X54" s="53" t="s">
        <v>37</v>
      </c>
      <c r="Y54" s="52" t="s">
        <v>223</v>
      </c>
      <c r="Z54" s="53" t="s">
        <v>37</v>
      </c>
      <c r="AA54" s="52" t="s">
        <v>196</v>
      </c>
      <c r="AB54" s="53" t="s">
        <v>223</v>
      </c>
      <c r="AC54" s="54" t="str">
        <f>IF('⚙ OFF Weekends'!$D$24="OFF","OFF","")</f>
        <v/>
      </c>
      <c r="AD54" s="56" t="str">
        <f>IF('⚙ OFF Weekends'!$D$25="OFF","OFF","")</f>
        <v/>
      </c>
      <c r="AE54" s="54" t="str">
        <f>IF('⚙ OFF Weekends'!$D$26="OFF","OFF","")</f>
        <v/>
      </c>
      <c r="AF54" s="56" t="str">
        <f>IF('⚙ OFF Weekends'!$D$27="OFF","OFF","")</f>
        <v/>
      </c>
      <c r="AG54" s="54" t="str">
        <f>IF('⚙ OFF Weekends'!$D$28="OFF","OFF","")</f>
        <v/>
      </c>
      <c r="AH54" s="56" t="str">
        <f>IF('⚙ OFF Weekends'!$D$29="OFF","OFF","")</f>
        <v/>
      </c>
      <c r="AI54" s="54" t="str">
        <f>IF('⚙ OFF Weekends'!$D$30="OFF","OFF","")</f>
        <v/>
      </c>
      <c r="AJ54" s="56" t="str">
        <f>IF('⚙ OFF Weekends'!$D$31="OFF","OFF","")</f>
        <v/>
      </c>
      <c r="AK54" s="54" t="str">
        <f>IF('⚙ OFF Weekends'!$D$32="OFF","OFF","")</f>
        <v/>
      </c>
      <c r="AL54" s="56" t="str">
        <f>IF('⚙ OFF Weekends'!$D$33="OFF","OFF","")</f>
        <v/>
      </c>
      <c r="AM54" s="54" t="str">
        <f>IF('⚙ OFF Weekends'!$D$34="OFF","OFF","")</f>
        <v/>
      </c>
      <c r="AN54" s="56" t="str">
        <f>IF('⚙ OFF Weekends'!$D$35="OFF","OFF","")</f>
        <v/>
      </c>
      <c r="AO54" s="54" t="str">
        <f>IF('⚙ OFF Weekends'!$D$36="OFF","OFF","")</f>
        <v/>
      </c>
      <c r="AP54" s="56" t="str">
        <f>IF('⚙ OFF Weekends'!$D$37="OFF","OFF","")</f>
        <v/>
      </c>
      <c r="AQ54" s="54" t="str">
        <f>IF('⚙ OFF Weekends'!$D$38="OFF","OFF","")</f>
        <v/>
      </c>
      <c r="AR54" s="56" t="str">
        <f>IF('⚙ OFF Weekends'!$D$39="OFF","OFF","")</f>
        <v/>
      </c>
      <c r="AS54" s="54" t="str">
        <f>IF('⚙ OFF Weekends'!$D$40="OFF","OFF","")</f>
        <v/>
      </c>
      <c r="AT54" s="56" t="str">
        <f>IF('⚙ OFF Weekends'!$D$41="OFF","OFF","")</f>
        <v/>
      </c>
      <c r="AU54" s="54" t="str">
        <f>IF('⚙ OFF Weekends'!$D$42="OFF","OFF","")</f>
        <v/>
      </c>
      <c r="AV54" s="56" t="str">
        <f>IF('⚙ OFF Weekends'!$D$43="OFF","OFF","")</f>
        <v/>
      </c>
      <c r="AW54" s="54" t="str">
        <f>IF('⚙ OFF Weekends'!$D$44="OFF","OFF","")</f>
        <v/>
      </c>
      <c r="AX54" s="56" t="str">
        <f>IF('⚙ OFF Weekends'!$D$45="OFF","OFF","")</f>
        <v/>
      </c>
      <c r="AY54" s="54" t="str">
        <f>IF('⚙ OFF Weekends'!$D$46="OFF","OFF","")</f>
        <v/>
      </c>
      <c r="AZ54" s="56" t="str">
        <f>IF('⚙ OFF Weekends'!$D$47="OFF","OFF","")</f>
        <v/>
      </c>
      <c r="BA54" s="54" t="str">
        <f>IF('⚙ OFF Weekends'!$D$48="OFF","OFF","")</f>
        <v/>
      </c>
      <c r="BB54" s="56" t="str">
        <f>IF('⚙ OFF Weekends'!$D$49="OFF","OFF","")</f>
        <v/>
      </c>
      <c r="BC54" s="54" t="str">
        <f>IF('⚙ OFF Weekends'!$D$50="OFF","OFF","")</f>
        <v/>
      </c>
      <c r="BD54" s="56" t="str">
        <f>IF('⚙ OFF Weekends'!$D$51="OFF","OFF","")</f>
        <v/>
      </c>
      <c r="BE54" s="54" t="str">
        <f>IF('⚙ OFF Weekends'!$D$52="OFF","OFF","")</f>
        <v/>
      </c>
      <c r="BF54" s="56" t="str">
        <f>IF('⚙ OFF Weekends'!$D$53="OFF","OFF","")</f>
        <v/>
      </c>
      <c r="BG54" s="54" t="str">
        <f>IF('⚙ OFF Weekends'!$D$54="OFF","OFF","")</f>
        <v/>
      </c>
      <c r="BH54" s="56" t="str">
        <f>IF('⚙ OFF Weekends'!$D$55="OFF","OFF","")</f>
        <v/>
      </c>
      <c r="BI54" s="54" t="str">
        <f>IF('⚙ OFF Weekends'!$D$56="OFF","OFF","")</f>
        <v/>
      </c>
      <c r="BJ54" s="56" t="str">
        <f>IF('⚙ OFF Weekends'!$D$57="OFF","OFF","")</f>
        <v/>
      </c>
      <c r="BK54" s="54" t="str">
        <f>IF('⚙ OFF Weekends'!$D$58="OFF","OFF","")</f>
        <v/>
      </c>
      <c r="BL54" s="56" t="str">
        <f>IF('⚙ OFF Weekends'!$D$59="OFF","OFF","")</f>
        <v/>
      </c>
      <c r="BM54" s="54" t="str">
        <f>IF('⚙ OFF Weekends'!$D$60="OFF","OFF","")</f>
        <v/>
      </c>
      <c r="BN54" s="56" t="str">
        <f>IF('⚙ OFF Weekends'!$D$61="OFF","OFF","")</f>
        <v/>
      </c>
      <c r="BO54" s="54" t="str">
        <f>IF('⚙ OFF Weekends'!$D$62="OFF","OFF","")</f>
        <v/>
      </c>
      <c r="BP54" s="56" t="str">
        <f>IF('⚙ OFF Weekends'!$D$63="OFF","OFF","")</f>
        <v/>
      </c>
      <c r="BQ54" s="54" t="str">
        <f>IF('⚙ OFF Weekends'!$D$64="OFF","OFF","")</f>
        <v/>
      </c>
      <c r="BR54" s="56" t="str">
        <f>IF('⚙ OFF Weekends'!$D$65="OFF","OFF","")</f>
        <v/>
      </c>
      <c r="BS54" s="54" t="str">
        <f>IF('⚙ OFF Weekends'!$D$66="OFF","OFF","")</f>
        <v/>
      </c>
      <c r="BT54" s="56" t="str">
        <f>IF('⚙ OFF Weekends'!$D$67="OFF","OFF","")</f>
        <v/>
      </c>
      <c r="BU54" s="54" t="str">
        <f>IF('⚙ OFF Weekends'!$D$68="OFF","OFF","")</f>
        <v/>
      </c>
      <c r="BV54" s="56" t="str">
        <f>IF('⚙ OFF Weekends'!$D$69="OFF","OFF","")</f>
        <v/>
      </c>
      <c r="BW54" s="54" t="str">
        <f>IF('⚙ OFF Weekends'!$D$70="OFF","OFF","")</f>
        <v/>
      </c>
      <c r="BX54" s="56" t="str">
        <f>IF('⚙ OFF Weekends'!$D$71="OFF","OFF","")</f>
        <v/>
      </c>
      <c r="BY54" s="54" t="str">
        <f>IF('⚙ OFF Weekends'!$D$72="OFF","OFF","")</f>
        <v/>
      </c>
      <c r="BZ54" s="56" t="str">
        <f>IF('⚙ OFF Weekends'!$D$73="OFF","OFF","")</f>
        <v/>
      </c>
      <c r="CA54" s="54" t="str">
        <f>IF('⚙ OFF Weekends'!$D$74="OFF","OFF","")</f>
        <v/>
      </c>
      <c r="CB54" s="56" t="str">
        <f>IF('⚙ OFF Weekends'!$D$75="OFF","OFF","")</f>
        <v/>
      </c>
      <c r="CC54" s="54" t="str">
        <f>IF('⚙ OFF Weekends'!$D$76="OFF","OFF","")</f>
        <v/>
      </c>
      <c r="CD54" s="56" t="str">
        <f>IF('⚙ OFF Weekends'!$D$77="OFF","OFF","")</f>
        <v/>
      </c>
      <c r="CE54" s="95">
        <f t="shared" si="15"/>
        <v>14</v>
      </c>
      <c r="CF54" s="95">
        <f t="shared" si="16"/>
        <v>4</v>
      </c>
      <c r="CG54" s="95">
        <f t="shared" si="17"/>
        <v>0</v>
      </c>
      <c r="CH54" s="95" t="str">
        <f t="shared" si="18"/>
        <v>78%</v>
      </c>
    </row>
    <row r="55" ht="18.0" customHeight="1">
      <c r="A55" s="96">
        <v>4.0</v>
      </c>
      <c r="B55" s="22" t="s">
        <v>394</v>
      </c>
      <c r="C55" s="23" t="s">
        <v>396</v>
      </c>
      <c r="D55" s="24" t="str">
        <f t="shared" si="13"/>
        <v>📞 Call</v>
      </c>
      <c r="E55" s="41" t="str">
        <f t="shared" si="14"/>
        <v>💬 WhatsApp</v>
      </c>
      <c r="F55" s="20"/>
      <c r="G55" s="20" t="s">
        <v>339</v>
      </c>
      <c r="H55" s="20" t="s">
        <v>299</v>
      </c>
      <c r="I55" s="79" t="s">
        <v>223</v>
      </c>
      <c r="J55" s="79" t="s">
        <v>223</v>
      </c>
      <c r="K55" s="49" t="s">
        <v>197</v>
      </c>
      <c r="L55" s="79" t="s">
        <v>223</v>
      </c>
      <c r="M55" s="79" t="s">
        <v>223</v>
      </c>
      <c r="N55" s="79" t="s">
        <v>223</v>
      </c>
      <c r="O55" s="101" t="s">
        <v>296</v>
      </c>
      <c r="P55" s="101" t="s">
        <v>296</v>
      </c>
      <c r="Q55" s="101" t="s">
        <v>296</v>
      </c>
      <c r="R55" s="101" t="s">
        <v>296</v>
      </c>
      <c r="S55" s="101" t="s">
        <v>296</v>
      </c>
      <c r="T55" s="101" t="s">
        <v>296</v>
      </c>
      <c r="U55" s="101" t="s">
        <v>296</v>
      </c>
      <c r="V55" s="101" t="s">
        <v>296</v>
      </c>
      <c r="W55" s="101" t="s">
        <v>296</v>
      </c>
      <c r="X55" s="101" t="s">
        <v>296</v>
      </c>
      <c r="Y55" s="101" t="s">
        <v>296</v>
      </c>
      <c r="Z55" s="101" t="s">
        <v>296</v>
      </c>
      <c r="AA55" s="101" t="s">
        <v>296</v>
      </c>
      <c r="AB55" s="101" t="s">
        <v>296</v>
      </c>
      <c r="AC55" s="101" t="s">
        <v>296</v>
      </c>
      <c r="AD55" s="101" t="s">
        <v>296</v>
      </c>
      <c r="AE55" s="101" t="s">
        <v>296</v>
      </c>
      <c r="AF55" s="101" t="s">
        <v>296</v>
      </c>
      <c r="AG55" s="101" t="s">
        <v>296</v>
      </c>
      <c r="AH55" s="101" t="s">
        <v>296</v>
      </c>
      <c r="AI55" s="101" t="s">
        <v>296</v>
      </c>
      <c r="AJ55" s="101" t="s">
        <v>296</v>
      </c>
      <c r="AK55" s="101" t="s">
        <v>296</v>
      </c>
      <c r="AL55" s="101" t="s">
        <v>296</v>
      </c>
      <c r="AM55" s="101" t="s">
        <v>296</v>
      </c>
      <c r="AN55" s="101" t="s">
        <v>296</v>
      </c>
      <c r="AO55" s="101" t="s">
        <v>296</v>
      </c>
      <c r="AP55" s="101" t="s">
        <v>296</v>
      </c>
      <c r="AQ55" s="101" t="s">
        <v>296</v>
      </c>
      <c r="AR55" s="101" t="s">
        <v>296</v>
      </c>
      <c r="AS55" s="101" t="s">
        <v>296</v>
      </c>
      <c r="AT55" s="101" t="s">
        <v>296</v>
      </c>
      <c r="AU55" s="101" t="s">
        <v>296</v>
      </c>
      <c r="AV55" s="101" t="s">
        <v>296</v>
      </c>
      <c r="AW55" s="101" t="s">
        <v>296</v>
      </c>
      <c r="AX55" s="101" t="s">
        <v>296</v>
      </c>
      <c r="AY55" s="101" t="s">
        <v>296</v>
      </c>
      <c r="AZ55" s="101" t="s">
        <v>296</v>
      </c>
      <c r="BA55" s="101" t="s">
        <v>296</v>
      </c>
      <c r="BB55" s="101" t="s">
        <v>296</v>
      </c>
      <c r="BC55" s="101" t="s">
        <v>296</v>
      </c>
      <c r="BD55" s="101" t="s">
        <v>296</v>
      </c>
      <c r="BE55" s="101" t="s">
        <v>296</v>
      </c>
      <c r="BF55" s="101" t="s">
        <v>296</v>
      </c>
      <c r="BG55" s="101" t="s">
        <v>296</v>
      </c>
      <c r="BH55" s="101" t="s">
        <v>296</v>
      </c>
      <c r="BI55" s="101" t="s">
        <v>296</v>
      </c>
      <c r="BJ55" s="101" t="s">
        <v>296</v>
      </c>
      <c r="BK55" s="101" t="s">
        <v>296</v>
      </c>
      <c r="BL55" s="101" t="s">
        <v>296</v>
      </c>
      <c r="BM55" s="101" t="s">
        <v>296</v>
      </c>
      <c r="BN55" s="101" t="s">
        <v>296</v>
      </c>
      <c r="BO55" s="101" t="s">
        <v>296</v>
      </c>
      <c r="BP55" s="101" t="s">
        <v>296</v>
      </c>
      <c r="BQ55" s="101" t="s">
        <v>296</v>
      </c>
      <c r="BR55" s="101" t="s">
        <v>296</v>
      </c>
      <c r="BS55" s="101" t="s">
        <v>296</v>
      </c>
      <c r="BT55" s="101" t="s">
        <v>296</v>
      </c>
      <c r="BU55" s="101" t="s">
        <v>296</v>
      </c>
      <c r="BV55" s="101" t="s">
        <v>296</v>
      </c>
      <c r="BW55" s="101" t="s">
        <v>296</v>
      </c>
      <c r="BX55" s="101" t="s">
        <v>296</v>
      </c>
      <c r="BY55" s="101" t="s">
        <v>296</v>
      </c>
      <c r="BZ55" s="101" t="s">
        <v>296</v>
      </c>
      <c r="CA55" s="101" t="s">
        <v>296</v>
      </c>
      <c r="CB55" s="101" t="s">
        <v>296</v>
      </c>
      <c r="CC55" s="101" t="s">
        <v>296</v>
      </c>
      <c r="CD55" s="101" t="s">
        <v>296</v>
      </c>
      <c r="CE55" s="96">
        <f t="shared" si="15"/>
        <v>0</v>
      </c>
      <c r="CF55" s="96">
        <f t="shared" si="16"/>
        <v>5</v>
      </c>
      <c r="CG55" s="96">
        <f t="shared" si="17"/>
        <v>0</v>
      </c>
      <c r="CH55" s="96" t="str">
        <f t="shared" si="18"/>
        <v>0%</v>
      </c>
    </row>
    <row r="56" ht="18.0" customHeight="1">
      <c r="A56" s="95">
        <v>5.0</v>
      </c>
      <c r="B56" s="12" t="s">
        <v>397</v>
      </c>
      <c r="C56" s="14" t="s">
        <v>398</v>
      </c>
      <c r="D56" s="17" t="str">
        <f t="shared" si="13"/>
        <v>📞 Call</v>
      </c>
      <c r="E56" s="19" t="str">
        <f t="shared" si="14"/>
        <v>💬 WhatsApp</v>
      </c>
      <c r="F56" s="10"/>
      <c r="G56" s="10" t="s">
        <v>339</v>
      </c>
      <c r="H56" s="10"/>
      <c r="I56" s="79" t="s">
        <v>223</v>
      </c>
      <c r="J56" s="79" t="s">
        <v>223</v>
      </c>
      <c r="K56" s="49" t="s">
        <v>197</v>
      </c>
      <c r="L56" s="79" t="s">
        <v>223</v>
      </c>
      <c r="M56" s="79" t="s">
        <v>223</v>
      </c>
      <c r="N56" s="79" t="s">
        <v>223</v>
      </c>
      <c r="O56" s="79" t="s">
        <v>223</v>
      </c>
      <c r="P56" s="98" t="s">
        <v>223</v>
      </c>
      <c r="Q56" s="98" t="s">
        <v>223</v>
      </c>
      <c r="R56" s="98" t="s">
        <v>223</v>
      </c>
      <c r="S56" s="52" t="s">
        <v>223</v>
      </c>
      <c r="T56" s="53" t="s">
        <v>223</v>
      </c>
      <c r="U56" s="101" t="s">
        <v>296</v>
      </c>
      <c r="V56" s="101" t="s">
        <v>296</v>
      </c>
      <c r="W56" s="101" t="s">
        <v>296</v>
      </c>
      <c r="X56" s="101" t="s">
        <v>296</v>
      </c>
      <c r="Y56" s="101" t="s">
        <v>296</v>
      </c>
      <c r="Z56" s="101" t="s">
        <v>296</v>
      </c>
      <c r="AA56" s="101" t="s">
        <v>296</v>
      </c>
      <c r="AB56" s="101" t="s">
        <v>296</v>
      </c>
      <c r="AC56" s="101" t="s">
        <v>296</v>
      </c>
      <c r="AD56" s="101" t="s">
        <v>296</v>
      </c>
      <c r="AE56" s="101" t="s">
        <v>296</v>
      </c>
      <c r="AF56" s="101" t="s">
        <v>296</v>
      </c>
      <c r="AG56" s="101" t="s">
        <v>296</v>
      </c>
      <c r="AH56" s="101" t="s">
        <v>296</v>
      </c>
      <c r="AI56" s="101" t="s">
        <v>296</v>
      </c>
      <c r="AJ56" s="101" t="s">
        <v>296</v>
      </c>
      <c r="AK56" s="101" t="s">
        <v>296</v>
      </c>
      <c r="AL56" s="101" t="s">
        <v>296</v>
      </c>
      <c r="AM56" s="101" t="s">
        <v>296</v>
      </c>
      <c r="AN56" s="101" t="s">
        <v>296</v>
      </c>
      <c r="AO56" s="101" t="s">
        <v>296</v>
      </c>
      <c r="AP56" s="101" t="s">
        <v>296</v>
      </c>
      <c r="AQ56" s="101" t="s">
        <v>296</v>
      </c>
      <c r="AR56" s="101" t="s">
        <v>296</v>
      </c>
      <c r="AS56" s="101" t="s">
        <v>296</v>
      </c>
      <c r="AT56" s="101" t="s">
        <v>296</v>
      </c>
      <c r="AU56" s="101" t="s">
        <v>296</v>
      </c>
      <c r="AV56" s="101" t="s">
        <v>296</v>
      </c>
      <c r="AW56" s="101" t="s">
        <v>296</v>
      </c>
      <c r="AX56" s="101" t="s">
        <v>296</v>
      </c>
      <c r="AY56" s="101" t="s">
        <v>296</v>
      </c>
      <c r="AZ56" s="101" t="s">
        <v>296</v>
      </c>
      <c r="BA56" s="101" t="s">
        <v>296</v>
      </c>
      <c r="BB56" s="101" t="s">
        <v>296</v>
      </c>
      <c r="BC56" s="101" t="s">
        <v>296</v>
      </c>
      <c r="BD56" s="101" t="s">
        <v>296</v>
      </c>
      <c r="BE56" s="101" t="s">
        <v>296</v>
      </c>
      <c r="BF56" s="101" t="s">
        <v>296</v>
      </c>
      <c r="BG56" s="101" t="s">
        <v>296</v>
      </c>
      <c r="BH56" s="101" t="s">
        <v>296</v>
      </c>
      <c r="BI56" s="101" t="s">
        <v>296</v>
      </c>
      <c r="BJ56" s="101" t="s">
        <v>296</v>
      </c>
      <c r="BK56" s="101" t="s">
        <v>296</v>
      </c>
      <c r="BL56" s="101" t="s">
        <v>296</v>
      </c>
      <c r="BM56" s="101" t="s">
        <v>296</v>
      </c>
      <c r="BN56" s="101" t="s">
        <v>296</v>
      </c>
      <c r="BO56" s="101" t="s">
        <v>296</v>
      </c>
      <c r="BP56" s="101" t="s">
        <v>296</v>
      </c>
      <c r="BQ56" s="101" t="s">
        <v>296</v>
      </c>
      <c r="BR56" s="101" t="s">
        <v>296</v>
      </c>
      <c r="BS56" s="101" t="s">
        <v>296</v>
      </c>
      <c r="BT56" s="101" t="s">
        <v>296</v>
      </c>
      <c r="BU56" s="101" t="s">
        <v>296</v>
      </c>
      <c r="BV56" s="101" t="s">
        <v>296</v>
      </c>
      <c r="BW56" s="101" t="s">
        <v>296</v>
      </c>
      <c r="BX56" s="101" t="s">
        <v>296</v>
      </c>
      <c r="BY56" s="101" t="s">
        <v>296</v>
      </c>
      <c r="BZ56" s="101" t="s">
        <v>296</v>
      </c>
      <c r="CA56" s="101" t="s">
        <v>296</v>
      </c>
      <c r="CB56" s="101" t="s">
        <v>296</v>
      </c>
      <c r="CC56" s="101" t="s">
        <v>296</v>
      </c>
      <c r="CD56" s="101" t="s">
        <v>296</v>
      </c>
      <c r="CE56" s="95">
        <f t="shared" si="15"/>
        <v>0</v>
      </c>
      <c r="CF56" s="95">
        <f t="shared" si="16"/>
        <v>11</v>
      </c>
      <c r="CG56" s="95">
        <f t="shared" si="17"/>
        <v>0</v>
      </c>
      <c r="CH56" s="95" t="str">
        <f t="shared" si="18"/>
        <v>0%</v>
      </c>
    </row>
    <row r="57" ht="18.0" customHeight="1">
      <c r="A57" s="96">
        <v>6.0</v>
      </c>
      <c r="B57" s="22" t="s">
        <v>401</v>
      </c>
      <c r="C57" s="23" t="s">
        <v>402</v>
      </c>
      <c r="D57" s="24" t="str">
        <f t="shared" si="13"/>
        <v>📞 Call</v>
      </c>
      <c r="E57" s="41" t="str">
        <f t="shared" si="14"/>
        <v>💬 WhatsApp</v>
      </c>
      <c r="F57" s="20"/>
      <c r="G57" s="20" t="s">
        <v>339</v>
      </c>
      <c r="H57" s="20" t="s">
        <v>330</v>
      </c>
      <c r="I57" s="79" t="s">
        <v>223</v>
      </c>
      <c r="J57" s="79" t="s">
        <v>223</v>
      </c>
      <c r="K57" s="49" t="s">
        <v>197</v>
      </c>
      <c r="L57" s="79" t="s">
        <v>223</v>
      </c>
      <c r="M57" s="48" t="s">
        <v>196</v>
      </c>
      <c r="N57" s="50" t="s">
        <v>37</v>
      </c>
      <c r="O57" s="79" t="s">
        <v>223</v>
      </c>
      <c r="P57" s="50" t="s">
        <v>37</v>
      </c>
      <c r="Q57" s="79" t="s">
        <v>223</v>
      </c>
      <c r="R57" s="50" t="s">
        <v>37</v>
      </c>
      <c r="S57" s="52" t="s">
        <v>223</v>
      </c>
      <c r="T57" s="53" t="s">
        <v>223</v>
      </c>
      <c r="U57" s="52" t="s">
        <v>223</v>
      </c>
      <c r="V57" s="53" t="s">
        <v>223</v>
      </c>
      <c r="W57" s="54" t="str">
        <f>IF('⚙ OFF Weekends'!$D$18="OFF","OFF","")</f>
        <v>OFF</v>
      </c>
      <c r="X57" s="53" t="s">
        <v>37</v>
      </c>
      <c r="Y57" s="52" t="s">
        <v>223</v>
      </c>
      <c r="Z57" s="53" t="s">
        <v>223</v>
      </c>
      <c r="AA57" s="52" t="s">
        <v>223</v>
      </c>
      <c r="AB57" s="53" t="s">
        <v>223</v>
      </c>
      <c r="AC57" s="54" t="str">
        <f>IF('⚙ OFF Weekends'!$D$24="OFF","OFF","")</f>
        <v/>
      </c>
      <c r="AD57" s="56" t="str">
        <f>IF('⚙ OFF Weekends'!$D$25="OFF","OFF","")</f>
        <v/>
      </c>
      <c r="AE57" s="54" t="str">
        <f>IF('⚙ OFF Weekends'!$D$26="OFF","OFF","")</f>
        <v/>
      </c>
      <c r="AF57" s="56" t="str">
        <f>IF('⚙ OFF Weekends'!$D$27="OFF","OFF","")</f>
        <v/>
      </c>
      <c r="AG57" s="54" t="str">
        <f>IF('⚙ OFF Weekends'!$D$28="OFF","OFF","")</f>
        <v/>
      </c>
      <c r="AH57" s="56" t="str">
        <f>IF('⚙ OFF Weekends'!$D$29="OFF","OFF","")</f>
        <v/>
      </c>
      <c r="AI57" s="54" t="str">
        <f>IF('⚙ OFF Weekends'!$D$30="OFF","OFF","")</f>
        <v/>
      </c>
      <c r="AJ57" s="56" t="str">
        <f>IF('⚙ OFF Weekends'!$D$31="OFF","OFF","")</f>
        <v/>
      </c>
      <c r="AK57" s="54" t="str">
        <f>IF('⚙ OFF Weekends'!$D$32="OFF","OFF","")</f>
        <v/>
      </c>
      <c r="AL57" s="56" t="str">
        <f>IF('⚙ OFF Weekends'!$D$33="OFF","OFF","")</f>
        <v/>
      </c>
      <c r="AM57" s="54" t="str">
        <f>IF('⚙ OFF Weekends'!$D$34="OFF","OFF","")</f>
        <v/>
      </c>
      <c r="AN57" s="56" t="str">
        <f>IF('⚙ OFF Weekends'!$D$35="OFF","OFF","")</f>
        <v/>
      </c>
      <c r="AO57" s="54" t="str">
        <f>IF('⚙ OFF Weekends'!$D$36="OFF","OFF","")</f>
        <v/>
      </c>
      <c r="AP57" s="56" t="str">
        <f>IF('⚙ OFF Weekends'!$D$37="OFF","OFF","")</f>
        <v/>
      </c>
      <c r="AQ57" s="54" t="str">
        <f>IF('⚙ OFF Weekends'!$D$38="OFF","OFF","")</f>
        <v/>
      </c>
      <c r="AR57" s="56" t="str">
        <f>IF('⚙ OFF Weekends'!$D$39="OFF","OFF","")</f>
        <v/>
      </c>
      <c r="AS57" s="54" t="str">
        <f>IF('⚙ OFF Weekends'!$D$40="OFF","OFF","")</f>
        <v/>
      </c>
      <c r="AT57" s="56" t="str">
        <f>IF('⚙ OFF Weekends'!$D$41="OFF","OFF","")</f>
        <v/>
      </c>
      <c r="AU57" s="54" t="str">
        <f>IF('⚙ OFF Weekends'!$D$42="OFF","OFF","")</f>
        <v/>
      </c>
      <c r="AV57" s="56" t="str">
        <f>IF('⚙ OFF Weekends'!$D$43="OFF","OFF","")</f>
        <v/>
      </c>
      <c r="AW57" s="54" t="str">
        <f>IF('⚙ OFF Weekends'!$D$44="OFF","OFF","")</f>
        <v/>
      </c>
      <c r="AX57" s="56" t="str">
        <f>IF('⚙ OFF Weekends'!$D$45="OFF","OFF","")</f>
        <v/>
      </c>
      <c r="AY57" s="54" t="str">
        <f>IF('⚙ OFF Weekends'!$D$46="OFF","OFF","")</f>
        <v/>
      </c>
      <c r="AZ57" s="56" t="str">
        <f>IF('⚙ OFF Weekends'!$D$47="OFF","OFF","")</f>
        <v/>
      </c>
      <c r="BA57" s="54" t="str">
        <f>IF('⚙ OFF Weekends'!$D$48="OFF","OFF","")</f>
        <v/>
      </c>
      <c r="BB57" s="56" t="str">
        <f>IF('⚙ OFF Weekends'!$D$49="OFF","OFF","")</f>
        <v/>
      </c>
      <c r="BC57" s="54" t="str">
        <f>IF('⚙ OFF Weekends'!$D$50="OFF","OFF","")</f>
        <v/>
      </c>
      <c r="BD57" s="56" t="str">
        <f>IF('⚙ OFF Weekends'!$D$51="OFF","OFF","")</f>
        <v/>
      </c>
      <c r="BE57" s="54" t="str">
        <f>IF('⚙ OFF Weekends'!$D$52="OFF","OFF","")</f>
        <v/>
      </c>
      <c r="BF57" s="56" t="str">
        <f>IF('⚙ OFF Weekends'!$D$53="OFF","OFF","")</f>
        <v/>
      </c>
      <c r="BG57" s="54" t="str">
        <f>IF('⚙ OFF Weekends'!$D$54="OFF","OFF","")</f>
        <v/>
      </c>
      <c r="BH57" s="56" t="str">
        <f>IF('⚙ OFF Weekends'!$D$55="OFF","OFF","")</f>
        <v/>
      </c>
      <c r="BI57" s="54" t="str">
        <f>IF('⚙ OFF Weekends'!$D$56="OFF","OFF","")</f>
        <v/>
      </c>
      <c r="BJ57" s="56" t="str">
        <f>IF('⚙ OFF Weekends'!$D$57="OFF","OFF","")</f>
        <v/>
      </c>
      <c r="BK57" s="54" t="str">
        <f>IF('⚙ OFF Weekends'!$D$58="OFF","OFF","")</f>
        <v/>
      </c>
      <c r="BL57" s="56" t="str">
        <f>IF('⚙ OFF Weekends'!$D$59="OFF","OFF","")</f>
        <v/>
      </c>
      <c r="BM57" s="54" t="str">
        <f>IF('⚙ OFF Weekends'!$D$60="OFF","OFF","")</f>
        <v/>
      </c>
      <c r="BN57" s="56" t="str">
        <f>IF('⚙ OFF Weekends'!$D$61="OFF","OFF","")</f>
        <v/>
      </c>
      <c r="BO57" s="54" t="str">
        <f>IF('⚙ OFF Weekends'!$D$62="OFF","OFF","")</f>
        <v/>
      </c>
      <c r="BP57" s="56" t="str">
        <f>IF('⚙ OFF Weekends'!$D$63="OFF","OFF","")</f>
        <v/>
      </c>
      <c r="BQ57" s="54" t="str">
        <f>IF('⚙ OFF Weekends'!$D$64="OFF","OFF","")</f>
        <v/>
      </c>
      <c r="BR57" s="56" t="str">
        <f>IF('⚙ OFF Weekends'!$D$65="OFF","OFF","")</f>
        <v/>
      </c>
      <c r="BS57" s="54" t="str">
        <f>IF('⚙ OFF Weekends'!$D$66="OFF","OFF","")</f>
        <v/>
      </c>
      <c r="BT57" s="56" t="str">
        <f>IF('⚙ OFF Weekends'!$D$67="OFF","OFF","")</f>
        <v/>
      </c>
      <c r="BU57" s="54" t="str">
        <f>IF('⚙ OFF Weekends'!$D$68="OFF","OFF","")</f>
        <v/>
      </c>
      <c r="BV57" s="56" t="str">
        <f>IF('⚙ OFF Weekends'!$D$69="OFF","OFF","")</f>
        <v/>
      </c>
      <c r="BW57" s="54" t="str">
        <f>IF('⚙ OFF Weekends'!$D$70="OFF","OFF","")</f>
        <v/>
      </c>
      <c r="BX57" s="56" t="str">
        <f>IF('⚙ OFF Weekends'!$D$71="OFF","OFF","")</f>
        <v/>
      </c>
      <c r="BY57" s="54" t="str">
        <f>IF('⚙ OFF Weekends'!$D$72="OFF","OFF","")</f>
        <v/>
      </c>
      <c r="BZ57" s="56" t="str">
        <f>IF('⚙ OFF Weekends'!$D$73="OFF","OFF","")</f>
        <v/>
      </c>
      <c r="CA57" s="54" t="str">
        <f>IF('⚙ OFF Weekends'!$D$74="OFF","OFF","")</f>
        <v/>
      </c>
      <c r="CB57" s="56" t="str">
        <f>IF('⚙ OFF Weekends'!$D$75="OFF","OFF","")</f>
        <v/>
      </c>
      <c r="CC57" s="54" t="str">
        <f>IF('⚙ OFF Weekends'!$D$76="OFF","OFF","")</f>
        <v/>
      </c>
      <c r="CD57" s="56" t="str">
        <f>IF('⚙ OFF Weekends'!$D$77="OFF","OFF","")</f>
        <v/>
      </c>
      <c r="CE57" s="96">
        <f t="shared" si="15"/>
        <v>5</v>
      </c>
      <c r="CF57" s="96">
        <f t="shared" si="16"/>
        <v>13</v>
      </c>
      <c r="CG57" s="96">
        <f t="shared" si="17"/>
        <v>0</v>
      </c>
      <c r="CH57" s="96" t="str">
        <f t="shared" si="18"/>
        <v>28%</v>
      </c>
    </row>
    <row r="58" ht="18.0" customHeight="1">
      <c r="A58" s="95">
        <v>7.0</v>
      </c>
      <c r="B58" s="12" t="s">
        <v>404</v>
      </c>
      <c r="C58" s="14" t="s">
        <v>405</v>
      </c>
      <c r="D58" s="17" t="str">
        <f t="shared" si="13"/>
        <v>📞 Call</v>
      </c>
      <c r="E58" s="19" t="str">
        <f t="shared" si="14"/>
        <v>💬 WhatsApp</v>
      </c>
      <c r="F58" s="10"/>
      <c r="G58" s="10" t="s">
        <v>339</v>
      </c>
      <c r="H58" s="10" t="s">
        <v>299</v>
      </c>
      <c r="I58" s="48" t="s">
        <v>196</v>
      </c>
      <c r="J58" s="48" t="s">
        <v>196</v>
      </c>
      <c r="K58" s="49" t="s">
        <v>197</v>
      </c>
      <c r="L58" s="77" t="s">
        <v>198</v>
      </c>
      <c r="M58" s="50" t="s">
        <v>37</v>
      </c>
      <c r="N58" s="50" t="s">
        <v>37</v>
      </c>
      <c r="O58" s="50" t="s">
        <v>37</v>
      </c>
      <c r="P58" s="50" t="s">
        <v>37</v>
      </c>
      <c r="Q58" s="48" t="s">
        <v>196</v>
      </c>
      <c r="R58" s="48" t="s">
        <v>196</v>
      </c>
      <c r="S58" s="52" t="s">
        <v>37</v>
      </c>
      <c r="T58" s="53" t="s">
        <v>196</v>
      </c>
      <c r="U58" s="52" t="s">
        <v>196</v>
      </c>
      <c r="V58" s="53" t="s">
        <v>196</v>
      </c>
      <c r="W58" s="54" t="str">
        <f>IF('⚙ OFF Weekends'!$D$18="OFF","OFF","")</f>
        <v>OFF</v>
      </c>
      <c r="X58" s="53" t="s">
        <v>196</v>
      </c>
      <c r="Y58" s="52" t="s">
        <v>198</v>
      </c>
      <c r="Z58" s="53" t="s">
        <v>198</v>
      </c>
      <c r="AA58" s="52" t="s">
        <v>196</v>
      </c>
      <c r="AB58" s="53" t="s">
        <v>196</v>
      </c>
      <c r="AC58" s="54" t="str">
        <f>IF('⚙ OFF Weekends'!$D$24="OFF","OFF","")</f>
        <v/>
      </c>
      <c r="AD58" s="56" t="str">
        <f>IF('⚙ OFF Weekends'!$D$25="OFF","OFF","")</f>
        <v/>
      </c>
      <c r="AE58" s="54" t="str">
        <f>IF('⚙ OFF Weekends'!$D$26="OFF","OFF","")</f>
        <v/>
      </c>
      <c r="AF58" s="56" t="str">
        <f>IF('⚙ OFF Weekends'!$D$27="OFF","OFF","")</f>
        <v/>
      </c>
      <c r="AG58" s="54" t="str">
        <f>IF('⚙ OFF Weekends'!$D$28="OFF","OFF","")</f>
        <v/>
      </c>
      <c r="AH58" s="56" t="str">
        <f>IF('⚙ OFF Weekends'!$D$29="OFF","OFF","")</f>
        <v/>
      </c>
      <c r="AI58" s="54" t="str">
        <f>IF('⚙ OFF Weekends'!$D$30="OFF","OFF","")</f>
        <v/>
      </c>
      <c r="AJ58" s="56" t="str">
        <f>IF('⚙ OFF Weekends'!$D$31="OFF","OFF","")</f>
        <v/>
      </c>
      <c r="AK58" s="54" t="str">
        <f>IF('⚙ OFF Weekends'!$D$32="OFF","OFF","")</f>
        <v/>
      </c>
      <c r="AL58" s="56" t="str">
        <f>IF('⚙ OFF Weekends'!$D$33="OFF","OFF","")</f>
        <v/>
      </c>
      <c r="AM58" s="54" t="str">
        <f>IF('⚙ OFF Weekends'!$D$34="OFF","OFF","")</f>
        <v/>
      </c>
      <c r="AN58" s="56" t="str">
        <f>IF('⚙ OFF Weekends'!$D$35="OFF","OFF","")</f>
        <v/>
      </c>
      <c r="AO58" s="54" t="str">
        <f>IF('⚙ OFF Weekends'!$D$36="OFF","OFF","")</f>
        <v/>
      </c>
      <c r="AP58" s="56" t="str">
        <f>IF('⚙ OFF Weekends'!$D$37="OFF","OFF","")</f>
        <v/>
      </c>
      <c r="AQ58" s="54" t="str">
        <f>IF('⚙ OFF Weekends'!$D$38="OFF","OFF","")</f>
        <v/>
      </c>
      <c r="AR58" s="56" t="str">
        <f>IF('⚙ OFF Weekends'!$D$39="OFF","OFF","")</f>
        <v/>
      </c>
      <c r="AS58" s="54" t="str">
        <f>IF('⚙ OFF Weekends'!$D$40="OFF","OFF","")</f>
        <v/>
      </c>
      <c r="AT58" s="56" t="str">
        <f>IF('⚙ OFF Weekends'!$D$41="OFF","OFF","")</f>
        <v/>
      </c>
      <c r="AU58" s="54" t="str">
        <f>IF('⚙ OFF Weekends'!$D$42="OFF","OFF","")</f>
        <v/>
      </c>
      <c r="AV58" s="56" t="str">
        <f>IF('⚙ OFF Weekends'!$D$43="OFF","OFF","")</f>
        <v/>
      </c>
      <c r="AW58" s="54" t="str">
        <f>IF('⚙ OFF Weekends'!$D$44="OFF","OFF","")</f>
        <v/>
      </c>
      <c r="AX58" s="56" t="str">
        <f>IF('⚙ OFF Weekends'!$D$45="OFF","OFF","")</f>
        <v/>
      </c>
      <c r="AY58" s="54" t="str">
        <f>IF('⚙ OFF Weekends'!$D$46="OFF","OFF","")</f>
        <v/>
      </c>
      <c r="AZ58" s="56" t="str">
        <f>IF('⚙ OFF Weekends'!$D$47="OFF","OFF","")</f>
        <v/>
      </c>
      <c r="BA58" s="54" t="str">
        <f>IF('⚙ OFF Weekends'!$D$48="OFF","OFF","")</f>
        <v/>
      </c>
      <c r="BB58" s="56" t="str">
        <f>IF('⚙ OFF Weekends'!$D$49="OFF","OFF","")</f>
        <v/>
      </c>
      <c r="BC58" s="54" t="str">
        <f>IF('⚙ OFF Weekends'!$D$50="OFF","OFF","")</f>
        <v/>
      </c>
      <c r="BD58" s="56" t="str">
        <f>IF('⚙ OFF Weekends'!$D$51="OFF","OFF","")</f>
        <v/>
      </c>
      <c r="BE58" s="54" t="str">
        <f>IF('⚙ OFF Weekends'!$D$52="OFF","OFF","")</f>
        <v/>
      </c>
      <c r="BF58" s="56" t="str">
        <f>IF('⚙ OFF Weekends'!$D$53="OFF","OFF","")</f>
        <v/>
      </c>
      <c r="BG58" s="54" t="str">
        <f>IF('⚙ OFF Weekends'!$D$54="OFF","OFF","")</f>
        <v/>
      </c>
      <c r="BH58" s="56" t="str">
        <f>IF('⚙ OFF Weekends'!$D$55="OFF","OFF","")</f>
        <v/>
      </c>
      <c r="BI58" s="54" t="str">
        <f>IF('⚙ OFF Weekends'!$D$56="OFF","OFF","")</f>
        <v/>
      </c>
      <c r="BJ58" s="56" t="str">
        <f>IF('⚙ OFF Weekends'!$D$57="OFF","OFF","")</f>
        <v/>
      </c>
      <c r="BK58" s="54" t="str">
        <f>IF('⚙ OFF Weekends'!$D$58="OFF","OFF","")</f>
        <v/>
      </c>
      <c r="BL58" s="56" t="str">
        <f>IF('⚙ OFF Weekends'!$D$59="OFF","OFF","")</f>
        <v/>
      </c>
      <c r="BM58" s="54" t="str">
        <f>IF('⚙ OFF Weekends'!$D$60="OFF","OFF","")</f>
        <v/>
      </c>
      <c r="BN58" s="56" t="str">
        <f>IF('⚙ OFF Weekends'!$D$61="OFF","OFF","")</f>
        <v/>
      </c>
      <c r="BO58" s="54" t="str">
        <f>IF('⚙ OFF Weekends'!$D$62="OFF","OFF","")</f>
        <v/>
      </c>
      <c r="BP58" s="56" t="str">
        <f>IF('⚙ OFF Weekends'!$D$63="OFF","OFF","")</f>
        <v/>
      </c>
      <c r="BQ58" s="54" t="str">
        <f>IF('⚙ OFF Weekends'!$D$64="OFF","OFF","")</f>
        <v/>
      </c>
      <c r="BR58" s="56" t="str">
        <f>IF('⚙ OFF Weekends'!$D$65="OFF","OFF","")</f>
        <v/>
      </c>
      <c r="BS58" s="54" t="str">
        <f>IF('⚙ OFF Weekends'!$D$66="OFF","OFF","")</f>
        <v/>
      </c>
      <c r="BT58" s="56" t="str">
        <f>IF('⚙ OFF Weekends'!$D$67="OFF","OFF","")</f>
        <v/>
      </c>
      <c r="BU58" s="54" t="str">
        <f>IF('⚙ OFF Weekends'!$D$68="OFF","OFF","")</f>
        <v/>
      </c>
      <c r="BV58" s="56" t="str">
        <f>IF('⚙ OFF Weekends'!$D$69="OFF","OFF","")</f>
        <v/>
      </c>
      <c r="BW58" s="54" t="str">
        <f>IF('⚙ OFF Weekends'!$D$70="OFF","OFF","")</f>
        <v/>
      </c>
      <c r="BX58" s="56" t="str">
        <f>IF('⚙ OFF Weekends'!$D$71="OFF","OFF","")</f>
        <v/>
      </c>
      <c r="BY58" s="54" t="str">
        <f>IF('⚙ OFF Weekends'!$D$72="OFF","OFF","")</f>
        <v/>
      </c>
      <c r="BZ58" s="56" t="str">
        <f>IF('⚙ OFF Weekends'!$D$73="OFF","OFF","")</f>
        <v/>
      </c>
      <c r="CA58" s="54" t="str">
        <f>IF('⚙ OFF Weekends'!$D$74="OFF","OFF","")</f>
        <v/>
      </c>
      <c r="CB58" s="56" t="str">
        <f>IF('⚙ OFF Weekends'!$D$75="OFF","OFF","")</f>
        <v/>
      </c>
      <c r="CC58" s="54" t="str">
        <f>IF('⚙ OFF Weekends'!$D$76="OFF","OFF","")</f>
        <v/>
      </c>
      <c r="CD58" s="56" t="str">
        <f>IF('⚙ OFF Weekends'!$D$77="OFF","OFF","")</f>
        <v/>
      </c>
      <c r="CE58" s="95">
        <f t="shared" si="15"/>
        <v>15</v>
      </c>
      <c r="CF58" s="95">
        <f t="shared" si="16"/>
        <v>0</v>
      </c>
      <c r="CG58" s="95">
        <f t="shared" si="17"/>
        <v>3</v>
      </c>
      <c r="CH58" s="95" t="str">
        <f t="shared" si="18"/>
        <v>100%</v>
      </c>
    </row>
    <row r="59" ht="18.0" customHeight="1">
      <c r="A59" s="96">
        <v>8.0</v>
      </c>
      <c r="B59" s="22" t="s">
        <v>407</v>
      </c>
      <c r="C59" s="23" t="s">
        <v>408</v>
      </c>
      <c r="D59" s="24" t="str">
        <f t="shared" si="13"/>
        <v>📞 Call</v>
      </c>
      <c r="E59" s="41" t="str">
        <f t="shared" si="14"/>
        <v>💬 WhatsApp</v>
      </c>
      <c r="F59" s="20"/>
      <c r="G59" s="20" t="s">
        <v>339</v>
      </c>
      <c r="H59" s="20" t="s">
        <v>409</v>
      </c>
      <c r="I59" s="48" t="s">
        <v>196</v>
      </c>
      <c r="J59" s="48" t="s">
        <v>196</v>
      </c>
      <c r="K59" s="49" t="s">
        <v>197</v>
      </c>
      <c r="L59" s="48" t="s">
        <v>196</v>
      </c>
      <c r="M59" s="50" t="s">
        <v>37</v>
      </c>
      <c r="N59" s="48" t="s">
        <v>196</v>
      </c>
      <c r="O59" s="77" t="s">
        <v>198</v>
      </c>
      <c r="P59" s="77" t="s">
        <v>198</v>
      </c>
      <c r="Q59" s="77" t="s">
        <v>198</v>
      </c>
      <c r="R59" s="77" t="s">
        <v>198</v>
      </c>
      <c r="S59" s="52" t="s">
        <v>223</v>
      </c>
      <c r="T59" s="53" t="s">
        <v>198</v>
      </c>
      <c r="U59" s="52" t="s">
        <v>37</v>
      </c>
      <c r="V59" s="53" t="s">
        <v>223</v>
      </c>
      <c r="W59" s="54" t="str">
        <f>IF('⚙ OFF Weekends'!$D$18="OFF","OFF","")</f>
        <v>OFF</v>
      </c>
      <c r="X59" s="53" t="s">
        <v>223</v>
      </c>
      <c r="Y59" s="52" t="s">
        <v>196</v>
      </c>
      <c r="Z59" s="53" t="s">
        <v>37</v>
      </c>
      <c r="AA59" s="52" t="s">
        <v>37</v>
      </c>
      <c r="AB59" s="53" t="s">
        <v>37</v>
      </c>
      <c r="AC59" s="54" t="str">
        <f>IF('⚙ OFF Weekends'!$D$24="OFF","OFF","")</f>
        <v/>
      </c>
      <c r="AD59" s="56" t="str">
        <f>IF('⚙ OFF Weekends'!$D$25="OFF","OFF","")</f>
        <v/>
      </c>
      <c r="AE59" s="54" t="str">
        <f>IF('⚙ OFF Weekends'!$D$26="OFF","OFF","")</f>
        <v/>
      </c>
      <c r="AF59" s="56" t="str">
        <f>IF('⚙ OFF Weekends'!$D$27="OFF","OFF","")</f>
        <v/>
      </c>
      <c r="AG59" s="54" t="str">
        <f>IF('⚙ OFF Weekends'!$D$28="OFF","OFF","")</f>
        <v/>
      </c>
      <c r="AH59" s="56" t="str">
        <f>IF('⚙ OFF Weekends'!$D$29="OFF","OFF","")</f>
        <v/>
      </c>
      <c r="AI59" s="54" t="str">
        <f>IF('⚙ OFF Weekends'!$D$30="OFF","OFF","")</f>
        <v/>
      </c>
      <c r="AJ59" s="56" t="str">
        <f>IF('⚙ OFF Weekends'!$D$31="OFF","OFF","")</f>
        <v/>
      </c>
      <c r="AK59" s="54" t="str">
        <f>IF('⚙ OFF Weekends'!$D$32="OFF","OFF","")</f>
        <v/>
      </c>
      <c r="AL59" s="56" t="str">
        <f>IF('⚙ OFF Weekends'!$D$33="OFF","OFF","")</f>
        <v/>
      </c>
      <c r="AM59" s="54" t="str">
        <f>IF('⚙ OFF Weekends'!$D$34="OFF","OFF","")</f>
        <v/>
      </c>
      <c r="AN59" s="56" t="str">
        <f>IF('⚙ OFF Weekends'!$D$35="OFF","OFF","")</f>
        <v/>
      </c>
      <c r="AO59" s="54" t="str">
        <f>IF('⚙ OFF Weekends'!$D$36="OFF","OFF","")</f>
        <v/>
      </c>
      <c r="AP59" s="56" t="str">
        <f>IF('⚙ OFF Weekends'!$D$37="OFF","OFF","")</f>
        <v/>
      </c>
      <c r="AQ59" s="54" t="str">
        <f>IF('⚙ OFF Weekends'!$D$38="OFF","OFF","")</f>
        <v/>
      </c>
      <c r="AR59" s="56" t="str">
        <f>IF('⚙ OFF Weekends'!$D$39="OFF","OFF","")</f>
        <v/>
      </c>
      <c r="AS59" s="54" t="str">
        <f>IF('⚙ OFF Weekends'!$D$40="OFF","OFF","")</f>
        <v/>
      </c>
      <c r="AT59" s="56" t="str">
        <f>IF('⚙ OFF Weekends'!$D$41="OFF","OFF","")</f>
        <v/>
      </c>
      <c r="AU59" s="54" t="str">
        <f>IF('⚙ OFF Weekends'!$D$42="OFF","OFF","")</f>
        <v/>
      </c>
      <c r="AV59" s="56" t="str">
        <f>IF('⚙ OFF Weekends'!$D$43="OFF","OFF","")</f>
        <v/>
      </c>
      <c r="AW59" s="54" t="str">
        <f>IF('⚙ OFF Weekends'!$D$44="OFF","OFF","")</f>
        <v/>
      </c>
      <c r="AX59" s="56" t="str">
        <f>IF('⚙ OFF Weekends'!$D$45="OFF","OFF","")</f>
        <v/>
      </c>
      <c r="AY59" s="54" t="str">
        <f>IF('⚙ OFF Weekends'!$D$46="OFF","OFF","")</f>
        <v/>
      </c>
      <c r="AZ59" s="56" t="str">
        <f>IF('⚙ OFF Weekends'!$D$47="OFF","OFF","")</f>
        <v/>
      </c>
      <c r="BA59" s="54" t="str">
        <f>IF('⚙ OFF Weekends'!$D$48="OFF","OFF","")</f>
        <v/>
      </c>
      <c r="BB59" s="56" t="str">
        <f>IF('⚙ OFF Weekends'!$D$49="OFF","OFF","")</f>
        <v/>
      </c>
      <c r="BC59" s="54" t="str">
        <f>IF('⚙ OFF Weekends'!$D$50="OFF","OFF","")</f>
        <v/>
      </c>
      <c r="BD59" s="56" t="str">
        <f>IF('⚙ OFF Weekends'!$D$51="OFF","OFF","")</f>
        <v/>
      </c>
      <c r="BE59" s="54" t="str">
        <f>IF('⚙ OFF Weekends'!$D$52="OFF","OFF","")</f>
        <v/>
      </c>
      <c r="BF59" s="56" t="str">
        <f>IF('⚙ OFF Weekends'!$D$53="OFF","OFF","")</f>
        <v/>
      </c>
      <c r="BG59" s="54" t="str">
        <f>IF('⚙ OFF Weekends'!$D$54="OFF","OFF","")</f>
        <v/>
      </c>
      <c r="BH59" s="56" t="str">
        <f>IF('⚙ OFF Weekends'!$D$55="OFF","OFF","")</f>
        <v/>
      </c>
      <c r="BI59" s="54" t="str">
        <f>IF('⚙ OFF Weekends'!$D$56="OFF","OFF","")</f>
        <v/>
      </c>
      <c r="BJ59" s="56" t="str">
        <f>IF('⚙ OFF Weekends'!$D$57="OFF","OFF","")</f>
        <v/>
      </c>
      <c r="BK59" s="54" t="str">
        <f>IF('⚙ OFF Weekends'!$D$58="OFF","OFF","")</f>
        <v/>
      </c>
      <c r="BL59" s="56" t="str">
        <f>IF('⚙ OFF Weekends'!$D$59="OFF","OFF","")</f>
        <v/>
      </c>
      <c r="BM59" s="54" t="str">
        <f>IF('⚙ OFF Weekends'!$D$60="OFF","OFF","")</f>
        <v/>
      </c>
      <c r="BN59" s="56" t="str">
        <f>IF('⚙ OFF Weekends'!$D$61="OFF","OFF","")</f>
        <v/>
      </c>
      <c r="BO59" s="54" t="str">
        <f>IF('⚙ OFF Weekends'!$D$62="OFF","OFF","")</f>
        <v/>
      </c>
      <c r="BP59" s="56" t="str">
        <f>IF('⚙ OFF Weekends'!$D$63="OFF","OFF","")</f>
        <v/>
      </c>
      <c r="BQ59" s="54" t="str">
        <f>IF('⚙ OFF Weekends'!$D$64="OFF","OFF","")</f>
        <v/>
      </c>
      <c r="BR59" s="56" t="str">
        <f>IF('⚙ OFF Weekends'!$D$65="OFF","OFF","")</f>
        <v/>
      </c>
      <c r="BS59" s="54" t="str">
        <f>IF('⚙ OFF Weekends'!$D$66="OFF","OFF","")</f>
        <v/>
      </c>
      <c r="BT59" s="56" t="str">
        <f>IF('⚙ OFF Weekends'!$D$67="OFF","OFF","")</f>
        <v/>
      </c>
      <c r="BU59" s="54" t="str">
        <f>IF('⚙ OFF Weekends'!$D$68="OFF","OFF","")</f>
        <v/>
      </c>
      <c r="BV59" s="56" t="str">
        <f>IF('⚙ OFF Weekends'!$D$69="OFF","OFF","")</f>
        <v/>
      </c>
      <c r="BW59" s="54" t="str">
        <f>IF('⚙ OFF Weekends'!$D$70="OFF","OFF","")</f>
        <v/>
      </c>
      <c r="BX59" s="56" t="str">
        <f>IF('⚙ OFF Weekends'!$D$71="OFF","OFF","")</f>
        <v/>
      </c>
      <c r="BY59" s="54" t="str">
        <f>IF('⚙ OFF Weekends'!$D$72="OFF","OFF","")</f>
        <v/>
      </c>
      <c r="BZ59" s="56" t="str">
        <f>IF('⚙ OFF Weekends'!$D$73="OFF","OFF","")</f>
        <v/>
      </c>
      <c r="CA59" s="54" t="str">
        <f>IF('⚙ OFF Weekends'!$D$74="OFF","OFF","")</f>
        <v/>
      </c>
      <c r="CB59" s="56" t="str">
        <f>IF('⚙ OFF Weekends'!$D$75="OFF","OFF","")</f>
        <v/>
      </c>
      <c r="CC59" s="54" t="str">
        <f>IF('⚙ OFF Weekends'!$D$76="OFF","OFF","")</f>
        <v/>
      </c>
      <c r="CD59" s="56" t="str">
        <f>IF('⚙ OFF Weekends'!$D$77="OFF","OFF","")</f>
        <v/>
      </c>
      <c r="CE59" s="96">
        <f t="shared" si="15"/>
        <v>10</v>
      </c>
      <c r="CF59" s="96">
        <f t="shared" si="16"/>
        <v>3</v>
      </c>
      <c r="CG59" s="96">
        <f t="shared" si="17"/>
        <v>5</v>
      </c>
      <c r="CH59" s="96" t="str">
        <f t="shared" si="18"/>
        <v>77%</v>
      </c>
    </row>
    <row r="60" ht="18.0" customHeight="1">
      <c r="A60" s="95">
        <v>9.0</v>
      </c>
      <c r="B60" s="12" t="s">
        <v>411</v>
      </c>
      <c r="C60" s="14" t="s">
        <v>412</v>
      </c>
      <c r="D60" s="17" t="str">
        <f t="shared" si="13"/>
        <v>📞 Call</v>
      </c>
      <c r="E60" s="19" t="str">
        <f t="shared" si="14"/>
        <v>💬 WhatsApp</v>
      </c>
      <c r="F60" s="10"/>
      <c r="G60" s="10" t="s">
        <v>339</v>
      </c>
      <c r="H60" s="10"/>
      <c r="I60" s="79" t="s">
        <v>223</v>
      </c>
      <c r="J60" s="48" t="s">
        <v>196</v>
      </c>
      <c r="K60" s="49" t="s">
        <v>197</v>
      </c>
      <c r="L60" s="79" t="s">
        <v>223</v>
      </c>
      <c r="M60" s="79" t="s">
        <v>223</v>
      </c>
      <c r="N60" s="50" t="s">
        <v>37</v>
      </c>
      <c r="O60" s="100" t="s">
        <v>290</v>
      </c>
      <c r="P60" s="50" t="s">
        <v>37</v>
      </c>
      <c r="Q60" s="48" t="s">
        <v>196</v>
      </c>
      <c r="R60" s="48" t="s">
        <v>196</v>
      </c>
      <c r="S60" s="52" t="s">
        <v>198</v>
      </c>
      <c r="T60" s="53" t="s">
        <v>223</v>
      </c>
      <c r="U60" s="52" t="s">
        <v>196</v>
      </c>
      <c r="V60" s="53" t="s">
        <v>196</v>
      </c>
      <c r="W60" s="54" t="str">
        <f>IF('⚙ OFF Weekends'!$D$18="OFF","OFF","")</f>
        <v>OFF</v>
      </c>
      <c r="X60" s="53" t="s">
        <v>37</v>
      </c>
      <c r="Y60" s="52" t="s">
        <v>196</v>
      </c>
      <c r="Z60" s="53" t="s">
        <v>223</v>
      </c>
      <c r="AA60" s="52" t="s">
        <v>223</v>
      </c>
      <c r="AB60" s="53" t="s">
        <v>223</v>
      </c>
      <c r="AC60" s="54" t="str">
        <f>IF('⚙ OFF Weekends'!$D$24="OFF","OFF","")</f>
        <v/>
      </c>
      <c r="AD60" s="56" t="str">
        <f>IF('⚙ OFF Weekends'!$D$25="OFF","OFF","")</f>
        <v/>
      </c>
      <c r="AE60" s="54" t="str">
        <f>IF('⚙ OFF Weekends'!$D$26="OFF","OFF","")</f>
        <v/>
      </c>
      <c r="AF60" s="56" t="str">
        <f>IF('⚙ OFF Weekends'!$D$27="OFF","OFF","")</f>
        <v/>
      </c>
      <c r="AG60" s="54" t="str">
        <f>IF('⚙ OFF Weekends'!$D$28="OFF","OFF","")</f>
        <v/>
      </c>
      <c r="AH60" s="56" t="str">
        <f>IF('⚙ OFF Weekends'!$D$29="OFF","OFF","")</f>
        <v/>
      </c>
      <c r="AI60" s="54" t="str">
        <f>IF('⚙ OFF Weekends'!$D$30="OFF","OFF","")</f>
        <v/>
      </c>
      <c r="AJ60" s="56" t="str">
        <f>IF('⚙ OFF Weekends'!$D$31="OFF","OFF","")</f>
        <v/>
      </c>
      <c r="AK60" s="54" t="str">
        <f>IF('⚙ OFF Weekends'!$D$32="OFF","OFF","")</f>
        <v/>
      </c>
      <c r="AL60" s="56" t="str">
        <f>IF('⚙ OFF Weekends'!$D$33="OFF","OFF","")</f>
        <v/>
      </c>
      <c r="AM60" s="54" t="str">
        <f>IF('⚙ OFF Weekends'!$D$34="OFF","OFF","")</f>
        <v/>
      </c>
      <c r="AN60" s="56" t="str">
        <f>IF('⚙ OFF Weekends'!$D$35="OFF","OFF","")</f>
        <v/>
      </c>
      <c r="AO60" s="54" t="str">
        <f>IF('⚙ OFF Weekends'!$D$36="OFF","OFF","")</f>
        <v/>
      </c>
      <c r="AP60" s="56" t="str">
        <f>IF('⚙ OFF Weekends'!$D$37="OFF","OFF","")</f>
        <v/>
      </c>
      <c r="AQ60" s="54" t="str">
        <f>IF('⚙ OFF Weekends'!$D$38="OFF","OFF","")</f>
        <v/>
      </c>
      <c r="AR60" s="56" t="str">
        <f>IF('⚙ OFF Weekends'!$D$39="OFF","OFF","")</f>
        <v/>
      </c>
      <c r="AS60" s="54" t="str">
        <f>IF('⚙ OFF Weekends'!$D$40="OFF","OFF","")</f>
        <v/>
      </c>
      <c r="AT60" s="56" t="str">
        <f>IF('⚙ OFF Weekends'!$D$41="OFF","OFF","")</f>
        <v/>
      </c>
      <c r="AU60" s="54" t="str">
        <f>IF('⚙ OFF Weekends'!$D$42="OFF","OFF","")</f>
        <v/>
      </c>
      <c r="AV60" s="56" t="str">
        <f>IF('⚙ OFF Weekends'!$D$43="OFF","OFF","")</f>
        <v/>
      </c>
      <c r="AW60" s="54" t="str">
        <f>IF('⚙ OFF Weekends'!$D$44="OFF","OFF","")</f>
        <v/>
      </c>
      <c r="AX60" s="56" t="str">
        <f>IF('⚙ OFF Weekends'!$D$45="OFF","OFF","")</f>
        <v/>
      </c>
      <c r="AY60" s="54" t="str">
        <f>IF('⚙ OFF Weekends'!$D$46="OFF","OFF","")</f>
        <v/>
      </c>
      <c r="AZ60" s="56" t="str">
        <f>IF('⚙ OFF Weekends'!$D$47="OFF","OFF","")</f>
        <v/>
      </c>
      <c r="BA60" s="54" t="str">
        <f>IF('⚙ OFF Weekends'!$D$48="OFF","OFF","")</f>
        <v/>
      </c>
      <c r="BB60" s="56" t="str">
        <f>IF('⚙ OFF Weekends'!$D$49="OFF","OFF","")</f>
        <v/>
      </c>
      <c r="BC60" s="54" t="str">
        <f>IF('⚙ OFF Weekends'!$D$50="OFF","OFF","")</f>
        <v/>
      </c>
      <c r="BD60" s="56" t="str">
        <f>IF('⚙ OFF Weekends'!$D$51="OFF","OFF","")</f>
        <v/>
      </c>
      <c r="BE60" s="54" t="str">
        <f>IF('⚙ OFF Weekends'!$D$52="OFF","OFF","")</f>
        <v/>
      </c>
      <c r="BF60" s="56" t="str">
        <f>IF('⚙ OFF Weekends'!$D$53="OFF","OFF","")</f>
        <v/>
      </c>
      <c r="BG60" s="54" t="str">
        <f>IF('⚙ OFF Weekends'!$D$54="OFF","OFF","")</f>
        <v/>
      </c>
      <c r="BH60" s="56" t="str">
        <f>IF('⚙ OFF Weekends'!$D$55="OFF","OFF","")</f>
        <v/>
      </c>
      <c r="BI60" s="54" t="str">
        <f>IF('⚙ OFF Weekends'!$D$56="OFF","OFF","")</f>
        <v/>
      </c>
      <c r="BJ60" s="56" t="str">
        <f>IF('⚙ OFF Weekends'!$D$57="OFF","OFF","")</f>
        <v/>
      </c>
      <c r="BK60" s="54" t="str">
        <f>IF('⚙ OFF Weekends'!$D$58="OFF","OFF","")</f>
        <v/>
      </c>
      <c r="BL60" s="56" t="str">
        <f>IF('⚙ OFF Weekends'!$D$59="OFF","OFF","")</f>
        <v/>
      </c>
      <c r="BM60" s="54" t="str">
        <f>IF('⚙ OFF Weekends'!$D$60="OFF","OFF","")</f>
        <v/>
      </c>
      <c r="BN60" s="56" t="str">
        <f>IF('⚙ OFF Weekends'!$D$61="OFF","OFF","")</f>
        <v/>
      </c>
      <c r="BO60" s="54" t="str">
        <f>IF('⚙ OFF Weekends'!$D$62="OFF","OFF","")</f>
        <v/>
      </c>
      <c r="BP60" s="56" t="str">
        <f>IF('⚙ OFF Weekends'!$D$63="OFF","OFF","")</f>
        <v/>
      </c>
      <c r="BQ60" s="54" t="str">
        <f>IF('⚙ OFF Weekends'!$D$64="OFF","OFF","")</f>
        <v/>
      </c>
      <c r="BR60" s="56" t="str">
        <f>IF('⚙ OFF Weekends'!$D$65="OFF","OFF","")</f>
        <v/>
      </c>
      <c r="BS60" s="54" t="str">
        <f>IF('⚙ OFF Weekends'!$D$66="OFF","OFF","")</f>
        <v/>
      </c>
      <c r="BT60" s="56" t="str">
        <f>IF('⚙ OFF Weekends'!$D$67="OFF","OFF","")</f>
        <v/>
      </c>
      <c r="BU60" s="54" t="str">
        <f>IF('⚙ OFF Weekends'!$D$68="OFF","OFF","")</f>
        <v/>
      </c>
      <c r="BV60" s="56" t="str">
        <f>IF('⚙ OFF Weekends'!$D$69="OFF","OFF","")</f>
        <v/>
      </c>
      <c r="BW60" s="54" t="str">
        <f>IF('⚙ OFF Weekends'!$D$70="OFF","OFF","")</f>
        <v/>
      </c>
      <c r="BX60" s="56" t="str">
        <f>IF('⚙ OFF Weekends'!$D$71="OFF","OFF","")</f>
        <v/>
      </c>
      <c r="BY60" s="54" t="str">
        <f>IF('⚙ OFF Weekends'!$D$72="OFF","OFF","")</f>
        <v/>
      </c>
      <c r="BZ60" s="56" t="str">
        <f>IF('⚙ OFF Weekends'!$D$73="OFF","OFF","")</f>
        <v/>
      </c>
      <c r="CA60" s="54" t="str">
        <f>IF('⚙ OFF Weekends'!$D$74="OFF","OFF","")</f>
        <v/>
      </c>
      <c r="CB60" s="56" t="str">
        <f>IF('⚙ OFF Weekends'!$D$75="OFF","OFF","")</f>
        <v/>
      </c>
      <c r="CC60" s="54" t="str">
        <f>IF('⚙ OFF Weekends'!$D$76="OFF","OFF","")</f>
        <v/>
      </c>
      <c r="CD60" s="56" t="str">
        <f>IF('⚙ OFF Weekends'!$D$77="OFF","OFF","")</f>
        <v/>
      </c>
      <c r="CE60" s="95">
        <f t="shared" si="15"/>
        <v>9</v>
      </c>
      <c r="CF60" s="95">
        <f t="shared" si="16"/>
        <v>7</v>
      </c>
      <c r="CG60" s="95">
        <f t="shared" si="17"/>
        <v>1</v>
      </c>
      <c r="CH60" s="95" t="str">
        <f t="shared" si="18"/>
        <v>56%</v>
      </c>
    </row>
    <row r="61" ht="18.0" customHeight="1">
      <c r="A61" s="96">
        <v>10.0</v>
      </c>
      <c r="B61" s="22" t="s">
        <v>415</v>
      </c>
      <c r="C61" s="23" t="s">
        <v>416</v>
      </c>
      <c r="D61" s="24" t="str">
        <f t="shared" si="13"/>
        <v>📞 Call</v>
      </c>
      <c r="E61" s="41" t="str">
        <f t="shared" si="14"/>
        <v>💬 WhatsApp</v>
      </c>
      <c r="F61" s="20"/>
      <c r="G61" s="20" t="s">
        <v>339</v>
      </c>
      <c r="H61" s="20"/>
      <c r="I61" s="79" t="s">
        <v>223</v>
      </c>
      <c r="J61" s="48" t="s">
        <v>196</v>
      </c>
      <c r="K61" s="49" t="s">
        <v>197</v>
      </c>
      <c r="L61" s="79" t="s">
        <v>223</v>
      </c>
      <c r="M61" s="79" t="s">
        <v>223</v>
      </c>
      <c r="N61" s="50" t="s">
        <v>37</v>
      </c>
      <c r="O61" s="100" t="s">
        <v>290</v>
      </c>
      <c r="P61" s="50" t="s">
        <v>37</v>
      </c>
      <c r="Q61" s="100" t="s">
        <v>290</v>
      </c>
      <c r="R61" s="48" t="s">
        <v>196</v>
      </c>
      <c r="S61" s="52" t="s">
        <v>223</v>
      </c>
      <c r="T61" s="53" t="s">
        <v>198</v>
      </c>
      <c r="U61" s="52" t="s">
        <v>37</v>
      </c>
      <c r="V61" s="53" t="s">
        <v>196</v>
      </c>
      <c r="W61" s="54" t="str">
        <f>IF('⚙ OFF Weekends'!$D$18="OFF","OFF","")</f>
        <v>OFF</v>
      </c>
      <c r="X61" s="53" t="s">
        <v>37</v>
      </c>
      <c r="Y61" s="52" t="s">
        <v>196</v>
      </c>
      <c r="Z61" s="53" t="s">
        <v>223</v>
      </c>
      <c r="AA61" s="52" t="s">
        <v>223</v>
      </c>
      <c r="AB61" s="53" t="s">
        <v>223</v>
      </c>
      <c r="AC61" s="54" t="str">
        <f>IF('⚙ OFF Weekends'!$D$24="OFF","OFF","")</f>
        <v/>
      </c>
      <c r="AD61" s="56" t="str">
        <f>IF('⚙ OFF Weekends'!$D$25="OFF","OFF","")</f>
        <v/>
      </c>
      <c r="AE61" s="54" t="str">
        <f>IF('⚙ OFF Weekends'!$D$26="OFF","OFF","")</f>
        <v/>
      </c>
      <c r="AF61" s="56" t="str">
        <f>IF('⚙ OFF Weekends'!$D$27="OFF","OFF","")</f>
        <v/>
      </c>
      <c r="AG61" s="54" t="str">
        <f>IF('⚙ OFF Weekends'!$D$28="OFF","OFF","")</f>
        <v/>
      </c>
      <c r="AH61" s="56" t="str">
        <f>IF('⚙ OFF Weekends'!$D$29="OFF","OFF","")</f>
        <v/>
      </c>
      <c r="AI61" s="54" t="str">
        <f>IF('⚙ OFF Weekends'!$D$30="OFF","OFF","")</f>
        <v/>
      </c>
      <c r="AJ61" s="56" t="str">
        <f>IF('⚙ OFF Weekends'!$D$31="OFF","OFF","")</f>
        <v/>
      </c>
      <c r="AK61" s="54" t="str">
        <f>IF('⚙ OFF Weekends'!$D$32="OFF","OFF","")</f>
        <v/>
      </c>
      <c r="AL61" s="56" t="str">
        <f>IF('⚙ OFF Weekends'!$D$33="OFF","OFF","")</f>
        <v/>
      </c>
      <c r="AM61" s="54" t="str">
        <f>IF('⚙ OFF Weekends'!$D$34="OFF","OFF","")</f>
        <v/>
      </c>
      <c r="AN61" s="56" t="str">
        <f>IF('⚙ OFF Weekends'!$D$35="OFF","OFF","")</f>
        <v/>
      </c>
      <c r="AO61" s="54" t="str">
        <f>IF('⚙ OFF Weekends'!$D$36="OFF","OFF","")</f>
        <v/>
      </c>
      <c r="AP61" s="56" t="str">
        <f>IF('⚙ OFF Weekends'!$D$37="OFF","OFF","")</f>
        <v/>
      </c>
      <c r="AQ61" s="54" t="str">
        <f>IF('⚙ OFF Weekends'!$D$38="OFF","OFF","")</f>
        <v/>
      </c>
      <c r="AR61" s="56" t="str">
        <f>IF('⚙ OFF Weekends'!$D$39="OFF","OFF","")</f>
        <v/>
      </c>
      <c r="AS61" s="54" t="str">
        <f>IF('⚙ OFF Weekends'!$D$40="OFF","OFF","")</f>
        <v/>
      </c>
      <c r="AT61" s="56" t="str">
        <f>IF('⚙ OFF Weekends'!$D$41="OFF","OFF","")</f>
        <v/>
      </c>
      <c r="AU61" s="54" t="str">
        <f>IF('⚙ OFF Weekends'!$D$42="OFF","OFF","")</f>
        <v/>
      </c>
      <c r="AV61" s="56" t="str">
        <f>IF('⚙ OFF Weekends'!$D$43="OFF","OFF","")</f>
        <v/>
      </c>
      <c r="AW61" s="54" t="str">
        <f>IF('⚙ OFF Weekends'!$D$44="OFF","OFF","")</f>
        <v/>
      </c>
      <c r="AX61" s="56" t="str">
        <f>IF('⚙ OFF Weekends'!$D$45="OFF","OFF","")</f>
        <v/>
      </c>
      <c r="AY61" s="54" t="str">
        <f>IF('⚙ OFF Weekends'!$D$46="OFF","OFF","")</f>
        <v/>
      </c>
      <c r="AZ61" s="56" t="str">
        <f>IF('⚙ OFF Weekends'!$D$47="OFF","OFF","")</f>
        <v/>
      </c>
      <c r="BA61" s="54" t="str">
        <f>IF('⚙ OFF Weekends'!$D$48="OFF","OFF","")</f>
        <v/>
      </c>
      <c r="BB61" s="56" t="str">
        <f>IF('⚙ OFF Weekends'!$D$49="OFF","OFF","")</f>
        <v/>
      </c>
      <c r="BC61" s="54" t="str">
        <f>IF('⚙ OFF Weekends'!$D$50="OFF","OFF","")</f>
        <v/>
      </c>
      <c r="BD61" s="56" t="str">
        <f>IF('⚙ OFF Weekends'!$D$51="OFF","OFF","")</f>
        <v/>
      </c>
      <c r="BE61" s="54" t="str">
        <f>IF('⚙ OFF Weekends'!$D$52="OFF","OFF","")</f>
        <v/>
      </c>
      <c r="BF61" s="56" t="str">
        <f>IF('⚙ OFF Weekends'!$D$53="OFF","OFF","")</f>
        <v/>
      </c>
      <c r="BG61" s="54" t="str">
        <f>IF('⚙ OFF Weekends'!$D$54="OFF","OFF","")</f>
        <v/>
      </c>
      <c r="BH61" s="56" t="str">
        <f>IF('⚙ OFF Weekends'!$D$55="OFF","OFF","")</f>
        <v/>
      </c>
      <c r="BI61" s="54" t="str">
        <f>IF('⚙ OFF Weekends'!$D$56="OFF","OFF","")</f>
        <v/>
      </c>
      <c r="BJ61" s="56" t="str">
        <f>IF('⚙ OFF Weekends'!$D$57="OFF","OFF","")</f>
        <v/>
      </c>
      <c r="BK61" s="54" t="str">
        <f>IF('⚙ OFF Weekends'!$D$58="OFF","OFF","")</f>
        <v/>
      </c>
      <c r="BL61" s="56" t="str">
        <f>IF('⚙ OFF Weekends'!$D$59="OFF","OFF","")</f>
        <v/>
      </c>
      <c r="BM61" s="54" t="str">
        <f>IF('⚙ OFF Weekends'!$D$60="OFF","OFF","")</f>
        <v/>
      </c>
      <c r="BN61" s="56" t="str">
        <f>IF('⚙ OFF Weekends'!$D$61="OFF","OFF","")</f>
        <v/>
      </c>
      <c r="BO61" s="54" t="str">
        <f>IF('⚙ OFF Weekends'!$D$62="OFF","OFF","")</f>
        <v/>
      </c>
      <c r="BP61" s="56" t="str">
        <f>IF('⚙ OFF Weekends'!$D$63="OFF","OFF","")</f>
        <v/>
      </c>
      <c r="BQ61" s="54" t="str">
        <f>IF('⚙ OFF Weekends'!$D$64="OFF","OFF","")</f>
        <v/>
      </c>
      <c r="BR61" s="56" t="str">
        <f>IF('⚙ OFF Weekends'!$D$65="OFF","OFF","")</f>
        <v/>
      </c>
      <c r="BS61" s="54" t="str">
        <f>IF('⚙ OFF Weekends'!$D$66="OFF","OFF","")</f>
        <v/>
      </c>
      <c r="BT61" s="56" t="str">
        <f>IF('⚙ OFF Weekends'!$D$67="OFF","OFF","")</f>
        <v/>
      </c>
      <c r="BU61" s="54" t="str">
        <f>IF('⚙ OFF Weekends'!$D$68="OFF","OFF","")</f>
        <v/>
      </c>
      <c r="BV61" s="56" t="str">
        <f>IF('⚙ OFF Weekends'!$D$69="OFF","OFF","")</f>
        <v/>
      </c>
      <c r="BW61" s="54" t="str">
        <f>IF('⚙ OFF Weekends'!$D$70="OFF","OFF","")</f>
        <v/>
      </c>
      <c r="BX61" s="56" t="str">
        <f>IF('⚙ OFF Weekends'!$D$71="OFF","OFF","")</f>
        <v/>
      </c>
      <c r="BY61" s="54" t="str">
        <f>IF('⚙ OFF Weekends'!$D$72="OFF","OFF","")</f>
        <v/>
      </c>
      <c r="BZ61" s="56" t="str">
        <f>IF('⚙ OFF Weekends'!$D$73="OFF","OFF","")</f>
        <v/>
      </c>
      <c r="CA61" s="54" t="str">
        <f>IF('⚙ OFF Weekends'!$D$74="OFF","OFF","")</f>
        <v/>
      </c>
      <c r="CB61" s="56" t="str">
        <f>IF('⚙ OFF Weekends'!$D$75="OFF","OFF","")</f>
        <v/>
      </c>
      <c r="CC61" s="54" t="str">
        <f>IF('⚙ OFF Weekends'!$D$76="OFF","OFF","")</f>
        <v/>
      </c>
      <c r="CD61" s="56" t="str">
        <f>IF('⚙ OFF Weekends'!$D$77="OFF","OFF","")</f>
        <v/>
      </c>
      <c r="CE61" s="96">
        <f t="shared" si="15"/>
        <v>8</v>
      </c>
      <c r="CF61" s="96">
        <f t="shared" si="16"/>
        <v>7</v>
      </c>
      <c r="CG61" s="96">
        <f t="shared" si="17"/>
        <v>1</v>
      </c>
      <c r="CH61" s="96" t="str">
        <f t="shared" si="18"/>
        <v>53%</v>
      </c>
    </row>
    <row r="62" ht="18.0" customHeight="1">
      <c r="A62" s="95">
        <v>11.0</v>
      </c>
      <c r="B62" s="12" t="s">
        <v>418</v>
      </c>
      <c r="C62" s="14" t="s">
        <v>419</v>
      </c>
      <c r="D62" s="17" t="str">
        <f t="shared" si="13"/>
        <v>📞 Call</v>
      </c>
      <c r="E62" s="19" t="str">
        <f t="shared" si="14"/>
        <v>💬 WhatsApp</v>
      </c>
      <c r="F62" s="10"/>
      <c r="G62" s="10" t="s">
        <v>420</v>
      </c>
      <c r="H62" s="10"/>
      <c r="I62" s="79" t="s">
        <v>223</v>
      </c>
      <c r="J62" s="79" t="s">
        <v>223</v>
      </c>
      <c r="K62" s="49" t="s">
        <v>197</v>
      </c>
      <c r="L62" s="48" t="s">
        <v>196</v>
      </c>
      <c r="M62" s="79" t="s">
        <v>223</v>
      </c>
      <c r="N62" s="79" t="s">
        <v>223</v>
      </c>
      <c r="O62" s="79" t="s">
        <v>223</v>
      </c>
      <c r="P62" s="79" t="s">
        <v>223</v>
      </c>
      <c r="Q62" s="79" t="s">
        <v>223</v>
      </c>
      <c r="R62" s="101" t="s">
        <v>296</v>
      </c>
      <c r="S62" s="101" t="s">
        <v>296</v>
      </c>
      <c r="T62" s="116" t="s">
        <v>196</v>
      </c>
      <c r="U62" s="101" t="s">
        <v>296</v>
      </c>
      <c r="V62" s="101" t="s">
        <v>296</v>
      </c>
      <c r="W62" s="101" t="s">
        <v>296</v>
      </c>
      <c r="X62" s="101" t="s">
        <v>296</v>
      </c>
      <c r="Y62" s="101" t="s">
        <v>296</v>
      </c>
      <c r="Z62" s="101" t="s">
        <v>296</v>
      </c>
      <c r="AA62" s="116" t="s">
        <v>198</v>
      </c>
      <c r="AB62" s="116" t="s">
        <v>198</v>
      </c>
      <c r="AC62" s="101" t="s">
        <v>296</v>
      </c>
      <c r="AD62" s="101" t="s">
        <v>296</v>
      </c>
      <c r="AE62" s="101" t="s">
        <v>296</v>
      </c>
      <c r="AF62" s="101" t="s">
        <v>296</v>
      </c>
      <c r="AG62" s="101" t="s">
        <v>296</v>
      </c>
      <c r="AH62" s="101" t="s">
        <v>296</v>
      </c>
      <c r="AI62" s="101" t="s">
        <v>296</v>
      </c>
      <c r="AJ62" s="101" t="s">
        <v>296</v>
      </c>
      <c r="AK62" s="101" t="s">
        <v>296</v>
      </c>
      <c r="AL62" s="101" t="s">
        <v>296</v>
      </c>
      <c r="AM62" s="101" t="s">
        <v>296</v>
      </c>
      <c r="AN62" s="101" t="s">
        <v>296</v>
      </c>
      <c r="AO62" s="101" t="s">
        <v>296</v>
      </c>
      <c r="AP62" s="101" t="s">
        <v>296</v>
      </c>
      <c r="AQ62" s="101" t="s">
        <v>296</v>
      </c>
      <c r="AR62" s="101" t="s">
        <v>296</v>
      </c>
      <c r="AS62" s="101" t="s">
        <v>296</v>
      </c>
      <c r="AT62" s="101" t="s">
        <v>296</v>
      </c>
      <c r="AU62" s="101" t="s">
        <v>296</v>
      </c>
      <c r="AV62" s="101" t="s">
        <v>296</v>
      </c>
      <c r="AW62" s="101" t="s">
        <v>296</v>
      </c>
      <c r="AX62" s="101" t="s">
        <v>296</v>
      </c>
      <c r="AY62" s="54" t="str">
        <f>IF('⚙ OFF Weekends'!$D$46="OFF","OFF","")</f>
        <v/>
      </c>
      <c r="AZ62" s="56" t="str">
        <f>IF('⚙ OFF Weekends'!$D$47="OFF","OFF","")</f>
        <v/>
      </c>
      <c r="BA62" s="54" t="str">
        <f>IF('⚙ OFF Weekends'!$D$48="OFF","OFF","")</f>
        <v/>
      </c>
      <c r="BB62" s="56" t="str">
        <f>IF('⚙ OFF Weekends'!$D$49="OFF","OFF","")</f>
        <v/>
      </c>
      <c r="BC62" s="54" t="str">
        <f>IF('⚙ OFF Weekends'!$D$50="OFF","OFF","")</f>
        <v/>
      </c>
      <c r="BD62" s="56" t="str">
        <f>IF('⚙ OFF Weekends'!$D$51="OFF","OFF","")</f>
        <v/>
      </c>
      <c r="BE62" s="54" t="str">
        <f>IF('⚙ OFF Weekends'!$D$52="OFF","OFF","")</f>
        <v/>
      </c>
      <c r="BF62" s="56" t="str">
        <f>IF('⚙ OFF Weekends'!$D$53="OFF","OFF","")</f>
        <v/>
      </c>
      <c r="BG62" s="54" t="str">
        <f>IF('⚙ OFF Weekends'!$D$54="OFF","OFF","")</f>
        <v/>
      </c>
      <c r="BH62" s="56" t="str">
        <f>IF('⚙ OFF Weekends'!$D$55="OFF","OFF","")</f>
        <v/>
      </c>
      <c r="BI62" s="54" t="str">
        <f>IF('⚙ OFF Weekends'!$D$56="OFF","OFF","")</f>
        <v/>
      </c>
      <c r="BJ62" s="56" t="str">
        <f>IF('⚙ OFF Weekends'!$D$57="OFF","OFF","")</f>
        <v/>
      </c>
      <c r="BK62" s="54" t="str">
        <f>IF('⚙ OFF Weekends'!$D$58="OFF","OFF","")</f>
        <v/>
      </c>
      <c r="BL62" s="56" t="str">
        <f>IF('⚙ OFF Weekends'!$D$59="OFF","OFF","")</f>
        <v/>
      </c>
      <c r="BM62" s="54" t="str">
        <f>IF('⚙ OFF Weekends'!$D$60="OFF","OFF","")</f>
        <v/>
      </c>
      <c r="BN62" s="56" t="str">
        <f>IF('⚙ OFF Weekends'!$D$61="OFF","OFF","")</f>
        <v/>
      </c>
      <c r="BO62" s="54" t="str">
        <f>IF('⚙ OFF Weekends'!$D$62="OFF","OFF","")</f>
        <v/>
      </c>
      <c r="BP62" s="56" t="str">
        <f>IF('⚙ OFF Weekends'!$D$63="OFF","OFF","")</f>
        <v/>
      </c>
      <c r="BQ62" s="54" t="str">
        <f>IF('⚙ OFF Weekends'!$D$64="OFF","OFF","")</f>
        <v/>
      </c>
      <c r="BR62" s="56" t="str">
        <f>IF('⚙ OFF Weekends'!$D$65="OFF","OFF","")</f>
        <v/>
      </c>
      <c r="BS62" s="54" t="str">
        <f>IF('⚙ OFF Weekends'!$D$66="OFF","OFF","")</f>
        <v/>
      </c>
      <c r="BT62" s="56" t="str">
        <f>IF('⚙ OFF Weekends'!$D$67="OFF","OFF","")</f>
        <v/>
      </c>
      <c r="BU62" s="54" t="str">
        <f>IF('⚙ OFF Weekends'!$D$68="OFF","OFF","")</f>
        <v/>
      </c>
      <c r="BV62" s="56" t="str">
        <f>IF('⚙ OFF Weekends'!$D$69="OFF","OFF","")</f>
        <v/>
      </c>
      <c r="BW62" s="54" t="str">
        <f>IF('⚙ OFF Weekends'!$D$70="OFF","OFF","")</f>
        <v/>
      </c>
      <c r="BX62" s="56" t="str">
        <f>IF('⚙ OFF Weekends'!$D$71="OFF","OFF","")</f>
        <v/>
      </c>
      <c r="BY62" s="54" t="str">
        <f>IF('⚙ OFF Weekends'!$D$72="OFF","OFF","")</f>
        <v/>
      </c>
      <c r="BZ62" s="56" t="str">
        <f>IF('⚙ OFF Weekends'!$D$73="OFF","OFF","")</f>
        <v/>
      </c>
      <c r="CA62" s="54" t="str">
        <f>IF('⚙ OFF Weekends'!$D$74="OFF","OFF","")</f>
        <v/>
      </c>
      <c r="CB62" s="56" t="str">
        <f>IF('⚙ OFF Weekends'!$D$75="OFF","OFF","")</f>
        <v/>
      </c>
      <c r="CC62" s="54" t="str">
        <f>IF('⚙ OFF Weekends'!$D$76="OFF","OFF","")</f>
        <v/>
      </c>
      <c r="CD62" s="56" t="str">
        <f>IF('⚙ OFF Weekends'!$D$77="OFF","OFF","")</f>
        <v/>
      </c>
      <c r="CE62" s="95">
        <f t="shared" si="15"/>
        <v>2</v>
      </c>
      <c r="CF62" s="95">
        <f t="shared" si="16"/>
        <v>7</v>
      </c>
      <c r="CG62" s="95">
        <f t="shared" si="17"/>
        <v>2</v>
      </c>
      <c r="CH62" s="95" t="str">
        <f t="shared" si="18"/>
        <v>22%</v>
      </c>
    </row>
    <row r="63" ht="18.0" customHeight="1">
      <c r="A63" s="96">
        <v>12.0</v>
      </c>
      <c r="B63" s="22" t="s">
        <v>425</v>
      </c>
      <c r="C63" s="23" t="s">
        <v>426</v>
      </c>
      <c r="D63" s="24" t="str">
        <f t="shared" si="13"/>
        <v>📞 Call</v>
      </c>
      <c r="E63" s="41" t="str">
        <f t="shared" si="14"/>
        <v>💬 WhatsApp</v>
      </c>
      <c r="F63" s="20"/>
      <c r="G63" s="20" t="s">
        <v>339</v>
      </c>
      <c r="H63" s="20"/>
      <c r="I63" s="48" t="s">
        <v>196</v>
      </c>
      <c r="J63" s="79" t="s">
        <v>223</v>
      </c>
      <c r="K63" s="49" t="s">
        <v>197</v>
      </c>
      <c r="L63" s="48" t="s">
        <v>196</v>
      </c>
      <c r="M63" s="48" t="s">
        <v>196</v>
      </c>
      <c r="N63" s="50" t="s">
        <v>37</v>
      </c>
      <c r="O63" s="50" t="s">
        <v>37</v>
      </c>
      <c r="P63" s="48" t="s">
        <v>196</v>
      </c>
      <c r="Q63" s="48" t="s">
        <v>196</v>
      </c>
      <c r="R63" s="50" t="s">
        <v>37</v>
      </c>
      <c r="S63" s="52" t="s">
        <v>196</v>
      </c>
      <c r="T63" s="53" t="s">
        <v>196</v>
      </c>
      <c r="U63" s="52" t="s">
        <v>223</v>
      </c>
      <c r="V63" s="53" t="s">
        <v>196</v>
      </c>
      <c r="W63" s="54" t="str">
        <f>IF('⚙ OFF Weekends'!$D$18="OFF","OFF","")</f>
        <v>OFF</v>
      </c>
      <c r="X63" s="53" t="s">
        <v>223</v>
      </c>
      <c r="Y63" s="52" t="s">
        <v>198</v>
      </c>
      <c r="Z63" s="53" t="s">
        <v>198</v>
      </c>
      <c r="AA63" s="52" t="s">
        <v>198</v>
      </c>
      <c r="AB63" s="53" t="s">
        <v>37</v>
      </c>
      <c r="AC63" s="54" t="str">
        <f>IF('⚙ OFF Weekends'!$D$24="OFF","OFF","")</f>
        <v/>
      </c>
      <c r="AD63" s="56" t="str">
        <f>IF('⚙ OFF Weekends'!$D$25="OFF","OFF","")</f>
        <v/>
      </c>
      <c r="AE63" s="54" t="str">
        <f>IF('⚙ OFF Weekends'!$D$26="OFF","OFF","")</f>
        <v/>
      </c>
      <c r="AF63" s="56" t="str">
        <f>IF('⚙ OFF Weekends'!$D$27="OFF","OFF","")</f>
        <v/>
      </c>
      <c r="AG63" s="54" t="str">
        <f>IF('⚙ OFF Weekends'!$D$28="OFF","OFF","")</f>
        <v/>
      </c>
      <c r="AH63" s="56" t="str">
        <f>IF('⚙ OFF Weekends'!$D$29="OFF","OFF","")</f>
        <v/>
      </c>
      <c r="AI63" s="54" t="str">
        <f>IF('⚙ OFF Weekends'!$D$30="OFF","OFF","")</f>
        <v/>
      </c>
      <c r="AJ63" s="56" t="str">
        <f>IF('⚙ OFF Weekends'!$D$31="OFF","OFF","")</f>
        <v/>
      </c>
      <c r="AK63" s="54" t="str">
        <f>IF('⚙ OFF Weekends'!$D$32="OFF","OFF","")</f>
        <v/>
      </c>
      <c r="AL63" s="56" t="str">
        <f>IF('⚙ OFF Weekends'!$D$33="OFF","OFF","")</f>
        <v/>
      </c>
      <c r="AM63" s="54" t="str">
        <f>IF('⚙ OFF Weekends'!$D$34="OFF","OFF","")</f>
        <v/>
      </c>
      <c r="AN63" s="56" t="str">
        <f>IF('⚙ OFF Weekends'!$D$35="OFF","OFF","")</f>
        <v/>
      </c>
      <c r="AO63" s="54" t="str">
        <f>IF('⚙ OFF Weekends'!$D$36="OFF","OFF","")</f>
        <v/>
      </c>
      <c r="AP63" s="56" t="str">
        <f>IF('⚙ OFF Weekends'!$D$37="OFF","OFF","")</f>
        <v/>
      </c>
      <c r="AQ63" s="54" t="str">
        <f>IF('⚙ OFF Weekends'!$D$38="OFF","OFF","")</f>
        <v/>
      </c>
      <c r="AR63" s="56" t="str">
        <f>IF('⚙ OFF Weekends'!$D$39="OFF","OFF","")</f>
        <v/>
      </c>
      <c r="AS63" s="54" t="str">
        <f>IF('⚙ OFF Weekends'!$D$40="OFF","OFF","")</f>
        <v/>
      </c>
      <c r="AT63" s="56" t="str">
        <f>IF('⚙ OFF Weekends'!$D$41="OFF","OFF","")</f>
        <v/>
      </c>
      <c r="AU63" s="54" t="str">
        <f>IF('⚙ OFF Weekends'!$D$42="OFF","OFF","")</f>
        <v/>
      </c>
      <c r="AV63" s="56" t="str">
        <f>IF('⚙ OFF Weekends'!$D$43="OFF","OFF","")</f>
        <v/>
      </c>
      <c r="AW63" s="54" t="str">
        <f>IF('⚙ OFF Weekends'!$D$44="OFF","OFF","")</f>
        <v/>
      </c>
      <c r="AX63" s="56" t="str">
        <f>IF('⚙ OFF Weekends'!$D$45="OFF","OFF","")</f>
        <v/>
      </c>
      <c r="AY63" s="54" t="str">
        <f>IF('⚙ OFF Weekends'!$D$46="OFF","OFF","")</f>
        <v/>
      </c>
      <c r="AZ63" s="56" t="str">
        <f>IF('⚙ OFF Weekends'!$D$47="OFF","OFF","")</f>
        <v/>
      </c>
      <c r="BA63" s="54" t="str">
        <f>IF('⚙ OFF Weekends'!$D$48="OFF","OFF","")</f>
        <v/>
      </c>
      <c r="BB63" s="56" t="str">
        <f>IF('⚙ OFF Weekends'!$D$49="OFF","OFF","")</f>
        <v/>
      </c>
      <c r="BC63" s="54" t="str">
        <f>IF('⚙ OFF Weekends'!$D$50="OFF","OFF","")</f>
        <v/>
      </c>
      <c r="BD63" s="56" t="str">
        <f>IF('⚙ OFF Weekends'!$D$51="OFF","OFF","")</f>
        <v/>
      </c>
      <c r="BE63" s="54" t="str">
        <f>IF('⚙ OFF Weekends'!$D$52="OFF","OFF","")</f>
        <v/>
      </c>
      <c r="BF63" s="56" t="str">
        <f>IF('⚙ OFF Weekends'!$D$53="OFF","OFF","")</f>
        <v/>
      </c>
      <c r="BG63" s="54" t="str">
        <f>IF('⚙ OFF Weekends'!$D$54="OFF","OFF","")</f>
        <v/>
      </c>
      <c r="BH63" s="56" t="str">
        <f>IF('⚙ OFF Weekends'!$D$55="OFF","OFF","")</f>
        <v/>
      </c>
      <c r="BI63" s="54" t="str">
        <f>IF('⚙ OFF Weekends'!$D$56="OFF","OFF","")</f>
        <v/>
      </c>
      <c r="BJ63" s="56" t="str">
        <f>IF('⚙ OFF Weekends'!$D$57="OFF","OFF","")</f>
        <v/>
      </c>
      <c r="BK63" s="54" t="str">
        <f>IF('⚙ OFF Weekends'!$D$58="OFF","OFF","")</f>
        <v/>
      </c>
      <c r="BL63" s="56" t="str">
        <f>IF('⚙ OFF Weekends'!$D$59="OFF","OFF","")</f>
        <v/>
      </c>
      <c r="BM63" s="54" t="str">
        <f>IF('⚙ OFF Weekends'!$D$60="OFF","OFF","")</f>
        <v/>
      </c>
      <c r="BN63" s="56" t="str">
        <f>IF('⚙ OFF Weekends'!$D$61="OFF","OFF","")</f>
        <v/>
      </c>
      <c r="BO63" s="54" t="str">
        <f>IF('⚙ OFF Weekends'!$D$62="OFF","OFF","")</f>
        <v/>
      </c>
      <c r="BP63" s="56" t="str">
        <f>IF('⚙ OFF Weekends'!$D$63="OFF","OFF","")</f>
        <v/>
      </c>
      <c r="BQ63" s="54" t="str">
        <f>IF('⚙ OFF Weekends'!$D$64="OFF","OFF","")</f>
        <v/>
      </c>
      <c r="BR63" s="56" t="str">
        <f>IF('⚙ OFF Weekends'!$D$65="OFF","OFF","")</f>
        <v/>
      </c>
      <c r="BS63" s="54" t="str">
        <f>IF('⚙ OFF Weekends'!$D$66="OFF","OFF","")</f>
        <v/>
      </c>
      <c r="BT63" s="56" t="str">
        <f>IF('⚙ OFF Weekends'!$D$67="OFF","OFF","")</f>
        <v/>
      </c>
      <c r="BU63" s="54" t="str">
        <f>IF('⚙ OFF Weekends'!$D$68="OFF","OFF","")</f>
        <v/>
      </c>
      <c r="BV63" s="56" t="str">
        <f>IF('⚙ OFF Weekends'!$D$69="OFF","OFF","")</f>
        <v/>
      </c>
      <c r="BW63" s="54" t="str">
        <f>IF('⚙ OFF Weekends'!$D$70="OFF","OFF","")</f>
        <v/>
      </c>
      <c r="BX63" s="56" t="str">
        <f>IF('⚙ OFF Weekends'!$D$71="OFF","OFF","")</f>
        <v/>
      </c>
      <c r="BY63" s="54" t="str">
        <f>IF('⚙ OFF Weekends'!$D$72="OFF","OFF","")</f>
        <v/>
      </c>
      <c r="BZ63" s="56" t="str">
        <f>IF('⚙ OFF Weekends'!$D$73="OFF","OFF","")</f>
        <v/>
      </c>
      <c r="CA63" s="54" t="str">
        <f>IF('⚙ OFF Weekends'!$D$74="OFF","OFF","")</f>
        <v/>
      </c>
      <c r="CB63" s="56" t="str">
        <f>IF('⚙ OFF Weekends'!$D$75="OFF","OFF","")</f>
        <v/>
      </c>
      <c r="CC63" s="54" t="str">
        <f>IF('⚙ OFF Weekends'!$D$76="OFF","OFF","")</f>
        <v/>
      </c>
      <c r="CD63" s="56" t="str">
        <f>IF('⚙ OFF Weekends'!$D$77="OFF","OFF","")</f>
        <v/>
      </c>
      <c r="CE63" s="96">
        <f t="shared" si="15"/>
        <v>12</v>
      </c>
      <c r="CF63" s="96">
        <f t="shared" si="16"/>
        <v>3</v>
      </c>
      <c r="CG63" s="96">
        <f t="shared" si="17"/>
        <v>3</v>
      </c>
      <c r="CH63" s="96" t="str">
        <f t="shared" si="18"/>
        <v>80%</v>
      </c>
    </row>
    <row r="64" ht="18.0" customHeight="1">
      <c r="A64" s="95">
        <v>13.0</v>
      </c>
      <c r="B64" s="12" t="s">
        <v>428</v>
      </c>
      <c r="C64" s="14" t="s">
        <v>429</v>
      </c>
      <c r="D64" s="17" t="str">
        <f t="shared" si="13"/>
        <v>📞 Call</v>
      </c>
      <c r="E64" s="19" t="str">
        <f t="shared" si="14"/>
        <v>💬 WhatsApp</v>
      </c>
      <c r="F64" s="10"/>
      <c r="G64" s="10" t="s">
        <v>339</v>
      </c>
      <c r="H64" s="10"/>
      <c r="I64" s="48" t="s">
        <v>196</v>
      </c>
      <c r="J64" s="79" t="s">
        <v>223</v>
      </c>
      <c r="K64" s="49" t="s">
        <v>197</v>
      </c>
      <c r="L64" s="79" t="s">
        <v>223</v>
      </c>
      <c r="M64" s="79" t="s">
        <v>223</v>
      </c>
      <c r="N64" s="50" t="s">
        <v>37</v>
      </c>
      <c r="O64" s="48" t="s">
        <v>196</v>
      </c>
      <c r="P64" s="79" t="s">
        <v>223</v>
      </c>
      <c r="Q64" s="79" t="s">
        <v>223</v>
      </c>
      <c r="R64" s="50" t="s">
        <v>37</v>
      </c>
      <c r="S64" s="52" t="s">
        <v>223</v>
      </c>
      <c r="T64" s="53" t="s">
        <v>223</v>
      </c>
      <c r="U64" s="52" t="s">
        <v>223</v>
      </c>
      <c r="V64" s="53" t="s">
        <v>223</v>
      </c>
      <c r="W64" s="54" t="str">
        <f>IF('⚙ OFF Weekends'!$D$18="OFF","OFF","")</f>
        <v>OFF</v>
      </c>
      <c r="X64" s="53" t="s">
        <v>37</v>
      </c>
      <c r="Y64" s="52" t="s">
        <v>223</v>
      </c>
      <c r="Z64" s="53" t="s">
        <v>37</v>
      </c>
      <c r="AA64" s="52" t="s">
        <v>223</v>
      </c>
      <c r="AB64" s="53" t="s">
        <v>223</v>
      </c>
      <c r="AC64" s="54" t="str">
        <f>IF('⚙ OFF Weekends'!$D$24="OFF","OFF","")</f>
        <v/>
      </c>
      <c r="AD64" s="56" t="str">
        <f>IF('⚙ OFF Weekends'!$D$25="OFF","OFF","")</f>
        <v/>
      </c>
      <c r="AE64" s="54" t="str">
        <f>IF('⚙ OFF Weekends'!$D$26="OFF","OFF","")</f>
        <v/>
      </c>
      <c r="AF64" s="56" t="str">
        <f>IF('⚙ OFF Weekends'!$D$27="OFF","OFF","")</f>
        <v/>
      </c>
      <c r="AG64" s="54" t="str">
        <f>IF('⚙ OFF Weekends'!$D$28="OFF","OFF","")</f>
        <v/>
      </c>
      <c r="AH64" s="56" t="str">
        <f>IF('⚙ OFF Weekends'!$D$29="OFF","OFF","")</f>
        <v/>
      </c>
      <c r="AI64" s="54" t="str">
        <f>IF('⚙ OFF Weekends'!$D$30="OFF","OFF","")</f>
        <v/>
      </c>
      <c r="AJ64" s="56" t="str">
        <f>IF('⚙ OFF Weekends'!$D$31="OFF","OFF","")</f>
        <v/>
      </c>
      <c r="AK64" s="54" t="str">
        <f>IF('⚙ OFF Weekends'!$D$32="OFF","OFF","")</f>
        <v/>
      </c>
      <c r="AL64" s="56" t="str">
        <f>IF('⚙ OFF Weekends'!$D$33="OFF","OFF","")</f>
        <v/>
      </c>
      <c r="AM64" s="54" t="str">
        <f>IF('⚙ OFF Weekends'!$D$34="OFF","OFF","")</f>
        <v/>
      </c>
      <c r="AN64" s="56" t="str">
        <f>IF('⚙ OFF Weekends'!$D$35="OFF","OFF","")</f>
        <v/>
      </c>
      <c r="AO64" s="54" t="str">
        <f>IF('⚙ OFF Weekends'!$D$36="OFF","OFF","")</f>
        <v/>
      </c>
      <c r="AP64" s="56" t="str">
        <f>IF('⚙ OFF Weekends'!$D$37="OFF","OFF","")</f>
        <v/>
      </c>
      <c r="AQ64" s="54" t="str">
        <f>IF('⚙ OFF Weekends'!$D$38="OFF","OFF","")</f>
        <v/>
      </c>
      <c r="AR64" s="56" t="str">
        <f>IF('⚙ OFF Weekends'!$D$39="OFF","OFF","")</f>
        <v/>
      </c>
      <c r="AS64" s="54" t="str">
        <f>IF('⚙ OFF Weekends'!$D$40="OFF","OFF","")</f>
        <v/>
      </c>
      <c r="AT64" s="56" t="str">
        <f>IF('⚙ OFF Weekends'!$D$41="OFF","OFF","")</f>
        <v/>
      </c>
      <c r="AU64" s="54" t="str">
        <f>IF('⚙ OFF Weekends'!$D$42="OFF","OFF","")</f>
        <v/>
      </c>
      <c r="AV64" s="56" t="str">
        <f>IF('⚙ OFF Weekends'!$D$43="OFF","OFF","")</f>
        <v/>
      </c>
      <c r="AW64" s="54" t="str">
        <f>IF('⚙ OFF Weekends'!$D$44="OFF","OFF","")</f>
        <v/>
      </c>
      <c r="AX64" s="56" t="str">
        <f>IF('⚙ OFF Weekends'!$D$45="OFF","OFF","")</f>
        <v/>
      </c>
      <c r="AY64" s="54" t="str">
        <f>IF('⚙ OFF Weekends'!$D$46="OFF","OFF","")</f>
        <v/>
      </c>
      <c r="AZ64" s="56" t="str">
        <f>IF('⚙ OFF Weekends'!$D$47="OFF","OFF","")</f>
        <v/>
      </c>
      <c r="BA64" s="54" t="str">
        <f>IF('⚙ OFF Weekends'!$D$48="OFF","OFF","")</f>
        <v/>
      </c>
      <c r="BB64" s="56" t="str">
        <f>IF('⚙ OFF Weekends'!$D$49="OFF","OFF","")</f>
        <v/>
      </c>
      <c r="BC64" s="54" t="str">
        <f>IF('⚙ OFF Weekends'!$D$50="OFF","OFF","")</f>
        <v/>
      </c>
      <c r="BD64" s="56" t="str">
        <f>IF('⚙ OFF Weekends'!$D$51="OFF","OFF","")</f>
        <v/>
      </c>
      <c r="BE64" s="54" t="str">
        <f>IF('⚙ OFF Weekends'!$D$52="OFF","OFF","")</f>
        <v/>
      </c>
      <c r="BF64" s="56" t="str">
        <f>IF('⚙ OFF Weekends'!$D$53="OFF","OFF","")</f>
        <v/>
      </c>
      <c r="BG64" s="54" t="str">
        <f>IF('⚙ OFF Weekends'!$D$54="OFF","OFF","")</f>
        <v/>
      </c>
      <c r="BH64" s="56" t="str">
        <f>IF('⚙ OFF Weekends'!$D$55="OFF","OFF","")</f>
        <v/>
      </c>
      <c r="BI64" s="54" t="str">
        <f>IF('⚙ OFF Weekends'!$D$56="OFF","OFF","")</f>
        <v/>
      </c>
      <c r="BJ64" s="56" t="str">
        <f>IF('⚙ OFF Weekends'!$D$57="OFF","OFF","")</f>
        <v/>
      </c>
      <c r="BK64" s="54" t="str">
        <f>IF('⚙ OFF Weekends'!$D$58="OFF","OFF","")</f>
        <v/>
      </c>
      <c r="BL64" s="56" t="str">
        <f>IF('⚙ OFF Weekends'!$D$59="OFF","OFF","")</f>
        <v/>
      </c>
      <c r="BM64" s="54" t="str">
        <f>IF('⚙ OFF Weekends'!$D$60="OFF","OFF","")</f>
        <v/>
      </c>
      <c r="BN64" s="56" t="str">
        <f>IF('⚙ OFF Weekends'!$D$61="OFF","OFF","")</f>
        <v/>
      </c>
      <c r="BO64" s="54" t="str">
        <f>IF('⚙ OFF Weekends'!$D$62="OFF","OFF","")</f>
        <v/>
      </c>
      <c r="BP64" s="56" t="str">
        <f>IF('⚙ OFF Weekends'!$D$63="OFF","OFF","")</f>
        <v/>
      </c>
      <c r="BQ64" s="54" t="str">
        <f>IF('⚙ OFF Weekends'!$D$64="OFF","OFF","")</f>
        <v/>
      </c>
      <c r="BR64" s="56" t="str">
        <f>IF('⚙ OFF Weekends'!$D$65="OFF","OFF","")</f>
        <v/>
      </c>
      <c r="BS64" s="54" t="str">
        <f>IF('⚙ OFF Weekends'!$D$66="OFF","OFF","")</f>
        <v/>
      </c>
      <c r="BT64" s="56" t="str">
        <f>IF('⚙ OFF Weekends'!$D$67="OFF","OFF","")</f>
        <v/>
      </c>
      <c r="BU64" s="54" t="str">
        <f>IF('⚙ OFF Weekends'!$D$68="OFF","OFF","")</f>
        <v/>
      </c>
      <c r="BV64" s="56" t="str">
        <f>IF('⚙ OFF Weekends'!$D$69="OFF","OFF","")</f>
        <v/>
      </c>
      <c r="BW64" s="54" t="str">
        <f>IF('⚙ OFF Weekends'!$D$70="OFF","OFF","")</f>
        <v/>
      </c>
      <c r="BX64" s="56" t="str">
        <f>IF('⚙ OFF Weekends'!$D$71="OFF","OFF","")</f>
        <v/>
      </c>
      <c r="BY64" s="54" t="str">
        <f>IF('⚙ OFF Weekends'!$D$72="OFF","OFF","")</f>
        <v/>
      </c>
      <c r="BZ64" s="56" t="str">
        <f>IF('⚙ OFF Weekends'!$D$73="OFF","OFF","")</f>
        <v/>
      </c>
      <c r="CA64" s="54" t="str">
        <f>IF('⚙ OFF Weekends'!$D$74="OFF","OFF","")</f>
        <v/>
      </c>
      <c r="CB64" s="56" t="str">
        <f>IF('⚙ OFF Weekends'!$D$75="OFF","OFF","")</f>
        <v/>
      </c>
      <c r="CC64" s="54" t="str">
        <f>IF('⚙ OFF Weekends'!$D$76="OFF","OFF","")</f>
        <v/>
      </c>
      <c r="CD64" s="56" t="str">
        <f>IF('⚙ OFF Weekends'!$D$77="OFF","OFF","")</f>
        <v/>
      </c>
      <c r="CE64" s="95">
        <f t="shared" si="15"/>
        <v>6</v>
      </c>
      <c r="CF64" s="95">
        <f t="shared" si="16"/>
        <v>12</v>
      </c>
      <c r="CG64" s="95">
        <f t="shared" si="17"/>
        <v>0</v>
      </c>
      <c r="CH64" s="95" t="str">
        <f t="shared" si="18"/>
        <v>33%</v>
      </c>
    </row>
    <row r="65" ht="18.0" customHeight="1">
      <c r="A65" s="96">
        <v>14.0</v>
      </c>
      <c r="B65" s="22" t="s">
        <v>436</v>
      </c>
      <c r="C65" s="23" t="s">
        <v>437</v>
      </c>
      <c r="D65" s="24" t="str">
        <f t="shared" si="13"/>
        <v>📞 Call</v>
      </c>
      <c r="E65" s="41" t="str">
        <f t="shared" si="14"/>
        <v>💬 WhatsApp</v>
      </c>
      <c r="F65" s="20"/>
      <c r="G65" s="20" t="s">
        <v>420</v>
      </c>
      <c r="H65" s="20"/>
      <c r="I65" s="79" t="s">
        <v>223</v>
      </c>
      <c r="J65" s="79" t="s">
        <v>223</v>
      </c>
      <c r="K65" s="49" t="s">
        <v>197</v>
      </c>
      <c r="L65" s="48" t="s">
        <v>196</v>
      </c>
      <c r="M65" s="50" t="s">
        <v>37</v>
      </c>
      <c r="N65" s="77" t="s">
        <v>198</v>
      </c>
      <c r="O65" s="77" t="s">
        <v>198</v>
      </c>
      <c r="P65" s="77" t="s">
        <v>198</v>
      </c>
      <c r="Q65" s="77" t="s">
        <v>198</v>
      </c>
      <c r="R65" s="77" t="s">
        <v>198</v>
      </c>
      <c r="S65" s="77" t="s">
        <v>198</v>
      </c>
      <c r="T65" s="77" t="s">
        <v>198</v>
      </c>
      <c r="U65" s="52" t="s">
        <v>223</v>
      </c>
      <c r="V65" s="53" t="s">
        <v>198</v>
      </c>
      <c r="W65" s="54" t="str">
        <f>IF('⚙ OFF Weekends'!$D$18="OFF","OFF","")</f>
        <v>OFF</v>
      </c>
      <c r="X65" s="53" t="s">
        <v>223</v>
      </c>
      <c r="Y65" s="52" t="s">
        <v>223</v>
      </c>
      <c r="Z65" s="53" t="s">
        <v>223</v>
      </c>
      <c r="AA65" s="52" t="s">
        <v>223</v>
      </c>
      <c r="AB65" s="53" t="s">
        <v>296</v>
      </c>
      <c r="AC65" s="53" t="s">
        <v>296</v>
      </c>
      <c r="AD65" s="53" t="s">
        <v>296</v>
      </c>
      <c r="AE65" s="53" t="s">
        <v>296</v>
      </c>
      <c r="AF65" s="53" t="s">
        <v>296</v>
      </c>
      <c r="AG65" s="53" t="s">
        <v>296</v>
      </c>
      <c r="AH65" s="53" t="s">
        <v>296</v>
      </c>
      <c r="AI65" s="53" t="s">
        <v>296</v>
      </c>
      <c r="AJ65" s="53" t="s">
        <v>296</v>
      </c>
      <c r="AK65" s="53" t="s">
        <v>296</v>
      </c>
      <c r="AL65" s="53" t="s">
        <v>296</v>
      </c>
      <c r="AM65" s="53" t="s">
        <v>296</v>
      </c>
      <c r="AN65" s="53" t="s">
        <v>296</v>
      </c>
      <c r="AO65" s="53" t="s">
        <v>296</v>
      </c>
      <c r="AP65" s="53" t="s">
        <v>296</v>
      </c>
      <c r="AQ65" s="53" t="s">
        <v>296</v>
      </c>
      <c r="AR65" s="53" t="s">
        <v>296</v>
      </c>
      <c r="AS65" s="53" t="s">
        <v>296</v>
      </c>
      <c r="AT65" s="53" t="s">
        <v>296</v>
      </c>
      <c r="AU65" s="53" t="s">
        <v>296</v>
      </c>
      <c r="AV65" s="53" t="s">
        <v>296</v>
      </c>
      <c r="AW65" s="53" t="s">
        <v>296</v>
      </c>
      <c r="AX65" s="53" t="s">
        <v>296</v>
      </c>
      <c r="AY65" s="53" t="s">
        <v>296</v>
      </c>
      <c r="AZ65" s="53" t="s">
        <v>296</v>
      </c>
      <c r="BA65" s="53" t="s">
        <v>296</v>
      </c>
      <c r="BB65" s="53" t="s">
        <v>296</v>
      </c>
      <c r="BC65" s="53" t="s">
        <v>296</v>
      </c>
      <c r="BD65" s="53" t="s">
        <v>296</v>
      </c>
      <c r="BE65" s="53" t="s">
        <v>296</v>
      </c>
      <c r="BF65" s="53" t="s">
        <v>296</v>
      </c>
      <c r="BG65" s="53" t="s">
        <v>296</v>
      </c>
      <c r="BH65" s="53" t="s">
        <v>296</v>
      </c>
      <c r="BI65" s="53" t="s">
        <v>296</v>
      </c>
      <c r="BJ65" s="53" t="s">
        <v>296</v>
      </c>
      <c r="BK65" s="53" t="s">
        <v>296</v>
      </c>
      <c r="BL65" s="53" t="s">
        <v>296</v>
      </c>
      <c r="BM65" s="53" t="s">
        <v>296</v>
      </c>
      <c r="BN65" s="53" t="s">
        <v>296</v>
      </c>
      <c r="BO65" s="53" t="s">
        <v>296</v>
      </c>
      <c r="BP65" s="53" t="s">
        <v>296</v>
      </c>
      <c r="BQ65" s="53" t="s">
        <v>296</v>
      </c>
      <c r="BR65" s="53" t="s">
        <v>296</v>
      </c>
      <c r="BS65" s="53" t="s">
        <v>296</v>
      </c>
      <c r="BT65" s="53" t="s">
        <v>296</v>
      </c>
      <c r="BU65" s="53" t="s">
        <v>296</v>
      </c>
      <c r="BV65" s="53" t="s">
        <v>296</v>
      </c>
      <c r="BW65" s="53" t="s">
        <v>296</v>
      </c>
      <c r="BX65" s="53" t="s">
        <v>296</v>
      </c>
      <c r="BY65" s="53" t="s">
        <v>296</v>
      </c>
      <c r="BZ65" s="53" t="s">
        <v>296</v>
      </c>
      <c r="CA65" s="53" t="s">
        <v>296</v>
      </c>
      <c r="CB65" s="53" t="s">
        <v>296</v>
      </c>
      <c r="CC65" s="53" t="s">
        <v>296</v>
      </c>
      <c r="CD65" s="53" t="s">
        <v>296</v>
      </c>
      <c r="CE65" s="96">
        <f t="shared" si="15"/>
        <v>2</v>
      </c>
      <c r="CF65" s="96">
        <f t="shared" si="16"/>
        <v>7</v>
      </c>
      <c r="CG65" s="96">
        <f t="shared" si="17"/>
        <v>8</v>
      </c>
      <c r="CH65" s="96" t="str">
        <f t="shared" si="18"/>
        <v>22%</v>
      </c>
    </row>
    <row r="66" ht="18.0" customHeight="1">
      <c r="A66" s="95">
        <v>15.0</v>
      </c>
      <c r="B66" s="12" t="s">
        <v>440</v>
      </c>
      <c r="C66" s="14" t="s">
        <v>273</v>
      </c>
      <c r="D66" s="17" t="str">
        <f t="shared" si="13"/>
        <v>📞 Call</v>
      </c>
      <c r="E66" s="19" t="str">
        <f t="shared" si="14"/>
        <v>💬 WhatsApp</v>
      </c>
      <c r="F66" s="10"/>
      <c r="G66" s="10" t="s">
        <v>420</v>
      </c>
      <c r="H66" s="10"/>
      <c r="I66" s="48" t="s">
        <v>196</v>
      </c>
      <c r="J66" s="48" t="s">
        <v>196</v>
      </c>
      <c r="K66" s="49" t="s">
        <v>197</v>
      </c>
      <c r="L66" s="48" t="s">
        <v>196</v>
      </c>
      <c r="M66" s="50" t="s">
        <v>37</v>
      </c>
      <c r="N66" s="50" t="s">
        <v>37</v>
      </c>
      <c r="O66" s="50" t="s">
        <v>37</v>
      </c>
      <c r="P66" s="48" t="s">
        <v>196</v>
      </c>
      <c r="Q66" s="48" t="s">
        <v>196</v>
      </c>
      <c r="R66" s="48" t="s">
        <v>196</v>
      </c>
      <c r="S66" s="52" t="s">
        <v>196</v>
      </c>
      <c r="T66" s="53" t="s">
        <v>196</v>
      </c>
      <c r="U66" s="52" t="s">
        <v>196</v>
      </c>
      <c r="V66" s="53" t="s">
        <v>196</v>
      </c>
      <c r="W66" s="54" t="str">
        <f>IF('⚙ OFF Weekends'!$D$18="OFF","OFF","")</f>
        <v>OFF</v>
      </c>
      <c r="X66" s="53" t="s">
        <v>196</v>
      </c>
      <c r="Y66" s="52" t="s">
        <v>196</v>
      </c>
      <c r="Z66" s="53" t="s">
        <v>196</v>
      </c>
      <c r="AA66" s="52" t="s">
        <v>196</v>
      </c>
      <c r="AB66" s="53" t="s">
        <v>196</v>
      </c>
      <c r="AC66" s="54" t="str">
        <f>IF('⚙ OFF Weekends'!$D$24="OFF","OFF","")</f>
        <v/>
      </c>
      <c r="AD66" s="56" t="str">
        <f>IF('⚙ OFF Weekends'!$D$25="OFF","OFF","")</f>
        <v/>
      </c>
      <c r="AE66" s="54" t="str">
        <f>IF('⚙ OFF Weekends'!$D$26="OFF","OFF","")</f>
        <v/>
      </c>
      <c r="AF66" s="56" t="str">
        <f>IF('⚙ OFF Weekends'!$D$27="OFF","OFF","")</f>
        <v/>
      </c>
      <c r="AG66" s="54" t="str">
        <f>IF('⚙ OFF Weekends'!$D$28="OFF","OFF","")</f>
        <v/>
      </c>
      <c r="AH66" s="56" t="str">
        <f>IF('⚙ OFF Weekends'!$D$29="OFF","OFF","")</f>
        <v/>
      </c>
      <c r="AI66" s="54" t="str">
        <f>IF('⚙ OFF Weekends'!$D$30="OFF","OFF","")</f>
        <v/>
      </c>
      <c r="AJ66" s="56" t="str">
        <f>IF('⚙ OFF Weekends'!$D$31="OFF","OFF","")</f>
        <v/>
      </c>
      <c r="AK66" s="54" t="str">
        <f>IF('⚙ OFF Weekends'!$D$32="OFF","OFF","")</f>
        <v/>
      </c>
      <c r="AL66" s="56" t="str">
        <f>IF('⚙ OFF Weekends'!$D$33="OFF","OFF","")</f>
        <v/>
      </c>
      <c r="AM66" s="54" t="str">
        <f>IF('⚙ OFF Weekends'!$D$34="OFF","OFF","")</f>
        <v/>
      </c>
      <c r="AN66" s="56" t="str">
        <f>IF('⚙ OFF Weekends'!$D$35="OFF","OFF","")</f>
        <v/>
      </c>
      <c r="AO66" s="54" t="str">
        <f>IF('⚙ OFF Weekends'!$D$36="OFF","OFF","")</f>
        <v/>
      </c>
      <c r="AP66" s="56" t="str">
        <f>IF('⚙ OFF Weekends'!$D$37="OFF","OFF","")</f>
        <v/>
      </c>
      <c r="AQ66" s="54" t="str">
        <f>IF('⚙ OFF Weekends'!$D$38="OFF","OFF","")</f>
        <v/>
      </c>
      <c r="AR66" s="56" t="str">
        <f>IF('⚙ OFF Weekends'!$D$39="OFF","OFF","")</f>
        <v/>
      </c>
      <c r="AS66" s="54" t="str">
        <f>IF('⚙ OFF Weekends'!$D$40="OFF","OFF","")</f>
        <v/>
      </c>
      <c r="AT66" s="56" t="str">
        <f>IF('⚙ OFF Weekends'!$D$41="OFF","OFF","")</f>
        <v/>
      </c>
      <c r="AU66" s="54" t="str">
        <f>IF('⚙ OFF Weekends'!$D$42="OFF","OFF","")</f>
        <v/>
      </c>
      <c r="AV66" s="56" t="str">
        <f>IF('⚙ OFF Weekends'!$D$43="OFF","OFF","")</f>
        <v/>
      </c>
      <c r="AW66" s="54" t="str">
        <f>IF('⚙ OFF Weekends'!$D$44="OFF","OFF","")</f>
        <v/>
      </c>
      <c r="AX66" s="56" t="str">
        <f>IF('⚙ OFF Weekends'!$D$45="OFF","OFF","")</f>
        <v/>
      </c>
      <c r="AY66" s="54" t="str">
        <f>IF('⚙ OFF Weekends'!$D$46="OFF","OFF","")</f>
        <v/>
      </c>
      <c r="AZ66" s="56" t="str">
        <f>IF('⚙ OFF Weekends'!$D$47="OFF","OFF","")</f>
        <v/>
      </c>
      <c r="BA66" s="54" t="str">
        <f>IF('⚙ OFF Weekends'!$D$48="OFF","OFF","")</f>
        <v/>
      </c>
      <c r="BB66" s="56" t="str">
        <f>IF('⚙ OFF Weekends'!$D$49="OFF","OFF","")</f>
        <v/>
      </c>
      <c r="BC66" s="54" t="str">
        <f>IF('⚙ OFF Weekends'!$D$50="OFF","OFF","")</f>
        <v/>
      </c>
      <c r="BD66" s="56" t="str">
        <f>IF('⚙ OFF Weekends'!$D$51="OFF","OFF","")</f>
        <v/>
      </c>
      <c r="BE66" s="54" t="str">
        <f>IF('⚙ OFF Weekends'!$D$52="OFF","OFF","")</f>
        <v/>
      </c>
      <c r="BF66" s="56" t="str">
        <f>IF('⚙ OFF Weekends'!$D$53="OFF","OFF","")</f>
        <v/>
      </c>
      <c r="BG66" s="54" t="str">
        <f>IF('⚙ OFF Weekends'!$D$54="OFF","OFF","")</f>
        <v/>
      </c>
      <c r="BH66" s="56" t="str">
        <f>IF('⚙ OFF Weekends'!$D$55="OFF","OFF","")</f>
        <v/>
      </c>
      <c r="BI66" s="54" t="str">
        <f>IF('⚙ OFF Weekends'!$D$56="OFF","OFF","")</f>
        <v/>
      </c>
      <c r="BJ66" s="56" t="str">
        <f>IF('⚙ OFF Weekends'!$D$57="OFF","OFF","")</f>
        <v/>
      </c>
      <c r="BK66" s="54" t="str">
        <f>IF('⚙ OFF Weekends'!$D$58="OFF","OFF","")</f>
        <v/>
      </c>
      <c r="BL66" s="56" t="str">
        <f>IF('⚙ OFF Weekends'!$D$59="OFF","OFF","")</f>
        <v/>
      </c>
      <c r="BM66" s="54" t="str">
        <f>IF('⚙ OFF Weekends'!$D$60="OFF","OFF","")</f>
        <v/>
      </c>
      <c r="BN66" s="56" t="str">
        <f>IF('⚙ OFF Weekends'!$D$61="OFF","OFF","")</f>
        <v/>
      </c>
      <c r="BO66" s="54" t="str">
        <f>IF('⚙ OFF Weekends'!$D$62="OFF","OFF","")</f>
        <v/>
      </c>
      <c r="BP66" s="56" t="str">
        <f>IF('⚙ OFF Weekends'!$D$63="OFF","OFF","")</f>
        <v/>
      </c>
      <c r="BQ66" s="54" t="str">
        <f>IF('⚙ OFF Weekends'!$D$64="OFF","OFF","")</f>
        <v/>
      </c>
      <c r="BR66" s="56" t="str">
        <f>IF('⚙ OFF Weekends'!$D$65="OFF","OFF","")</f>
        <v/>
      </c>
      <c r="BS66" s="54" t="str">
        <f>IF('⚙ OFF Weekends'!$D$66="OFF","OFF","")</f>
        <v/>
      </c>
      <c r="BT66" s="56" t="str">
        <f>IF('⚙ OFF Weekends'!$D$67="OFF","OFF","")</f>
        <v/>
      </c>
      <c r="BU66" s="54" t="str">
        <f>IF('⚙ OFF Weekends'!$D$68="OFF","OFF","")</f>
        <v/>
      </c>
      <c r="BV66" s="56" t="str">
        <f>IF('⚙ OFF Weekends'!$D$69="OFF","OFF","")</f>
        <v/>
      </c>
      <c r="BW66" s="54" t="str">
        <f>IF('⚙ OFF Weekends'!$D$70="OFF","OFF","")</f>
        <v/>
      </c>
      <c r="BX66" s="56" t="str">
        <f>IF('⚙ OFF Weekends'!$D$71="OFF","OFF","")</f>
        <v/>
      </c>
      <c r="BY66" s="54" t="str">
        <f>IF('⚙ OFF Weekends'!$D$72="OFF","OFF","")</f>
        <v/>
      </c>
      <c r="BZ66" s="56" t="str">
        <f>IF('⚙ OFF Weekends'!$D$73="OFF","OFF","")</f>
        <v/>
      </c>
      <c r="CA66" s="54" t="str">
        <f>IF('⚙ OFF Weekends'!$D$74="OFF","OFF","")</f>
        <v/>
      </c>
      <c r="CB66" s="56" t="str">
        <f>IF('⚙ OFF Weekends'!$D$75="OFF","OFF","")</f>
        <v/>
      </c>
      <c r="CC66" s="54" t="str">
        <f>IF('⚙ OFF Weekends'!$D$76="OFF","OFF","")</f>
        <v/>
      </c>
      <c r="CD66" s="56" t="str">
        <f>IF('⚙ OFF Weekends'!$D$77="OFF","OFF","")</f>
        <v/>
      </c>
      <c r="CE66" s="95">
        <f t="shared" si="15"/>
        <v>18</v>
      </c>
      <c r="CF66" s="95">
        <f t="shared" si="16"/>
        <v>0</v>
      </c>
      <c r="CG66" s="95">
        <f t="shared" si="17"/>
        <v>0</v>
      </c>
      <c r="CH66" s="95" t="str">
        <f t="shared" si="18"/>
        <v>100%</v>
      </c>
    </row>
    <row r="67" ht="18.0" customHeight="1">
      <c r="A67" s="96">
        <v>16.0</v>
      </c>
      <c r="B67" s="22" t="s">
        <v>444</v>
      </c>
      <c r="C67" s="23" t="s">
        <v>426</v>
      </c>
      <c r="D67" s="24" t="str">
        <f t="shared" si="13"/>
        <v>📞 Call</v>
      </c>
      <c r="E67" s="41" t="str">
        <f t="shared" si="14"/>
        <v>💬 WhatsApp</v>
      </c>
      <c r="F67" s="20"/>
      <c r="G67" s="20" t="s">
        <v>294</v>
      </c>
      <c r="H67" s="20"/>
      <c r="I67" s="54" t="str">
        <f>IF('⚙ OFF Weekends'!$D$4="OFF","OFF","")</f>
        <v/>
      </c>
      <c r="J67" s="56" t="str">
        <f>IF('⚙ OFF Weekends'!$D$5="OFF","OFF","")</f>
        <v/>
      </c>
      <c r="K67" s="49" t="s">
        <v>197</v>
      </c>
      <c r="L67" s="48" t="s">
        <v>196</v>
      </c>
      <c r="M67" s="48" t="s">
        <v>196</v>
      </c>
      <c r="N67" s="50" t="s">
        <v>37</v>
      </c>
      <c r="O67" s="79" t="s">
        <v>223</v>
      </c>
      <c r="P67" s="48" t="s">
        <v>196</v>
      </c>
      <c r="Q67" s="54" t="str">
        <f>IF('⚙ OFF Weekends'!$D$12="OFF","OFF","")</f>
        <v/>
      </c>
      <c r="R67" s="50" t="s">
        <v>37</v>
      </c>
      <c r="S67" s="52" t="s">
        <v>223</v>
      </c>
      <c r="T67" s="53" t="s">
        <v>196</v>
      </c>
      <c r="U67" s="52" t="s">
        <v>223</v>
      </c>
      <c r="V67" s="53" t="s">
        <v>223</v>
      </c>
      <c r="W67" s="54" t="str">
        <f>IF('⚙ OFF Weekends'!$D$18="OFF","OFF","")</f>
        <v>OFF</v>
      </c>
      <c r="X67" s="53" t="s">
        <v>223</v>
      </c>
      <c r="Y67" s="52" t="s">
        <v>198</v>
      </c>
      <c r="Z67" s="53" t="s">
        <v>198</v>
      </c>
      <c r="AA67" s="52" t="s">
        <v>198</v>
      </c>
      <c r="AB67" s="53" t="s">
        <v>223</v>
      </c>
      <c r="AC67" s="54" t="str">
        <f>IF('⚙ OFF Weekends'!$D$24="OFF","OFF","")</f>
        <v/>
      </c>
      <c r="AD67" s="56" t="str">
        <f>IF('⚙ OFF Weekends'!$D$25="OFF","OFF","")</f>
        <v/>
      </c>
      <c r="AE67" s="54" t="str">
        <f>IF('⚙ OFF Weekends'!$D$26="OFF","OFF","")</f>
        <v/>
      </c>
      <c r="AF67" s="56" t="str">
        <f>IF('⚙ OFF Weekends'!$D$27="OFF","OFF","")</f>
        <v/>
      </c>
      <c r="AG67" s="54" t="str">
        <f>IF('⚙ OFF Weekends'!$D$28="OFF","OFF","")</f>
        <v/>
      </c>
      <c r="AH67" s="56" t="str">
        <f>IF('⚙ OFF Weekends'!$D$29="OFF","OFF","")</f>
        <v/>
      </c>
      <c r="AI67" s="54" t="str">
        <f>IF('⚙ OFF Weekends'!$D$30="OFF","OFF","")</f>
        <v/>
      </c>
      <c r="AJ67" s="56" t="str">
        <f>IF('⚙ OFF Weekends'!$D$31="OFF","OFF","")</f>
        <v/>
      </c>
      <c r="AK67" s="54" t="str">
        <f>IF('⚙ OFF Weekends'!$D$32="OFF","OFF","")</f>
        <v/>
      </c>
      <c r="AL67" s="56" t="str">
        <f>IF('⚙ OFF Weekends'!$D$33="OFF","OFF","")</f>
        <v/>
      </c>
      <c r="AM67" s="54" t="str">
        <f>IF('⚙ OFF Weekends'!$D$34="OFF","OFF","")</f>
        <v/>
      </c>
      <c r="AN67" s="56" t="str">
        <f>IF('⚙ OFF Weekends'!$D$35="OFF","OFF","")</f>
        <v/>
      </c>
      <c r="AO67" s="54" t="str">
        <f>IF('⚙ OFF Weekends'!$D$36="OFF","OFF","")</f>
        <v/>
      </c>
      <c r="AP67" s="56" t="str">
        <f>IF('⚙ OFF Weekends'!$D$37="OFF","OFF","")</f>
        <v/>
      </c>
      <c r="AQ67" s="54" t="str">
        <f>IF('⚙ OFF Weekends'!$D$38="OFF","OFF","")</f>
        <v/>
      </c>
      <c r="AR67" s="56" t="str">
        <f>IF('⚙ OFF Weekends'!$D$39="OFF","OFF","")</f>
        <v/>
      </c>
      <c r="AS67" s="54" t="str">
        <f>IF('⚙ OFF Weekends'!$D$40="OFF","OFF","")</f>
        <v/>
      </c>
      <c r="AT67" s="56" t="str">
        <f>IF('⚙ OFF Weekends'!$D$41="OFF","OFF","")</f>
        <v/>
      </c>
      <c r="AU67" s="54" t="str">
        <f>IF('⚙ OFF Weekends'!$D$42="OFF","OFF","")</f>
        <v/>
      </c>
      <c r="AV67" s="56" t="str">
        <f>IF('⚙ OFF Weekends'!$D$43="OFF","OFF","")</f>
        <v/>
      </c>
      <c r="AW67" s="54" t="str">
        <f>IF('⚙ OFF Weekends'!$D$44="OFF","OFF","")</f>
        <v/>
      </c>
      <c r="AX67" s="56" t="str">
        <f>IF('⚙ OFF Weekends'!$D$45="OFF","OFF","")</f>
        <v/>
      </c>
      <c r="AY67" s="54" t="str">
        <f>IF('⚙ OFF Weekends'!$D$46="OFF","OFF","")</f>
        <v/>
      </c>
      <c r="AZ67" s="56" t="str">
        <f>IF('⚙ OFF Weekends'!$D$47="OFF","OFF","")</f>
        <v/>
      </c>
      <c r="BA67" s="54" t="str">
        <f>IF('⚙ OFF Weekends'!$D$48="OFF","OFF","")</f>
        <v/>
      </c>
      <c r="BB67" s="56" t="str">
        <f>IF('⚙ OFF Weekends'!$D$49="OFF","OFF","")</f>
        <v/>
      </c>
      <c r="BC67" s="54" t="str">
        <f>IF('⚙ OFF Weekends'!$D$50="OFF","OFF","")</f>
        <v/>
      </c>
      <c r="BD67" s="56" t="str">
        <f>IF('⚙ OFF Weekends'!$D$51="OFF","OFF","")</f>
        <v/>
      </c>
      <c r="BE67" s="54" t="str">
        <f>IF('⚙ OFF Weekends'!$D$52="OFF","OFF","")</f>
        <v/>
      </c>
      <c r="BF67" s="56" t="str">
        <f>IF('⚙ OFF Weekends'!$D$53="OFF","OFF","")</f>
        <v/>
      </c>
      <c r="BG67" s="54" t="str">
        <f>IF('⚙ OFF Weekends'!$D$54="OFF","OFF","")</f>
        <v/>
      </c>
      <c r="BH67" s="56" t="str">
        <f>IF('⚙ OFF Weekends'!$D$55="OFF","OFF","")</f>
        <v/>
      </c>
      <c r="BI67" s="54" t="str">
        <f>IF('⚙ OFF Weekends'!$D$56="OFF","OFF","")</f>
        <v/>
      </c>
      <c r="BJ67" s="56" t="str">
        <f>IF('⚙ OFF Weekends'!$D$57="OFF","OFF","")</f>
        <v/>
      </c>
      <c r="BK67" s="54" t="str">
        <f>IF('⚙ OFF Weekends'!$D$58="OFF","OFF","")</f>
        <v/>
      </c>
      <c r="BL67" s="56" t="str">
        <f>IF('⚙ OFF Weekends'!$D$59="OFF","OFF","")</f>
        <v/>
      </c>
      <c r="BM67" s="54" t="str">
        <f>IF('⚙ OFF Weekends'!$D$60="OFF","OFF","")</f>
        <v/>
      </c>
      <c r="BN67" s="56" t="str">
        <f>IF('⚙ OFF Weekends'!$D$61="OFF","OFF","")</f>
        <v/>
      </c>
      <c r="BO67" s="54" t="str">
        <f>IF('⚙ OFF Weekends'!$D$62="OFF","OFF","")</f>
        <v/>
      </c>
      <c r="BP67" s="56" t="str">
        <f>IF('⚙ OFF Weekends'!$D$63="OFF","OFF","")</f>
        <v/>
      </c>
      <c r="BQ67" s="54" t="str">
        <f>IF('⚙ OFF Weekends'!$D$64="OFF","OFF","")</f>
        <v/>
      </c>
      <c r="BR67" s="56" t="str">
        <f>IF('⚙ OFF Weekends'!$D$65="OFF","OFF","")</f>
        <v/>
      </c>
      <c r="BS67" s="54" t="str">
        <f>IF('⚙ OFF Weekends'!$D$66="OFF","OFF","")</f>
        <v/>
      </c>
      <c r="BT67" s="56" t="str">
        <f>IF('⚙ OFF Weekends'!$D$67="OFF","OFF","")</f>
        <v/>
      </c>
      <c r="BU67" s="54" t="str">
        <f>IF('⚙ OFF Weekends'!$D$68="OFF","OFF","")</f>
        <v/>
      </c>
      <c r="BV67" s="56" t="str">
        <f>IF('⚙ OFF Weekends'!$D$69="OFF","OFF","")</f>
        <v/>
      </c>
      <c r="BW67" s="54" t="str">
        <f>IF('⚙ OFF Weekends'!$D$70="OFF","OFF","")</f>
        <v/>
      </c>
      <c r="BX67" s="56" t="str">
        <f>IF('⚙ OFF Weekends'!$D$71="OFF","OFF","")</f>
        <v/>
      </c>
      <c r="BY67" s="54" t="str">
        <f>IF('⚙ OFF Weekends'!$D$72="OFF","OFF","")</f>
        <v/>
      </c>
      <c r="BZ67" s="56" t="str">
        <f>IF('⚙ OFF Weekends'!$D$73="OFF","OFF","")</f>
        <v/>
      </c>
      <c r="CA67" s="54" t="str">
        <f>IF('⚙ OFF Weekends'!$D$74="OFF","OFF","")</f>
        <v/>
      </c>
      <c r="CB67" s="56" t="str">
        <f>IF('⚙ OFF Weekends'!$D$75="OFF","OFF","")</f>
        <v/>
      </c>
      <c r="CC67" s="54" t="str">
        <f>IF('⚙ OFF Weekends'!$D$76="OFF","OFF","")</f>
        <v/>
      </c>
      <c r="CD67" s="56" t="str">
        <f>IF('⚙ OFF Weekends'!$D$77="OFF","OFF","")</f>
        <v/>
      </c>
      <c r="CE67" s="96">
        <f t="shared" si="15"/>
        <v>6</v>
      </c>
      <c r="CF67" s="96">
        <f t="shared" si="16"/>
        <v>6</v>
      </c>
      <c r="CG67" s="96">
        <f t="shared" si="17"/>
        <v>3</v>
      </c>
      <c r="CH67" s="96" t="str">
        <f t="shared" si="18"/>
        <v>50%</v>
      </c>
    </row>
    <row r="68" ht="18.0" customHeight="1">
      <c r="A68" s="95">
        <v>17.0</v>
      </c>
      <c r="B68" s="12" t="s">
        <v>449</v>
      </c>
      <c r="C68" s="14"/>
      <c r="D68" s="17" t="str">
        <f t="shared" si="13"/>
        <v/>
      </c>
      <c r="E68" s="28" t="str">
        <f t="shared" si="14"/>
        <v/>
      </c>
      <c r="F68" s="10"/>
      <c r="G68" s="10"/>
      <c r="H68" s="10"/>
      <c r="I68" s="54" t="str">
        <f>IF('⚙ OFF Weekends'!$D$4="OFF","OFF","")</f>
        <v/>
      </c>
      <c r="J68" s="56" t="str">
        <f>IF('⚙ OFF Weekends'!$D$5="OFF","OFF","")</f>
        <v/>
      </c>
      <c r="K68" s="49" t="s">
        <v>197</v>
      </c>
      <c r="L68" s="56" t="str">
        <f>IF('⚙ OFF Weekends'!$D$7="OFF","OFF","")</f>
        <v/>
      </c>
      <c r="M68" s="54" t="str">
        <f>IF('⚙ OFF Weekends'!$D$8="OFF","OFF","")</f>
        <v/>
      </c>
      <c r="N68" s="48" t="s">
        <v>196</v>
      </c>
      <c r="O68" s="79" t="s">
        <v>223</v>
      </c>
      <c r="P68" s="50" t="s">
        <v>37</v>
      </c>
      <c r="Q68" s="50" t="s">
        <v>37</v>
      </c>
      <c r="R68" s="50" t="s">
        <v>37</v>
      </c>
      <c r="S68" s="52" t="s">
        <v>223</v>
      </c>
      <c r="T68" s="53" t="s">
        <v>198</v>
      </c>
      <c r="U68" s="52" t="s">
        <v>37</v>
      </c>
      <c r="V68" s="53" t="s">
        <v>198</v>
      </c>
      <c r="W68" s="54" t="str">
        <f>IF('⚙ OFF Weekends'!$D$18="OFF","OFF","")</f>
        <v>OFF</v>
      </c>
      <c r="X68" s="53" t="s">
        <v>37</v>
      </c>
      <c r="Y68" s="52" t="s">
        <v>223</v>
      </c>
      <c r="Z68" s="53" t="s">
        <v>37</v>
      </c>
      <c r="AA68" s="52" t="s">
        <v>223</v>
      </c>
      <c r="AB68" s="53" t="s">
        <v>37</v>
      </c>
      <c r="AC68" s="54" t="str">
        <f>IF('⚙ OFF Weekends'!$D$24="OFF","OFF","")</f>
        <v/>
      </c>
      <c r="AD68" s="56" t="str">
        <f>IF('⚙ OFF Weekends'!$D$25="OFF","OFF","")</f>
        <v/>
      </c>
      <c r="AE68" s="54" t="str">
        <f>IF('⚙ OFF Weekends'!$D$26="OFF","OFF","")</f>
        <v/>
      </c>
      <c r="AF68" s="56" t="str">
        <f>IF('⚙ OFF Weekends'!$D$27="OFF","OFF","")</f>
        <v/>
      </c>
      <c r="AG68" s="54" t="str">
        <f>IF('⚙ OFF Weekends'!$D$28="OFF","OFF","")</f>
        <v/>
      </c>
      <c r="AH68" s="56" t="str">
        <f>IF('⚙ OFF Weekends'!$D$29="OFF","OFF","")</f>
        <v/>
      </c>
      <c r="AI68" s="54" t="str">
        <f>IF('⚙ OFF Weekends'!$D$30="OFF","OFF","")</f>
        <v/>
      </c>
      <c r="AJ68" s="56" t="str">
        <f>IF('⚙ OFF Weekends'!$D$31="OFF","OFF","")</f>
        <v/>
      </c>
      <c r="AK68" s="54" t="str">
        <f>IF('⚙ OFF Weekends'!$D$32="OFF","OFF","")</f>
        <v/>
      </c>
      <c r="AL68" s="56" t="str">
        <f>IF('⚙ OFF Weekends'!$D$33="OFF","OFF","")</f>
        <v/>
      </c>
      <c r="AM68" s="54" t="str">
        <f>IF('⚙ OFF Weekends'!$D$34="OFF","OFF","")</f>
        <v/>
      </c>
      <c r="AN68" s="56" t="str">
        <f>IF('⚙ OFF Weekends'!$D$35="OFF","OFF","")</f>
        <v/>
      </c>
      <c r="AO68" s="54" t="str">
        <f>IF('⚙ OFF Weekends'!$D$36="OFF","OFF","")</f>
        <v/>
      </c>
      <c r="AP68" s="56" t="str">
        <f>IF('⚙ OFF Weekends'!$D$37="OFF","OFF","")</f>
        <v/>
      </c>
      <c r="AQ68" s="54" t="str">
        <f>IF('⚙ OFF Weekends'!$D$38="OFF","OFF","")</f>
        <v/>
      </c>
      <c r="AR68" s="56" t="str">
        <f>IF('⚙ OFF Weekends'!$D$39="OFF","OFF","")</f>
        <v/>
      </c>
      <c r="AS68" s="54" t="str">
        <f>IF('⚙ OFF Weekends'!$D$40="OFF","OFF","")</f>
        <v/>
      </c>
      <c r="AT68" s="56" t="str">
        <f>IF('⚙ OFF Weekends'!$D$41="OFF","OFF","")</f>
        <v/>
      </c>
      <c r="AU68" s="54" t="str">
        <f>IF('⚙ OFF Weekends'!$D$42="OFF","OFF","")</f>
        <v/>
      </c>
      <c r="AV68" s="56" t="str">
        <f>IF('⚙ OFF Weekends'!$D$43="OFF","OFF","")</f>
        <v/>
      </c>
      <c r="AW68" s="54" t="str">
        <f>IF('⚙ OFF Weekends'!$D$44="OFF","OFF","")</f>
        <v/>
      </c>
      <c r="AX68" s="56" t="str">
        <f>IF('⚙ OFF Weekends'!$D$45="OFF","OFF","")</f>
        <v/>
      </c>
      <c r="AY68" s="54" t="str">
        <f>IF('⚙ OFF Weekends'!$D$46="OFF","OFF","")</f>
        <v/>
      </c>
      <c r="AZ68" s="56" t="str">
        <f>IF('⚙ OFF Weekends'!$D$47="OFF","OFF","")</f>
        <v/>
      </c>
      <c r="BA68" s="54" t="str">
        <f>IF('⚙ OFF Weekends'!$D$48="OFF","OFF","")</f>
        <v/>
      </c>
      <c r="BB68" s="56" t="str">
        <f>IF('⚙ OFF Weekends'!$D$49="OFF","OFF","")</f>
        <v/>
      </c>
      <c r="BC68" s="54" t="str">
        <f>IF('⚙ OFF Weekends'!$D$50="OFF","OFF","")</f>
        <v/>
      </c>
      <c r="BD68" s="56" t="str">
        <f>IF('⚙ OFF Weekends'!$D$51="OFF","OFF","")</f>
        <v/>
      </c>
      <c r="BE68" s="54" t="str">
        <f>IF('⚙ OFF Weekends'!$D$52="OFF","OFF","")</f>
        <v/>
      </c>
      <c r="BF68" s="56" t="str">
        <f>IF('⚙ OFF Weekends'!$D$53="OFF","OFF","")</f>
        <v/>
      </c>
      <c r="BG68" s="54" t="str">
        <f>IF('⚙ OFF Weekends'!$D$54="OFF","OFF","")</f>
        <v/>
      </c>
      <c r="BH68" s="56" t="str">
        <f>IF('⚙ OFF Weekends'!$D$55="OFF","OFF","")</f>
        <v/>
      </c>
      <c r="BI68" s="54" t="str">
        <f>IF('⚙ OFF Weekends'!$D$56="OFF","OFF","")</f>
        <v/>
      </c>
      <c r="BJ68" s="56" t="str">
        <f>IF('⚙ OFF Weekends'!$D$57="OFF","OFF","")</f>
        <v/>
      </c>
      <c r="BK68" s="54" t="str">
        <f>IF('⚙ OFF Weekends'!$D$58="OFF","OFF","")</f>
        <v/>
      </c>
      <c r="BL68" s="56" t="str">
        <f>IF('⚙ OFF Weekends'!$D$59="OFF","OFF","")</f>
        <v/>
      </c>
      <c r="BM68" s="54" t="str">
        <f>IF('⚙ OFF Weekends'!$D$60="OFF","OFF","")</f>
        <v/>
      </c>
      <c r="BN68" s="56" t="str">
        <f>IF('⚙ OFF Weekends'!$D$61="OFF","OFF","")</f>
        <v/>
      </c>
      <c r="BO68" s="54" t="str">
        <f>IF('⚙ OFF Weekends'!$D$62="OFF","OFF","")</f>
        <v/>
      </c>
      <c r="BP68" s="56" t="str">
        <f>IF('⚙ OFF Weekends'!$D$63="OFF","OFF","")</f>
        <v/>
      </c>
      <c r="BQ68" s="54" t="str">
        <f>IF('⚙ OFF Weekends'!$D$64="OFF","OFF","")</f>
        <v/>
      </c>
      <c r="BR68" s="56" t="str">
        <f>IF('⚙ OFF Weekends'!$D$65="OFF","OFF","")</f>
        <v/>
      </c>
      <c r="BS68" s="54" t="str">
        <f>IF('⚙ OFF Weekends'!$D$66="OFF","OFF","")</f>
        <v/>
      </c>
      <c r="BT68" s="56" t="str">
        <f>IF('⚙ OFF Weekends'!$D$67="OFF","OFF","")</f>
        <v/>
      </c>
      <c r="BU68" s="54" t="str">
        <f>IF('⚙ OFF Weekends'!$D$68="OFF","OFF","")</f>
        <v/>
      </c>
      <c r="BV68" s="56" t="str">
        <f>IF('⚙ OFF Weekends'!$D$69="OFF","OFF","")</f>
        <v/>
      </c>
      <c r="BW68" s="54" t="str">
        <f>IF('⚙ OFF Weekends'!$D$70="OFF","OFF","")</f>
        <v/>
      </c>
      <c r="BX68" s="56" t="str">
        <f>IF('⚙ OFF Weekends'!$D$71="OFF","OFF","")</f>
        <v/>
      </c>
      <c r="BY68" s="54" t="str">
        <f>IF('⚙ OFF Weekends'!$D$72="OFF","OFF","")</f>
        <v/>
      </c>
      <c r="BZ68" s="56" t="str">
        <f>IF('⚙ OFF Weekends'!$D$73="OFF","OFF","")</f>
        <v/>
      </c>
      <c r="CA68" s="54" t="str">
        <f>IF('⚙ OFF Weekends'!$D$74="OFF","OFF","")</f>
        <v/>
      </c>
      <c r="CB68" s="56" t="str">
        <f>IF('⚙ OFF Weekends'!$D$75="OFF","OFF","")</f>
        <v/>
      </c>
      <c r="CC68" s="54" t="str">
        <f>IF('⚙ OFF Weekends'!$D$76="OFF","OFF","")</f>
        <v/>
      </c>
      <c r="CD68" s="56" t="str">
        <f>IF('⚙ OFF Weekends'!$D$77="OFF","OFF","")</f>
        <v/>
      </c>
      <c r="CE68" s="95">
        <f t="shared" si="15"/>
        <v>8</v>
      </c>
      <c r="CF68" s="95">
        <f t="shared" si="16"/>
        <v>4</v>
      </c>
      <c r="CG68" s="95">
        <f t="shared" si="17"/>
        <v>2</v>
      </c>
      <c r="CH68" s="95" t="str">
        <f t="shared" si="18"/>
        <v>67%</v>
      </c>
    </row>
    <row r="69" ht="18.0" customHeight="1">
      <c r="A69" s="96">
        <v>18.0</v>
      </c>
      <c r="B69" s="22" t="s">
        <v>454</v>
      </c>
      <c r="C69" s="23"/>
      <c r="D69" s="24" t="str">
        <f t="shared" si="13"/>
        <v/>
      </c>
      <c r="E69" s="26" t="str">
        <f t="shared" si="14"/>
        <v/>
      </c>
      <c r="F69" s="20"/>
      <c r="G69" s="20"/>
      <c r="H69" s="20"/>
      <c r="I69" s="54" t="str">
        <f>IF('⚙ OFF Weekends'!$D$4="OFF","OFF","")</f>
        <v/>
      </c>
      <c r="J69" s="56" t="str">
        <f>IF('⚙ OFF Weekends'!$D$5="OFF","OFF","")</f>
        <v/>
      </c>
      <c r="K69" s="49" t="s">
        <v>197</v>
      </c>
      <c r="L69" s="56" t="str">
        <f>IF('⚙ OFF Weekends'!$D$7="OFF","OFF","")</f>
        <v/>
      </c>
      <c r="M69" s="54" t="str">
        <f>IF('⚙ OFF Weekends'!$D$8="OFF","OFF","")</f>
        <v/>
      </c>
      <c r="N69" s="56" t="str">
        <f>IF('⚙ OFF Weekends'!$D$9="OFF","OFF","")</f>
        <v/>
      </c>
      <c r="O69" s="54" t="str">
        <f>IF('⚙ OFF Weekends'!$D$10="OFF","OFF","")</f>
        <v/>
      </c>
      <c r="P69" s="56" t="str">
        <f>IF('⚙ OFF Weekends'!$D$11="OFF","OFF","")</f>
        <v/>
      </c>
      <c r="Q69" s="48" t="s">
        <v>196</v>
      </c>
      <c r="R69" s="50" t="s">
        <v>37</v>
      </c>
      <c r="S69" s="52" t="s">
        <v>196</v>
      </c>
      <c r="T69" s="53" t="s">
        <v>196</v>
      </c>
      <c r="U69" s="52" t="s">
        <v>198</v>
      </c>
      <c r="V69" s="53" t="s">
        <v>198</v>
      </c>
      <c r="W69" s="54" t="str">
        <f>IF('⚙ OFF Weekends'!$D$18="OFF","OFF","")</f>
        <v>OFF</v>
      </c>
      <c r="X69" s="53" t="s">
        <v>223</v>
      </c>
      <c r="Y69" s="52" t="s">
        <v>198</v>
      </c>
      <c r="Z69" s="53" t="s">
        <v>198</v>
      </c>
      <c r="AA69" s="52" t="s">
        <v>198</v>
      </c>
      <c r="AB69" s="53" t="s">
        <v>223</v>
      </c>
      <c r="AC69" s="54" t="str">
        <f>IF('⚙ OFF Weekends'!$D$24="OFF","OFF","")</f>
        <v/>
      </c>
      <c r="AD69" s="56" t="str">
        <f>IF('⚙ OFF Weekends'!$D$25="OFF","OFF","")</f>
        <v/>
      </c>
      <c r="AE69" s="54" t="str">
        <f>IF('⚙ OFF Weekends'!$D$26="OFF","OFF","")</f>
        <v/>
      </c>
      <c r="AF69" s="56" t="str">
        <f>IF('⚙ OFF Weekends'!$D$27="OFF","OFF","")</f>
        <v/>
      </c>
      <c r="AG69" s="54" t="str">
        <f>IF('⚙ OFF Weekends'!$D$28="OFF","OFF","")</f>
        <v/>
      </c>
      <c r="AH69" s="56" t="str">
        <f>IF('⚙ OFF Weekends'!$D$29="OFF","OFF","")</f>
        <v/>
      </c>
      <c r="AI69" s="54" t="str">
        <f>IF('⚙ OFF Weekends'!$D$30="OFF","OFF","")</f>
        <v/>
      </c>
      <c r="AJ69" s="56" t="str">
        <f>IF('⚙ OFF Weekends'!$D$31="OFF","OFF","")</f>
        <v/>
      </c>
      <c r="AK69" s="54" t="str">
        <f>IF('⚙ OFF Weekends'!$D$32="OFF","OFF","")</f>
        <v/>
      </c>
      <c r="AL69" s="56" t="str">
        <f>IF('⚙ OFF Weekends'!$D$33="OFF","OFF","")</f>
        <v/>
      </c>
      <c r="AM69" s="54" t="str">
        <f>IF('⚙ OFF Weekends'!$D$34="OFF","OFF","")</f>
        <v/>
      </c>
      <c r="AN69" s="56" t="str">
        <f>IF('⚙ OFF Weekends'!$D$35="OFF","OFF","")</f>
        <v/>
      </c>
      <c r="AO69" s="54" t="str">
        <f>IF('⚙ OFF Weekends'!$D$36="OFF","OFF","")</f>
        <v/>
      </c>
      <c r="AP69" s="56" t="str">
        <f>IF('⚙ OFF Weekends'!$D$37="OFF","OFF","")</f>
        <v/>
      </c>
      <c r="AQ69" s="54" t="str">
        <f>IF('⚙ OFF Weekends'!$D$38="OFF","OFF","")</f>
        <v/>
      </c>
      <c r="AR69" s="56" t="str">
        <f>IF('⚙ OFF Weekends'!$D$39="OFF","OFF","")</f>
        <v/>
      </c>
      <c r="AS69" s="54" t="str">
        <f>IF('⚙ OFF Weekends'!$D$40="OFF","OFF","")</f>
        <v/>
      </c>
      <c r="AT69" s="56" t="str">
        <f>IF('⚙ OFF Weekends'!$D$41="OFF","OFF","")</f>
        <v/>
      </c>
      <c r="AU69" s="54" t="str">
        <f>IF('⚙ OFF Weekends'!$D$42="OFF","OFF","")</f>
        <v/>
      </c>
      <c r="AV69" s="56" t="str">
        <f>IF('⚙ OFF Weekends'!$D$43="OFF","OFF","")</f>
        <v/>
      </c>
      <c r="AW69" s="54" t="str">
        <f>IF('⚙ OFF Weekends'!$D$44="OFF","OFF","")</f>
        <v/>
      </c>
      <c r="AX69" s="56" t="str">
        <f>IF('⚙ OFF Weekends'!$D$45="OFF","OFF","")</f>
        <v/>
      </c>
      <c r="AY69" s="54" t="str">
        <f>IF('⚙ OFF Weekends'!$D$46="OFF","OFF","")</f>
        <v/>
      </c>
      <c r="AZ69" s="56" t="str">
        <f>IF('⚙ OFF Weekends'!$D$47="OFF","OFF","")</f>
        <v/>
      </c>
      <c r="BA69" s="54" t="str">
        <f>IF('⚙ OFF Weekends'!$D$48="OFF","OFF","")</f>
        <v/>
      </c>
      <c r="BB69" s="56" t="str">
        <f>IF('⚙ OFF Weekends'!$D$49="OFF","OFF","")</f>
        <v/>
      </c>
      <c r="BC69" s="54" t="str">
        <f>IF('⚙ OFF Weekends'!$D$50="OFF","OFF","")</f>
        <v/>
      </c>
      <c r="BD69" s="56" t="str">
        <f>IF('⚙ OFF Weekends'!$D$51="OFF","OFF","")</f>
        <v/>
      </c>
      <c r="BE69" s="54" t="str">
        <f>IF('⚙ OFF Weekends'!$D$52="OFF","OFF","")</f>
        <v/>
      </c>
      <c r="BF69" s="56" t="str">
        <f>IF('⚙ OFF Weekends'!$D$53="OFF","OFF","")</f>
        <v/>
      </c>
      <c r="BG69" s="54" t="str">
        <f>IF('⚙ OFF Weekends'!$D$54="OFF","OFF","")</f>
        <v/>
      </c>
      <c r="BH69" s="56" t="str">
        <f>IF('⚙ OFF Weekends'!$D$55="OFF","OFF","")</f>
        <v/>
      </c>
      <c r="BI69" s="54" t="str">
        <f>IF('⚙ OFF Weekends'!$D$56="OFF","OFF","")</f>
        <v/>
      </c>
      <c r="BJ69" s="56" t="str">
        <f>IF('⚙ OFF Weekends'!$D$57="OFF","OFF","")</f>
        <v/>
      </c>
      <c r="BK69" s="54" t="str">
        <f>IF('⚙ OFF Weekends'!$D$58="OFF","OFF","")</f>
        <v/>
      </c>
      <c r="BL69" s="56" t="str">
        <f>IF('⚙ OFF Weekends'!$D$59="OFF","OFF","")</f>
        <v/>
      </c>
      <c r="BM69" s="54" t="str">
        <f>IF('⚙ OFF Weekends'!$D$60="OFF","OFF","")</f>
        <v/>
      </c>
      <c r="BN69" s="56" t="str">
        <f>IF('⚙ OFF Weekends'!$D$61="OFF","OFF","")</f>
        <v/>
      </c>
      <c r="BO69" s="54" t="str">
        <f>IF('⚙ OFF Weekends'!$D$62="OFF","OFF","")</f>
        <v/>
      </c>
      <c r="BP69" s="56" t="str">
        <f>IF('⚙ OFF Weekends'!$D$63="OFF","OFF","")</f>
        <v/>
      </c>
      <c r="BQ69" s="54" t="str">
        <f>IF('⚙ OFF Weekends'!$D$64="OFF","OFF","")</f>
        <v/>
      </c>
      <c r="BR69" s="56" t="str">
        <f>IF('⚙ OFF Weekends'!$D$65="OFF","OFF","")</f>
        <v/>
      </c>
      <c r="BS69" s="54" t="str">
        <f>IF('⚙ OFF Weekends'!$D$66="OFF","OFF","")</f>
        <v/>
      </c>
      <c r="BT69" s="56" t="str">
        <f>IF('⚙ OFF Weekends'!$D$67="OFF","OFF","")</f>
        <v/>
      </c>
      <c r="BU69" s="54" t="str">
        <f>IF('⚙ OFF Weekends'!$D$68="OFF","OFF","")</f>
        <v/>
      </c>
      <c r="BV69" s="56" t="str">
        <f>IF('⚙ OFF Weekends'!$D$69="OFF","OFF","")</f>
        <v/>
      </c>
      <c r="BW69" s="54" t="str">
        <f>IF('⚙ OFF Weekends'!$D$70="OFF","OFF","")</f>
        <v/>
      </c>
      <c r="BX69" s="56" t="str">
        <f>IF('⚙ OFF Weekends'!$D$71="OFF","OFF","")</f>
        <v/>
      </c>
      <c r="BY69" s="54" t="str">
        <f>IF('⚙ OFF Weekends'!$D$72="OFF","OFF","")</f>
        <v/>
      </c>
      <c r="BZ69" s="56" t="str">
        <f>IF('⚙ OFF Weekends'!$D$73="OFF","OFF","")</f>
        <v/>
      </c>
      <c r="CA69" s="54" t="str">
        <f>IF('⚙ OFF Weekends'!$D$74="OFF","OFF","")</f>
        <v/>
      </c>
      <c r="CB69" s="56" t="str">
        <f>IF('⚙ OFF Weekends'!$D$75="OFF","OFF","")</f>
        <v/>
      </c>
      <c r="CC69" s="54" t="str">
        <f>IF('⚙ OFF Weekends'!$D$76="OFF","OFF","")</f>
        <v/>
      </c>
      <c r="CD69" s="56" t="str">
        <f>IF('⚙ OFF Weekends'!$D$77="OFF","OFF","")</f>
        <v/>
      </c>
      <c r="CE69" s="96">
        <f t="shared" si="15"/>
        <v>4</v>
      </c>
      <c r="CF69" s="96">
        <f t="shared" si="16"/>
        <v>2</v>
      </c>
      <c r="CG69" s="96">
        <f t="shared" si="17"/>
        <v>5</v>
      </c>
      <c r="CH69" s="96" t="str">
        <f t="shared" si="18"/>
        <v>67%</v>
      </c>
    </row>
    <row r="70" ht="18.0" customHeight="1">
      <c r="A70" s="95">
        <v>19.0</v>
      </c>
      <c r="B70" s="12" t="s">
        <v>461</v>
      </c>
      <c r="C70" s="14"/>
      <c r="D70" s="17" t="str">
        <f t="shared" si="13"/>
        <v/>
      </c>
      <c r="E70" s="28" t="str">
        <f t="shared" si="14"/>
        <v/>
      </c>
      <c r="F70" s="10"/>
      <c r="G70" s="10"/>
      <c r="H70" s="10"/>
      <c r="I70" s="54" t="str">
        <f>IF('⚙ OFF Weekends'!$D$4="OFF","OFF","")</f>
        <v/>
      </c>
      <c r="J70" s="56" t="str">
        <f>IF('⚙ OFF Weekends'!$D$5="OFF","OFF","")</f>
        <v/>
      </c>
      <c r="K70" s="49" t="s">
        <v>197</v>
      </c>
      <c r="L70" s="56" t="str">
        <f>IF('⚙ OFF Weekends'!$D$7="OFF","OFF","")</f>
        <v/>
      </c>
      <c r="M70" s="54" t="str">
        <f>IF('⚙ OFF Weekends'!$D$8="OFF","OFF","")</f>
        <v/>
      </c>
      <c r="N70" s="56" t="str">
        <f>IF('⚙ OFF Weekends'!$D$9="OFF","OFF","")</f>
        <v/>
      </c>
      <c r="O70" s="54" t="str">
        <f>IF('⚙ OFF Weekends'!$D$10="OFF","OFF","")</f>
        <v/>
      </c>
      <c r="P70" s="56" t="str">
        <f>IF('⚙ OFF Weekends'!$D$11="OFF","OFF","")</f>
        <v/>
      </c>
      <c r="Q70" s="48" t="s">
        <v>196</v>
      </c>
      <c r="R70" s="50" t="s">
        <v>37</v>
      </c>
      <c r="S70" s="52" t="s">
        <v>196</v>
      </c>
      <c r="T70" s="53" t="s">
        <v>196</v>
      </c>
      <c r="U70" s="52" t="s">
        <v>198</v>
      </c>
      <c r="V70" s="53" t="s">
        <v>198</v>
      </c>
      <c r="W70" s="54" t="str">
        <f>IF('⚙ OFF Weekends'!$D$18="OFF","OFF","")</f>
        <v>OFF</v>
      </c>
      <c r="X70" s="53" t="s">
        <v>223</v>
      </c>
      <c r="Y70" s="52" t="s">
        <v>198</v>
      </c>
      <c r="Z70" s="53" t="s">
        <v>198</v>
      </c>
      <c r="AA70" s="52" t="s">
        <v>198</v>
      </c>
      <c r="AB70" s="53" t="s">
        <v>223</v>
      </c>
      <c r="AC70" s="54" t="str">
        <f>IF('⚙ OFF Weekends'!$D$24="OFF","OFF","")</f>
        <v/>
      </c>
      <c r="AD70" s="56" t="str">
        <f>IF('⚙ OFF Weekends'!$D$25="OFF","OFF","")</f>
        <v/>
      </c>
      <c r="AE70" s="54" t="str">
        <f>IF('⚙ OFF Weekends'!$D$26="OFF","OFF","")</f>
        <v/>
      </c>
      <c r="AF70" s="56" t="str">
        <f>IF('⚙ OFF Weekends'!$D$27="OFF","OFF","")</f>
        <v/>
      </c>
      <c r="AG70" s="54" t="str">
        <f>IF('⚙ OFF Weekends'!$D$28="OFF","OFF","")</f>
        <v/>
      </c>
      <c r="AH70" s="56" t="str">
        <f>IF('⚙ OFF Weekends'!$D$29="OFF","OFF","")</f>
        <v/>
      </c>
      <c r="AI70" s="54" t="str">
        <f>IF('⚙ OFF Weekends'!$D$30="OFF","OFF","")</f>
        <v/>
      </c>
      <c r="AJ70" s="56" t="str">
        <f>IF('⚙ OFF Weekends'!$D$31="OFF","OFF","")</f>
        <v/>
      </c>
      <c r="AK70" s="54" t="str">
        <f>IF('⚙ OFF Weekends'!$D$32="OFF","OFF","")</f>
        <v/>
      </c>
      <c r="AL70" s="56" t="str">
        <f>IF('⚙ OFF Weekends'!$D$33="OFF","OFF","")</f>
        <v/>
      </c>
      <c r="AM70" s="54" t="str">
        <f>IF('⚙ OFF Weekends'!$D$34="OFF","OFF","")</f>
        <v/>
      </c>
      <c r="AN70" s="56" t="str">
        <f>IF('⚙ OFF Weekends'!$D$35="OFF","OFF","")</f>
        <v/>
      </c>
      <c r="AO70" s="54" t="str">
        <f>IF('⚙ OFF Weekends'!$D$36="OFF","OFF","")</f>
        <v/>
      </c>
      <c r="AP70" s="56" t="str">
        <f>IF('⚙ OFF Weekends'!$D$37="OFF","OFF","")</f>
        <v/>
      </c>
      <c r="AQ70" s="54" t="str">
        <f>IF('⚙ OFF Weekends'!$D$38="OFF","OFF","")</f>
        <v/>
      </c>
      <c r="AR70" s="56" t="str">
        <f>IF('⚙ OFF Weekends'!$D$39="OFF","OFF","")</f>
        <v/>
      </c>
      <c r="AS70" s="54" t="str">
        <f>IF('⚙ OFF Weekends'!$D$40="OFF","OFF","")</f>
        <v/>
      </c>
      <c r="AT70" s="56" t="str">
        <f>IF('⚙ OFF Weekends'!$D$41="OFF","OFF","")</f>
        <v/>
      </c>
      <c r="AU70" s="54" t="str">
        <f>IF('⚙ OFF Weekends'!$D$42="OFF","OFF","")</f>
        <v/>
      </c>
      <c r="AV70" s="56" t="str">
        <f>IF('⚙ OFF Weekends'!$D$43="OFF","OFF","")</f>
        <v/>
      </c>
      <c r="AW70" s="54" t="str">
        <f>IF('⚙ OFF Weekends'!$D$44="OFF","OFF","")</f>
        <v/>
      </c>
      <c r="AX70" s="56" t="str">
        <f>IF('⚙ OFF Weekends'!$D$45="OFF","OFF","")</f>
        <v/>
      </c>
      <c r="AY70" s="54" t="str">
        <f>IF('⚙ OFF Weekends'!$D$46="OFF","OFF","")</f>
        <v/>
      </c>
      <c r="AZ70" s="56" t="str">
        <f>IF('⚙ OFF Weekends'!$D$47="OFF","OFF","")</f>
        <v/>
      </c>
      <c r="BA70" s="54" t="str">
        <f>IF('⚙ OFF Weekends'!$D$48="OFF","OFF","")</f>
        <v/>
      </c>
      <c r="BB70" s="56" t="str">
        <f>IF('⚙ OFF Weekends'!$D$49="OFF","OFF","")</f>
        <v/>
      </c>
      <c r="BC70" s="54" t="str">
        <f>IF('⚙ OFF Weekends'!$D$50="OFF","OFF","")</f>
        <v/>
      </c>
      <c r="BD70" s="56" t="str">
        <f>IF('⚙ OFF Weekends'!$D$51="OFF","OFF","")</f>
        <v/>
      </c>
      <c r="BE70" s="54" t="str">
        <f>IF('⚙ OFF Weekends'!$D$52="OFF","OFF","")</f>
        <v/>
      </c>
      <c r="BF70" s="56" t="str">
        <f>IF('⚙ OFF Weekends'!$D$53="OFF","OFF","")</f>
        <v/>
      </c>
      <c r="BG70" s="54" t="str">
        <f>IF('⚙ OFF Weekends'!$D$54="OFF","OFF","")</f>
        <v/>
      </c>
      <c r="BH70" s="56" t="str">
        <f>IF('⚙ OFF Weekends'!$D$55="OFF","OFF","")</f>
        <v/>
      </c>
      <c r="BI70" s="54" t="str">
        <f>IF('⚙ OFF Weekends'!$D$56="OFF","OFF","")</f>
        <v/>
      </c>
      <c r="BJ70" s="56" t="str">
        <f>IF('⚙ OFF Weekends'!$D$57="OFF","OFF","")</f>
        <v/>
      </c>
      <c r="BK70" s="54" t="str">
        <f>IF('⚙ OFF Weekends'!$D$58="OFF","OFF","")</f>
        <v/>
      </c>
      <c r="BL70" s="56" t="str">
        <f>IF('⚙ OFF Weekends'!$D$59="OFF","OFF","")</f>
        <v/>
      </c>
      <c r="BM70" s="54" t="str">
        <f>IF('⚙ OFF Weekends'!$D$60="OFF","OFF","")</f>
        <v/>
      </c>
      <c r="BN70" s="56" t="str">
        <f>IF('⚙ OFF Weekends'!$D$61="OFF","OFF","")</f>
        <v/>
      </c>
      <c r="BO70" s="54" t="str">
        <f>IF('⚙ OFF Weekends'!$D$62="OFF","OFF","")</f>
        <v/>
      </c>
      <c r="BP70" s="56" t="str">
        <f>IF('⚙ OFF Weekends'!$D$63="OFF","OFF","")</f>
        <v/>
      </c>
      <c r="BQ70" s="54" t="str">
        <f>IF('⚙ OFF Weekends'!$D$64="OFF","OFF","")</f>
        <v/>
      </c>
      <c r="BR70" s="56" t="str">
        <f>IF('⚙ OFF Weekends'!$D$65="OFF","OFF","")</f>
        <v/>
      </c>
      <c r="BS70" s="54" t="str">
        <f>IF('⚙ OFF Weekends'!$D$66="OFF","OFF","")</f>
        <v/>
      </c>
      <c r="BT70" s="56" t="str">
        <f>IF('⚙ OFF Weekends'!$D$67="OFF","OFF","")</f>
        <v/>
      </c>
      <c r="BU70" s="54" t="str">
        <f>IF('⚙ OFF Weekends'!$D$68="OFF","OFF","")</f>
        <v/>
      </c>
      <c r="BV70" s="56" t="str">
        <f>IF('⚙ OFF Weekends'!$D$69="OFF","OFF","")</f>
        <v/>
      </c>
      <c r="BW70" s="54" t="str">
        <f>IF('⚙ OFF Weekends'!$D$70="OFF","OFF","")</f>
        <v/>
      </c>
      <c r="BX70" s="56" t="str">
        <f>IF('⚙ OFF Weekends'!$D$71="OFF","OFF","")</f>
        <v/>
      </c>
      <c r="BY70" s="54" t="str">
        <f>IF('⚙ OFF Weekends'!$D$72="OFF","OFF","")</f>
        <v/>
      </c>
      <c r="BZ70" s="56" t="str">
        <f>IF('⚙ OFF Weekends'!$D$73="OFF","OFF","")</f>
        <v/>
      </c>
      <c r="CA70" s="54" t="str">
        <f>IF('⚙ OFF Weekends'!$D$74="OFF","OFF","")</f>
        <v/>
      </c>
      <c r="CB70" s="56" t="str">
        <f>IF('⚙ OFF Weekends'!$D$75="OFF","OFF","")</f>
        <v/>
      </c>
      <c r="CC70" s="54" t="str">
        <f>IF('⚙ OFF Weekends'!$D$76="OFF","OFF","")</f>
        <v/>
      </c>
      <c r="CD70" s="56" t="str">
        <f>IF('⚙ OFF Weekends'!$D$77="OFF","OFF","")</f>
        <v/>
      </c>
      <c r="CE70" s="95">
        <f t="shared" si="15"/>
        <v>4</v>
      </c>
      <c r="CF70" s="95">
        <f t="shared" si="16"/>
        <v>2</v>
      </c>
      <c r="CG70" s="95">
        <f t="shared" si="17"/>
        <v>5</v>
      </c>
      <c r="CH70" s="95" t="str">
        <f t="shared" si="18"/>
        <v>67%</v>
      </c>
    </row>
    <row r="71" ht="18.0" customHeight="1">
      <c r="A71" s="96">
        <v>20.0</v>
      </c>
      <c r="B71" s="22" t="s">
        <v>465</v>
      </c>
      <c r="C71" s="23"/>
      <c r="D71" s="24" t="str">
        <f t="shared" si="13"/>
        <v/>
      </c>
      <c r="E71" s="26" t="str">
        <f t="shared" si="14"/>
        <v/>
      </c>
      <c r="F71" s="20"/>
      <c r="G71" s="20"/>
      <c r="H71" s="20"/>
      <c r="I71" s="54" t="str">
        <f>IF('⚙ OFF Weekends'!$D$4="OFF","OFF","")</f>
        <v/>
      </c>
      <c r="J71" s="56" t="str">
        <f>IF('⚙ OFF Weekends'!$D$5="OFF","OFF","")</f>
        <v/>
      </c>
      <c r="K71" s="54" t="str">
        <f>IF('⚙ OFF Weekends'!$D$6="OFF","OFF","")</f>
        <v/>
      </c>
      <c r="L71" s="56" t="str">
        <f>IF('⚙ OFF Weekends'!$D$7="OFF","OFF","")</f>
        <v/>
      </c>
      <c r="M71" s="54" t="str">
        <f>IF('⚙ OFF Weekends'!$D$8="OFF","OFF","")</f>
        <v/>
      </c>
      <c r="N71" s="56" t="str">
        <f>IF('⚙ OFF Weekends'!$D$9="OFF","OFF","")</f>
        <v/>
      </c>
      <c r="O71" s="54" t="str">
        <f>IF('⚙ OFF Weekends'!$D$10="OFF","OFF","")</f>
        <v/>
      </c>
      <c r="P71" s="56" t="str">
        <f>IF('⚙ OFF Weekends'!$D$11="OFF","OFF","")</f>
        <v/>
      </c>
      <c r="Q71" s="54" t="str">
        <f>IF('⚙ OFF Weekends'!$D$12="OFF","OFF","")</f>
        <v/>
      </c>
      <c r="R71" s="48" t="s">
        <v>196</v>
      </c>
      <c r="S71" s="52" t="s">
        <v>223</v>
      </c>
      <c r="T71" s="53" t="s">
        <v>223</v>
      </c>
      <c r="U71" s="52" t="s">
        <v>223</v>
      </c>
      <c r="V71" s="53" t="s">
        <v>223</v>
      </c>
      <c r="W71" s="54" t="str">
        <f>IF('⚙ OFF Weekends'!$D$18="OFF","OFF","")</f>
        <v>OFF</v>
      </c>
      <c r="X71" s="53" t="s">
        <v>37</v>
      </c>
      <c r="Y71" s="52" t="s">
        <v>223</v>
      </c>
      <c r="Z71" s="53" t="s">
        <v>37</v>
      </c>
      <c r="AA71" s="52" t="s">
        <v>223</v>
      </c>
      <c r="AB71" s="53" t="s">
        <v>37</v>
      </c>
      <c r="AC71" s="54" t="str">
        <f>IF('⚙ OFF Weekends'!$D$24="OFF","OFF","")</f>
        <v/>
      </c>
      <c r="AD71" s="56" t="str">
        <f>IF('⚙ OFF Weekends'!$D$25="OFF","OFF","")</f>
        <v/>
      </c>
      <c r="AE71" s="54" t="str">
        <f>IF('⚙ OFF Weekends'!$D$26="OFF","OFF","")</f>
        <v/>
      </c>
      <c r="AF71" s="56" t="str">
        <f>IF('⚙ OFF Weekends'!$D$27="OFF","OFF","")</f>
        <v/>
      </c>
      <c r="AG71" s="54" t="str">
        <f>IF('⚙ OFF Weekends'!$D$28="OFF","OFF","")</f>
        <v/>
      </c>
      <c r="AH71" s="56" t="str">
        <f>IF('⚙ OFF Weekends'!$D$29="OFF","OFF","")</f>
        <v/>
      </c>
      <c r="AI71" s="54" t="str">
        <f>IF('⚙ OFF Weekends'!$D$30="OFF","OFF","")</f>
        <v/>
      </c>
      <c r="AJ71" s="56" t="str">
        <f>IF('⚙ OFF Weekends'!$D$31="OFF","OFF","")</f>
        <v/>
      </c>
      <c r="AK71" s="54" t="str">
        <f>IF('⚙ OFF Weekends'!$D$32="OFF","OFF","")</f>
        <v/>
      </c>
      <c r="AL71" s="56" t="str">
        <f>IF('⚙ OFF Weekends'!$D$33="OFF","OFF","")</f>
        <v/>
      </c>
      <c r="AM71" s="54" t="str">
        <f>IF('⚙ OFF Weekends'!$D$34="OFF","OFF","")</f>
        <v/>
      </c>
      <c r="AN71" s="56" t="str">
        <f>IF('⚙ OFF Weekends'!$D$35="OFF","OFF","")</f>
        <v/>
      </c>
      <c r="AO71" s="54" t="str">
        <f>IF('⚙ OFF Weekends'!$D$36="OFF","OFF","")</f>
        <v/>
      </c>
      <c r="AP71" s="56" t="str">
        <f>IF('⚙ OFF Weekends'!$D$37="OFF","OFF","")</f>
        <v/>
      </c>
      <c r="AQ71" s="54" t="str">
        <f>IF('⚙ OFF Weekends'!$D$38="OFF","OFF","")</f>
        <v/>
      </c>
      <c r="AR71" s="56" t="str">
        <f>IF('⚙ OFF Weekends'!$D$39="OFF","OFF","")</f>
        <v/>
      </c>
      <c r="AS71" s="54" t="str">
        <f>IF('⚙ OFF Weekends'!$D$40="OFF","OFF","")</f>
        <v/>
      </c>
      <c r="AT71" s="56" t="str">
        <f>IF('⚙ OFF Weekends'!$D$41="OFF","OFF","")</f>
        <v/>
      </c>
      <c r="AU71" s="54" t="str">
        <f>IF('⚙ OFF Weekends'!$D$42="OFF","OFF","")</f>
        <v/>
      </c>
      <c r="AV71" s="56" t="str">
        <f>IF('⚙ OFF Weekends'!$D$43="OFF","OFF","")</f>
        <v/>
      </c>
      <c r="AW71" s="54" t="str">
        <f>IF('⚙ OFF Weekends'!$D$44="OFF","OFF","")</f>
        <v/>
      </c>
      <c r="AX71" s="56" t="str">
        <f>IF('⚙ OFF Weekends'!$D$45="OFF","OFF","")</f>
        <v/>
      </c>
      <c r="AY71" s="54" t="str">
        <f>IF('⚙ OFF Weekends'!$D$46="OFF","OFF","")</f>
        <v/>
      </c>
      <c r="AZ71" s="56" t="str">
        <f>IF('⚙ OFF Weekends'!$D$47="OFF","OFF","")</f>
        <v/>
      </c>
      <c r="BA71" s="54" t="str">
        <f>IF('⚙ OFF Weekends'!$D$48="OFF","OFF","")</f>
        <v/>
      </c>
      <c r="BB71" s="56" t="str">
        <f>IF('⚙ OFF Weekends'!$D$49="OFF","OFF","")</f>
        <v/>
      </c>
      <c r="BC71" s="54" t="str">
        <f>IF('⚙ OFF Weekends'!$D$50="OFF","OFF","")</f>
        <v/>
      </c>
      <c r="BD71" s="56" t="str">
        <f>IF('⚙ OFF Weekends'!$D$51="OFF","OFF","")</f>
        <v/>
      </c>
      <c r="BE71" s="54" t="str">
        <f>IF('⚙ OFF Weekends'!$D$52="OFF","OFF","")</f>
        <v/>
      </c>
      <c r="BF71" s="56" t="str">
        <f>IF('⚙ OFF Weekends'!$D$53="OFF","OFF","")</f>
        <v/>
      </c>
      <c r="BG71" s="54" t="str">
        <f>IF('⚙ OFF Weekends'!$D$54="OFF","OFF","")</f>
        <v/>
      </c>
      <c r="BH71" s="56" t="str">
        <f>IF('⚙ OFF Weekends'!$D$55="OFF","OFF","")</f>
        <v/>
      </c>
      <c r="BI71" s="54" t="str">
        <f>IF('⚙ OFF Weekends'!$D$56="OFF","OFF","")</f>
        <v/>
      </c>
      <c r="BJ71" s="56" t="str">
        <f>IF('⚙ OFF Weekends'!$D$57="OFF","OFF","")</f>
        <v/>
      </c>
      <c r="BK71" s="54" t="str">
        <f>IF('⚙ OFF Weekends'!$D$58="OFF","OFF","")</f>
        <v/>
      </c>
      <c r="BL71" s="56" t="str">
        <f>IF('⚙ OFF Weekends'!$D$59="OFF","OFF","")</f>
        <v/>
      </c>
      <c r="BM71" s="54" t="str">
        <f>IF('⚙ OFF Weekends'!$D$60="OFF","OFF","")</f>
        <v/>
      </c>
      <c r="BN71" s="56" t="str">
        <f>IF('⚙ OFF Weekends'!$D$61="OFF","OFF","")</f>
        <v/>
      </c>
      <c r="BO71" s="54" t="str">
        <f>IF('⚙ OFF Weekends'!$D$62="OFF","OFF","")</f>
        <v/>
      </c>
      <c r="BP71" s="56" t="str">
        <f>IF('⚙ OFF Weekends'!$D$63="OFF","OFF","")</f>
        <v/>
      </c>
      <c r="BQ71" s="54" t="str">
        <f>IF('⚙ OFF Weekends'!$D$64="OFF","OFF","")</f>
        <v/>
      </c>
      <c r="BR71" s="56" t="str">
        <f>IF('⚙ OFF Weekends'!$D$65="OFF","OFF","")</f>
        <v/>
      </c>
      <c r="BS71" s="54" t="str">
        <f>IF('⚙ OFF Weekends'!$D$66="OFF","OFF","")</f>
        <v/>
      </c>
      <c r="BT71" s="56" t="str">
        <f>IF('⚙ OFF Weekends'!$D$67="OFF","OFF","")</f>
        <v/>
      </c>
      <c r="BU71" s="54" t="str">
        <f>IF('⚙ OFF Weekends'!$D$68="OFF","OFF","")</f>
        <v/>
      </c>
      <c r="BV71" s="56" t="str">
        <f>IF('⚙ OFF Weekends'!$D$69="OFF","OFF","")</f>
        <v/>
      </c>
      <c r="BW71" s="54" t="str">
        <f>IF('⚙ OFF Weekends'!$D$70="OFF","OFF","")</f>
        <v/>
      </c>
      <c r="BX71" s="56" t="str">
        <f>IF('⚙ OFF Weekends'!$D$71="OFF","OFF","")</f>
        <v/>
      </c>
      <c r="BY71" s="54" t="str">
        <f>IF('⚙ OFF Weekends'!$D$72="OFF","OFF","")</f>
        <v/>
      </c>
      <c r="BZ71" s="56" t="str">
        <f>IF('⚙ OFF Weekends'!$D$73="OFF","OFF","")</f>
        <v/>
      </c>
      <c r="CA71" s="54" t="str">
        <f>IF('⚙ OFF Weekends'!$D$74="OFF","OFF","")</f>
        <v/>
      </c>
      <c r="CB71" s="56" t="str">
        <f>IF('⚙ OFF Weekends'!$D$75="OFF","OFF","")</f>
        <v/>
      </c>
      <c r="CC71" s="54" t="str">
        <f>IF('⚙ OFF Weekends'!$D$76="OFF","OFF","")</f>
        <v/>
      </c>
      <c r="CD71" s="56" t="str">
        <f>IF('⚙ OFF Weekends'!$D$77="OFF","OFF","")</f>
        <v/>
      </c>
      <c r="CE71" s="96">
        <f t="shared" si="15"/>
        <v>4</v>
      </c>
      <c r="CF71" s="96">
        <f t="shared" si="16"/>
        <v>6</v>
      </c>
      <c r="CG71" s="96">
        <f t="shared" si="17"/>
        <v>0</v>
      </c>
      <c r="CH71" s="96" t="str">
        <f t="shared" si="18"/>
        <v>40%</v>
      </c>
    </row>
    <row r="72" ht="18.0" customHeight="1">
      <c r="A72" s="95">
        <v>21.0</v>
      </c>
      <c r="B72" s="117" t="s">
        <v>468</v>
      </c>
      <c r="C72" s="14"/>
      <c r="D72" s="17" t="str">
        <f t="shared" si="13"/>
        <v/>
      </c>
      <c r="E72" s="28" t="str">
        <f t="shared" si="14"/>
        <v/>
      </c>
      <c r="F72" s="10"/>
      <c r="G72" s="10"/>
      <c r="H72" s="10"/>
      <c r="I72" s="54" t="str">
        <f>IF('⚙ OFF Weekends'!$D$4="OFF","OFF","")</f>
        <v/>
      </c>
      <c r="J72" s="56" t="str">
        <f>IF('⚙ OFF Weekends'!$D$5="OFF","OFF","")</f>
        <v/>
      </c>
      <c r="K72" s="54" t="str">
        <f>IF('⚙ OFF Weekends'!$D$6="OFF","OFF","")</f>
        <v/>
      </c>
      <c r="L72" s="56" t="str">
        <f>IF('⚙ OFF Weekends'!$D$7="OFF","OFF","")</f>
        <v/>
      </c>
      <c r="M72" s="54" t="str">
        <f>IF('⚙ OFF Weekends'!$D$8="OFF","OFF","")</f>
        <v/>
      </c>
      <c r="N72" s="56" t="str">
        <f>IF('⚙ OFF Weekends'!$D$9="OFF","OFF","")</f>
        <v/>
      </c>
      <c r="O72" s="54" t="str">
        <f>IF('⚙ OFF Weekends'!$D$10="OFF","OFF","")</f>
        <v/>
      </c>
      <c r="P72" s="56" t="str">
        <f>IF('⚙ OFF Weekends'!$D$11="OFF","OFF","")</f>
        <v/>
      </c>
      <c r="Q72" s="54" t="str">
        <f>IF('⚙ OFF Weekends'!$D$12="OFF","OFF","")</f>
        <v/>
      </c>
      <c r="R72" s="48" t="s">
        <v>196</v>
      </c>
      <c r="S72" s="52" t="s">
        <v>196</v>
      </c>
      <c r="T72" s="53" t="s">
        <v>198</v>
      </c>
      <c r="U72" s="52" t="s">
        <v>198</v>
      </c>
      <c r="V72" s="53" t="s">
        <v>198</v>
      </c>
      <c r="W72" s="54" t="str">
        <f>IF('⚙ OFF Weekends'!$D$18="OFF","OFF","")</f>
        <v>OFF</v>
      </c>
      <c r="X72" s="53" t="s">
        <v>223</v>
      </c>
      <c r="Y72" s="52" t="s">
        <v>198</v>
      </c>
      <c r="Z72" s="53" t="s">
        <v>198</v>
      </c>
      <c r="AA72" s="52" t="s">
        <v>223</v>
      </c>
      <c r="AB72" s="53" t="s">
        <v>223</v>
      </c>
      <c r="AC72" s="54" t="str">
        <f>IF('⚙ OFF Weekends'!$D$24="OFF","OFF","")</f>
        <v/>
      </c>
      <c r="AD72" s="56" t="str">
        <f>IF('⚙ OFF Weekends'!$D$25="OFF","OFF","")</f>
        <v/>
      </c>
      <c r="AE72" s="54" t="str">
        <f>IF('⚙ OFF Weekends'!$D$26="OFF","OFF","")</f>
        <v/>
      </c>
      <c r="AF72" s="56" t="str">
        <f>IF('⚙ OFF Weekends'!$D$27="OFF","OFF","")</f>
        <v/>
      </c>
      <c r="AG72" s="54" t="str">
        <f>IF('⚙ OFF Weekends'!$D$28="OFF","OFF","")</f>
        <v/>
      </c>
      <c r="AH72" s="56" t="str">
        <f>IF('⚙ OFF Weekends'!$D$29="OFF","OFF","")</f>
        <v/>
      </c>
      <c r="AI72" s="54" t="str">
        <f>IF('⚙ OFF Weekends'!$D$30="OFF","OFF","")</f>
        <v/>
      </c>
      <c r="AJ72" s="56" t="str">
        <f>IF('⚙ OFF Weekends'!$D$31="OFF","OFF","")</f>
        <v/>
      </c>
      <c r="AK72" s="54" t="str">
        <f>IF('⚙ OFF Weekends'!$D$32="OFF","OFF","")</f>
        <v/>
      </c>
      <c r="AL72" s="56" t="str">
        <f>IF('⚙ OFF Weekends'!$D$33="OFF","OFF","")</f>
        <v/>
      </c>
      <c r="AM72" s="54" t="str">
        <f>IF('⚙ OFF Weekends'!$D$34="OFF","OFF","")</f>
        <v/>
      </c>
      <c r="AN72" s="56" t="str">
        <f>IF('⚙ OFF Weekends'!$D$35="OFF","OFF","")</f>
        <v/>
      </c>
      <c r="AO72" s="54" t="str">
        <f>IF('⚙ OFF Weekends'!$D$36="OFF","OFF","")</f>
        <v/>
      </c>
      <c r="AP72" s="56" t="str">
        <f>IF('⚙ OFF Weekends'!$D$37="OFF","OFF","")</f>
        <v/>
      </c>
      <c r="AQ72" s="54" t="str">
        <f>IF('⚙ OFF Weekends'!$D$38="OFF","OFF","")</f>
        <v/>
      </c>
      <c r="AR72" s="56" t="str">
        <f>IF('⚙ OFF Weekends'!$D$39="OFF","OFF","")</f>
        <v/>
      </c>
      <c r="AS72" s="54" t="str">
        <f>IF('⚙ OFF Weekends'!$D$40="OFF","OFF","")</f>
        <v/>
      </c>
      <c r="AT72" s="56" t="str">
        <f>IF('⚙ OFF Weekends'!$D$41="OFF","OFF","")</f>
        <v/>
      </c>
      <c r="AU72" s="54" t="str">
        <f>IF('⚙ OFF Weekends'!$D$42="OFF","OFF","")</f>
        <v/>
      </c>
      <c r="AV72" s="56" t="str">
        <f>IF('⚙ OFF Weekends'!$D$43="OFF","OFF","")</f>
        <v/>
      </c>
      <c r="AW72" s="54" t="str">
        <f>IF('⚙ OFF Weekends'!$D$44="OFF","OFF","")</f>
        <v/>
      </c>
      <c r="AX72" s="56" t="str">
        <f>IF('⚙ OFF Weekends'!$D$45="OFF","OFF","")</f>
        <v/>
      </c>
      <c r="AY72" s="54" t="str">
        <f>IF('⚙ OFF Weekends'!$D$46="OFF","OFF","")</f>
        <v/>
      </c>
      <c r="AZ72" s="56" t="str">
        <f>IF('⚙ OFF Weekends'!$D$47="OFF","OFF","")</f>
        <v/>
      </c>
      <c r="BA72" s="54" t="str">
        <f>IF('⚙ OFF Weekends'!$D$48="OFF","OFF","")</f>
        <v/>
      </c>
      <c r="BB72" s="56" t="str">
        <f>IF('⚙ OFF Weekends'!$D$49="OFF","OFF","")</f>
        <v/>
      </c>
      <c r="BC72" s="54" t="str">
        <f>IF('⚙ OFF Weekends'!$D$50="OFF","OFF","")</f>
        <v/>
      </c>
      <c r="BD72" s="56" t="str">
        <f>IF('⚙ OFF Weekends'!$D$51="OFF","OFF","")</f>
        <v/>
      </c>
      <c r="BE72" s="54" t="str">
        <f>IF('⚙ OFF Weekends'!$D$52="OFF","OFF","")</f>
        <v/>
      </c>
      <c r="BF72" s="56" t="str">
        <f>IF('⚙ OFF Weekends'!$D$53="OFF","OFF","")</f>
        <v/>
      </c>
      <c r="BG72" s="54" t="str">
        <f>IF('⚙ OFF Weekends'!$D$54="OFF","OFF","")</f>
        <v/>
      </c>
      <c r="BH72" s="56" t="str">
        <f>IF('⚙ OFF Weekends'!$D$55="OFF","OFF","")</f>
        <v/>
      </c>
      <c r="BI72" s="54" t="str">
        <f>IF('⚙ OFF Weekends'!$D$56="OFF","OFF","")</f>
        <v/>
      </c>
      <c r="BJ72" s="56" t="str">
        <f>IF('⚙ OFF Weekends'!$D$57="OFF","OFF","")</f>
        <v/>
      </c>
      <c r="BK72" s="54" t="str">
        <f>IF('⚙ OFF Weekends'!$D$58="OFF","OFF","")</f>
        <v/>
      </c>
      <c r="BL72" s="56" t="str">
        <f>IF('⚙ OFF Weekends'!$D$59="OFF","OFF","")</f>
        <v/>
      </c>
      <c r="BM72" s="54" t="str">
        <f>IF('⚙ OFF Weekends'!$D$60="OFF","OFF","")</f>
        <v/>
      </c>
      <c r="BN72" s="56" t="str">
        <f>IF('⚙ OFF Weekends'!$D$61="OFF","OFF","")</f>
        <v/>
      </c>
      <c r="BO72" s="54" t="str">
        <f>IF('⚙ OFF Weekends'!$D$62="OFF","OFF","")</f>
        <v/>
      </c>
      <c r="BP72" s="56" t="str">
        <f>IF('⚙ OFF Weekends'!$D$63="OFF","OFF","")</f>
        <v/>
      </c>
      <c r="BQ72" s="54" t="str">
        <f>IF('⚙ OFF Weekends'!$D$64="OFF","OFF","")</f>
        <v/>
      </c>
      <c r="BR72" s="56" t="str">
        <f>IF('⚙ OFF Weekends'!$D$65="OFF","OFF","")</f>
        <v/>
      </c>
      <c r="BS72" s="54" t="str">
        <f>IF('⚙ OFF Weekends'!$D$66="OFF","OFF","")</f>
        <v/>
      </c>
      <c r="BT72" s="56" t="str">
        <f>IF('⚙ OFF Weekends'!$D$67="OFF","OFF","")</f>
        <v/>
      </c>
      <c r="BU72" s="54" t="str">
        <f>IF('⚙ OFF Weekends'!$D$68="OFF","OFF","")</f>
        <v/>
      </c>
      <c r="BV72" s="56" t="str">
        <f>IF('⚙ OFF Weekends'!$D$69="OFF","OFF","")</f>
        <v/>
      </c>
      <c r="BW72" s="54" t="str">
        <f>IF('⚙ OFF Weekends'!$D$70="OFF","OFF","")</f>
        <v/>
      </c>
      <c r="BX72" s="56" t="str">
        <f>IF('⚙ OFF Weekends'!$D$71="OFF","OFF","")</f>
        <v/>
      </c>
      <c r="BY72" s="54" t="str">
        <f>IF('⚙ OFF Weekends'!$D$72="OFF","OFF","")</f>
        <v/>
      </c>
      <c r="BZ72" s="56" t="str">
        <f>IF('⚙ OFF Weekends'!$D$73="OFF","OFF","")</f>
        <v/>
      </c>
      <c r="CA72" s="54" t="str">
        <f>IF('⚙ OFF Weekends'!$D$74="OFF","OFF","")</f>
        <v/>
      </c>
      <c r="CB72" s="56" t="str">
        <f>IF('⚙ OFF Weekends'!$D$75="OFF","OFF","")</f>
        <v/>
      </c>
      <c r="CC72" s="54" t="str">
        <f>IF('⚙ OFF Weekends'!$D$76="OFF","OFF","")</f>
        <v/>
      </c>
      <c r="CD72" s="56" t="str">
        <f>IF('⚙ OFF Weekends'!$D$77="OFF","OFF","")</f>
        <v/>
      </c>
      <c r="CE72" s="95">
        <f t="shared" si="15"/>
        <v>2</v>
      </c>
      <c r="CF72" s="95">
        <f t="shared" si="16"/>
        <v>3</v>
      </c>
      <c r="CG72" s="95">
        <f t="shared" si="17"/>
        <v>5</v>
      </c>
      <c r="CH72" s="95" t="str">
        <f t="shared" si="18"/>
        <v>40%</v>
      </c>
    </row>
    <row r="73" ht="18.0" customHeight="1">
      <c r="A73" s="96">
        <v>22.0</v>
      </c>
      <c r="B73" s="22" t="s">
        <v>471</v>
      </c>
      <c r="C73" s="23"/>
      <c r="D73" s="24" t="str">
        <f t="shared" si="13"/>
        <v/>
      </c>
      <c r="E73" s="26" t="str">
        <f t="shared" si="14"/>
        <v/>
      </c>
      <c r="F73" s="20"/>
      <c r="G73" s="20"/>
      <c r="H73" s="20"/>
      <c r="I73" s="54" t="str">
        <f>IF('⚙ OFF Weekends'!$D$4="OFF","OFF","")</f>
        <v/>
      </c>
      <c r="J73" s="56" t="str">
        <f>IF('⚙ OFF Weekends'!$D$5="OFF","OFF","")</f>
        <v/>
      </c>
      <c r="K73" s="54" t="str">
        <f>IF('⚙ OFF Weekends'!$D$6="OFF","OFF","")</f>
        <v/>
      </c>
      <c r="L73" s="56" t="str">
        <f>IF('⚙ OFF Weekends'!$D$7="OFF","OFF","")</f>
        <v/>
      </c>
      <c r="M73" s="54" t="str">
        <f>IF('⚙ OFF Weekends'!$D$8="OFF","OFF","")</f>
        <v/>
      </c>
      <c r="N73" s="56" t="str">
        <f>IF('⚙ OFF Weekends'!$D$9="OFF","OFF","")</f>
        <v/>
      </c>
      <c r="O73" s="54" t="str">
        <f>IF('⚙ OFF Weekends'!$D$10="OFF","OFF","")</f>
        <v/>
      </c>
      <c r="P73" s="56" t="str">
        <f>IF('⚙ OFF Weekends'!$D$11="OFF","OFF","")</f>
        <v/>
      </c>
      <c r="Q73" s="54" t="str">
        <f>IF('⚙ OFF Weekends'!$D$12="OFF","OFF","")</f>
        <v/>
      </c>
      <c r="R73" s="48" t="s">
        <v>196</v>
      </c>
      <c r="S73" s="52" t="s">
        <v>196</v>
      </c>
      <c r="T73" s="53" t="s">
        <v>198</v>
      </c>
      <c r="U73" s="52" t="s">
        <v>198</v>
      </c>
      <c r="V73" s="53" t="s">
        <v>198</v>
      </c>
      <c r="W73" s="54" t="str">
        <f>IF('⚙ OFF Weekends'!$D$18="OFF","OFF","")</f>
        <v>OFF</v>
      </c>
      <c r="X73" s="53" t="s">
        <v>37</v>
      </c>
      <c r="Y73" s="52" t="s">
        <v>198</v>
      </c>
      <c r="Z73" s="53" t="s">
        <v>198</v>
      </c>
      <c r="AA73" s="52" t="s">
        <v>198</v>
      </c>
      <c r="AB73" s="53" t="s">
        <v>198</v>
      </c>
      <c r="AC73" s="54" t="str">
        <f>IF('⚙ OFF Weekends'!$D$24="OFF","OFF","")</f>
        <v/>
      </c>
      <c r="AD73" s="56" t="str">
        <f>IF('⚙ OFF Weekends'!$D$25="OFF","OFF","")</f>
        <v/>
      </c>
      <c r="AE73" s="54" t="str">
        <f>IF('⚙ OFF Weekends'!$D$26="OFF","OFF","")</f>
        <v/>
      </c>
      <c r="AF73" s="56" t="str">
        <f>IF('⚙ OFF Weekends'!$D$27="OFF","OFF","")</f>
        <v/>
      </c>
      <c r="AG73" s="54" t="str">
        <f>IF('⚙ OFF Weekends'!$D$28="OFF","OFF","")</f>
        <v/>
      </c>
      <c r="AH73" s="56" t="str">
        <f>IF('⚙ OFF Weekends'!$D$29="OFF","OFF","")</f>
        <v/>
      </c>
      <c r="AI73" s="54" t="str">
        <f>IF('⚙ OFF Weekends'!$D$30="OFF","OFF","")</f>
        <v/>
      </c>
      <c r="AJ73" s="56" t="str">
        <f>IF('⚙ OFF Weekends'!$D$31="OFF","OFF","")</f>
        <v/>
      </c>
      <c r="AK73" s="54" t="str">
        <f>IF('⚙ OFF Weekends'!$D$32="OFF","OFF","")</f>
        <v/>
      </c>
      <c r="AL73" s="56" t="str">
        <f>IF('⚙ OFF Weekends'!$D$33="OFF","OFF","")</f>
        <v/>
      </c>
      <c r="AM73" s="54" t="str">
        <f>IF('⚙ OFF Weekends'!$D$34="OFF","OFF","")</f>
        <v/>
      </c>
      <c r="AN73" s="56" t="str">
        <f>IF('⚙ OFF Weekends'!$D$35="OFF","OFF","")</f>
        <v/>
      </c>
      <c r="AO73" s="54" t="str">
        <f>IF('⚙ OFF Weekends'!$D$36="OFF","OFF","")</f>
        <v/>
      </c>
      <c r="AP73" s="56" t="str">
        <f>IF('⚙ OFF Weekends'!$D$37="OFF","OFF","")</f>
        <v/>
      </c>
      <c r="AQ73" s="54" t="str">
        <f>IF('⚙ OFF Weekends'!$D$38="OFF","OFF","")</f>
        <v/>
      </c>
      <c r="AR73" s="56" t="str">
        <f>IF('⚙ OFF Weekends'!$D$39="OFF","OFF","")</f>
        <v/>
      </c>
      <c r="AS73" s="54" t="str">
        <f>IF('⚙ OFF Weekends'!$D$40="OFF","OFF","")</f>
        <v/>
      </c>
      <c r="AT73" s="56" t="str">
        <f>IF('⚙ OFF Weekends'!$D$41="OFF","OFF","")</f>
        <v/>
      </c>
      <c r="AU73" s="54" t="str">
        <f>IF('⚙ OFF Weekends'!$D$42="OFF","OFF","")</f>
        <v/>
      </c>
      <c r="AV73" s="56" t="str">
        <f>IF('⚙ OFF Weekends'!$D$43="OFF","OFF","")</f>
        <v/>
      </c>
      <c r="AW73" s="54" t="str">
        <f>IF('⚙ OFF Weekends'!$D$44="OFF","OFF","")</f>
        <v/>
      </c>
      <c r="AX73" s="56" t="str">
        <f>IF('⚙ OFF Weekends'!$D$45="OFF","OFF","")</f>
        <v/>
      </c>
      <c r="AY73" s="54" t="str">
        <f>IF('⚙ OFF Weekends'!$D$46="OFF","OFF","")</f>
        <v/>
      </c>
      <c r="AZ73" s="56" t="str">
        <f>IF('⚙ OFF Weekends'!$D$47="OFF","OFF","")</f>
        <v/>
      </c>
      <c r="BA73" s="54" t="str">
        <f>IF('⚙ OFF Weekends'!$D$48="OFF","OFF","")</f>
        <v/>
      </c>
      <c r="BB73" s="56" t="str">
        <f>IF('⚙ OFF Weekends'!$D$49="OFF","OFF","")</f>
        <v/>
      </c>
      <c r="BC73" s="54" t="str">
        <f>IF('⚙ OFF Weekends'!$D$50="OFF","OFF","")</f>
        <v/>
      </c>
      <c r="BD73" s="56" t="str">
        <f>IF('⚙ OFF Weekends'!$D$51="OFF","OFF","")</f>
        <v/>
      </c>
      <c r="BE73" s="54" t="str">
        <f>IF('⚙ OFF Weekends'!$D$52="OFF","OFF","")</f>
        <v/>
      </c>
      <c r="BF73" s="56" t="str">
        <f>IF('⚙ OFF Weekends'!$D$53="OFF","OFF","")</f>
        <v/>
      </c>
      <c r="BG73" s="54" t="str">
        <f>IF('⚙ OFF Weekends'!$D$54="OFF","OFF","")</f>
        <v/>
      </c>
      <c r="BH73" s="56" t="str">
        <f>IF('⚙ OFF Weekends'!$D$55="OFF","OFF","")</f>
        <v/>
      </c>
      <c r="BI73" s="54" t="str">
        <f>IF('⚙ OFF Weekends'!$D$56="OFF","OFF","")</f>
        <v/>
      </c>
      <c r="BJ73" s="56" t="str">
        <f>IF('⚙ OFF Weekends'!$D$57="OFF","OFF","")</f>
        <v/>
      </c>
      <c r="BK73" s="54" t="str">
        <f>IF('⚙ OFF Weekends'!$D$58="OFF","OFF","")</f>
        <v/>
      </c>
      <c r="BL73" s="56" t="str">
        <f>IF('⚙ OFF Weekends'!$D$59="OFF","OFF","")</f>
        <v/>
      </c>
      <c r="BM73" s="54" t="str">
        <f>IF('⚙ OFF Weekends'!$D$60="OFF","OFF","")</f>
        <v/>
      </c>
      <c r="BN73" s="56" t="str">
        <f>IF('⚙ OFF Weekends'!$D$61="OFF","OFF","")</f>
        <v/>
      </c>
      <c r="BO73" s="54" t="str">
        <f>IF('⚙ OFF Weekends'!$D$62="OFF","OFF","")</f>
        <v/>
      </c>
      <c r="BP73" s="56" t="str">
        <f>IF('⚙ OFF Weekends'!$D$63="OFF","OFF","")</f>
        <v/>
      </c>
      <c r="BQ73" s="54" t="str">
        <f>IF('⚙ OFF Weekends'!$D$64="OFF","OFF","")</f>
        <v/>
      </c>
      <c r="BR73" s="56" t="str">
        <f>IF('⚙ OFF Weekends'!$D$65="OFF","OFF","")</f>
        <v/>
      </c>
      <c r="BS73" s="54" t="str">
        <f>IF('⚙ OFF Weekends'!$D$66="OFF","OFF","")</f>
        <v/>
      </c>
      <c r="BT73" s="56" t="str">
        <f>IF('⚙ OFF Weekends'!$D$67="OFF","OFF","")</f>
        <v/>
      </c>
      <c r="BU73" s="54" t="str">
        <f>IF('⚙ OFF Weekends'!$D$68="OFF","OFF","")</f>
        <v/>
      </c>
      <c r="BV73" s="56" t="str">
        <f>IF('⚙ OFF Weekends'!$D$69="OFF","OFF","")</f>
        <v/>
      </c>
      <c r="BW73" s="54" t="str">
        <f>IF('⚙ OFF Weekends'!$D$70="OFF","OFF","")</f>
        <v/>
      </c>
      <c r="BX73" s="56" t="str">
        <f>IF('⚙ OFF Weekends'!$D$71="OFF","OFF","")</f>
        <v/>
      </c>
      <c r="BY73" s="54" t="str">
        <f>IF('⚙ OFF Weekends'!$D$72="OFF","OFF","")</f>
        <v/>
      </c>
      <c r="BZ73" s="56" t="str">
        <f>IF('⚙ OFF Weekends'!$D$73="OFF","OFF","")</f>
        <v/>
      </c>
      <c r="CA73" s="54" t="str">
        <f>IF('⚙ OFF Weekends'!$D$74="OFF","OFF","")</f>
        <v/>
      </c>
      <c r="CB73" s="56" t="str">
        <f>IF('⚙ OFF Weekends'!$D$75="OFF","OFF","")</f>
        <v/>
      </c>
      <c r="CC73" s="54" t="str">
        <f>IF('⚙ OFF Weekends'!$D$76="OFF","OFF","")</f>
        <v/>
      </c>
      <c r="CD73" s="56" t="str">
        <f>IF('⚙ OFF Weekends'!$D$77="OFF","OFF","")</f>
        <v/>
      </c>
      <c r="CE73" s="96">
        <f t="shared" si="15"/>
        <v>3</v>
      </c>
      <c r="CF73" s="96">
        <f t="shared" si="16"/>
        <v>0</v>
      </c>
      <c r="CG73" s="96">
        <f t="shared" si="17"/>
        <v>7</v>
      </c>
      <c r="CH73" s="96" t="str">
        <f t="shared" si="18"/>
        <v>100%</v>
      </c>
    </row>
    <row r="74" ht="18.0" customHeight="1">
      <c r="A74" s="95">
        <v>23.0</v>
      </c>
      <c r="B74" s="117" t="s">
        <v>475</v>
      </c>
      <c r="C74" s="118" t="s">
        <v>476</v>
      </c>
      <c r="D74" s="17" t="str">
        <f t="shared" si="13"/>
        <v>📞 Call</v>
      </c>
      <c r="E74" s="19" t="str">
        <f t="shared" si="14"/>
        <v>💬 WhatsApp</v>
      </c>
      <c r="F74" s="10"/>
      <c r="G74" s="119">
        <v>16.0</v>
      </c>
      <c r="H74" s="10"/>
      <c r="I74" s="54" t="str">
        <f>IF('⚙ OFF Weekends'!$D$4="OFF","OFF","")</f>
        <v/>
      </c>
      <c r="J74" s="56" t="str">
        <f>IF('⚙ OFF Weekends'!$D$5="OFF","OFF","")</f>
        <v/>
      </c>
      <c r="K74" s="54" t="str">
        <f>IF('⚙ OFF Weekends'!$D$6="OFF","OFF","")</f>
        <v/>
      </c>
      <c r="L74" s="56" t="str">
        <f>IF('⚙ OFF Weekends'!$D$7="OFF","OFF","")</f>
        <v/>
      </c>
      <c r="M74" s="54" t="str">
        <f>IF('⚙ OFF Weekends'!$D$8="OFF","OFF","")</f>
        <v/>
      </c>
      <c r="N74" s="56" t="str">
        <f>IF('⚙ OFF Weekends'!$D$9="OFF","OFF","")</f>
        <v/>
      </c>
      <c r="O74" s="54" t="str">
        <f>IF('⚙ OFF Weekends'!$D$10="OFF","OFF","")</f>
        <v/>
      </c>
      <c r="P74" s="56" t="str">
        <f>IF('⚙ OFF Weekends'!$D$11="OFF","OFF","")</f>
        <v/>
      </c>
      <c r="Q74" s="54" t="str">
        <f>IF('⚙ OFF Weekends'!$D$12="OFF","OFF","")</f>
        <v/>
      </c>
      <c r="R74" s="48" t="str">
        <f>IF('⚙ OFF Weekends'!$D$13="OFF","OFF","")</f>
        <v/>
      </c>
      <c r="S74" s="52" t="str">
        <f>IF('⚙ OFF Weekends'!$D$14="OFF","OFF","")</f>
        <v/>
      </c>
      <c r="T74" s="53" t="str">
        <f>IF('⚙ OFF Weekends'!$D$15="OFF","OFF","")</f>
        <v/>
      </c>
      <c r="U74" s="52" t="str">
        <f>IF('⚙ OFF Weekends'!$D$16="OFF","OFF","")</f>
        <v/>
      </c>
      <c r="V74" s="53" t="str">
        <f>IF('⚙ OFF Weekends'!$D$17="OFF","OFF","")</f>
        <v/>
      </c>
      <c r="W74" s="54" t="str">
        <f>IF('⚙ OFF Weekends'!$D$18="OFF","OFF","")</f>
        <v>OFF</v>
      </c>
      <c r="X74" s="53" t="str">
        <f>IF('⚙ OFF Weekends'!$D$19="OFF","OFF","")</f>
        <v/>
      </c>
      <c r="Y74" s="52" t="str">
        <f>IF('⚙ OFF Weekends'!$D$20="OFF","OFF","")</f>
        <v/>
      </c>
      <c r="Z74" s="53" t="str">
        <f>IF('⚙ OFF Weekends'!$D$21="OFF","OFF","")</f>
        <v/>
      </c>
      <c r="AA74" s="105" t="s">
        <v>290</v>
      </c>
      <c r="AB74" s="98" t="s">
        <v>37</v>
      </c>
      <c r="AC74" s="54" t="str">
        <f>IF('⚙ OFF Weekends'!$D$24="OFF","OFF","")</f>
        <v/>
      </c>
      <c r="AD74" s="56" t="str">
        <f>IF('⚙ OFF Weekends'!$D$25="OFF","OFF","")</f>
        <v/>
      </c>
      <c r="AE74" s="54" t="str">
        <f>IF('⚙ OFF Weekends'!$D$26="OFF","OFF","")</f>
        <v/>
      </c>
      <c r="AF74" s="56" t="str">
        <f>IF('⚙ OFF Weekends'!$D$27="OFF","OFF","")</f>
        <v/>
      </c>
      <c r="AG74" s="54" t="str">
        <f>IF('⚙ OFF Weekends'!$D$28="OFF","OFF","")</f>
        <v/>
      </c>
      <c r="AH74" s="56" t="str">
        <f>IF('⚙ OFF Weekends'!$D$29="OFF","OFF","")</f>
        <v/>
      </c>
      <c r="AI74" s="54" t="str">
        <f>IF('⚙ OFF Weekends'!$D$30="OFF","OFF","")</f>
        <v/>
      </c>
      <c r="AJ74" s="56" t="str">
        <f>IF('⚙ OFF Weekends'!$D$31="OFF","OFF","")</f>
        <v/>
      </c>
      <c r="AK74" s="54" t="str">
        <f>IF('⚙ OFF Weekends'!$D$32="OFF","OFF","")</f>
        <v/>
      </c>
      <c r="AL74" s="56" t="str">
        <f>IF('⚙ OFF Weekends'!$D$33="OFF","OFF","")</f>
        <v/>
      </c>
      <c r="AM74" s="54" t="str">
        <f>IF('⚙ OFF Weekends'!$D$34="OFF","OFF","")</f>
        <v/>
      </c>
      <c r="AN74" s="56" t="str">
        <f>IF('⚙ OFF Weekends'!$D$35="OFF","OFF","")</f>
        <v/>
      </c>
      <c r="AO74" s="54" t="str">
        <f>IF('⚙ OFF Weekends'!$D$36="OFF","OFF","")</f>
        <v/>
      </c>
      <c r="AP74" s="56" t="str">
        <f>IF('⚙ OFF Weekends'!$D$37="OFF","OFF","")</f>
        <v/>
      </c>
      <c r="AQ74" s="54" t="str">
        <f>IF('⚙ OFF Weekends'!$D$38="OFF","OFF","")</f>
        <v/>
      </c>
      <c r="AR74" s="56" t="str">
        <f>IF('⚙ OFF Weekends'!$D$39="OFF","OFF","")</f>
        <v/>
      </c>
      <c r="AS74" s="54" t="str">
        <f>IF('⚙ OFF Weekends'!$D$40="OFF","OFF","")</f>
        <v/>
      </c>
      <c r="AT74" s="56" t="str">
        <f>IF('⚙ OFF Weekends'!$D$41="OFF","OFF","")</f>
        <v/>
      </c>
      <c r="AU74" s="54" t="str">
        <f>IF('⚙ OFF Weekends'!$D$42="OFF","OFF","")</f>
        <v/>
      </c>
      <c r="AV74" s="56" t="str">
        <f>IF('⚙ OFF Weekends'!$D$43="OFF","OFF","")</f>
        <v/>
      </c>
      <c r="AW74" s="54" t="str">
        <f>IF('⚙ OFF Weekends'!$D$44="OFF","OFF","")</f>
        <v/>
      </c>
      <c r="AX74" s="56" t="str">
        <f>IF('⚙ OFF Weekends'!$D$45="OFF","OFF","")</f>
        <v/>
      </c>
      <c r="AY74" s="54" t="str">
        <f>IF('⚙ OFF Weekends'!$D$46="OFF","OFF","")</f>
        <v/>
      </c>
      <c r="AZ74" s="56" t="str">
        <f>IF('⚙ OFF Weekends'!$D$47="OFF","OFF","")</f>
        <v/>
      </c>
      <c r="BA74" s="54" t="str">
        <f>IF('⚙ OFF Weekends'!$D$48="OFF","OFF","")</f>
        <v/>
      </c>
      <c r="BB74" s="56" t="str">
        <f>IF('⚙ OFF Weekends'!$D$49="OFF","OFF","")</f>
        <v/>
      </c>
      <c r="BC74" s="54" t="str">
        <f>IF('⚙ OFF Weekends'!$D$50="OFF","OFF","")</f>
        <v/>
      </c>
      <c r="BD74" s="56" t="str">
        <f>IF('⚙ OFF Weekends'!$D$51="OFF","OFF","")</f>
        <v/>
      </c>
      <c r="BE74" s="54" t="str">
        <f>IF('⚙ OFF Weekends'!$D$52="OFF","OFF","")</f>
        <v/>
      </c>
      <c r="BF74" s="56" t="str">
        <f>IF('⚙ OFF Weekends'!$D$53="OFF","OFF","")</f>
        <v/>
      </c>
      <c r="BG74" s="54" t="str">
        <f>IF('⚙ OFF Weekends'!$D$54="OFF","OFF","")</f>
        <v/>
      </c>
      <c r="BH74" s="56" t="str">
        <f>IF('⚙ OFF Weekends'!$D$55="OFF","OFF","")</f>
        <v/>
      </c>
      <c r="BI74" s="54" t="str">
        <f>IF('⚙ OFF Weekends'!$D$56="OFF","OFF","")</f>
        <v/>
      </c>
      <c r="BJ74" s="56" t="str">
        <f>IF('⚙ OFF Weekends'!$D$57="OFF","OFF","")</f>
        <v/>
      </c>
      <c r="BK74" s="54" t="str">
        <f>IF('⚙ OFF Weekends'!$D$58="OFF","OFF","")</f>
        <v/>
      </c>
      <c r="BL74" s="56" t="str">
        <f>IF('⚙ OFF Weekends'!$D$59="OFF","OFF","")</f>
        <v/>
      </c>
      <c r="BM74" s="54" t="str">
        <f>IF('⚙ OFF Weekends'!$D$60="OFF","OFF","")</f>
        <v/>
      </c>
      <c r="BN74" s="56" t="str">
        <f>IF('⚙ OFF Weekends'!$D$61="OFF","OFF","")</f>
        <v/>
      </c>
      <c r="BO74" s="54" t="str">
        <f>IF('⚙ OFF Weekends'!$D$62="OFF","OFF","")</f>
        <v/>
      </c>
      <c r="BP74" s="56" t="str">
        <f>IF('⚙ OFF Weekends'!$D$63="OFF","OFF","")</f>
        <v/>
      </c>
      <c r="BQ74" s="54" t="str">
        <f>IF('⚙ OFF Weekends'!$D$64="OFF","OFF","")</f>
        <v/>
      </c>
      <c r="BR74" s="56" t="str">
        <f>IF('⚙ OFF Weekends'!$D$65="OFF","OFF","")</f>
        <v/>
      </c>
      <c r="BS74" s="54" t="str">
        <f>IF('⚙ OFF Weekends'!$D$66="OFF","OFF","")</f>
        <v/>
      </c>
      <c r="BT74" s="56" t="str">
        <f>IF('⚙ OFF Weekends'!$D$67="OFF","OFF","")</f>
        <v/>
      </c>
      <c r="BU74" s="54" t="str">
        <f>IF('⚙ OFF Weekends'!$D$68="OFF","OFF","")</f>
        <v/>
      </c>
      <c r="BV74" s="56" t="str">
        <f>IF('⚙ OFF Weekends'!$D$69="OFF","OFF","")</f>
        <v/>
      </c>
      <c r="BW74" s="54" t="str">
        <f>IF('⚙ OFF Weekends'!$D$70="OFF","OFF","")</f>
        <v/>
      </c>
      <c r="BX74" s="56" t="str">
        <f>IF('⚙ OFF Weekends'!$D$71="OFF","OFF","")</f>
        <v/>
      </c>
      <c r="BY74" s="54" t="str">
        <f>IF('⚙ OFF Weekends'!$D$72="OFF","OFF","")</f>
        <v/>
      </c>
      <c r="BZ74" s="56" t="str">
        <f>IF('⚙ OFF Weekends'!$D$73="OFF","OFF","")</f>
        <v/>
      </c>
      <c r="CA74" s="54" t="str">
        <f>IF('⚙ OFF Weekends'!$D$74="OFF","OFF","")</f>
        <v/>
      </c>
      <c r="CB74" s="56" t="str">
        <f>IF('⚙ OFF Weekends'!$D$75="OFF","OFF","")</f>
        <v/>
      </c>
      <c r="CC74" s="54" t="str">
        <f>IF('⚙ OFF Weekends'!$D$76="OFF","OFF","")</f>
        <v/>
      </c>
      <c r="CD74" s="56" t="str">
        <f>IF('⚙ OFF Weekends'!$D$77="OFF","OFF","")</f>
        <v/>
      </c>
      <c r="CE74" s="95">
        <f t="shared" si="15"/>
        <v>1</v>
      </c>
      <c r="CF74" s="95">
        <f t="shared" si="16"/>
        <v>0</v>
      </c>
      <c r="CG74" s="95">
        <f t="shared" si="17"/>
        <v>0</v>
      </c>
      <c r="CH74" s="95" t="str">
        <f t="shared" si="18"/>
        <v>100%</v>
      </c>
    </row>
    <row r="75" ht="18.0" customHeight="1">
      <c r="A75" s="107">
        <v>24.0</v>
      </c>
      <c r="B75" s="108"/>
      <c r="C75" s="108"/>
      <c r="D75" s="109" t="str">
        <f t="shared" si="13"/>
        <v/>
      </c>
      <c r="E75" s="110" t="str">
        <f t="shared" si="14"/>
        <v/>
      </c>
      <c r="F75" s="108"/>
      <c r="G75" s="108"/>
      <c r="H75" s="108"/>
      <c r="I75" s="111" t="str">
        <f>IF('⚙ OFF Weekends'!$D$4="OFF","OFF","")</f>
        <v/>
      </c>
      <c r="J75" s="111" t="str">
        <f>IF('⚙ OFF Weekends'!$D$5="OFF","OFF","")</f>
        <v/>
      </c>
      <c r="K75" s="111" t="str">
        <f>IF('⚙ OFF Weekends'!$D$6="OFF","OFF","")</f>
        <v/>
      </c>
      <c r="L75" s="111" t="str">
        <f>IF('⚙ OFF Weekends'!$D$7="OFF","OFF","")</f>
        <v/>
      </c>
      <c r="M75" s="111" t="str">
        <f>IF('⚙ OFF Weekends'!$D$8="OFF","OFF","")</f>
        <v/>
      </c>
      <c r="N75" s="111" t="str">
        <f>IF('⚙ OFF Weekends'!$D$9="OFF","OFF","")</f>
        <v/>
      </c>
      <c r="O75" s="111" t="str">
        <f>IF('⚙ OFF Weekends'!$D$10="OFF","OFF","")</f>
        <v/>
      </c>
      <c r="P75" s="111" t="str">
        <f>IF('⚙ OFF Weekends'!$D$11="OFF","OFF","")</f>
        <v/>
      </c>
      <c r="Q75" s="111" t="str">
        <f>IF('⚙ OFF Weekends'!$D$12="OFF","OFF","")</f>
        <v/>
      </c>
      <c r="R75" s="111" t="str">
        <f>IF('⚙ OFF Weekends'!$D$13="OFF","OFF","")</f>
        <v/>
      </c>
      <c r="S75" s="111" t="str">
        <f>IF('⚙ OFF Weekends'!$D$14="OFF","OFF","")</f>
        <v/>
      </c>
      <c r="T75" s="111" t="str">
        <f>IF('⚙ OFF Weekends'!$D$15="OFF","OFF","")</f>
        <v/>
      </c>
      <c r="U75" s="111" t="str">
        <f>IF('⚙ OFF Weekends'!$D$16="OFF","OFF","")</f>
        <v/>
      </c>
      <c r="V75" s="111" t="str">
        <f>IF('⚙ OFF Weekends'!$D$17="OFF","OFF","")</f>
        <v/>
      </c>
      <c r="W75" s="111" t="str">
        <f>IF('⚙ OFF Weekends'!$D$18="OFF","OFF","")</f>
        <v>OFF</v>
      </c>
      <c r="X75" s="111" t="str">
        <f>IF('⚙ OFF Weekends'!$D$19="OFF","OFF","")</f>
        <v/>
      </c>
      <c r="Y75" s="111" t="str">
        <f>IF('⚙ OFF Weekends'!$D$20="OFF","OFF","")</f>
        <v/>
      </c>
      <c r="Z75" s="111" t="str">
        <f>IF('⚙ OFF Weekends'!$D$21="OFF","OFF","")</f>
        <v/>
      </c>
      <c r="AA75" s="111" t="str">
        <f>IF('⚙ OFF Weekends'!$D$22="OFF","OFF","")</f>
        <v/>
      </c>
      <c r="AB75" s="111" t="str">
        <f>IF('⚙ OFF Weekends'!$D$23="OFF","OFF","")</f>
        <v/>
      </c>
      <c r="AC75" s="111" t="str">
        <f>IF('⚙ OFF Weekends'!$D$24="OFF","OFF","")</f>
        <v/>
      </c>
      <c r="AD75" s="111" t="str">
        <f>IF('⚙ OFF Weekends'!$D$25="OFF","OFF","")</f>
        <v/>
      </c>
      <c r="AE75" s="111" t="str">
        <f>IF('⚙ OFF Weekends'!$D$26="OFF","OFF","")</f>
        <v/>
      </c>
      <c r="AF75" s="111" t="str">
        <f>IF('⚙ OFF Weekends'!$D$27="OFF","OFF","")</f>
        <v/>
      </c>
      <c r="AG75" s="111" t="str">
        <f>IF('⚙ OFF Weekends'!$D$28="OFF","OFF","")</f>
        <v/>
      </c>
      <c r="AH75" s="111" t="str">
        <f>IF('⚙ OFF Weekends'!$D$29="OFF","OFF","")</f>
        <v/>
      </c>
      <c r="AI75" s="111" t="str">
        <f>IF('⚙ OFF Weekends'!$D$30="OFF","OFF","")</f>
        <v/>
      </c>
      <c r="AJ75" s="111" t="str">
        <f>IF('⚙ OFF Weekends'!$D$31="OFF","OFF","")</f>
        <v/>
      </c>
      <c r="AK75" s="111" t="str">
        <f>IF('⚙ OFF Weekends'!$D$32="OFF","OFF","")</f>
        <v/>
      </c>
      <c r="AL75" s="111" t="str">
        <f>IF('⚙ OFF Weekends'!$D$33="OFF","OFF","")</f>
        <v/>
      </c>
      <c r="AM75" s="111" t="str">
        <f>IF('⚙ OFF Weekends'!$D$34="OFF","OFF","")</f>
        <v/>
      </c>
      <c r="AN75" s="111" t="str">
        <f>IF('⚙ OFF Weekends'!$D$35="OFF","OFF","")</f>
        <v/>
      </c>
      <c r="AO75" s="111" t="str">
        <f>IF('⚙ OFF Weekends'!$D$36="OFF","OFF","")</f>
        <v/>
      </c>
      <c r="AP75" s="111" t="str">
        <f>IF('⚙ OFF Weekends'!$D$37="OFF","OFF","")</f>
        <v/>
      </c>
      <c r="AQ75" s="111" t="str">
        <f>IF('⚙ OFF Weekends'!$D$38="OFF","OFF","")</f>
        <v/>
      </c>
      <c r="AR75" s="111" t="str">
        <f>IF('⚙ OFF Weekends'!$D$39="OFF","OFF","")</f>
        <v/>
      </c>
      <c r="AS75" s="111" t="str">
        <f>IF('⚙ OFF Weekends'!$D$40="OFF","OFF","")</f>
        <v/>
      </c>
      <c r="AT75" s="111" t="str">
        <f>IF('⚙ OFF Weekends'!$D$41="OFF","OFF","")</f>
        <v/>
      </c>
      <c r="AU75" s="111" t="str">
        <f>IF('⚙ OFF Weekends'!$D$42="OFF","OFF","")</f>
        <v/>
      </c>
      <c r="AV75" s="111" t="str">
        <f>IF('⚙ OFF Weekends'!$D$43="OFF","OFF","")</f>
        <v/>
      </c>
      <c r="AW75" s="111" t="str">
        <f>IF('⚙ OFF Weekends'!$D$44="OFF","OFF","")</f>
        <v/>
      </c>
      <c r="AX75" s="111" t="str">
        <f>IF('⚙ OFF Weekends'!$D$45="OFF","OFF","")</f>
        <v/>
      </c>
      <c r="AY75" s="111" t="str">
        <f>IF('⚙ OFF Weekends'!$D$46="OFF","OFF","")</f>
        <v/>
      </c>
      <c r="AZ75" s="111" t="str">
        <f>IF('⚙ OFF Weekends'!$D$47="OFF","OFF","")</f>
        <v/>
      </c>
      <c r="BA75" s="111" t="str">
        <f>IF('⚙ OFF Weekends'!$D$48="OFF","OFF","")</f>
        <v/>
      </c>
      <c r="BB75" s="111" t="str">
        <f>IF('⚙ OFF Weekends'!$D$49="OFF","OFF","")</f>
        <v/>
      </c>
      <c r="BC75" s="111" t="str">
        <f>IF('⚙ OFF Weekends'!$D$50="OFF","OFF","")</f>
        <v/>
      </c>
      <c r="BD75" s="111" t="str">
        <f>IF('⚙ OFF Weekends'!$D$51="OFF","OFF","")</f>
        <v/>
      </c>
      <c r="BE75" s="111" t="str">
        <f>IF('⚙ OFF Weekends'!$D$52="OFF","OFF","")</f>
        <v/>
      </c>
      <c r="BF75" s="111" t="str">
        <f>IF('⚙ OFF Weekends'!$D$53="OFF","OFF","")</f>
        <v/>
      </c>
      <c r="BG75" s="111" t="str">
        <f>IF('⚙ OFF Weekends'!$D$54="OFF","OFF","")</f>
        <v/>
      </c>
      <c r="BH75" s="111" t="str">
        <f>IF('⚙ OFF Weekends'!$D$55="OFF","OFF","")</f>
        <v/>
      </c>
      <c r="BI75" s="111" t="str">
        <f>IF('⚙ OFF Weekends'!$D$56="OFF","OFF","")</f>
        <v/>
      </c>
      <c r="BJ75" s="111" t="str">
        <f>IF('⚙ OFF Weekends'!$D$57="OFF","OFF","")</f>
        <v/>
      </c>
      <c r="BK75" s="111" t="str">
        <f>IF('⚙ OFF Weekends'!$D$58="OFF","OFF","")</f>
        <v/>
      </c>
      <c r="BL75" s="111" t="str">
        <f>IF('⚙ OFF Weekends'!$D$59="OFF","OFF","")</f>
        <v/>
      </c>
      <c r="BM75" s="111" t="str">
        <f>IF('⚙ OFF Weekends'!$D$60="OFF","OFF","")</f>
        <v/>
      </c>
      <c r="BN75" s="111" t="str">
        <f>IF('⚙ OFF Weekends'!$D$61="OFF","OFF","")</f>
        <v/>
      </c>
      <c r="BO75" s="111" t="str">
        <f>IF('⚙ OFF Weekends'!$D$62="OFF","OFF","")</f>
        <v/>
      </c>
      <c r="BP75" s="111" t="str">
        <f>IF('⚙ OFF Weekends'!$D$63="OFF","OFF","")</f>
        <v/>
      </c>
      <c r="BQ75" s="111" t="str">
        <f>IF('⚙ OFF Weekends'!$D$64="OFF","OFF","")</f>
        <v/>
      </c>
      <c r="BR75" s="111" t="str">
        <f>IF('⚙ OFF Weekends'!$D$65="OFF","OFF","")</f>
        <v/>
      </c>
      <c r="BS75" s="111" t="str">
        <f>IF('⚙ OFF Weekends'!$D$66="OFF","OFF","")</f>
        <v/>
      </c>
      <c r="BT75" s="111" t="str">
        <f>IF('⚙ OFF Weekends'!$D$67="OFF","OFF","")</f>
        <v/>
      </c>
      <c r="BU75" s="111" t="str">
        <f>IF('⚙ OFF Weekends'!$D$68="OFF","OFF","")</f>
        <v/>
      </c>
      <c r="BV75" s="111" t="str">
        <f>IF('⚙ OFF Weekends'!$D$69="OFF","OFF","")</f>
        <v/>
      </c>
      <c r="BW75" s="111" t="str">
        <f>IF('⚙ OFF Weekends'!$D$70="OFF","OFF","")</f>
        <v/>
      </c>
      <c r="BX75" s="111" t="str">
        <f>IF('⚙ OFF Weekends'!$D$71="OFF","OFF","")</f>
        <v/>
      </c>
      <c r="BY75" s="111" t="str">
        <f>IF('⚙ OFF Weekends'!$D$72="OFF","OFF","")</f>
        <v/>
      </c>
      <c r="BZ75" s="111" t="str">
        <f>IF('⚙ OFF Weekends'!$D$73="OFF","OFF","")</f>
        <v/>
      </c>
      <c r="CA75" s="111" t="str">
        <f>IF('⚙ OFF Weekends'!$D$74="OFF","OFF","")</f>
        <v/>
      </c>
      <c r="CB75" s="111" t="str">
        <f>IF('⚙ OFF Weekends'!$D$75="OFF","OFF","")</f>
        <v/>
      </c>
      <c r="CC75" s="111" t="str">
        <f>IF('⚙ OFF Weekends'!$D$76="OFF","OFF","")</f>
        <v/>
      </c>
      <c r="CD75" s="111" t="str">
        <f>IF('⚙ OFF Weekends'!$D$77="OFF","OFF","")</f>
        <v/>
      </c>
      <c r="CE75" s="112">
        <f t="shared" si="15"/>
        <v>0</v>
      </c>
      <c r="CF75" s="112">
        <f t="shared" si="16"/>
        <v>0</v>
      </c>
      <c r="CG75" s="112">
        <f t="shared" si="17"/>
        <v>0</v>
      </c>
      <c r="CH75" s="112" t="str">
        <f t="shared" si="18"/>
        <v>0%</v>
      </c>
    </row>
    <row r="76" ht="18.0" customHeight="1">
      <c r="A76" s="107">
        <v>25.0</v>
      </c>
      <c r="B76" s="108"/>
      <c r="C76" s="108"/>
      <c r="D76" s="109" t="str">
        <f t="shared" si="13"/>
        <v/>
      </c>
      <c r="E76" s="110" t="str">
        <f t="shared" si="14"/>
        <v/>
      </c>
      <c r="F76" s="108"/>
      <c r="G76" s="108"/>
      <c r="H76" s="108"/>
      <c r="I76" s="111" t="str">
        <f>IF('⚙ OFF Weekends'!$D$4="OFF","OFF","")</f>
        <v/>
      </c>
      <c r="J76" s="111" t="str">
        <f>IF('⚙ OFF Weekends'!$D$5="OFF","OFF","")</f>
        <v/>
      </c>
      <c r="K76" s="111" t="str">
        <f>IF('⚙ OFF Weekends'!$D$6="OFF","OFF","")</f>
        <v/>
      </c>
      <c r="L76" s="111" t="str">
        <f>IF('⚙ OFF Weekends'!$D$7="OFF","OFF","")</f>
        <v/>
      </c>
      <c r="M76" s="111" t="str">
        <f>IF('⚙ OFF Weekends'!$D$8="OFF","OFF","")</f>
        <v/>
      </c>
      <c r="N76" s="111" t="str">
        <f>IF('⚙ OFF Weekends'!$D$9="OFF","OFF","")</f>
        <v/>
      </c>
      <c r="O76" s="111" t="str">
        <f>IF('⚙ OFF Weekends'!$D$10="OFF","OFF","")</f>
        <v/>
      </c>
      <c r="P76" s="111" t="str">
        <f>IF('⚙ OFF Weekends'!$D$11="OFF","OFF","")</f>
        <v/>
      </c>
      <c r="Q76" s="111" t="str">
        <f>IF('⚙ OFF Weekends'!$D$12="OFF","OFF","")</f>
        <v/>
      </c>
      <c r="R76" s="111" t="str">
        <f>IF('⚙ OFF Weekends'!$D$13="OFF","OFF","")</f>
        <v/>
      </c>
      <c r="S76" s="111" t="str">
        <f>IF('⚙ OFF Weekends'!$D$14="OFF","OFF","")</f>
        <v/>
      </c>
      <c r="T76" s="111" t="str">
        <f>IF('⚙ OFF Weekends'!$D$15="OFF","OFF","")</f>
        <v/>
      </c>
      <c r="U76" s="111" t="str">
        <f>IF('⚙ OFF Weekends'!$D$16="OFF","OFF","")</f>
        <v/>
      </c>
      <c r="V76" s="111" t="str">
        <f>IF('⚙ OFF Weekends'!$D$17="OFF","OFF","")</f>
        <v/>
      </c>
      <c r="W76" s="111" t="str">
        <f>IF('⚙ OFF Weekends'!$D$18="OFF","OFF","")</f>
        <v>OFF</v>
      </c>
      <c r="X76" s="111" t="str">
        <f>IF('⚙ OFF Weekends'!$D$19="OFF","OFF","")</f>
        <v/>
      </c>
      <c r="Y76" s="111" t="str">
        <f>IF('⚙ OFF Weekends'!$D$20="OFF","OFF","")</f>
        <v/>
      </c>
      <c r="Z76" s="111" t="str">
        <f>IF('⚙ OFF Weekends'!$D$21="OFF","OFF","")</f>
        <v/>
      </c>
      <c r="AA76" s="111" t="str">
        <f>IF('⚙ OFF Weekends'!$D$22="OFF","OFF","")</f>
        <v/>
      </c>
      <c r="AB76" s="111" t="str">
        <f>IF('⚙ OFF Weekends'!$D$23="OFF","OFF","")</f>
        <v/>
      </c>
      <c r="AC76" s="111" t="str">
        <f>IF('⚙ OFF Weekends'!$D$24="OFF","OFF","")</f>
        <v/>
      </c>
      <c r="AD76" s="111" t="str">
        <f>IF('⚙ OFF Weekends'!$D$25="OFF","OFF","")</f>
        <v/>
      </c>
      <c r="AE76" s="111" t="str">
        <f>IF('⚙ OFF Weekends'!$D$26="OFF","OFF","")</f>
        <v/>
      </c>
      <c r="AF76" s="111" t="str">
        <f>IF('⚙ OFF Weekends'!$D$27="OFF","OFF","")</f>
        <v/>
      </c>
      <c r="AG76" s="111" t="str">
        <f>IF('⚙ OFF Weekends'!$D$28="OFF","OFF","")</f>
        <v/>
      </c>
      <c r="AH76" s="111" t="str">
        <f>IF('⚙ OFF Weekends'!$D$29="OFF","OFF","")</f>
        <v/>
      </c>
      <c r="AI76" s="111" t="str">
        <f>IF('⚙ OFF Weekends'!$D$30="OFF","OFF","")</f>
        <v/>
      </c>
      <c r="AJ76" s="111" t="str">
        <f>IF('⚙ OFF Weekends'!$D$31="OFF","OFF","")</f>
        <v/>
      </c>
      <c r="AK76" s="111" t="str">
        <f>IF('⚙ OFF Weekends'!$D$32="OFF","OFF","")</f>
        <v/>
      </c>
      <c r="AL76" s="111" t="str">
        <f>IF('⚙ OFF Weekends'!$D$33="OFF","OFF","")</f>
        <v/>
      </c>
      <c r="AM76" s="111" t="str">
        <f>IF('⚙ OFF Weekends'!$D$34="OFF","OFF","")</f>
        <v/>
      </c>
      <c r="AN76" s="111" t="str">
        <f>IF('⚙ OFF Weekends'!$D$35="OFF","OFF","")</f>
        <v/>
      </c>
      <c r="AO76" s="111" t="str">
        <f>IF('⚙ OFF Weekends'!$D$36="OFF","OFF","")</f>
        <v/>
      </c>
      <c r="AP76" s="111" t="str">
        <f>IF('⚙ OFF Weekends'!$D$37="OFF","OFF","")</f>
        <v/>
      </c>
      <c r="AQ76" s="111" t="str">
        <f>IF('⚙ OFF Weekends'!$D$38="OFF","OFF","")</f>
        <v/>
      </c>
      <c r="AR76" s="111" t="str">
        <f>IF('⚙ OFF Weekends'!$D$39="OFF","OFF","")</f>
        <v/>
      </c>
      <c r="AS76" s="111" t="str">
        <f>IF('⚙ OFF Weekends'!$D$40="OFF","OFF","")</f>
        <v/>
      </c>
      <c r="AT76" s="111" t="str">
        <f>IF('⚙ OFF Weekends'!$D$41="OFF","OFF","")</f>
        <v/>
      </c>
      <c r="AU76" s="111" t="str">
        <f>IF('⚙ OFF Weekends'!$D$42="OFF","OFF","")</f>
        <v/>
      </c>
      <c r="AV76" s="111" t="str">
        <f>IF('⚙ OFF Weekends'!$D$43="OFF","OFF","")</f>
        <v/>
      </c>
      <c r="AW76" s="111" t="str">
        <f>IF('⚙ OFF Weekends'!$D$44="OFF","OFF","")</f>
        <v/>
      </c>
      <c r="AX76" s="111" t="str">
        <f>IF('⚙ OFF Weekends'!$D$45="OFF","OFF","")</f>
        <v/>
      </c>
      <c r="AY76" s="111" t="str">
        <f>IF('⚙ OFF Weekends'!$D$46="OFF","OFF","")</f>
        <v/>
      </c>
      <c r="AZ76" s="111" t="str">
        <f>IF('⚙ OFF Weekends'!$D$47="OFF","OFF","")</f>
        <v/>
      </c>
      <c r="BA76" s="111" t="str">
        <f>IF('⚙ OFF Weekends'!$D$48="OFF","OFF","")</f>
        <v/>
      </c>
      <c r="BB76" s="111" t="str">
        <f>IF('⚙ OFF Weekends'!$D$49="OFF","OFF","")</f>
        <v/>
      </c>
      <c r="BC76" s="111" t="str">
        <f>IF('⚙ OFF Weekends'!$D$50="OFF","OFF","")</f>
        <v/>
      </c>
      <c r="BD76" s="111" t="str">
        <f>IF('⚙ OFF Weekends'!$D$51="OFF","OFF","")</f>
        <v/>
      </c>
      <c r="BE76" s="111" t="str">
        <f>IF('⚙ OFF Weekends'!$D$52="OFF","OFF","")</f>
        <v/>
      </c>
      <c r="BF76" s="111" t="str">
        <f>IF('⚙ OFF Weekends'!$D$53="OFF","OFF","")</f>
        <v/>
      </c>
      <c r="BG76" s="111" t="str">
        <f>IF('⚙ OFF Weekends'!$D$54="OFF","OFF","")</f>
        <v/>
      </c>
      <c r="BH76" s="111" t="str">
        <f>IF('⚙ OFF Weekends'!$D$55="OFF","OFF","")</f>
        <v/>
      </c>
      <c r="BI76" s="111" t="str">
        <f>IF('⚙ OFF Weekends'!$D$56="OFF","OFF","")</f>
        <v/>
      </c>
      <c r="BJ76" s="111" t="str">
        <f>IF('⚙ OFF Weekends'!$D$57="OFF","OFF","")</f>
        <v/>
      </c>
      <c r="BK76" s="111" t="str">
        <f>IF('⚙ OFF Weekends'!$D$58="OFF","OFF","")</f>
        <v/>
      </c>
      <c r="BL76" s="111" t="str">
        <f>IF('⚙ OFF Weekends'!$D$59="OFF","OFF","")</f>
        <v/>
      </c>
      <c r="BM76" s="111" t="str">
        <f>IF('⚙ OFF Weekends'!$D$60="OFF","OFF","")</f>
        <v/>
      </c>
      <c r="BN76" s="111" t="str">
        <f>IF('⚙ OFF Weekends'!$D$61="OFF","OFF","")</f>
        <v/>
      </c>
      <c r="BO76" s="111" t="str">
        <f>IF('⚙ OFF Weekends'!$D$62="OFF","OFF","")</f>
        <v/>
      </c>
      <c r="BP76" s="111" t="str">
        <f>IF('⚙ OFF Weekends'!$D$63="OFF","OFF","")</f>
        <v/>
      </c>
      <c r="BQ76" s="111" t="str">
        <f>IF('⚙ OFF Weekends'!$D$64="OFF","OFF","")</f>
        <v/>
      </c>
      <c r="BR76" s="111" t="str">
        <f>IF('⚙ OFF Weekends'!$D$65="OFF","OFF","")</f>
        <v/>
      </c>
      <c r="BS76" s="111" t="str">
        <f>IF('⚙ OFF Weekends'!$D$66="OFF","OFF","")</f>
        <v/>
      </c>
      <c r="BT76" s="111" t="str">
        <f>IF('⚙ OFF Weekends'!$D$67="OFF","OFF","")</f>
        <v/>
      </c>
      <c r="BU76" s="111" t="str">
        <f>IF('⚙ OFF Weekends'!$D$68="OFF","OFF","")</f>
        <v/>
      </c>
      <c r="BV76" s="111" t="str">
        <f>IF('⚙ OFF Weekends'!$D$69="OFF","OFF","")</f>
        <v/>
      </c>
      <c r="BW76" s="111" t="str">
        <f>IF('⚙ OFF Weekends'!$D$70="OFF","OFF","")</f>
        <v/>
      </c>
      <c r="BX76" s="111" t="str">
        <f>IF('⚙ OFF Weekends'!$D$71="OFF","OFF","")</f>
        <v/>
      </c>
      <c r="BY76" s="111" t="str">
        <f>IF('⚙ OFF Weekends'!$D$72="OFF","OFF","")</f>
        <v/>
      </c>
      <c r="BZ76" s="111" t="str">
        <f>IF('⚙ OFF Weekends'!$D$73="OFF","OFF","")</f>
        <v/>
      </c>
      <c r="CA76" s="111" t="str">
        <f>IF('⚙ OFF Weekends'!$D$74="OFF","OFF","")</f>
        <v/>
      </c>
      <c r="CB76" s="111" t="str">
        <f>IF('⚙ OFF Weekends'!$D$75="OFF","OFF","")</f>
        <v/>
      </c>
      <c r="CC76" s="111" t="str">
        <f>IF('⚙ OFF Weekends'!$D$76="OFF","OFF","")</f>
        <v/>
      </c>
      <c r="CD76" s="111" t="str">
        <f>IF('⚙ OFF Weekends'!$D$77="OFF","OFF","")</f>
        <v/>
      </c>
      <c r="CE76" s="112">
        <f t="shared" si="15"/>
        <v>0</v>
      </c>
      <c r="CF76" s="112">
        <f t="shared" si="16"/>
        <v>0</v>
      </c>
      <c r="CG76" s="112">
        <f t="shared" si="17"/>
        <v>0</v>
      </c>
      <c r="CH76" s="112" t="str">
        <f t="shared" si="18"/>
        <v>0%</v>
      </c>
    </row>
    <row r="77" ht="18.0" customHeight="1">
      <c r="A77" s="107">
        <v>26.0</v>
      </c>
      <c r="B77" s="108"/>
      <c r="C77" s="108"/>
      <c r="D77" s="109" t="str">
        <f t="shared" si="13"/>
        <v/>
      </c>
      <c r="E77" s="110" t="str">
        <f t="shared" si="14"/>
        <v/>
      </c>
      <c r="F77" s="108"/>
      <c r="G77" s="108"/>
      <c r="H77" s="108"/>
      <c r="I77" s="111" t="str">
        <f>IF('⚙ OFF Weekends'!$D$4="OFF","OFF","")</f>
        <v/>
      </c>
      <c r="J77" s="111" t="str">
        <f>IF('⚙ OFF Weekends'!$D$5="OFF","OFF","")</f>
        <v/>
      </c>
      <c r="K77" s="111" t="str">
        <f>IF('⚙ OFF Weekends'!$D$6="OFF","OFF","")</f>
        <v/>
      </c>
      <c r="L77" s="111" t="str">
        <f>IF('⚙ OFF Weekends'!$D$7="OFF","OFF","")</f>
        <v/>
      </c>
      <c r="M77" s="111" t="str">
        <f>IF('⚙ OFF Weekends'!$D$8="OFF","OFF","")</f>
        <v/>
      </c>
      <c r="N77" s="111" t="str">
        <f>IF('⚙ OFF Weekends'!$D$9="OFF","OFF","")</f>
        <v/>
      </c>
      <c r="O77" s="111" t="str">
        <f>IF('⚙ OFF Weekends'!$D$10="OFF","OFF","")</f>
        <v/>
      </c>
      <c r="P77" s="111" t="str">
        <f>IF('⚙ OFF Weekends'!$D$11="OFF","OFF","")</f>
        <v/>
      </c>
      <c r="Q77" s="111" t="str">
        <f>IF('⚙ OFF Weekends'!$D$12="OFF","OFF","")</f>
        <v/>
      </c>
      <c r="R77" s="111" t="str">
        <f>IF('⚙ OFF Weekends'!$D$13="OFF","OFF","")</f>
        <v/>
      </c>
      <c r="S77" s="111" t="str">
        <f>IF('⚙ OFF Weekends'!$D$14="OFF","OFF","")</f>
        <v/>
      </c>
      <c r="T77" s="111" t="str">
        <f>IF('⚙ OFF Weekends'!$D$15="OFF","OFF","")</f>
        <v/>
      </c>
      <c r="U77" s="111" t="str">
        <f>IF('⚙ OFF Weekends'!$D$16="OFF","OFF","")</f>
        <v/>
      </c>
      <c r="V77" s="111" t="str">
        <f>IF('⚙ OFF Weekends'!$D$17="OFF","OFF","")</f>
        <v/>
      </c>
      <c r="W77" s="111" t="str">
        <f>IF('⚙ OFF Weekends'!$D$18="OFF","OFF","")</f>
        <v>OFF</v>
      </c>
      <c r="X77" s="111" t="str">
        <f>IF('⚙ OFF Weekends'!$D$19="OFF","OFF","")</f>
        <v/>
      </c>
      <c r="Y77" s="111" t="str">
        <f>IF('⚙ OFF Weekends'!$D$20="OFF","OFF","")</f>
        <v/>
      </c>
      <c r="Z77" s="111" t="str">
        <f>IF('⚙ OFF Weekends'!$D$21="OFF","OFF","")</f>
        <v/>
      </c>
      <c r="AA77" s="111" t="str">
        <f>IF('⚙ OFF Weekends'!$D$22="OFF","OFF","")</f>
        <v/>
      </c>
      <c r="AB77" s="111" t="str">
        <f>IF('⚙ OFF Weekends'!$D$23="OFF","OFF","")</f>
        <v/>
      </c>
      <c r="AC77" s="111" t="str">
        <f>IF('⚙ OFF Weekends'!$D$24="OFF","OFF","")</f>
        <v/>
      </c>
      <c r="AD77" s="111" t="str">
        <f>IF('⚙ OFF Weekends'!$D$25="OFF","OFF","")</f>
        <v/>
      </c>
      <c r="AE77" s="111" t="str">
        <f>IF('⚙ OFF Weekends'!$D$26="OFF","OFF","")</f>
        <v/>
      </c>
      <c r="AF77" s="111" t="str">
        <f>IF('⚙ OFF Weekends'!$D$27="OFF","OFF","")</f>
        <v/>
      </c>
      <c r="AG77" s="111" t="str">
        <f>IF('⚙ OFF Weekends'!$D$28="OFF","OFF","")</f>
        <v/>
      </c>
      <c r="AH77" s="111" t="str">
        <f>IF('⚙ OFF Weekends'!$D$29="OFF","OFF","")</f>
        <v/>
      </c>
      <c r="AI77" s="111" t="str">
        <f>IF('⚙ OFF Weekends'!$D$30="OFF","OFF","")</f>
        <v/>
      </c>
      <c r="AJ77" s="111" t="str">
        <f>IF('⚙ OFF Weekends'!$D$31="OFF","OFF","")</f>
        <v/>
      </c>
      <c r="AK77" s="111" t="str">
        <f>IF('⚙ OFF Weekends'!$D$32="OFF","OFF","")</f>
        <v/>
      </c>
      <c r="AL77" s="111" t="str">
        <f>IF('⚙ OFF Weekends'!$D$33="OFF","OFF","")</f>
        <v/>
      </c>
      <c r="AM77" s="111" t="str">
        <f>IF('⚙ OFF Weekends'!$D$34="OFF","OFF","")</f>
        <v/>
      </c>
      <c r="AN77" s="111" t="str">
        <f>IF('⚙ OFF Weekends'!$D$35="OFF","OFF","")</f>
        <v/>
      </c>
      <c r="AO77" s="111" t="str">
        <f>IF('⚙ OFF Weekends'!$D$36="OFF","OFF","")</f>
        <v/>
      </c>
      <c r="AP77" s="111" t="str">
        <f>IF('⚙ OFF Weekends'!$D$37="OFF","OFF","")</f>
        <v/>
      </c>
      <c r="AQ77" s="111" t="str">
        <f>IF('⚙ OFF Weekends'!$D$38="OFF","OFF","")</f>
        <v/>
      </c>
      <c r="AR77" s="111" t="str">
        <f>IF('⚙ OFF Weekends'!$D$39="OFF","OFF","")</f>
        <v/>
      </c>
      <c r="AS77" s="111" t="str">
        <f>IF('⚙ OFF Weekends'!$D$40="OFF","OFF","")</f>
        <v/>
      </c>
      <c r="AT77" s="111" t="str">
        <f>IF('⚙ OFF Weekends'!$D$41="OFF","OFF","")</f>
        <v/>
      </c>
      <c r="AU77" s="111" t="str">
        <f>IF('⚙ OFF Weekends'!$D$42="OFF","OFF","")</f>
        <v/>
      </c>
      <c r="AV77" s="111" t="str">
        <f>IF('⚙ OFF Weekends'!$D$43="OFF","OFF","")</f>
        <v/>
      </c>
      <c r="AW77" s="111" t="str">
        <f>IF('⚙ OFF Weekends'!$D$44="OFF","OFF","")</f>
        <v/>
      </c>
      <c r="AX77" s="111" t="str">
        <f>IF('⚙ OFF Weekends'!$D$45="OFF","OFF","")</f>
        <v/>
      </c>
      <c r="AY77" s="111" t="str">
        <f>IF('⚙ OFF Weekends'!$D$46="OFF","OFF","")</f>
        <v/>
      </c>
      <c r="AZ77" s="111" t="str">
        <f>IF('⚙ OFF Weekends'!$D$47="OFF","OFF","")</f>
        <v/>
      </c>
      <c r="BA77" s="111" t="str">
        <f>IF('⚙ OFF Weekends'!$D$48="OFF","OFF","")</f>
        <v/>
      </c>
      <c r="BB77" s="111" t="str">
        <f>IF('⚙ OFF Weekends'!$D$49="OFF","OFF","")</f>
        <v/>
      </c>
      <c r="BC77" s="111" t="str">
        <f>IF('⚙ OFF Weekends'!$D$50="OFF","OFF","")</f>
        <v/>
      </c>
      <c r="BD77" s="111" t="str">
        <f>IF('⚙ OFF Weekends'!$D$51="OFF","OFF","")</f>
        <v/>
      </c>
      <c r="BE77" s="111" t="str">
        <f>IF('⚙ OFF Weekends'!$D$52="OFF","OFF","")</f>
        <v/>
      </c>
      <c r="BF77" s="111" t="str">
        <f>IF('⚙ OFF Weekends'!$D$53="OFF","OFF","")</f>
        <v/>
      </c>
      <c r="BG77" s="111" t="str">
        <f>IF('⚙ OFF Weekends'!$D$54="OFF","OFF","")</f>
        <v/>
      </c>
      <c r="BH77" s="111" t="str">
        <f>IF('⚙ OFF Weekends'!$D$55="OFF","OFF","")</f>
        <v/>
      </c>
      <c r="BI77" s="111" t="str">
        <f>IF('⚙ OFF Weekends'!$D$56="OFF","OFF","")</f>
        <v/>
      </c>
      <c r="BJ77" s="111" t="str">
        <f>IF('⚙ OFF Weekends'!$D$57="OFF","OFF","")</f>
        <v/>
      </c>
      <c r="BK77" s="111" t="str">
        <f>IF('⚙ OFF Weekends'!$D$58="OFF","OFF","")</f>
        <v/>
      </c>
      <c r="BL77" s="111" t="str">
        <f>IF('⚙ OFF Weekends'!$D$59="OFF","OFF","")</f>
        <v/>
      </c>
      <c r="BM77" s="111" t="str">
        <f>IF('⚙ OFF Weekends'!$D$60="OFF","OFF","")</f>
        <v/>
      </c>
      <c r="BN77" s="111" t="str">
        <f>IF('⚙ OFF Weekends'!$D$61="OFF","OFF","")</f>
        <v/>
      </c>
      <c r="BO77" s="111" t="str">
        <f>IF('⚙ OFF Weekends'!$D$62="OFF","OFF","")</f>
        <v/>
      </c>
      <c r="BP77" s="111" t="str">
        <f>IF('⚙ OFF Weekends'!$D$63="OFF","OFF","")</f>
        <v/>
      </c>
      <c r="BQ77" s="111" t="str">
        <f>IF('⚙ OFF Weekends'!$D$64="OFF","OFF","")</f>
        <v/>
      </c>
      <c r="BR77" s="111" t="str">
        <f>IF('⚙ OFF Weekends'!$D$65="OFF","OFF","")</f>
        <v/>
      </c>
      <c r="BS77" s="111" t="str">
        <f>IF('⚙ OFF Weekends'!$D$66="OFF","OFF","")</f>
        <v/>
      </c>
      <c r="BT77" s="111" t="str">
        <f>IF('⚙ OFF Weekends'!$D$67="OFF","OFF","")</f>
        <v/>
      </c>
      <c r="BU77" s="111" t="str">
        <f>IF('⚙ OFF Weekends'!$D$68="OFF","OFF","")</f>
        <v/>
      </c>
      <c r="BV77" s="111" t="str">
        <f>IF('⚙ OFF Weekends'!$D$69="OFF","OFF","")</f>
        <v/>
      </c>
      <c r="BW77" s="111" t="str">
        <f>IF('⚙ OFF Weekends'!$D$70="OFF","OFF","")</f>
        <v/>
      </c>
      <c r="BX77" s="111" t="str">
        <f>IF('⚙ OFF Weekends'!$D$71="OFF","OFF","")</f>
        <v/>
      </c>
      <c r="BY77" s="111" t="str">
        <f>IF('⚙ OFF Weekends'!$D$72="OFF","OFF","")</f>
        <v/>
      </c>
      <c r="BZ77" s="111" t="str">
        <f>IF('⚙ OFF Weekends'!$D$73="OFF","OFF","")</f>
        <v/>
      </c>
      <c r="CA77" s="111" t="str">
        <f>IF('⚙ OFF Weekends'!$D$74="OFF","OFF","")</f>
        <v/>
      </c>
      <c r="CB77" s="111" t="str">
        <f>IF('⚙ OFF Weekends'!$D$75="OFF","OFF","")</f>
        <v/>
      </c>
      <c r="CC77" s="111" t="str">
        <f>IF('⚙ OFF Weekends'!$D$76="OFF","OFF","")</f>
        <v/>
      </c>
      <c r="CD77" s="111" t="str">
        <f>IF('⚙ OFF Weekends'!$D$77="OFF","OFF","")</f>
        <v/>
      </c>
      <c r="CE77" s="112">
        <f t="shared" si="15"/>
        <v>0</v>
      </c>
      <c r="CF77" s="112">
        <f t="shared" si="16"/>
        <v>0</v>
      </c>
      <c r="CG77" s="112">
        <f t="shared" si="17"/>
        <v>0</v>
      </c>
      <c r="CH77" s="112" t="str">
        <f t="shared" si="18"/>
        <v>0%</v>
      </c>
    </row>
    <row r="78" ht="18.0" customHeight="1">
      <c r="A78" s="107">
        <v>27.0</v>
      </c>
      <c r="B78" s="108"/>
      <c r="C78" s="108"/>
      <c r="D78" s="109" t="str">
        <f t="shared" si="13"/>
        <v/>
      </c>
      <c r="E78" s="110" t="str">
        <f t="shared" si="14"/>
        <v/>
      </c>
      <c r="F78" s="108"/>
      <c r="G78" s="108"/>
      <c r="H78" s="108"/>
      <c r="I78" s="111" t="str">
        <f>IF('⚙ OFF Weekends'!$D$4="OFF","OFF","")</f>
        <v/>
      </c>
      <c r="J78" s="111" t="str">
        <f>IF('⚙ OFF Weekends'!$D$5="OFF","OFF","")</f>
        <v/>
      </c>
      <c r="K78" s="111" t="str">
        <f>IF('⚙ OFF Weekends'!$D$6="OFF","OFF","")</f>
        <v/>
      </c>
      <c r="L78" s="111" t="str">
        <f>IF('⚙ OFF Weekends'!$D$7="OFF","OFF","")</f>
        <v/>
      </c>
      <c r="M78" s="111" t="str">
        <f>IF('⚙ OFF Weekends'!$D$8="OFF","OFF","")</f>
        <v/>
      </c>
      <c r="N78" s="111" t="str">
        <f>IF('⚙ OFF Weekends'!$D$9="OFF","OFF","")</f>
        <v/>
      </c>
      <c r="O78" s="111" t="str">
        <f>IF('⚙ OFF Weekends'!$D$10="OFF","OFF","")</f>
        <v/>
      </c>
      <c r="P78" s="111" t="str">
        <f>IF('⚙ OFF Weekends'!$D$11="OFF","OFF","")</f>
        <v/>
      </c>
      <c r="Q78" s="111" t="str">
        <f>IF('⚙ OFF Weekends'!$D$12="OFF","OFF","")</f>
        <v/>
      </c>
      <c r="R78" s="111" t="str">
        <f>IF('⚙ OFF Weekends'!$D$13="OFF","OFF","")</f>
        <v/>
      </c>
      <c r="S78" s="111" t="str">
        <f>IF('⚙ OFF Weekends'!$D$14="OFF","OFF","")</f>
        <v/>
      </c>
      <c r="T78" s="111" t="str">
        <f>IF('⚙ OFF Weekends'!$D$15="OFF","OFF","")</f>
        <v/>
      </c>
      <c r="U78" s="111" t="str">
        <f>IF('⚙ OFF Weekends'!$D$16="OFF","OFF","")</f>
        <v/>
      </c>
      <c r="V78" s="111" t="str">
        <f>IF('⚙ OFF Weekends'!$D$17="OFF","OFF","")</f>
        <v/>
      </c>
      <c r="W78" s="111" t="str">
        <f>IF('⚙ OFF Weekends'!$D$18="OFF","OFF","")</f>
        <v>OFF</v>
      </c>
      <c r="X78" s="111" t="str">
        <f>IF('⚙ OFF Weekends'!$D$19="OFF","OFF","")</f>
        <v/>
      </c>
      <c r="Y78" s="111" t="str">
        <f>IF('⚙ OFF Weekends'!$D$20="OFF","OFF","")</f>
        <v/>
      </c>
      <c r="Z78" s="111" t="str">
        <f>IF('⚙ OFF Weekends'!$D$21="OFF","OFF","")</f>
        <v/>
      </c>
      <c r="AA78" s="111" t="str">
        <f>IF('⚙ OFF Weekends'!$D$22="OFF","OFF","")</f>
        <v/>
      </c>
      <c r="AB78" s="111" t="str">
        <f>IF('⚙ OFF Weekends'!$D$23="OFF","OFF","")</f>
        <v/>
      </c>
      <c r="AC78" s="111" t="str">
        <f>IF('⚙ OFF Weekends'!$D$24="OFF","OFF","")</f>
        <v/>
      </c>
      <c r="AD78" s="111" t="str">
        <f>IF('⚙ OFF Weekends'!$D$25="OFF","OFF","")</f>
        <v/>
      </c>
      <c r="AE78" s="111" t="str">
        <f>IF('⚙ OFF Weekends'!$D$26="OFF","OFF","")</f>
        <v/>
      </c>
      <c r="AF78" s="111" t="str">
        <f>IF('⚙ OFF Weekends'!$D$27="OFF","OFF","")</f>
        <v/>
      </c>
      <c r="AG78" s="111" t="str">
        <f>IF('⚙ OFF Weekends'!$D$28="OFF","OFF","")</f>
        <v/>
      </c>
      <c r="AH78" s="111" t="str">
        <f>IF('⚙ OFF Weekends'!$D$29="OFF","OFF","")</f>
        <v/>
      </c>
      <c r="AI78" s="111" t="str">
        <f>IF('⚙ OFF Weekends'!$D$30="OFF","OFF","")</f>
        <v/>
      </c>
      <c r="AJ78" s="111" t="str">
        <f>IF('⚙ OFF Weekends'!$D$31="OFF","OFF","")</f>
        <v/>
      </c>
      <c r="AK78" s="111" t="str">
        <f>IF('⚙ OFF Weekends'!$D$32="OFF","OFF","")</f>
        <v/>
      </c>
      <c r="AL78" s="111" t="str">
        <f>IF('⚙ OFF Weekends'!$D$33="OFF","OFF","")</f>
        <v/>
      </c>
      <c r="AM78" s="111" t="str">
        <f>IF('⚙ OFF Weekends'!$D$34="OFF","OFF","")</f>
        <v/>
      </c>
      <c r="AN78" s="111" t="str">
        <f>IF('⚙ OFF Weekends'!$D$35="OFF","OFF","")</f>
        <v/>
      </c>
      <c r="AO78" s="111" t="str">
        <f>IF('⚙ OFF Weekends'!$D$36="OFF","OFF","")</f>
        <v/>
      </c>
      <c r="AP78" s="111" t="str">
        <f>IF('⚙ OFF Weekends'!$D$37="OFF","OFF","")</f>
        <v/>
      </c>
      <c r="AQ78" s="111" t="str">
        <f>IF('⚙ OFF Weekends'!$D$38="OFF","OFF","")</f>
        <v/>
      </c>
      <c r="AR78" s="111" t="str">
        <f>IF('⚙ OFF Weekends'!$D$39="OFF","OFF","")</f>
        <v/>
      </c>
      <c r="AS78" s="111" t="str">
        <f>IF('⚙ OFF Weekends'!$D$40="OFF","OFF","")</f>
        <v/>
      </c>
      <c r="AT78" s="111" t="str">
        <f>IF('⚙ OFF Weekends'!$D$41="OFF","OFF","")</f>
        <v/>
      </c>
      <c r="AU78" s="111" t="str">
        <f>IF('⚙ OFF Weekends'!$D$42="OFF","OFF","")</f>
        <v/>
      </c>
      <c r="AV78" s="111" t="str">
        <f>IF('⚙ OFF Weekends'!$D$43="OFF","OFF","")</f>
        <v/>
      </c>
      <c r="AW78" s="111" t="str">
        <f>IF('⚙ OFF Weekends'!$D$44="OFF","OFF","")</f>
        <v/>
      </c>
      <c r="AX78" s="111" t="str">
        <f>IF('⚙ OFF Weekends'!$D$45="OFF","OFF","")</f>
        <v/>
      </c>
      <c r="AY78" s="111" t="str">
        <f>IF('⚙ OFF Weekends'!$D$46="OFF","OFF","")</f>
        <v/>
      </c>
      <c r="AZ78" s="111" t="str">
        <f>IF('⚙ OFF Weekends'!$D$47="OFF","OFF","")</f>
        <v/>
      </c>
      <c r="BA78" s="111" t="str">
        <f>IF('⚙ OFF Weekends'!$D$48="OFF","OFF","")</f>
        <v/>
      </c>
      <c r="BB78" s="111" t="str">
        <f>IF('⚙ OFF Weekends'!$D$49="OFF","OFF","")</f>
        <v/>
      </c>
      <c r="BC78" s="111" t="str">
        <f>IF('⚙ OFF Weekends'!$D$50="OFF","OFF","")</f>
        <v/>
      </c>
      <c r="BD78" s="111" t="str">
        <f>IF('⚙ OFF Weekends'!$D$51="OFF","OFF","")</f>
        <v/>
      </c>
      <c r="BE78" s="111" t="str">
        <f>IF('⚙ OFF Weekends'!$D$52="OFF","OFF","")</f>
        <v/>
      </c>
      <c r="BF78" s="111" t="str">
        <f>IF('⚙ OFF Weekends'!$D$53="OFF","OFF","")</f>
        <v/>
      </c>
      <c r="BG78" s="111" t="str">
        <f>IF('⚙ OFF Weekends'!$D$54="OFF","OFF","")</f>
        <v/>
      </c>
      <c r="BH78" s="111" t="str">
        <f>IF('⚙ OFF Weekends'!$D$55="OFF","OFF","")</f>
        <v/>
      </c>
      <c r="BI78" s="111" t="str">
        <f>IF('⚙ OFF Weekends'!$D$56="OFF","OFF","")</f>
        <v/>
      </c>
      <c r="BJ78" s="111" t="str">
        <f>IF('⚙ OFF Weekends'!$D$57="OFF","OFF","")</f>
        <v/>
      </c>
      <c r="BK78" s="111" t="str">
        <f>IF('⚙ OFF Weekends'!$D$58="OFF","OFF","")</f>
        <v/>
      </c>
      <c r="BL78" s="111" t="str">
        <f>IF('⚙ OFF Weekends'!$D$59="OFF","OFF","")</f>
        <v/>
      </c>
      <c r="BM78" s="111" t="str">
        <f>IF('⚙ OFF Weekends'!$D$60="OFF","OFF","")</f>
        <v/>
      </c>
      <c r="BN78" s="111" t="str">
        <f>IF('⚙ OFF Weekends'!$D$61="OFF","OFF","")</f>
        <v/>
      </c>
      <c r="BO78" s="111" t="str">
        <f>IF('⚙ OFF Weekends'!$D$62="OFF","OFF","")</f>
        <v/>
      </c>
      <c r="BP78" s="111" t="str">
        <f>IF('⚙ OFF Weekends'!$D$63="OFF","OFF","")</f>
        <v/>
      </c>
      <c r="BQ78" s="111" t="str">
        <f>IF('⚙ OFF Weekends'!$D$64="OFF","OFF","")</f>
        <v/>
      </c>
      <c r="BR78" s="111" t="str">
        <f>IF('⚙ OFF Weekends'!$D$65="OFF","OFF","")</f>
        <v/>
      </c>
      <c r="BS78" s="111" t="str">
        <f>IF('⚙ OFF Weekends'!$D$66="OFF","OFF","")</f>
        <v/>
      </c>
      <c r="BT78" s="111" t="str">
        <f>IF('⚙ OFF Weekends'!$D$67="OFF","OFF","")</f>
        <v/>
      </c>
      <c r="BU78" s="111" t="str">
        <f>IF('⚙ OFF Weekends'!$D$68="OFF","OFF","")</f>
        <v/>
      </c>
      <c r="BV78" s="111" t="str">
        <f>IF('⚙ OFF Weekends'!$D$69="OFF","OFF","")</f>
        <v/>
      </c>
      <c r="BW78" s="111" t="str">
        <f>IF('⚙ OFF Weekends'!$D$70="OFF","OFF","")</f>
        <v/>
      </c>
      <c r="BX78" s="111" t="str">
        <f>IF('⚙ OFF Weekends'!$D$71="OFF","OFF","")</f>
        <v/>
      </c>
      <c r="BY78" s="111" t="str">
        <f>IF('⚙ OFF Weekends'!$D$72="OFF","OFF","")</f>
        <v/>
      </c>
      <c r="BZ78" s="111" t="str">
        <f>IF('⚙ OFF Weekends'!$D$73="OFF","OFF","")</f>
        <v/>
      </c>
      <c r="CA78" s="111" t="str">
        <f>IF('⚙ OFF Weekends'!$D$74="OFF","OFF","")</f>
        <v/>
      </c>
      <c r="CB78" s="111" t="str">
        <f>IF('⚙ OFF Weekends'!$D$75="OFF","OFF","")</f>
        <v/>
      </c>
      <c r="CC78" s="111" t="str">
        <f>IF('⚙ OFF Weekends'!$D$76="OFF","OFF","")</f>
        <v/>
      </c>
      <c r="CD78" s="111" t="str">
        <f>IF('⚙ OFF Weekends'!$D$77="OFF","OFF","")</f>
        <v/>
      </c>
      <c r="CE78" s="112">
        <f t="shared" si="15"/>
        <v>0</v>
      </c>
      <c r="CF78" s="112">
        <f t="shared" si="16"/>
        <v>0</v>
      </c>
      <c r="CG78" s="112">
        <f t="shared" si="17"/>
        <v>0</v>
      </c>
      <c r="CH78" s="112" t="str">
        <f t="shared" si="18"/>
        <v>0%</v>
      </c>
    </row>
    <row r="79" ht="15.0" customHeight="1">
      <c r="A79" s="113" t="str">
        <f>"Group Strength: "&amp;COUNTA(B52:B78)</f>
        <v>Group Strength: 23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3"/>
    </row>
    <row r="80" ht="4.5" customHeight="1">
      <c r="A80" s="11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3"/>
    </row>
    <row r="81" ht="19.5" customHeight="1">
      <c r="A81" s="8" t="s">
        <v>494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3"/>
    </row>
    <row r="82" ht="18.0" customHeight="1">
      <c r="A82" s="95">
        <v>1.0</v>
      </c>
      <c r="B82" s="12" t="s">
        <v>495</v>
      </c>
      <c r="C82" s="14" t="s">
        <v>496</v>
      </c>
      <c r="D82" s="17" t="str">
        <f t="shared" ref="D82:D104" si="19">IF(C82&lt;&gt;"",HYPERLINK("tel:"&amp;SUBSTITUTE(SUBSTITUTE(C82," ",""),"+","+"),"📞 Call"),"")</f>
        <v>📞 Call</v>
      </c>
      <c r="E82" s="19" t="str">
        <f t="shared" ref="E82:E104" si="20">IF(C82&lt;&gt;"",HYPERLINK("https://wa.me/"&amp;SUBSTITUTE(SUBSTITUTE(C82,"+","")," ",""),"💬 WhatsApp"),"")</f>
        <v>💬 WhatsApp</v>
      </c>
      <c r="F82" s="10"/>
      <c r="G82" s="10" t="s">
        <v>420</v>
      </c>
      <c r="H82" s="10"/>
      <c r="I82" s="79" t="s">
        <v>223</v>
      </c>
      <c r="J82" s="79" t="s">
        <v>223</v>
      </c>
      <c r="K82" s="49" t="s">
        <v>197</v>
      </c>
      <c r="L82" s="48" t="s">
        <v>196</v>
      </c>
      <c r="M82" s="79" t="s">
        <v>223</v>
      </c>
      <c r="N82" s="79" t="s">
        <v>223</v>
      </c>
      <c r="O82" s="79" t="s">
        <v>223</v>
      </c>
      <c r="P82" s="77" t="s">
        <v>198</v>
      </c>
      <c r="Q82" s="77" t="s">
        <v>198</v>
      </c>
      <c r="R82" s="77" t="s">
        <v>198</v>
      </c>
      <c r="S82" s="52" t="s">
        <v>198</v>
      </c>
      <c r="T82" s="53" t="s">
        <v>198</v>
      </c>
      <c r="U82" s="52" t="s">
        <v>198</v>
      </c>
      <c r="V82" s="53" t="s">
        <v>198</v>
      </c>
      <c r="W82" s="52" t="s">
        <v>198</v>
      </c>
      <c r="X82" s="53" t="s">
        <v>198</v>
      </c>
      <c r="Y82" s="52" t="s">
        <v>223</v>
      </c>
      <c r="Z82" s="53" t="s">
        <v>223</v>
      </c>
      <c r="AA82" s="52" t="s">
        <v>223</v>
      </c>
      <c r="AB82" s="53" t="s">
        <v>296</v>
      </c>
      <c r="AC82" s="53" t="s">
        <v>296</v>
      </c>
      <c r="AD82" s="53" t="s">
        <v>296</v>
      </c>
      <c r="AE82" s="53" t="s">
        <v>296</v>
      </c>
      <c r="AF82" s="53" t="s">
        <v>296</v>
      </c>
      <c r="AG82" s="53" t="s">
        <v>296</v>
      </c>
      <c r="AH82" s="53" t="s">
        <v>296</v>
      </c>
      <c r="AI82" s="53" t="s">
        <v>296</v>
      </c>
      <c r="AJ82" s="53" t="s">
        <v>296</v>
      </c>
      <c r="AK82" s="53" t="s">
        <v>296</v>
      </c>
      <c r="AL82" s="53" t="s">
        <v>296</v>
      </c>
      <c r="AM82" s="53" t="s">
        <v>296</v>
      </c>
      <c r="AN82" s="53" t="s">
        <v>296</v>
      </c>
      <c r="AO82" s="53" t="s">
        <v>296</v>
      </c>
      <c r="AP82" s="53" t="s">
        <v>296</v>
      </c>
      <c r="AQ82" s="53" t="s">
        <v>296</v>
      </c>
      <c r="AR82" s="53" t="s">
        <v>296</v>
      </c>
      <c r="AS82" s="53" t="s">
        <v>296</v>
      </c>
      <c r="AT82" s="53" t="s">
        <v>296</v>
      </c>
      <c r="AU82" s="53" t="s">
        <v>296</v>
      </c>
      <c r="AV82" s="53" t="s">
        <v>296</v>
      </c>
      <c r="AW82" s="53" t="s">
        <v>296</v>
      </c>
      <c r="AX82" s="53" t="s">
        <v>296</v>
      </c>
      <c r="AY82" s="53" t="s">
        <v>296</v>
      </c>
      <c r="AZ82" s="53" t="s">
        <v>296</v>
      </c>
      <c r="BA82" s="53" t="s">
        <v>296</v>
      </c>
      <c r="BB82" s="53" t="s">
        <v>296</v>
      </c>
      <c r="BC82" s="53" t="s">
        <v>296</v>
      </c>
      <c r="BD82" s="53" t="s">
        <v>296</v>
      </c>
      <c r="BE82" s="53" t="s">
        <v>296</v>
      </c>
      <c r="BF82" s="53" t="s">
        <v>296</v>
      </c>
      <c r="BG82" s="53" t="s">
        <v>296</v>
      </c>
      <c r="BH82" s="53" t="s">
        <v>296</v>
      </c>
      <c r="BI82" s="53" t="s">
        <v>296</v>
      </c>
      <c r="BJ82" s="53" t="s">
        <v>296</v>
      </c>
      <c r="BK82" s="53" t="s">
        <v>296</v>
      </c>
      <c r="BL82" s="53" t="s">
        <v>296</v>
      </c>
      <c r="BM82" s="53" t="s">
        <v>296</v>
      </c>
      <c r="BN82" s="53" t="s">
        <v>296</v>
      </c>
      <c r="BO82" s="53" t="s">
        <v>296</v>
      </c>
      <c r="BP82" s="53" t="s">
        <v>296</v>
      </c>
      <c r="BQ82" s="53" t="s">
        <v>296</v>
      </c>
      <c r="BR82" s="53" t="s">
        <v>296</v>
      </c>
      <c r="BS82" s="53" t="s">
        <v>296</v>
      </c>
      <c r="BT82" s="53" t="s">
        <v>296</v>
      </c>
      <c r="BU82" s="53" t="s">
        <v>296</v>
      </c>
      <c r="BV82" s="53" t="s">
        <v>296</v>
      </c>
      <c r="BW82" s="53" t="s">
        <v>296</v>
      </c>
      <c r="BX82" s="53" t="s">
        <v>296</v>
      </c>
      <c r="BY82" s="53" t="s">
        <v>296</v>
      </c>
      <c r="BZ82" s="53" t="s">
        <v>296</v>
      </c>
      <c r="CA82" s="53" t="s">
        <v>296</v>
      </c>
      <c r="CB82" s="53" t="s">
        <v>296</v>
      </c>
      <c r="CC82" s="53" t="s">
        <v>296</v>
      </c>
      <c r="CD82" s="53" t="s">
        <v>296</v>
      </c>
      <c r="CE82" s="95">
        <f t="shared" ref="CE82:CE104" si="21">COUNTIF(I82:CD82,"Present")+COUNTIF(I82:CD82,"Late")</f>
        <v>1</v>
      </c>
      <c r="CF82" s="95">
        <f t="shared" ref="CF82:CF104" si="22">COUNTIF(I82:CD82,"Absent")</f>
        <v>8</v>
      </c>
      <c r="CG82" s="95">
        <f t="shared" ref="CG82:CG104" si="23">COUNTIF(I82:CD82,"Leave")</f>
        <v>9</v>
      </c>
      <c r="CH82" s="95" t="str">
        <f t="shared" ref="CH82:CH104" si="24">IF(CE82+CF82=0,"0%",TEXT(CE82/(CE82+CF82),"0%"))</f>
        <v>11%</v>
      </c>
    </row>
    <row r="83" ht="18.0" customHeight="1">
      <c r="A83" s="96">
        <v>2.0</v>
      </c>
      <c r="B83" s="22" t="s">
        <v>280</v>
      </c>
      <c r="C83" s="23" t="s">
        <v>502</v>
      </c>
      <c r="D83" s="24" t="str">
        <f t="shared" si="19"/>
        <v>📞 Call</v>
      </c>
      <c r="E83" s="41" t="str">
        <f t="shared" si="20"/>
        <v>💬 WhatsApp</v>
      </c>
      <c r="F83" s="20"/>
      <c r="G83" s="20" t="s">
        <v>420</v>
      </c>
      <c r="H83" s="20"/>
      <c r="I83" s="79" t="s">
        <v>223</v>
      </c>
      <c r="J83" s="79" t="s">
        <v>223</v>
      </c>
      <c r="K83" s="49" t="s">
        <v>197</v>
      </c>
      <c r="L83" s="77" t="s">
        <v>198</v>
      </c>
      <c r="M83" s="77" t="s">
        <v>198</v>
      </c>
      <c r="N83" s="77" t="s">
        <v>198</v>
      </c>
      <c r="O83" s="79" t="s">
        <v>223</v>
      </c>
      <c r="P83" s="79" t="s">
        <v>223</v>
      </c>
      <c r="Q83" s="50" t="s">
        <v>37</v>
      </c>
      <c r="R83" s="79" t="s">
        <v>223</v>
      </c>
      <c r="S83" s="52" t="s">
        <v>198</v>
      </c>
      <c r="T83" s="53" t="s">
        <v>198</v>
      </c>
      <c r="U83" s="52" t="s">
        <v>223</v>
      </c>
      <c r="V83" s="53" t="s">
        <v>223</v>
      </c>
      <c r="W83" s="54" t="str">
        <f>IF('⚙ OFF Weekends'!$D$18="OFF","OFF","")</f>
        <v>OFF</v>
      </c>
      <c r="X83" s="53" t="s">
        <v>223</v>
      </c>
      <c r="Y83" s="52" t="s">
        <v>223</v>
      </c>
      <c r="Z83" s="53" t="s">
        <v>223</v>
      </c>
      <c r="AA83" s="52" t="s">
        <v>223</v>
      </c>
      <c r="AB83" s="53" t="s">
        <v>223</v>
      </c>
      <c r="AC83" s="53" t="s">
        <v>296</v>
      </c>
      <c r="AD83" s="53" t="s">
        <v>296</v>
      </c>
      <c r="AE83" s="53" t="s">
        <v>296</v>
      </c>
      <c r="AF83" s="53" t="s">
        <v>296</v>
      </c>
      <c r="AG83" s="53" t="s">
        <v>296</v>
      </c>
      <c r="AH83" s="53" t="s">
        <v>296</v>
      </c>
      <c r="AI83" s="53" t="s">
        <v>296</v>
      </c>
      <c r="AJ83" s="53" t="s">
        <v>296</v>
      </c>
      <c r="AK83" s="53" t="s">
        <v>296</v>
      </c>
      <c r="AL83" s="53" t="s">
        <v>296</v>
      </c>
      <c r="AM83" s="53" t="s">
        <v>296</v>
      </c>
      <c r="AN83" s="53" t="s">
        <v>296</v>
      </c>
      <c r="AO83" s="53" t="s">
        <v>296</v>
      </c>
      <c r="AP83" s="53" t="s">
        <v>296</v>
      </c>
      <c r="AQ83" s="53" t="s">
        <v>296</v>
      </c>
      <c r="AR83" s="53" t="s">
        <v>296</v>
      </c>
      <c r="AS83" s="53" t="s">
        <v>296</v>
      </c>
      <c r="AT83" s="53" t="s">
        <v>296</v>
      </c>
      <c r="AU83" s="53" t="s">
        <v>296</v>
      </c>
      <c r="AV83" s="53" t="s">
        <v>296</v>
      </c>
      <c r="AW83" s="53" t="s">
        <v>296</v>
      </c>
      <c r="AX83" s="53" t="s">
        <v>296</v>
      </c>
      <c r="AY83" s="53" t="s">
        <v>296</v>
      </c>
      <c r="AZ83" s="53" t="s">
        <v>296</v>
      </c>
      <c r="BA83" s="53" t="s">
        <v>296</v>
      </c>
      <c r="BB83" s="53" t="s">
        <v>296</v>
      </c>
      <c r="BC83" s="53" t="s">
        <v>296</v>
      </c>
      <c r="BD83" s="53" t="s">
        <v>296</v>
      </c>
      <c r="BE83" s="53" t="s">
        <v>296</v>
      </c>
      <c r="BF83" s="53" t="s">
        <v>296</v>
      </c>
      <c r="BG83" s="53" t="s">
        <v>296</v>
      </c>
      <c r="BH83" s="53" t="s">
        <v>296</v>
      </c>
      <c r="BI83" s="53" t="s">
        <v>296</v>
      </c>
      <c r="BJ83" s="53" t="s">
        <v>296</v>
      </c>
      <c r="BK83" s="53" t="s">
        <v>296</v>
      </c>
      <c r="BL83" s="53" t="s">
        <v>296</v>
      </c>
      <c r="BM83" s="53" t="s">
        <v>296</v>
      </c>
      <c r="BN83" s="53" t="s">
        <v>296</v>
      </c>
      <c r="BO83" s="53" t="s">
        <v>296</v>
      </c>
      <c r="BP83" s="53" t="s">
        <v>296</v>
      </c>
      <c r="BQ83" s="53" t="s">
        <v>296</v>
      </c>
      <c r="BR83" s="53" t="s">
        <v>296</v>
      </c>
      <c r="BS83" s="53" t="s">
        <v>296</v>
      </c>
      <c r="BT83" s="53" t="s">
        <v>296</v>
      </c>
      <c r="BU83" s="53" t="s">
        <v>296</v>
      </c>
      <c r="BV83" s="53" t="s">
        <v>296</v>
      </c>
      <c r="BW83" s="53" t="s">
        <v>296</v>
      </c>
      <c r="BX83" s="53" t="s">
        <v>296</v>
      </c>
      <c r="BY83" s="53" t="s">
        <v>296</v>
      </c>
      <c r="BZ83" s="53" t="s">
        <v>296</v>
      </c>
      <c r="CA83" s="53" t="s">
        <v>296</v>
      </c>
      <c r="CB83" s="53" t="s">
        <v>296</v>
      </c>
      <c r="CC83" s="53" t="s">
        <v>296</v>
      </c>
      <c r="CD83" s="53" t="s">
        <v>296</v>
      </c>
      <c r="CE83" s="96">
        <f t="shared" si="21"/>
        <v>1</v>
      </c>
      <c r="CF83" s="96">
        <f t="shared" si="22"/>
        <v>12</v>
      </c>
      <c r="CG83" s="96">
        <f t="shared" si="23"/>
        <v>5</v>
      </c>
      <c r="CH83" s="96" t="str">
        <f t="shared" si="24"/>
        <v>8%</v>
      </c>
    </row>
    <row r="84" ht="18.0" customHeight="1">
      <c r="A84" s="95">
        <v>3.0</v>
      </c>
      <c r="B84" s="12" t="s">
        <v>505</v>
      </c>
      <c r="C84" s="14" t="s">
        <v>506</v>
      </c>
      <c r="D84" s="17" t="str">
        <f t="shared" si="19"/>
        <v>📞 Call</v>
      </c>
      <c r="E84" s="19" t="str">
        <f t="shared" si="20"/>
        <v>💬 WhatsApp</v>
      </c>
      <c r="F84" s="10"/>
      <c r="G84" s="10" t="s">
        <v>420</v>
      </c>
      <c r="H84" s="10" t="s">
        <v>299</v>
      </c>
      <c r="I84" s="79" t="s">
        <v>223</v>
      </c>
      <c r="J84" s="48" t="s">
        <v>196</v>
      </c>
      <c r="K84" s="49" t="s">
        <v>197</v>
      </c>
      <c r="L84" s="48" t="s">
        <v>196</v>
      </c>
      <c r="M84" s="50" t="s">
        <v>37</v>
      </c>
      <c r="N84" s="48" t="s">
        <v>196</v>
      </c>
      <c r="O84" s="50" t="s">
        <v>37</v>
      </c>
      <c r="P84" s="48" t="s">
        <v>196</v>
      </c>
      <c r="Q84" s="50" t="s">
        <v>37</v>
      </c>
      <c r="R84" s="50" t="s">
        <v>37</v>
      </c>
      <c r="S84" s="52" t="s">
        <v>198</v>
      </c>
      <c r="T84" s="53" t="s">
        <v>196</v>
      </c>
      <c r="U84" s="52" t="s">
        <v>37</v>
      </c>
      <c r="V84" s="53" t="s">
        <v>37</v>
      </c>
      <c r="W84" s="54" t="str">
        <f>IF('⚙ OFF Weekends'!$D$18="OFF","OFF","")</f>
        <v>OFF</v>
      </c>
      <c r="X84" s="53" t="s">
        <v>37</v>
      </c>
      <c r="Y84" s="52" t="s">
        <v>37</v>
      </c>
      <c r="Z84" s="53" t="s">
        <v>223</v>
      </c>
      <c r="AA84" s="52" t="s">
        <v>37</v>
      </c>
      <c r="AB84" s="53" t="s">
        <v>223</v>
      </c>
      <c r="AC84" s="54" t="str">
        <f>IF('⚙ OFF Weekends'!$D$24="OFF","OFF","")</f>
        <v/>
      </c>
      <c r="AD84" s="56" t="str">
        <f>IF('⚙ OFF Weekends'!$D$25="OFF","OFF","")</f>
        <v/>
      </c>
      <c r="AE84" s="54" t="str">
        <f>IF('⚙ OFF Weekends'!$D$26="OFF","OFF","")</f>
        <v/>
      </c>
      <c r="AF84" s="56" t="str">
        <f>IF('⚙ OFF Weekends'!$D$27="OFF","OFF","")</f>
        <v/>
      </c>
      <c r="AG84" s="54" t="str">
        <f>IF('⚙ OFF Weekends'!$D$28="OFF","OFF","")</f>
        <v/>
      </c>
      <c r="AH84" s="56" t="str">
        <f>IF('⚙ OFF Weekends'!$D$29="OFF","OFF","")</f>
        <v/>
      </c>
      <c r="AI84" s="54" t="str">
        <f>IF('⚙ OFF Weekends'!$D$30="OFF","OFF","")</f>
        <v/>
      </c>
      <c r="AJ84" s="56" t="str">
        <f>IF('⚙ OFF Weekends'!$D$31="OFF","OFF","")</f>
        <v/>
      </c>
      <c r="AK84" s="54" t="str">
        <f>IF('⚙ OFF Weekends'!$D$32="OFF","OFF","")</f>
        <v/>
      </c>
      <c r="AL84" s="56" t="str">
        <f>IF('⚙ OFF Weekends'!$D$33="OFF","OFF","")</f>
        <v/>
      </c>
      <c r="AM84" s="54" t="str">
        <f>IF('⚙ OFF Weekends'!$D$34="OFF","OFF","")</f>
        <v/>
      </c>
      <c r="AN84" s="56" t="str">
        <f>IF('⚙ OFF Weekends'!$D$35="OFF","OFF","")</f>
        <v/>
      </c>
      <c r="AO84" s="54" t="str">
        <f>IF('⚙ OFF Weekends'!$D$36="OFF","OFF","")</f>
        <v/>
      </c>
      <c r="AP84" s="56" t="str">
        <f>IF('⚙ OFF Weekends'!$D$37="OFF","OFF","")</f>
        <v/>
      </c>
      <c r="AQ84" s="54" t="str">
        <f>IF('⚙ OFF Weekends'!$D$38="OFF","OFF","")</f>
        <v/>
      </c>
      <c r="AR84" s="56" t="str">
        <f>IF('⚙ OFF Weekends'!$D$39="OFF","OFF","")</f>
        <v/>
      </c>
      <c r="AS84" s="54" t="str">
        <f>IF('⚙ OFF Weekends'!$D$40="OFF","OFF","")</f>
        <v/>
      </c>
      <c r="AT84" s="56" t="str">
        <f>IF('⚙ OFF Weekends'!$D$41="OFF","OFF","")</f>
        <v/>
      </c>
      <c r="AU84" s="54" t="str">
        <f>IF('⚙ OFF Weekends'!$D$42="OFF","OFF","")</f>
        <v/>
      </c>
      <c r="AV84" s="56" t="str">
        <f>IF('⚙ OFF Weekends'!$D$43="OFF","OFF","")</f>
        <v/>
      </c>
      <c r="AW84" s="54" t="str">
        <f>IF('⚙ OFF Weekends'!$D$44="OFF","OFF","")</f>
        <v/>
      </c>
      <c r="AX84" s="56" t="str">
        <f>IF('⚙ OFF Weekends'!$D$45="OFF","OFF","")</f>
        <v/>
      </c>
      <c r="AY84" s="54" t="str">
        <f>IF('⚙ OFF Weekends'!$D$46="OFF","OFF","")</f>
        <v/>
      </c>
      <c r="AZ84" s="56" t="str">
        <f>IF('⚙ OFF Weekends'!$D$47="OFF","OFF","")</f>
        <v/>
      </c>
      <c r="BA84" s="54" t="str">
        <f>IF('⚙ OFF Weekends'!$D$48="OFF","OFF","")</f>
        <v/>
      </c>
      <c r="BB84" s="56" t="str">
        <f>IF('⚙ OFF Weekends'!$D$49="OFF","OFF","")</f>
        <v/>
      </c>
      <c r="BC84" s="54" t="str">
        <f>IF('⚙ OFF Weekends'!$D$50="OFF","OFF","")</f>
        <v/>
      </c>
      <c r="BD84" s="56" t="str">
        <f>IF('⚙ OFF Weekends'!$D$51="OFF","OFF","")</f>
        <v/>
      </c>
      <c r="BE84" s="54" t="str">
        <f>IF('⚙ OFF Weekends'!$D$52="OFF","OFF","")</f>
        <v/>
      </c>
      <c r="BF84" s="56" t="str">
        <f>IF('⚙ OFF Weekends'!$D$53="OFF","OFF","")</f>
        <v/>
      </c>
      <c r="BG84" s="54" t="str">
        <f>IF('⚙ OFF Weekends'!$D$54="OFF","OFF","")</f>
        <v/>
      </c>
      <c r="BH84" s="56" t="str">
        <f>IF('⚙ OFF Weekends'!$D$55="OFF","OFF","")</f>
        <v/>
      </c>
      <c r="BI84" s="54" t="str">
        <f>IF('⚙ OFF Weekends'!$D$56="OFF","OFF","")</f>
        <v/>
      </c>
      <c r="BJ84" s="56" t="str">
        <f>IF('⚙ OFF Weekends'!$D$57="OFF","OFF","")</f>
        <v/>
      </c>
      <c r="BK84" s="54" t="str">
        <f>IF('⚙ OFF Weekends'!$D$58="OFF","OFF","")</f>
        <v/>
      </c>
      <c r="BL84" s="56" t="str">
        <f>IF('⚙ OFF Weekends'!$D$59="OFF","OFF","")</f>
        <v/>
      </c>
      <c r="BM84" s="54" t="str">
        <f>IF('⚙ OFF Weekends'!$D$60="OFF","OFF","")</f>
        <v/>
      </c>
      <c r="BN84" s="56" t="str">
        <f>IF('⚙ OFF Weekends'!$D$61="OFF","OFF","")</f>
        <v/>
      </c>
      <c r="BO84" s="54" t="str">
        <f>IF('⚙ OFF Weekends'!$D$62="OFF","OFF","")</f>
        <v/>
      </c>
      <c r="BP84" s="56" t="str">
        <f>IF('⚙ OFF Weekends'!$D$63="OFF","OFF","")</f>
        <v/>
      </c>
      <c r="BQ84" s="54" t="str">
        <f>IF('⚙ OFF Weekends'!$D$64="OFF","OFF","")</f>
        <v/>
      </c>
      <c r="BR84" s="56" t="str">
        <f>IF('⚙ OFF Weekends'!$D$65="OFF","OFF","")</f>
        <v/>
      </c>
      <c r="BS84" s="54" t="str">
        <f>IF('⚙ OFF Weekends'!$D$66="OFF","OFF","")</f>
        <v/>
      </c>
      <c r="BT84" s="56" t="str">
        <f>IF('⚙ OFF Weekends'!$D$67="OFF","OFF","")</f>
        <v/>
      </c>
      <c r="BU84" s="54" t="str">
        <f>IF('⚙ OFF Weekends'!$D$68="OFF","OFF","")</f>
        <v/>
      </c>
      <c r="BV84" s="56" t="str">
        <f>IF('⚙ OFF Weekends'!$D$69="OFF","OFF","")</f>
        <v/>
      </c>
      <c r="BW84" s="54" t="str">
        <f>IF('⚙ OFF Weekends'!$D$70="OFF","OFF","")</f>
        <v/>
      </c>
      <c r="BX84" s="56" t="str">
        <f>IF('⚙ OFF Weekends'!$D$71="OFF","OFF","")</f>
        <v/>
      </c>
      <c r="BY84" s="54" t="str">
        <f>IF('⚙ OFF Weekends'!$D$72="OFF","OFF","")</f>
        <v/>
      </c>
      <c r="BZ84" s="56" t="str">
        <f>IF('⚙ OFF Weekends'!$D$73="OFF","OFF","")</f>
        <v/>
      </c>
      <c r="CA84" s="54" t="str">
        <f>IF('⚙ OFF Weekends'!$D$74="OFF","OFF","")</f>
        <v/>
      </c>
      <c r="CB84" s="56" t="str">
        <f>IF('⚙ OFF Weekends'!$D$75="OFF","OFF","")</f>
        <v/>
      </c>
      <c r="CC84" s="54" t="str">
        <f>IF('⚙ OFF Weekends'!$D$76="OFF","OFF","")</f>
        <v/>
      </c>
      <c r="CD84" s="56" t="str">
        <f>IF('⚙ OFF Weekends'!$D$77="OFF","OFF","")</f>
        <v/>
      </c>
      <c r="CE84" s="95">
        <f t="shared" si="21"/>
        <v>14</v>
      </c>
      <c r="CF84" s="95">
        <f t="shared" si="22"/>
        <v>3</v>
      </c>
      <c r="CG84" s="95">
        <f t="shared" si="23"/>
        <v>1</v>
      </c>
      <c r="CH84" s="95" t="str">
        <f t="shared" si="24"/>
        <v>82%</v>
      </c>
    </row>
    <row r="85" ht="18.0" customHeight="1">
      <c r="A85" s="96">
        <v>4.0</v>
      </c>
      <c r="B85" s="22" t="s">
        <v>508</v>
      </c>
      <c r="C85" s="23" t="s">
        <v>509</v>
      </c>
      <c r="D85" s="24" t="str">
        <f t="shared" si="19"/>
        <v>📞 Call</v>
      </c>
      <c r="E85" s="41" t="str">
        <f t="shared" si="20"/>
        <v>💬 WhatsApp</v>
      </c>
      <c r="F85" s="20"/>
      <c r="G85" s="20" t="s">
        <v>420</v>
      </c>
      <c r="H85" s="20" t="s">
        <v>299</v>
      </c>
      <c r="I85" s="48" t="s">
        <v>196</v>
      </c>
      <c r="J85" s="48" t="s">
        <v>196</v>
      </c>
      <c r="K85" s="49" t="s">
        <v>197</v>
      </c>
      <c r="L85" s="48" t="s">
        <v>196</v>
      </c>
      <c r="M85" s="48" t="s">
        <v>196</v>
      </c>
      <c r="N85" s="48" t="s">
        <v>196</v>
      </c>
      <c r="O85" s="50" t="s">
        <v>37</v>
      </c>
      <c r="P85" s="48" t="s">
        <v>196</v>
      </c>
      <c r="Q85" s="48" t="s">
        <v>196</v>
      </c>
      <c r="R85" s="48" t="s">
        <v>196</v>
      </c>
      <c r="S85" s="52" t="s">
        <v>196</v>
      </c>
      <c r="T85" s="53" t="s">
        <v>196</v>
      </c>
      <c r="U85" s="52" t="s">
        <v>196</v>
      </c>
      <c r="V85" s="53" t="s">
        <v>198</v>
      </c>
      <c r="W85" s="54" t="str">
        <f>IF('⚙ OFF Weekends'!$D$18="OFF","OFF","")</f>
        <v>OFF</v>
      </c>
      <c r="X85" s="53" t="s">
        <v>37</v>
      </c>
      <c r="Y85" s="52" t="s">
        <v>198</v>
      </c>
      <c r="Z85" s="53" t="s">
        <v>196</v>
      </c>
      <c r="AA85" s="52" t="s">
        <v>223</v>
      </c>
      <c r="AB85" s="53" t="s">
        <v>37</v>
      </c>
      <c r="AC85" s="54" t="str">
        <f>IF('⚙ OFF Weekends'!$D$24="OFF","OFF","")</f>
        <v/>
      </c>
      <c r="AD85" s="56" t="str">
        <f>IF('⚙ OFF Weekends'!$D$25="OFF","OFF","")</f>
        <v/>
      </c>
      <c r="AE85" s="54" t="str">
        <f>IF('⚙ OFF Weekends'!$D$26="OFF","OFF","")</f>
        <v/>
      </c>
      <c r="AF85" s="56" t="str">
        <f>IF('⚙ OFF Weekends'!$D$27="OFF","OFF","")</f>
        <v/>
      </c>
      <c r="AG85" s="54" t="str">
        <f>IF('⚙ OFF Weekends'!$D$28="OFF","OFF","")</f>
        <v/>
      </c>
      <c r="AH85" s="56" t="str">
        <f>IF('⚙ OFF Weekends'!$D$29="OFF","OFF","")</f>
        <v/>
      </c>
      <c r="AI85" s="54" t="str">
        <f>IF('⚙ OFF Weekends'!$D$30="OFF","OFF","")</f>
        <v/>
      </c>
      <c r="AJ85" s="56" t="str">
        <f>IF('⚙ OFF Weekends'!$D$31="OFF","OFF","")</f>
        <v/>
      </c>
      <c r="AK85" s="54" t="str">
        <f>IF('⚙ OFF Weekends'!$D$32="OFF","OFF","")</f>
        <v/>
      </c>
      <c r="AL85" s="56" t="str">
        <f>IF('⚙ OFF Weekends'!$D$33="OFF","OFF","")</f>
        <v/>
      </c>
      <c r="AM85" s="54" t="str">
        <f>IF('⚙ OFF Weekends'!$D$34="OFF","OFF","")</f>
        <v/>
      </c>
      <c r="AN85" s="56" t="str">
        <f>IF('⚙ OFF Weekends'!$D$35="OFF","OFF","")</f>
        <v/>
      </c>
      <c r="AO85" s="54" t="str">
        <f>IF('⚙ OFF Weekends'!$D$36="OFF","OFF","")</f>
        <v/>
      </c>
      <c r="AP85" s="56" t="str">
        <f>IF('⚙ OFF Weekends'!$D$37="OFF","OFF","")</f>
        <v/>
      </c>
      <c r="AQ85" s="54" t="str">
        <f>IF('⚙ OFF Weekends'!$D$38="OFF","OFF","")</f>
        <v/>
      </c>
      <c r="AR85" s="56" t="str">
        <f>IF('⚙ OFF Weekends'!$D$39="OFF","OFF","")</f>
        <v/>
      </c>
      <c r="AS85" s="54" t="str">
        <f>IF('⚙ OFF Weekends'!$D$40="OFF","OFF","")</f>
        <v/>
      </c>
      <c r="AT85" s="56" t="str">
        <f>IF('⚙ OFF Weekends'!$D$41="OFF","OFF","")</f>
        <v/>
      </c>
      <c r="AU85" s="54" t="str">
        <f>IF('⚙ OFF Weekends'!$D$42="OFF","OFF","")</f>
        <v/>
      </c>
      <c r="AV85" s="56" t="str">
        <f>IF('⚙ OFF Weekends'!$D$43="OFF","OFF","")</f>
        <v/>
      </c>
      <c r="AW85" s="54" t="str">
        <f>IF('⚙ OFF Weekends'!$D$44="OFF","OFF","")</f>
        <v/>
      </c>
      <c r="AX85" s="56" t="str">
        <f>IF('⚙ OFF Weekends'!$D$45="OFF","OFF","")</f>
        <v/>
      </c>
      <c r="AY85" s="54" t="str">
        <f>IF('⚙ OFF Weekends'!$D$46="OFF","OFF","")</f>
        <v/>
      </c>
      <c r="AZ85" s="56" t="str">
        <f>IF('⚙ OFF Weekends'!$D$47="OFF","OFF","")</f>
        <v/>
      </c>
      <c r="BA85" s="54" t="str">
        <f>IF('⚙ OFF Weekends'!$D$48="OFF","OFF","")</f>
        <v/>
      </c>
      <c r="BB85" s="56" t="str">
        <f>IF('⚙ OFF Weekends'!$D$49="OFF","OFF","")</f>
        <v/>
      </c>
      <c r="BC85" s="54" t="str">
        <f>IF('⚙ OFF Weekends'!$D$50="OFF","OFF","")</f>
        <v/>
      </c>
      <c r="BD85" s="56" t="str">
        <f>IF('⚙ OFF Weekends'!$D$51="OFF","OFF","")</f>
        <v/>
      </c>
      <c r="BE85" s="54" t="str">
        <f>IF('⚙ OFF Weekends'!$D$52="OFF","OFF","")</f>
        <v/>
      </c>
      <c r="BF85" s="56" t="str">
        <f>IF('⚙ OFF Weekends'!$D$53="OFF","OFF","")</f>
        <v/>
      </c>
      <c r="BG85" s="54" t="str">
        <f>IF('⚙ OFF Weekends'!$D$54="OFF","OFF","")</f>
        <v/>
      </c>
      <c r="BH85" s="56" t="str">
        <f>IF('⚙ OFF Weekends'!$D$55="OFF","OFF","")</f>
        <v/>
      </c>
      <c r="BI85" s="54" t="str">
        <f>IF('⚙ OFF Weekends'!$D$56="OFF","OFF","")</f>
        <v/>
      </c>
      <c r="BJ85" s="56" t="str">
        <f>IF('⚙ OFF Weekends'!$D$57="OFF","OFF","")</f>
        <v/>
      </c>
      <c r="BK85" s="54" t="str">
        <f>IF('⚙ OFF Weekends'!$D$58="OFF","OFF","")</f>
        <v/>
      </c>
      <c r="BL85" s="56" t="str">
        <f>IF('⚙ OFF Weekends'!$D$59="OFF","OFF","")</f>
        <v/>
      </c>
      <c r="BM85" s="54" t="str">
        <f>IF('⚙ OFF Weekends'!$D$60="OFF","OFF","")</f>
        <v/>
      </c>
      <c r="BN85" s="56" t="str">
        <f>IF('⚙ OFF Weekends'!$D$61="OFF","OFF","")</f>
        <v/>
      </c>
      <c r="BO85" s="54" t="str">
        <f>IF('⚙ OFF Weekends'!$D$62="OFF","OFF","")</f>
        <v/>
      </c>
      <c r="BP85" s="56" t="str">
        <f>IF('⚙ OFF Weekends'!$D$63="OFF","OFF","")</f>
        <v/>
      </c>
      <c r="BQ85" s="54" t="str">
        <f>IF('⚙ OFF Weekends'!$D$64="OFF","OFF","")</f>
        <v/>
      </c>
      <c r="BR85" s="56" t="str">
        <f>IF('⚙ OFF Weekends'!$D$65="OFF","OFF","")</f>
        <v/>
      </c>
      <c r="BS85" s="54" t="str">
        <f>IF('⚙ OFF Weekends'!$D$66="OFF","OFF","")</f>
        <v/>
      </c>
      <c r="BT85" s="56" t="str">
        <f>IF('⚙ OFF Weekends'!$D$67="OFF","OFF","")</f>
        <v/>
      </c>
      <c r="BU85" s="54" t="str">
        <f>IF('⚙ OFF Weekends'!$D$68="OFF","OFF","")</f>
        <v/>
      </c>
      <c r="BV85" s="56" t="str">
        <f>IF('⚙ OFF Weekends'!$D$69="OFF","OFF","")</f>
        <v/>
      </c>
      <c r="BW85" s="54" t="str">
        <f>IF('⚙ OFF Weekends'!$D$70="OFF","OFF","")</f>
        <v/>
      </c>
      <c r="BX85" s="56" t="str">
        <f>IF('⚙ OFF Weekends'!$D$71="OFF","OFF","")</f>
        <v/>
      </c>
      <c r="BY85" s="54" t="str">
        <f>IF('⚙ OFF Weekends'!$D$72="OFF","OFF","")</f>
        <v/>
      </c>
      <c r="BZ85" s="56" t="str">
        <f>IF('⚙ OFF Weekends'!$D$73="OFF","OFF","")</f>
        <v/>
      </c>
      <c r="CA85" s="54" t="str">
        <f>IF('⚙ OFF Weekends'!$D$74="OFF","OFF","")</f>
        <v/>
      </c>
      <c r="CB85" s="56" t="str">
        <f>IF('⚙ OFF Weekends'!$D$75="OFF","OFF","")</f>
        <v/>
      </c>
      <c r="CC85" s="54" t="str">
        <f>IF('⚙ OFF Weekends'!$D$76="OFF","OFF","")</f>
        <v/>
      </c>
      <c r="CD85" s="56" t="str">
        <f>IF('⚙ OFF Weekends'!$D$77="OFF","OFF","")</f>
        <v/>
      </c>
      <c r="CE85" s="96">
        <f t="shared" si="21"/>
        <v>15</v>
      </c>
      <c r="CF85" s="96">
        <f t="shared" si="22"/>
        <v>1</v>
      </c>
      <c r="CG85" s="96">
        <f t="shared" si="23"/>
        <v>2</v>
      </c>
      <c r="CH85" s="96" t="str">
        <f t="shared" si="24"/>
        <v>94%</v>
      </c>
    </row>
    <row r="86" ht="18.0" customHeight="1">
      <c r="A86" s="95">
        <v>5.0</v>
      </c>
      <c r="B86" s="12" t="s">
        <v>515</v>
      </c>
      <c r="C86" s="14" t="s">
        <v>516</v>
      </c>
      <c r="D86" s="17" t="str">
        <f t="shared" si="19"/>
        <v>📞 Call</v>
      </c>
      <c r="E86" s="19" t="str">
        <f t="shared" si="20"/>
        <v>💬 WhatsApp</v>
      </c>
      <c r="F86" s="10"/>
      <c r="G86" s="10" t="s">
        <v>517</v>
      </c>
      <c r="H86" s="10" t="s">
        <v>518</v>
      </c>
      <c r="I86" s="79" t="s">
        <v>223</v>
      </c>
      <c r="J86" s="79" t="s">
        <v>223</v>
      </c>
      <c r="K86" s="49" t="s">
        <v>197</v>
      </c>
      <c r="L86" s="79" t="s">
        <v>223</v>
      </c>
      <c r="M86" s="77" t="s">
        <v>198</v>
      </c>
      <c r="N86" s="79" t="s">
        <v>223</v>
      </c>
      <c r="O86" s="79" t="s">
        <v>223</v>
      </c>
      <c r="P86" s="77" t="s">
        <v>198</v>
      </c>
      <c r="Q86" s="77" t="s">
        <v>198</v>
      </c>
      <c r="R86" s="77" t="s">
        <v>198</v>
      </c>
      <c r="S86" s="52" t="s">
        <v>198</v>
      </c>
      <c r="T86" s="53" t="s">
        <v>198</v>
      </c>
      <c r="U86" s="52" t="s">
        <v>223</v>
      </c>
      <c r="V86" s="53" t="s">
        <v>223</v>
      </c>
      <c r="W86" s="52" t="s">
        <v>223</v>
      </c>
      <c r="X86" s="53" t="s">
        <v>223</v>
      </c>
      <c r="Y86" s="52" t="s">
        <v>296</v>
      </c>
      <c r="Z86" s="53" t="s">
        <v>296</v>
      </c>
      <c r="AA86" s="52" t="s">
        <v>296</v>
      </c>
      <c r="AB86" s="53" t="s">
        <v>296</v>
      </c>
      <c r="AC86" s="53" t="s">
        <v>296</v>
      </c>
      <c r="AD86" s="53" t="s">
        <v>296</v>
      </c>
      <c r="AE86" s="53" t="s">
        <v>296</v>
      </c>
      <c r="AF86" s="53" t="s">
        <v>296</v>
      </c>
      <c r="AG86" s="53" t="s">
        <v>296</v>
      </c>
      <c r="AH86" s="53" t="s">
        <v>296</v>
      </c>
      <c r="AI86" s="53" t="s">
        <v>296</v>
      </c>
      <c r="AJ86" s="53" t="s">
        <v>296</v>
      </c>
      <c r="AK86" s="53" t="s">
        <v>296</v>
      </c>
      <c r="AL86" s="53" t="s">
        <v>296</v>
      </c>
      <c r="AM86" s="53" t="s">
        <v>296</v>
      </c>
      <c r="AN86" s="53" t="s">
        <v>296</v>
      </c>
      <c r="AO86" s="53" t="s">
        <v>296</v>
      </c>
      <c r="AP86" s="53" t="s">
        <v>296</v>
      </c>
      <c r="AQ86" s="53" t="s">
        <v>296</v>
      </c>
      <c r="AR86" s="53" t="s">
        <v>296</v>
      </c>
      <c r="AS86" s="53" t="s">
        <v>296</v>
      </c>
      <c r="AT86" s="53" t="s">
        <v>296</v>
      </c>
      <c r="AU86" s="53" t="s">
        <v>296</v>
      </c>
      <c r="AV86" s="53" t="s">
        <v>296</v>
      </c>
      <c r="AW86" s="53" t="s">
        <v>296</v>
      </c>
      <c r="AX86" s="53" t="s">
        <v>296</v>
      </c>
      <c r="AY86" s="53" t="s">
        <v>296</v>
      </c>
      <c r="AZ86" s="53" t="s">
        <v>296</v>
      </c>
      <c r="BA86" s="53" t="s">
        <v>296</v>
      </c>
      <c r="BB86" s="53" t="s">
        <v>296</v>
      </c>
      <c r="BC86" s="53" t="s">
        <v>296</v>
      </c>
      <c r="BD86" s="53" t="s">
        <v>296</v>
      </c>
      <c r="BE86" s="53" t="s">
        <v>296</v>
      </c>
      <c r="BF86" s="53" t="s">
        <v>296</v>
      </c>
      <c r="BG86" s="53" t="s">
        <v>296</v>
      </c>
      <c r="BH86" s="53" t="s">
        <v>296</v>
      </c>
      <c r="BI86" s="53" t="s">
        <v>296</v>
      </c>
      <c r="BJ86" s="53" t="s">
        <v>296</v>
      </c>
      <c r="BK86" s="53" t="s">
        <v>296</v>
      </c>
      <c r="BL86" s="53" t="s">
        <v>296</v>
      </c>
      <c r="BM86" s="53" t="s">
        <v>296</v>
      </c>
      <c r="BN86" s="53" t="s">
        <v>296</v>
      </c>
      <c r="BO86" s="53" t="s">
        <v>296</v>
      </c>
      <c r="BP86" s="53" t="s">
        <v>296</v>
      </c>
      <c r="BQ86" s="53" t="s">
        <v>296</v>
      </c>
      <c r="BR86" s="53" t="s">
        <v>296</v>
      </c>
      <c r="BS86" s="53" t="s">
        <v>296</v>
      </c>
      <c r="BT86" s="53" t="s">
        <v>296</v>
      </c>
      <c r="BU86" s="53" t="s">
        <v>296</v>
      </c>
      <c r="BV86" s="53" t="s">
        <v>296</v>
      </c>
      <c r="BW86" s="53" t="s">
        <v>296</v>
      </c>
      <c r="BX86" s="53" t="s">
        <v>296</v>
      </c>
      <c r="BY86" s="53" t="s">
        <v>296</v>
      </c>
      <c r="BZ86" s="53" t="s">
        <v>296</v>
      </c>
      <c r="CA86" s="53" t="s">
        <v>296</v>
      </c>
      <c r="CB86" s="53" t="s">
        <v>296</v>
      </c>
      <c r="CC86" s="53" t="s">
        <v>296</v>
      </c>
      <c r="CD86" s="53" t="s">
        <v>296</v>
      </c>
      <c r="CE86" s="95">
        <f t="shared" si="21"/>
        <v>0</v>
      </c>
      <c r="CF86" s="95">
        <f t="shared" si="22"/>
        <v>9</v>
      </c>
      <c r="CG86" s="95">
        <f t="shared" si="23"/>
        <v>6</v>
      </c>
      <c r="CH86" s="95" t="str">
        <f t="shared" si="24"/>
        <v>0%</v>
      </c>
    </row>
    <row r="87" ht="18.0" customHeight="1">
      <c r="A87" s="96">
        <v>6.0</v>
      </c>
      <c r="B87" s="22" t="s">
        <v>523</v>
      </c>
      <c r="C87" s="23" t="s">
        <v>524</v>
      </c>
      <c r="D87" s="24" t="str">
        <f t="shared" si="19"/>
        <v>📞 Call</v>
      </c>
      <c r="E87" s="41" t="str">
        <f t="shared" si="20"/>
        <v>💬 WhatsApp</v>
      </c>
      <c r="F87" s="20"/>
      <c r="G87" s="20" t="s">
        <v>525</v>
      </c>
      <c r="H87" s="20" t="s">
        <v>330</v>
      </c>
      <c r="I87" s="79" t="s">
        <v>223</v>
      </c>
      <c r="J87" s="48" t="s">
        <v>196</v>
      </c>
      <c r="K87" s="49" t="s">
        <v>197</v>
      </c>
      <c r="L87" s="48" t="s">
        <v>196</v>
      </c>
      <c r="M87" s="50" t="s">
        <v>37</v>
      </c>
      <c r="N87" s="50" t="s">
        <v>37</v>
      </c>
      <c r="O87" s="50" t="s">
        <v>37</v>
      </c>
      <c r="P87" s="50" t="s">
        <v>37</v>
      </c>
      <c r="Q87" s="48" t="s">
        <v>196</v>
      </c>
      <c r="R87" s="50" t="s">
        <v>37</v>
      </c>
      <c r="S87" s="52" t="s">
        <v>37</v>
      </c>
      <c r="T87" s="53" t="s">
        <v>196</v>
      </c>
      <c r="U87" s="52" t="s">
        <v>37</v>
      </c>
      <c r="V87" s="53" t="s">
        <v>37</v>
      </c>
      <c r="W87" s="54" t="str">
        <f>IF('⚙ OFF Weekends'!$D$18="OFF","OFF","")</f>
        <v>OFF</v>
      </c>
      <c r="X87" s="53" t="s">
        <v>37</v>
      </c>
      <c r="Y87" s="52" t="s">
        <v>198</v>
      </c>
      <c r="Z87" s="53" t="s">
        <v>198</v>
      </c>
      <c r="AA87" s="52" t="s">
        <v>223</v>
      </c>
      <c r="AB87" s="53" t="s">
        <v>223</v>
      </c>
      <c r="AC87" s="54" t="str">
        <f>IF('⚙ OFF Weekends'!$D$24="OFF","OFF","")</f>
        <v/>
      </c>
      <c r="AD87" s="56" t="str">
        <f>IF('⚙ OFF Weekends'!$D$25="OFF","OFF","")</f>
        <v/>
      </c>
      <c r="AE87" s="54" t="str">
        <f>IF('⚙ OFF Weekends'!$D$26="OFF","OFF","")</f>
        <v/>
      </c>
      <c r="AF87" s="56" t="str">
        <f>IF('⚙ OFF Weekends'!$D$27="OFF","OFF","")</f>
        <v/>
      </c>
      <c r="AG87" s="54" t="str">
        <f>IF('⚙ OFF Weekends'!$D$28="OFF","OFF","")</f>
        <v/>
      </c>
      <c r="AH87" s="56" t="str">
        <f>IF('⚙ OFF Weekends'!$D$29="OFF","OFF","")</f>
        <v/>
      </c>
      <c r="AI87" s="54" t="str">
        <f>IF('⚙ OFF Weekends'!$D$30="OFF","OFF","")</f>
        <v/>
      </c>
      <c r="AJ87" s="56" t="str">
        <f>IF('⚙ OFF Weekends'!$D$31="OFF","OFF","")</f>
        <v/>
      </c>
      <c r="AK87" s="54" t="str">
        <f>IF('⚙ OFF Weekends'!$D$32="OFF","OFF","")</f>
        <v/>
      </c>
      <c r="AL87" s="56" t="str">
        <f>IF('⚙ OFF Weekends'!$D$33="OFF","OFF","")</f>
        <v/>
      </c>
      <c r="AM87" s="54" t="str">
        <f>IF('⚙ OFF Weekends'!$D$34="OFF","OFF","")</f>
        <v/>
      </c>
      <c r="AN87" s="56" t="str">
        <f>IF('⚙ OFF Weekends'!$D$35="OFF","OFF","")</f>
        <v/>
      </c>
      <c r="AO87" s="54" t="str">
        <f>IF('⚙ OFF Weekends'!$D$36="OFF","OFF","")</f>
        <v/>
      </c>
      <c r="AP87" s="56" t="str">
        <f>IF('⚙ OFF Weekends'!$D$37="OFF","OFF","")</f>
        <v/>
      </c>
      <c r="AQ87" s="54" t="str">
        <f>IF('⚙ OFF Weekends'!$D$38="OFF","OFF","")</f>
        <v/>
      </c>
      <c r="AR87" s="56" t="str">
        <f>IF('⚙ OFF Weekends'!$D$39="OFF","OFF","")</f>
        <v/>
      </c>
      <c r="AS87" s="54" t="str">
        <f>IF('⚙ OFF Weekends'!$D$40="OFF","OFF","")</f>
        <v/>
      </c>
      <c r="AT87" s="56" t="str">
        <f>IF('⚙ OFF Weekends'!$D$41="OFF","OFF","")</f>
        <v/>
      </c>
      <c r="AU87" s="54" t="str">
        <f>IF('⚙ OFF Weekends'!$D$42="OFF","OFF","")</f>
        <v/>
      </c>
      <c r="AV87" s="56" t="str">
        <f>IF('⚙ OFF Weekends'!$D$43="OFF","OFF","")</f>
        <v/>
      </c>
      <c r="AW87" s="54" t="str">
        <f>IF('⚙ OFF Weekends'!$D$44="OFF","OFF","")</f>
        <v/>
      </c>
      <c r="AX87" s="56" t="str">
        <f>IF('⚙ OFF Weekends'!$D$45="OFF","OFF","")</f>
        <v/>
      </c>
      <c r="AY87" s="54" t="str">
        <f>IF('⚙ OFF Weekends'!$D$46="OFF","OFF","")</f>
        <v/>
      </c>
      <c r="AZ87" s="56" t="str">
        <f>IF('⚙ OFF Weekends'!$D$47="OFF","OFF","")</f>
        <v/>
      </c>
      <c r="BA87" s="54" t="str">
        <f>IF('⚙ OFF Weekends'!$D$48="OFF","OFF","")</f>
        <v/>
      </c>
      <c r="BB87" s="56" t="str">
        <f>IF('⚙ OFF Weekends'!$D$49="OFF","OFF","")</f>
        <v/>
      </c>
      <c r="BC87" s="54" t="str">
        <f>IF('⚙ OFF Weekends'!$D$50="OFF","OFF","")</f>
        <v/>
      </c>
      <c r="BD87" s="56" t="str">
        <f>IF('⚙ OFF Weekends'!$D$51="OFF","OFF","")</f>
        <v/>
      </c>
      <c r="BE87" s="54" t="str">
        <f>IF('⚙ OFF Weekends'!$D$52="OFF","OFF","")</f>
        <v/>
      </c>
      <c r="BF87" s="56" t="str">
        <f>IF('⚙ OFF Weekends'!$D$53="OFF","OFF","")</f>
        <v/>
      </c>
      <c r="BG87" s="54" t="str">
        <f>IF('⚙ OFF Weekends'!$D$54="OFF","OFF","")</f>
        <v/>
      </c>
      <c r="BH87" s="56" t="str">
        <f>IF('⚙ OFF Weekends'!$D$55="OFF","OFF","")</f>
        <v/>
      </c>
      <c r="BI87" s="54" t="str">
        <f>IF('⚙ OFF Weekends'!$D$56="OFF","OFF","")</f>
        <v/>
      </c>
      <c r="BJ87" s="56" t="str">
        <f>IF('⚙ OFF Weekends'!$D$57="OFF","OFF","")</f>
        <v/>
      </c>
      <c r="BK87" s="54" t="str">
        <f>IF('⚙ OFF Weekends'!$D$58="OFF","OFF","")</f>
        <v/>
      </c>
      <c r="BL87" s="56" t="str">
        <f>IF('⚙ OFF Weekends'!$D$59="OFF","OFF","")</f>
        <v/>
      </c>
      <c r="BM87" s="54" t="str">
        <f>IF('⚙ OFF Weekends'!$D$60="OFF","OFF","")</f>
        <v/>
      </c>
      <c r="BN87" s="56" t="str">
        <f>IF('⚙ OFF Weekends'!$D$61="OFF","OFF","")</f>
        <v/>
      </c>
      <c r="BO87" s="54" t="str">
        <f>IF('⚙ OFF Weekends'!$D$62="OFF","OFF","")</f>
        <v/>
      </c>
      <c r="BP87" s="56" t="str">
        <f>IF('⚙ OFF Weekends'!$D$63="OFF","OFF","")</f>
        <v/>
      </c>
      <c r="BQ87" s="54" t="str">
        <f>IF('⚙ OFF Weekends'!$D$64="OFF","OFF","")</f>
        <v/>
      </c>
      <c r="BR87" s="56" t="str">
        <f>IF('⚙ OFF Weekends'!$D$65="OFF","OFF","")</f>
        <v/>
      </c>
      <c r="BS87" s="54" t="str">
        <f>IF('⚙ OFF Weekends'!$D$66="OFF","OFF","")</f>
        <v/>
      </c>
      <c r="BT87" s="56" t="str">
        <f>IF('⚙ OFF Weekends'!$D$67="OFF","OFF","")</f>
        <v/>
      </c>
      <c r="BU87" s="54" t="str">
        <f>IF('⚙ OFF Weekends'!$D$68="OFF","OFF","")</f>
        <v/>
      </c>
      <c r="BV87" s="56" t="str">
        <f>IF('⚙ OFF Weekends'!$D$69="OFF","OFF","")</f>
        <v/>
      </c>
      <c r="BW87" s="54" t="str">
        <f>IF('⚙ OFF Weekends'!$D$70="OFF","OFF","")</f>
        <v/>
      </c>
      <c r="BX87" s="56" t="str">
        <f>IF('⚙ OFF Weekends'!$D$71="OFF","OFF","")</f>
        <v/>
      </c>
      <c r="BY87" s="54" t="str">
        <f>IF('⚙ OFF Weekends'!$D$72="OFF","OFF","")</f>
        <v/>
      </c>
      <c r="BZ87" s="56" t="str">
        <f>IF('⚙ OFF Weekends'!$D$73="OFF","OFF","")</f>
        <v/>
      </c>
      <c r="CA87" s="54" t="str">
        <f>IF('⚙ OFF Weekends'!$D$74="OFF","OFF","")</f>
        <v/>
      </c>
      <c r="CB87" s="56" t="str">
        <f>IF('⚙ OFF Weekends'!$D$75="OFF","OFF","")</f>
        <v/>
      </c>
      <c r="CC87" s="54" t="str">
        <f>IF('⚙ OFF Weekends'!$D$76="OFF","OFF","")</f>
        <v/>
      </c>
      <c r="CD87" s="56" t="str">
        <f>IF('⚙ OFF Weekends'!$D$77="OFF","OFF","")</f>
        <v/>
      </c>
      <c r="CE87" s="96">
        <f t="shared" si="21"/>
        <v>13</v>
      </c>
      <c r="CF87" s="96">
        <f t="shared" si="22"/>
        <v>3</v>
      </c>
      <c r="CG87" s="96">
        <f t="shared" si="23"/>
        <v>2</v>
      </c>
      <c r="CH87" s="96" t="str">
        <f t="shared" si="24"/>
        <v>81%</v>
      </c>
    </row>
    <row r="88" ht="18.0" customHeight="1">
      <c r="A88" s="95">
        <v>7.0</v>
      </c>
      <c r="B88" s="12" t="s">
        <v>529</v>
      </c>
      <c r="C88" s="14" t="s">
        <v>530</v>
      </c>
      <c r="D88" s="17" t="str">
        <f t="shared" si="19"/>
        <v>📞 Call</v>
      </c>
      <c r="E88" s="19" t="str">
        <f t="shared" si="20"/>
        <v>💬 WhatsApp</v>
      </c>
      <c r="F88" s="10"/>
      <c r="G88" s="10" t="s">
        <v>525</v>
      </c>
      <c r="H88" s="10"/>
      <c r="I88" s="79" t="s">
        <v>223</v>
      </c>
      <c r="J88" s="48" t="s">
        <v>196</v>
      </c>
      <c r="K88" s="49" t="s">
        <v>197</v>
      </c>
      <c r="L88" s="79" t="s">
        <v>223</v>
      </c>
      <c r="M88" s="79" t="s">
        <v>223</v>
      </c>
      <c r="N88" s="50" t="s">
        <v>37</v>
      </c>
      <c r="O88" s="50" t="s">
        <v>37</v>
      </c>
      <c r="P88" s="50" t="s">
        <v>37</v>
      </c>
      <c r="Q88" s="48" t="s">
        <v>196</v>
      </c>
      <c r="R88" s="48" t="s">
        <v>196</v>
      </c>
      <c r="S88" s="52" t="s">
        <v>196</v>
      </c>
      <c r="T88" s="53" t="s">
        <v>198</v>
      </c>
      <c r="U88" s="52" t="s">
        <v>196</v>
      </c>
      <c r="V88" s="53" t="s">
        <v>196</v>
      </c>
      <c r="W88" s="54" t="str">
        <f>IF('⚙ OFF Weekends'!$D$18="OFF","OFF","")</f>
        <v>OFF</v>
      </c>
      <c r="X88" s="53" t="s">
        <v>37</v>
      </c>
      <c r="Y88" s="52" t="s">
        <v>37</v>
      </c>
      <c r="Z88" s="53" t="s">
        <v>198</v>
      </c>
      <c r="AA88" s="52" t="s">
        <v>196</v>
      </c>
      <c r="AB88" s="53" t="s">
        <v>196</v>
      </c>
      <c r="AC88" s="54" t="str">
        <f>IF('⚙ OFF Weekends'!$D$24="OFF","OFF","")</f>
        <v/>
      </c>
      <c r="AD88" s="56" t="str">
        <f>IF('⚙ OFF Weekends'!$D$25="OFF","OFF","")</f>
        <v/>
      </c>
      <c r="AE88" s="54" t="str">
        <f>IF('⚙ OFF Weekends'!$D$26="OFF","OFF","")</f>
        <v/>
      </c>
      <c r="AF88" s="56" t="str">
        <f>IF('⚙ OFF Weekends'!$D$27="OFF","OFF","")</f>
        <v/>
      </c>
      <c r="AG88" s="54" t="str">
        <f>IF('⚙ OFF Weekends'!$D$28="OFF","OFF","")</f>
        <v/>
      </c>
      <c r="AH88" s="56" t="str">
        <f>IF('⚙ OFF Weekends'!$D$29="OFF","OFF","")</f>
        <v/>
      </c>
      <c r="AI88" s="54" t="str">
        <f>IF('⚙ OFF Weekends'!$D$30="OFF","OFF","")</f>
        <v/>
      </c>
      <c r="AJ88" s="56" t="str">
        <f>IF('⚙ OFF Weekends'!$D$31="OFF","OFF","")</f>
        <v/>
      </c>
      <c r="AK88" s="54" t="str">
        <f>IF('⚙ OFF Weekends'!$D$32="OFF","OFF","")</f>
        <v/>
      </c>
      <c r="AL88" s="56" t="str">
        <f>IF('⚙ OFF Weekends'!$D$33="OFF","OFF","")</f>
        <v/>
      </c>
      <c r="AM88" s="54" t="str">
        <f>IF('⚙ OFF Weekends'!$D$34="OFF","OFF","")</f>
        <v/>
      </c>
      <c r="AN88" s="56" t="str">
        <f>IF('⚙ OFF Weekends'!$D$35="OFF","OFF","")</f>
        <v/>
      </c>
      <c r="AO88" s="54" t="str">
        <f>IF('⚙ OFF Weekends'!$D$36="OFF","OFF","")</f>
        <v/>
      </c>
      <c r="AP88" s="56" t="str">
        <f>IF('⚙ OFF Weekends'!$D$37="OFF","OFF","")</f>
        <v/>
      </c>
      <c r="AQ88" s="54" t="str">
        <f>IF('⚙ OFF Weekends'!$D$38="OFF","OFF","")</f>
        <v/>
      </c>
      <c r="AR88" s="56" t="str">
        <f>IF('⚙ OFF Weekends'!$D$39="OFF","OFF","")</f>
        <v/>
      </c>
      <c r="AS88" s="54" t="str">
        <f>IF('⚙ OFF Weekends'!$D$40="OFF","OFF","")</f>
        <v/>
      </c>
      <c r="AT88" s="56" t="str">
        <f>IF('⚙ OFF Weekends'!$D$41="OFF","OFF","")</f>
        <v/>
      </c>
      <c r="AU88" s="54" t="str">
        <f>IF('⚙ OFF Weekends'!$D$42="OFF","OFF","")</f>
        <v/>
      </c>
      <c r="AV88" s="56" t="str">
        <f>IF('⚙ OFF Weekends'!$D$43="OFF","OFF","")</f>
        <v/>
      </c>
      <c r="AW88" s="54" t="str">
        <f>IF('⚙ OFF Weekends'!$D$44="OFF","OFF","")</f>
        <v/>
      </c>
      <c r="AX88" s="56" t="str">
        <f>IF('⚙ OFF Weekends'!$D$45="OFF","OFF","")</f>
        <v/>
      </c>
      <c r="AY88" s="54" t="str">
        <f>IF('⚙ OFF Weekends'!$D$46="OFF","OFF","")</f>
        <v/>
      </c>
      <c r="AZ88" s="56" t="str">
        <f>IF('⚙ OFF Weekends'!$D$47="OFF","OFF","")</f>
        <v/>
      </c>
      <c r="BA88" s="54" t="str">
        <f>IF('⚙ OFF Weekends'!$D$48="OFF","OFF","")</f>
        <v/>
      </c>
      <c r="BB88" s="56" t="str">
        <f>IF('⚙ OFF Weekends'!$D$49="OFF","OFF","")</f>
        <v/>
      </c>
      <c r="BC88" s="54" t="str">
        <f>IF('⚙ OFF Weekends'!$D$50="OFF","OFF","")</f>
        <v/>
      </c>
      <c r="BD88" s="56" t="str">
        <f>IF('⚙ OFF Weekends'!$D$51="OFF","OFF","")</f>
        <v/>
      </c>
      <c r="BE88" s="54" t="str">
        <f>IF('⚙ OFF Weekends'!$D$52="OFF","OFF","")</f>
        <v/>
      </c>
      <c r="BF88" s="56" t="str">
        <f>IF('⚙ OFF Weekends'!$D$53="OFF","OFF","")</f>
        <v/>
      </c>
      <c r="BG88" s="54" t="str">
        <f>IF('⚙ OFF Weekends'!$D$54="OFF","OFF","")</f>
        <v/>
      </c>
      <c r="BH88" s="56" t="str">
        <f>IF('⚙ OFF Weekends'!$D$55="OFF","OFF","")</f>
        <v/>
      </c>
      <c r="BI88" s="54" t="str">
        <f>IF('⚙ OFF Weekends'!$D$56="OFF","OFF","")</f>
        <v/>
      </c>
      <c r="BJ88" s="56" t="str">
        <f>IF('⚙ OFF Weekends'!$D$57="OFF","OFF","")</f>
        <v/>
      </c>
      <c r="BK88" s="54" t="str">
        <f>IF('⚙ OFF Weekends'!$D$58="OFF","OFF","")</f>
        <v/>
      </c>
      <c r="BL88" s="56" t="str">
        <f>IF('⚙ OFF Weekends'!$D$59="OFF","OFF","")</f>
        <v/>
      </c>
      <c r="BM88" s="54" t="str">
        <f>IF('⚙ OFF Weekends'!$D$60="OFF","OFF","")</f>
        <v/>
      </c>
      <c r="BN88" s="56" t="str">
        <f>IF('⚙ OFF Weekends'!$D$61="OFF","OFF","")</f>
        <v/>
      </c>
      <c r="BO88" s="54" t="str">
        <f>IF('⚙ OFF Weekends'!$D$62="OFF","OFF","")</f>
        <v/>
      </c>
      <c r="BP88" s="56" t="str">
        <f>IF('⚙ OFF Weekends'!$D$63="OFF","OFF","")</f>
        <v/>
      </c>
      <c r="BQ88" s="54" t="str">
        <f>IF('⚙ OFF Weekends'!$D$64="OFF","OFF","")</f>
        <v/>
      </c>
      <c r="BR88" s="56" t="str">
        <f>IF('⚙ OFF Weekends'!$D$65="OFF","OFF","")</f>
        <v/>
      </c>
      <c r="BS88" s="54" t="str">
        <f>IF('⚙ OFF Weekends'!$D$66="OFF","OFF","")</f>
        <v/>
      </c>
      <c r="BT88" s="56" t="str">
        <f>IF('⚙ OFF Weekends'!$D$67="OFF","OFF","")</f>
        <v/>
      </c>
      <c r="BU88" s="54" t="str">
        <f>IF('⚙ OFF Weekends'!$D$68="OFF","OFF","")</f>
        <v/>
      </c>
      <c r="BV88" s="56" t="str">
        <f>IF('⚙ OFF Weekends'!$D$69="OFF","OFF","")</f>
        <v/>
      </c>
      <c r="BW88" s="54" t="str">
        <f>IF('⚙ OFF Weekends'!$D$70="OFF","OFF","")</f>
        <v/>
      </c>
      <c r="BX88" s="56" t="str">
        <f>IF('⚙ OFF Weekends'!$D$71="OFF","OFF","")</f>
        <v/>
      </c>
      <c r="BY88" s="54" t="str">
        <f>IF('⚙ OFF Weekends'!$D$72="OFF","OFF","")</f>
        <v/>
      </c>
      <c r="BZ88" s="56" t="str">
        <f>IF('⚙ OFF Weekends'!$D$73="OFF","OFF","")</f>
        <v/>
      </c>
      <c r="CA88" s="54" t="str">
        <f>IF('⚙ OFF Weekends'!$D$74="OFF","OFF","")</f>
        <v/>
      </c>
      <c r="CB88" s="56" t="str">
        <f>IF('⚙ OFF Weekends'!$D$75="OFF","OFF","")</f>
        <v/>
      </c>
      <c r="CC88" s="54" t="str">
        <f>IF('⚙ OFF Weekends'!$D$76="OFF","OFF","")</f>
        <v/>
      </c>
      <c r="CD88" s="56" t="str">
        <f>IF('⚙ OFF Weekends'!$D$77="OFF","OFF","")</f>
        <v/>
      </c>
      <c r="CE88" s="95">
        <f t="shared" si="21"/>
        <v>13</v>
      </c>
      <c r="CF88" s="95">
        <f t="shared" si="22"/>
        <v>3</v>
      </c>
      <c r="CG88" s="95">
        <f t="shared" si="23"/>
        <v>2</v>
      </c>
      <c r="CH88" s="95" t="str">
        <f t="shared" si="24"/>
        <v>81%</v>
      </c>
    </row>
    <row r="89" ht="18.0" customHeight="1">
      <c r="A89" s="96">
        <v>8.0</v>
      </c>
      <c r="B89" s="22" t="s">
        <v>534</v>
      </c>
      <c r="C89" s="23" t="s">
        <v>535</v>
      </c>
      <c r="D89" s="24" t="str">
        <f t="shared" si="19"/>
        <v>📞 Call</v>
      </c>
      <c r="E89" s="41" t="str">
        <f t="shared" si="20"/>
        <v>💬 WhatsApp</v>
      </c>
      <c r="F89" s="20"/>
      <c r="G89" s="20" t="s">
        <v>536</v>
      </c>
      <c r="H89" s="20"/>
      <c r="I89" s="79" t="s">
        <v>223</v>
      </c>
      <c r="J89" s="79" t="s">
        <v>223</v>
      </c>
      <c r="K89" s="49" t="s">
        <v>197</v>
      </c>
      <c r="L89" s="79" t="s">
        <v>223</v>
      </c>
      <c r="M89" s="79" t="s">
        <v>223</v>
      </c>
      <c r="N89" s="79" t="s">
        <v>223</v>
      </c>
      <c r="O89" s="77" t="s">
        <v>198</v>
      </c>
      <c r="P89" s="77" t="s">
        <v>198</v>
      </c>
      <c r="Q89" s="77" t="s">
        <v>198</v>
      </c>
      <c r="R89" s="77" t="s">
        <v>198</v>
      </c>
      <c r="S89" s="52" t="s">
        <v>198</v>
      </c>
      <c r="T89" s="53" t="s">
        <v>198</v>
      </c>
      <c r="U89" s="52" t="s">
        <v>198</v>
      </c>
      <c r="V89" s="53" t="s">
        <v>198</v>
      </c>
      <c r="W89" s="52" t="s">
        <v>198</v>
      </c>
      <c r="X89" s="53" t="s">
        <v>198</v>
      </c>
      <c r="Y89" s="52" t="s">
        <v>198</v>
      </c>
      <c r="Z89" s="53" t="s">
        <v>198</v>
      </c>
      <c r="AA89" s="52" t="s">
        <v>198</v>
      </c>
      <c r="AB89" s="53" t="s">
        <v>296</v>
      </c>
      <c r="AC89" s="53" t="s">
        <v>296</v>
      </c>
      <c r="AD89" s="53" t="s">
        <v>296</v>
      </c>
      <c r="AE89" s="53" t="s">
        <v>296</v>
      </c>
      <c r="AF89" s="53" t="s">
        <v>296</v>
      </c>
      <c r="AG89" s="53" t="s">
        <v>296</v>
      </c>
      <c r="AH89" s="53" t="s">
        <v>296</v>
      </c>
      <c r="AI89" s="53" t="s">
        <v>296</v>
      </c>
      <c r="AJ89" s="53" t="s">
        <v>296</v>
      </c>
      <c r="AK89" s="53" t="s">
        <v>296</v>
      </c>
      <c r="AL89" s="53" t="s">
        <v>296</v>
      </c>
      <c r="AM89" s="53" t="s">
        <v>296</v>
      </c>
      <c r="AN89" s="53" t="s">
        <v>296</v>
      </c>
      <c r="AO89" s="53" t="s">
        <v>296</v>
      </c>
      <c r="AP89" s="53" t="s">
        <v>296</v>
      </c>
      <c r="AQ89" s="53" t="s">
        <v>296</v>
      </c>
      <c r="AR89" s="53" t="s">
        <v>296</v>
      </c>
      <c r="AS89" s="53" t="s">
        <v>296</v>
      </c>
      <c r="AT89" s="53" t="s">
        <v>296</v>
      </c>
      <c r="AU89" s="53" t="s">
        <v>296</v>
      </c>
      <c r="AV89" s="53" t="s">
        <v>296</v>
      </c>
      <c r="AW89" s="53" t="s">
        <v>296</v>
      </c>
      <c r="AX89" s="53" t="s">
        <v>296</v>
      </c>
      <c r="AY89" s="53" t="s">
        <v>296</v>
      </c>
      <c r="AZ89" s="53" t="s">
        <v>296</v>
      </c>
      <c r="BA89" s="53" t="s">
        <v>296</v>
      </c>
      <c r="BB89" s="53" t="s">
        <v>296</v>
      </c>
      <c r="BC89" s="53" t="s">
        <v>296</v>
      </c>
      <c r="BD89" s="53" t="s">
        <v>296</v>
      </c>
      <c r="BE89" s="53" t="s">
        <v>296</v>
      </c>
      <c r="BF89" s="53" t="s">
        <v>296</v>
      </c>
      <c r="BG89" s="53" t="s">
        <v>296</v>
      </c>
      <c r="BH89" s="53" t="s">
        <v>296</v>
      </c>
      <c r="BI89" s="53" t="s">
        <v>296</v>
      </c>
      <c r="BJ89" s="53" t="s">
        <v>296</v>
      </c>
      <c r="BK89" s="53" t="s">
        <v>296</v>
      </c>
      <c r="BL89" s="53" t="s">
        <v>296</v>
      </c>
      <c r="BM89" s="53" t="s">
        <v>296</v>
      </c>
      <c r="BN89" s="53" t="s">
        <v>296</v>
      </c>
      <c r="BO89" s="53" t="s">
        <v>296</v>
      </c>
      <c r="BP89" s="53" t="s">
        <v>296</v>
      </c>
      <c r="BQ89" s="53" t="s">
        <v>296</v>
      </c>
      <c r="BR89" s="53" t="s">
        <v>296</v>
      </c>
      <c r="BS89" s="53" t="s">
        <v>296</v>
      </c>
      <c r="BT89" s="53" t="s">
        <v>296</v>
      </c>
      <c r="BU89" s="53" t="s">
        <v>296</v>
      </c>
      <c r="BV89" s="53" t="s">
        <v>296</v>
      </c>
      <c r="BW89" s="53" t="s">
        <v>296</v>
      </c>
      <c r="BX89" s="53" t="s">
        <v>296</v>
      </c>
      <c r="BY89" s="53" t="s">
        <v>296</v>
      </c>
      <c r="BZ89" s="53" t="s">
        <v>296</v>
      </c>
      <c r="CA89" s="53" t="s">
        <v>296</v>
      </c>
      <c r="CB89" s="53" t="s">
        <v>296</v>
      </c>
      <c r="CC89" s="53" t="s">
        <v>296</v>
      </c>
      <c r="CD89" s="53" t="s">
        <v>296</v>
      </c>
      <c r="CE89" s="96">
        <f t="shared" si="21"/>
        <v>0</v>
      </c>
      <c r="CF89" s="96">
        <f t="shared" si="22"/>
        <v>5</v>
      </c>
      <c r="CG89" s="96">
        <f t="shared" si="23"/>
        <v>13</v>
      </c>
      <c r="CH89" s="96" t="str">
        <f t="shared" si="24"/>
        <v>0%</v>
      </c>
    </row>
    <row r="90" ht="18.0" customHeight="1">
      <c r="A90" s="95">
        <v>9.0</v>
      </c>
      <c r="B90" s="12" t="s">
        <v>537</v>
      </c>
      <c r="C90" s="14" t="s">
        <v>538</v>
      </c>
      <c r="D90" s="17" t="str">
        <f t="shared" si="19"/>
        <v>📞 Call</v>
      </c>
      <c r="E90" s="19" t="str">
        <f t="shared" si="20"/>
        <v>💬 WhatsApp</v>
      </c>
      <c r="F90" s="10"/>
      <c r="G90" s="10"/>
      <c r="H90" s="10"/>
      <c r="I90" s="79" t="s">
        <v>223</v>
      </c>
      <c r="J90" s="79" t="s">
        <v>223</v>
      </c>
      <c r="K90" s="49" t="s">
        <v>197</v>
      </c>
      <c r="L90" s="79" t="s">
        <v>223</v>
      </c>
      <c r="M90" s="79" t="s">
        <v>223</v>
      </c>
      <c r="N90" s="79" t="s">
        <v>223</v>
      </c>
      <c r="O90" s="79" t="s">
        <v>223</v>
      </c>
      <c r="P90" s="79" t="s">
        <v>223</v>
      </c>
      <c r="Q90" s="79" t="s">
        <v>223</v>
      </c>
      <c r="R90" s="101" t="s">
        <v>296</v>
      </c>
      <c r="S90" s="101" t="s">
        <v>296</v>
      </c>
      <c r="T90" s="101" t="s">
        <v>296</v>
      </c>
      <c r="U90" s="101" t="s">
        <v>296</v>
      </c>
      <c r="V90" s="101" t="s">
        <v>296</v>
      </c>
      <c r="W90" s="101" t="s">
        <v>296</v>
      </c>
      <c r="X90" s="101" t="s">
        <v>296</v>
      </c>
      <c r="Y90" s="101" t="s">
        <v>296</v>
      </c>
      <c r="Z90" s="101" t="s">
        <v>296</v>
      </c>
      <c r="AA90" s="101" t="s">
        <v>296</v>
      </c>
      <c r="AB90" s="101" t="s">
        <v>296</v>
      </c>
      <c r="AC90" s="101" t="s">
        <v>296</v>
      </c>
      <c r="AD90" s="101" t="s">
        <v>296</v>
      </c>
      <c r="AE90" s="101" t="s">
        <v>296</v>
      </c>
      <c r="AF90" s="101" t="s">
        <v>296</v>
      </c>
      <c r="AG90" s="101" t="s">
        <v>296</v>
      </c>
      <c r="AH90" s="101" t="s">
        <v>296</v>
      </c>
      <c r="AI90" s="101" t="s">
        <v>296</v>
      </c>
      <c r="AJ90" s="101" t="s">
        <v>296</v>
      </c>
      <c r="AK90" s="101" t="s">
        <v>296</v>
      </c>
      <c r="AL90" s="101" t="s">
        <v>296</v>
      </c>
      <c r="AM90" s="101" t="s">
        <v>296</v>
      </c>
      <c r="AN90" s="101" t="s">
        <v>296</v>
      </c>
      <c r="AO90" s="101" t="s">
        <v>296</v>
      </c>
      <c r="AP90" s="101" t="s">
        <v>296</v>
      </c>
      <c r="AQ90" s="101" t="s">
        <v>296</v>
      </c>
      <c r="AR90" s="101" t="s">
        <v>296</v>
      </c>
      <c r="AS90" s="101" t="s">
        <v>296</v>
      </c>
      <c r="AT90" s="101" t="s">
        <v>296</v>
      </c>
      <c r="AU90" s="101" t="s">
        <v>296</v>
      </c>
      <c r="AV90" s="101" t="s">
        <v>296</v>
      </c>
      <c r="AW90" s="101" t="s">
        <v>296</v>
      </c>
      <c r="AX90" s="101" t="s">
        <v>296</v>
      </c>
      <c r="AY90" s="101" t="s">
        <v>296</v>
      </c>
      <c r="AZ90" s="101" t="s">
        <v>296</v>
      </c>
      <c r="BA90" s="101" t="s">
        <v>296</v>
      </c>
      <c r="BB90" s="101" t="s">
        <v>296</v>
      </c>
      <c r="BC90" s="101" t="s">
        <v>296</v>
      </c>
      <c r="BD90" s="101" t="s">
        <v>296</v>
      </c>
      <c r="BE90" s="101" t="s">
        <v>296</v>
      </c>
      <c r="BF90" s="101" t="s">
        <v>296</v>
      </c>
      <c r="BG90" s="101" t="s">
        <v>296</v>
      </c>
      <c r="BH90" s="101" t="s">
        <v>296</v>
      </c>
      <c r="BI90" s="101" t="s">
        <v>296</v>
      </c>
      <c r="BJ90" s="101" t="s">
        <v>296</v>
      </c>
      <c r="BK90" s="101" t="s">
        <v>296</v>
      </c>
      <c r="BL90" s="101" t="s">
        <v>296</v>
      </c>
      <c r="BM90" s="101" t="s">
        <v>296</v>
      </c>
      <c r="BN90" s="101" t="s">
        <v>296</v>
      </c>
      <c r="BO90" s="101" t="s">
        <v>296</v>
      </c>
      <c r="BP90" s="101" t="s">
        <v>296</v>
      </c>
      <c r="BQ90" s="101" t="s">
        <v>296</v>
      </c>
      <c r="BR90" s="101" t="s">
        <v>296</v>
      </c>
      <c r="BS90" s="101" t="s">
        <v>296</v>
      </c>
      <c r="BT90" s="101" t="s">
        <v>296</v>
      </c>
      <c r="BU90" s="101" t="s">
        <v>296</v>
      </c>
      <c r="BV90" s="101" t="s">
        <v>296</v>
      </c>
      <c r="BW90" s="101" t="s">
        <v>296</v>
      </c>
      <c r="BX90" s="101" t="s">
        <v>296</v>
      </c>
      <c r="BY90" s="101" t="s">
        <v>296</v>
      </c>
      <c r="BZ90" s="101" t="s">
        <v>296</v>
      </c>
      <c r="CA90" s="101" t="s">
        <v>296</v>
      </c>
      <c r="CB90" s="101" t="s">
        <v>296</v>
      </c>
      <c r="CC90" s="101" t="s">
        <v>296</v>
      </c>
      <c r="CD90" s="101" t="s">
        <v>296</v>
      </c>
      <c r="CE90" s="95">
        <f t="shared" si="21"/>
        <v>0</v>
      </c>
      <c r="CF90" s="95">
        <f t="shared" si="22"/>
        <v>8</v>
      </c>
      <c r="CG90" s="95">
        <f t="shared" si="23"/>
        <v>0</v>
      </c>
      <c r="CH90" s="95" t="str">
        <f t="shared" si="24"/>
        <v>0%</v>
      </c>
    </row>
    <row r="91" ht="18.0" customHeight="1">
      <c r="A91" s="96">
        <v>10.0</v>
      </c>
      <c r="B91" s="22" t="s">
        <v>539</v>
      </c>
      <c r="C91" s="23" t="s">
        <v>540</v>
      </c>
      <c r="D91" s="24" t="str">
        <f t="shared" si="19"/>
        <v>📞 Call</v>
      </c>
      <c r="E91" s="41" t="str">
        <f t="shared" si="20"/>
        <v>💬 WhatsApp</v>
      </c>
      <c r="F91" s="20"/>
      <c r="G91" s="20" t="s">
        <v>517</v>
      </c>
      <c r="H91" s="20"/>
      <c r="I91" s="48" t="s">
        <v>196</v>
      </c>
      <c r="J91" s="79" t="s">
        <v>223</v>
      </c>
      <c r="K91" s="49" t="s">
        <v>197</v>
      </c>
      <c r="L91" s="48" t="s">
        <v>196</v>
      </c>
      <c r="M91" s="50" t="s">
        <v>37</v>
      </c>
      <c r="N91" s="79" t="s">
        <v>223</v>
      </c>
      <c r="O91" s="79" t="s">
        <v>223</v>
      </c>
      <c r="P91" s="79" t="s">
        <v>223</v>
      </c>
      <c r="Q91" s="79" t="s">
        <v>223</v>
      </c>
      <c r="R91" s="50" t="s">
        <v>37</v>
      </c>
      <c r="S91" s="52" t="s">
        <v>37</v>
      </c>
      <c r="T91" s="53" t="s">
        <v>196</v>
      </c>
      <c r="U91" s="52" t="s">
        <v>223</v>
      </c>
      <c r="V91" s="53" t="s">
        <v>196</v>
      </c>
      <c r="W91" s="54" t="str">
        <f>IF('⚙ OFF Weekends'!$D$18="OFF","OFF","")</f>
        <v>OFF</v>
      </c>
      <c r="X91" s="53" t="s">
        <v>37</v>
      </c>
      <c r="Y91" s="52" t="s">
        <v>196</v>
      </c>
      <c r="Z91" s="53" t="s">
        <v>223</v>
      </c>
      <c r="AA91" s="52" t="s">
        <v>37</v>
      </c>
      <c r="AB91" s="53" t="s">
        <v>198</v>
      </c>
      <c r="AC91" s="54" t="str">
        <f>IF('⚙ OFF Weekends'!$D$24="OFF","OFF","")</f>
        <v/>
      </c>
      <c r="AD91" s="56" t="str">
        <f>IF('⚙ OFF Weekends'!$D$25="OFF","OFF","")</f>
        <v/>
      </c>
      <c r="AE91" s="54" t="str">
        <f>IF('⚙ OFF Weekends'!$D$26="OFF","OFF","")</f>
        <v/>
      </c>
      <c r="AF91" s="56" t="str">
        <f>IF('⚙ OFF Weekends'!$D$27="OFF","OFF","")</f>
        <v/>
      </c>
      <c r="AG91" s="54" t="str">
        <f>IF('⚙ OFF Weekends'!$D$28="OFF","OFF","")</f>
        <v/>
      </c>
      <c r="AH91" s="56" t="str">
        <f>IF('⚙ OFF Weekends'!$D$29="OFF","OFF","")</f>
        <v/>
      </c>
      <c r="AI91" s="54" t="str">
        <f>IF('⚙ OFF Weekends'!$D$30="OFF","OFF","")</f>
        <v/>
      </c>
      <c r="AJ91" s="56" t="str">
        <f>IF('⚙ OFF Weekends'!$D$31="OFF","OFF","")</f>
        <v/>
      </c>
      <c r="AK91" s="54" t="str">
        <f>IF('⚙ OFF Weekends'!$D$32="OFF","OFF","")</f>
        <v/>
      </c>
      <c r="AL91" s="56" t="str">
        <f>IF('⚙ OFF Weekends'!$D$33="OFF","OFF","")</f>
        <v/>
      </c>
      <c r="AM91" s="54" t="str">
        <f>IF('⚙ OFF Weekends'!$D$34="OFF","OFF","")</f>
        <v/>
      </c>
      <c r="AN91" s="56" t="str">
        <f>IF('⚙ OFF Weekends'!$D$35="OFF","OFF","")</f>
        <v/>
      </c>
      <c r="AO91" s="54" t="str">
        <f>IF('⚙ OFF Weekends'!$D$36="OFF","OFF","")</f>
        <v/>
      </c>
      <c r="AP91" s="56" t="str">
        <f>IF('⚙ OFF Weekends'!$D$37="OFF","OFF","")</f>
        <v/>
      </c>
      <c r="AQ91" s="54" t="str">
        <f>IF('⚙ OFF Weekends'!$D$38="OFF","OFF","")</f>
        <v/>
      </c>
      <c r="AR91" s="56" t="str">
        <f>IF('⚙ OFF Weekends'!$D$39="OFF","OFF","")</f>
        <v/>
      </c>
      <c r="AS91" s="54" t="str">
        <f>IF('⚙ OFF Weekends'!$D$40="OFF","OFF","")</f>
        <v/>
      </c>
      <c r="AT91" s="56" t="str">
        <f>IF('⚙ OFF Weekends'!$D$41="OFF","OFF","")</f>
        <v/>
      </c>
      <c r="AU91" s="54" t="str">
        <f>IF('⚙ OFF Weekends'!$D$42="OFF","OFF","")</f>
        <v/>
      </c>
      <c r="AV91" s="56" t="str">
        <f>IF('⚙ OFF Weekends'!$D$43="OFF","OFF","")</f>
        <v/>
      </c>
      <c r="AW91" s="54" t="str">
        <f>IF('⚙ OFF Weekends'!$D$44="OFF","OFF","")</f>
        <v/>
      </c>
      <c r="AX91" s="56" t="str">
        <f>IF('⚙ OFF Weekends'!$D$45="OFF","OFF","")</f>
        <v/>
      </c>
      <c r="AY91" s="54" t="str">
        <f>IF('⚙ OFF Weekends'!$D$46="OFF","OFF","")</f>
        <v/>
      </c>
      <c r="AZ91" s="56" t="str">
        <f>IF('⚙ OFF Weekends'!$D$47="OFF","OFF","")</f>
        <v/>
      </c>
      <c r="BA91" s="54" t="str">
        <f>IF('⚙ OFF Weekends'!$D$48="OFF","OFF","")</f>
        <v/>
      </c>
      <c r="BB91" s="56" t="str">
        <f>IF('⚙ OFF Weekends'!$D$49="OFF","OFF","")</f>
        <v/>
      </c>
      <c r="BC91" s="54" t="str">
        <f>IF('⚙ OFF Weekends'!$D$50="OFF","OFF","")</f>
        <v/>
      </c>
      <c r="BD91" s="56" t="str">
        <f>IF('⚙ OFF Weekends'!$D$51="OFF","OFF","")</f>
        <v/>
      </c>
      <c r="BE91" s="54" t="str">
        <f>IF('⚙ OFF Weekends'!$D$52="OFF","OFF","")</f>
        <v/>
      </c>
      <c r="BF91" s="56" t="str">
        <f>IF('⚙ OFF Weekends'!$D$53="OFF","OFF","")</f>
        <v/>
      </c>
      <c r="BG91" s="54" t="str">
        <f>IF('⚙ OFF Weekends'!$D$54="OFF","OFF","")</f>
        <v/>
      </c>
      <c r="BH91" s="56" t="str">
        <f>IF('⚙ OFF Weekends'!$D$55="OFF","OFF","")</f>
        <v/>
      </c>
      <c r="BI91" s="54" t="str">
        <f>IF('⚙ OFF Weekends'!$D$56="OFF","OFF","")</f>
        <v/>
      </c>
      <c r="BJ91" s="56" t="str">
        <f>IF('⚙ OFF Weekends'!$D$57="OFF","OFF","")</f>
        <v/>
      </c>
      <c r="BK91" s="54" t="str">
        <f>IF('⚙ OFF Weekends'!$D$58="OFF","OFF","")</f>
        <v/>
      </c>
      <c r="BL91" s="56" t="str">
        <f>IF('⚙ OFF Weekends'!$D$59="OFF","OFF","")</f>
        <v/>
      </c>
      <c r="BM91" s="54" t="str">
        <f>IF('⚙ OFF Weekends'!$D$60="OFF","OFF","")</f>
        <v/>
      </c>
      <c r="BN91" s="56" t="str">
        <f>IF('⚙ OFF Weekends'!$D$61="OFF","OFF","")</f>
        <v/>
      </c>
      <c r="BO91" s="54" t="str">
        <f>IF('⚙ OFF Weekends'!$D$62="OFF","OFF","")</f>
        <v/>
      </c>
      <c r="BP91" s="56" t="str">
        <f>IF('⚙ OFF Weekends'!$D$63="OFF","OFF","")</f>
        <v/>
      </c>
      <c r="BQ91" s="54" t="str">
        <f>IF('⚙ OFF Weekends'!$D$64="OFF","OFF","")</f>
        <v/>
      </c>
      <c r="BR91" s="56" t="str">
        <f>IF('⚙ OFF Weekends'!$D$65="OFF","OFF","")</f>
        <v/>
      </c>
      <c r="BS91" s="54" t="str">
        <f>IF('⚙ OFF Weekends'!$D$66="OFF","OFF","")</f>
        <v/>
      </c>
      <c r="BT91" s="56" t="str">
        <f>IF('⚙ OFF Weekends'!$D$67="OFF","OFF","")</f>
        <v/>
      </c>
      <c r="BU91" s="54" t="str">
        <f>IF('⚙ OFF Weekends'!$D$68="OFF","OFF","")</f>
        <v/>
      </c>
      <c r="BV91" s="56" t="str">
        <f>IF('⚙ OFF Weekends'!$D$69="OFF","OFF","")</f>
        <v/>
      </c>
      <c r="BW91" s="54" t="str">
        <f>IF('⚙ OFF Weekends'!$D$70="OFF","OFF","")</f>
        <v/>
      </c>
      <c r="BX91" s="56" t="str">
        <f>IF('⚙ OFF Weekends'!$D$71="OFF","OFF","")</f>
        <v/>
      </c>
      <c r="BY91" s="54" t="str">
        <f>IF('⚙ OFF Weekends'!$D$72="OFF","OFF","")</f>
        <v/>
      </c>
      <c r="BZ91" s="56" t="str">
        <f>IF('⚙ OFF Weekends'!$D$73="OFF","OFF","")</f>
        <v/>
      </c>
      <c r="CA91" s="54" t="str">
        <f>IF('⚙ OFF Weekends'!$D$74="OFF","OFF","")</f>
        <v/>
      </c>
      <c r="CB91" s="56" t="str">
        <f>IF('⚙ OFF Weekends'!$D$75="OFF","OFF","")</f>
        <v/>
      </c>
      <c r="CC91" s="54" t="str">
        <f>IF('⚙ OFF Weekends'!$D$76="OFF","OFF","")</f>
        <v/>
      </c>
      <c r="CD91" s="56" t="str">
        <f>IF('⚙ OFF Weekends'!$D$77="OFF","OFF","")</f>
        <v/>
      </c>
      <c r="CE91" s="96">
        <f t="shared" si="21"/>
        <v>10</v>
      </c>
      <c r="CF91" s="96">
        <f t="shared" si="22"/>
        <v>7</v>
      </c>
      <c r="CG91" s="96">
        <f t="shared" si="23"/>
        <v>1</v>
      </c>
      <c r="CH91" s="96" t="str">
        <f t="shared" si="24"/>
        <v>59%</v>
      </c>
    </row>
    <row r="92" ht="18.0" customHeight="1">
      <c r="A92" s="95">
        <v>11.0</v>
      </c>
      <c r="B92" s="12" t="s">
        <v>545</v>
      </c>
      <c r="C92" s="14" t="s">
        <v>546</v>
      </c>
      <c r="D92" s="17" t="str">
        <f t="shared" si="19"/>
        <v>📞 Call</v>
      </c>
      <c r="E92" s="19" t="str">
        <f t="shared" si="20"/>
        <v>💬 WhatsApp</v>
      </c>
      <c r="F92" s="10"/>
      <c r="G92" s="10" t="s">
        <v>517</v>
      </c>
      <c r="H92" s="10"/>
      <c r="I92" s="48" t="s">
        <v>196</v>
      </c>
      <c r="J92" s="48" t="s">
        <v>196</v>
      </c>
      <c r="K92" s="49" t="s">
        <v>197</v>
      </c>
      <c r="L92" s="48" t="s">
        <v>196</v>
      </c>
      <c r="M92" s="50" t="s">
        <v>37</v>
      </c>
      <c r="N92" s="48" t="s">
        <v>196</v>
      </c>
      <c r="O92" s="48" t="s">
        <v>196</v>
      </c>
      <c r="P92" s="48" t="s">
        <v>196</v>
      </c>
      <c r="Q92" s="48" t="s">
        <v>196</v>
      </c>
      <c r="R92" s="48" t="s">
        <v>196</v>
      </c>
      <c r="S92" s="52" t="s">
        <v>196</v>
      </c>
      <c r="T92" s="53" t="s">
        <v>196</v>
      </c>
      <c r="U92" s="52" t="s">
        <v>198</v>
      </c>
      <c r="V92" s="53" t="s">
        <v>196</v>
      </c>
      <c r="W92" s="54" t="str">
        <f>IF('⚙ OFF Weekends'!$D$18="OFF","OFF","")</f>
        <v>OFF</v>
      </c>
      <c r="X92" s="53" t="s">
        <v>196</v>
      </c>
      <c r="Y92" s="52" t="s">
        <v>196</v>
      </c>
      <c r="Z92" s="53" t="s">
        <v>223</v>
      </c>
      <c r="AA92" s="52" t="s">
        <v>198</v>
      </c>
      <c r="AB92" s="53" t="s">
        <v>196</v>
      </c>
      <c r="AC92" s="54" t="str">
        <f>IF('⚙ OFF Weekends'!$D$24="OFF","OFF","")</f>
        <v/>
      </c>
      <c r="AD92" s="56" t="str">
        <f>IF('⚙ OFF Weekends'!$D$25="OFF","OFF","")</f>
        <v/>
      </c>
      <c r="AE92" s="54" t="str">
        <f>IF('⚙ OFF Weekends'!$D$26="OFF","OFF","")</f>
        <v/>
      </c>
      <c r="AF92" s="56" t="str">
        <f>IF('⚙ OFF Weekends'!$D$27="OFF","OFF","")</f>
        <v/>
      </c>
      <c r="AG92" s="54" t="str">
        <f>IF('⚙ OFF Weekends'!$D$28="OFF","OFF","")</f>
        <v/>
      </c>
      <c r="AH92" s="56" t="str">
        <f>IF('⚙ OFF Weekends'!$D$29="OFF","OFF","")</f>
        <v/>
      </c>
      <c r="AI92" s="54" t="str">
        <f>IF('⚙ OFF Weekends'!$D$30="OFF","OFF","")</f>
        <v/>
      </c>
      <c r="AJ92" s="56" t="str">
        <f>IF('⚙ OFF Weekends'!$D$31="OFF","OFF","")</f>
        <v/>
      </c>
      <c r="AK92" s="54" t="str">
        <f>IF('⚙ OFF Weekends'!$D$32="OFF","OFF","")</f>
        <v/>
      </c>
      <c r="AL92" s="56" t="str">
        <f>IF('⚙ OFF Weekends'!$D$33="OFF","OFF","")</f>
        <v/>
      </c>
      <c r="AM92" s="54" t="str">
        <f>IF('⚙ OFF Weekends'!$D$34="OFF","OFF","")</f>
        <v/>
      </c>
      <c r="AN92" s="56" t="str">
        <f>IF('⚙ OFF Weekends'!$D$35="OFF","OFF","")</f>
        <v/>
      </c>
      <c r="AO92" s="54" t="str">
        <f>IF('⚙ OFF Weekends'!$D$36="OFF","OFF","")</f>
        <v/>
      </c>
      <c r="AP92" s="56" t="str">
        <f>IF('⚙ OFF Weekends'!$D$37="OFF","OFF","")</f>
        <v/>
      </c>
      <c r="AQ92" s="54" t="str">
        <f>IF('⚙ OFF Weekends'!$D$38="OFF","OFF","")</f>
        <v/>
      </c>
      <c r="AR92" s="56" t="str">
        <f>IF('⚙ OFF Weekends'!$D$39="OFF","OFF","")</f>
        <v/>
      </c>
      <c r="AS92" s="54" t="str">
        <f>IF('⚙ OFF Weekends'!$D$40="OFF","OFF","")</f>
        <v/>
      </c>
      <c r="AT92" s="56" t="str">
        <f>IF('⚙ OFF Weekends'!$D$41="OFF","OFF","")</f>
        <v/>
      </c>
      <c r="AU92" s="54" t="str">
        <f>IF('⚙ OFF Weekends'!$D$42="OFF","OFF","")</f>
        <v/>
      </c>
      <c r="AV92" s="56" t="str">
        <f>IF('⚙ OFF Weekends'!$D$43="OFF","OFF","")</f>
        <v/>
      </c>
      <c r="AW92" s="54" t="str">
        <f>IF('⚙ OFF Weekends'!$D$44="OFF","OFF","")</f>
        <v/>
      </c>
      <c r="AX92" s="56" t="str">
        <f>IF('⚙ OFF Weekends'!$D$45="OFF","OFF","")</f>
        <v/>
      </c>
      <c r="AY92" s="54" t="str">
        <f>IF('⚙ OFF Weekends'!$D$46="OFF","OFF","")</f>
        <v/>
      </c>
      <c r="AZ92" s="56" t="str">
        <f>IF('⚙ OFF Weekends'!$D$47="OFF","OFF","")</f>
        <v/>
      </c>
      <c r="BA92" s="54" t="str">
        <f>IF('⚙ OFF Weekends'!$D$48="OFF","OFF","")</f>
        <v/>
      </c>
      <c r="BB92" s="56" t="str">
        <f>IF('⚙ OFF Weekends'!$D$49="OFF","OFF","")</f>
        <v/>
      </c>
      <c r="BC92" s="54" t="str">
        <f>IF('⚙ OFF Weekends'!$D$50="OFF","OFF","")</f>
        <v/>
      </c>
      <c r="BD92" s="56" t="str">
        <f>IF('⚙ OFF Weekends'!$D$51="OFF","OFF","")</f>
        <v/>
      </c>
      <c r="BE92" s="54" t="str">
        <f>IF('⚙ OFF Weekends'!$D$52="OFF","OFF","")</f>
        <v/>
      </c>
      <c r="BF92" s="56" t="str">
        <f>IF('⚙ OFF Weekends'!$D$53="OFF","OFF","")</f>
        <v/>
      </c>
      <c r="BG92" s="54" t="str">
        <f>IF('⚙ OFF Weekends'!$D$54="OFF","OFF","")</f>
        <v/>
      </c>
      <c r="BH92" s="56" t="str">
        <f>IF('⚙ OFF Weekends'!$D$55="OFF","OFF","")</f>
        <v/>
      </c>
      <c r="BI92" s="54" t="str">
        <f>IF('⚙ OFF Weekends'!$D$56="OFF","OFF","")</f>
        <v/>
      </c>
      <c r="BJ92" s="56" t="str">
        <f>IF('⚙ OFF Weekends'!$D$57="OFF","OFF","")</f>
        <v/>
      </c>
      <c r="BK92" s="54" t="str">
        <f>IF('⚙ OFF Weekends'!$D$58="OFF","OFF","")</f>
        <v/>
      </c>
      <c r="BL92" s="56" t="str">
        <f>IF('⚙ OFF Weekends'!$D$59="OFF","OFF","")</f>
        <v/>
      </c>
      <c r="BM92" s="54" t="str">
        <f>IF('⚙ OFF Weekends'!$D$60="OFF","OFF","")</f>
        <v/>
      </c>
      <c r="BN92" s="56" t="str">
        <f>IF('⚙ OFF Weekends'!$D$61="OFF","OFF","")</f>
        <v/>
      </c>
      <c r="BO92" s="54" t="str">
        <f>IF('⚙ OFF Weekends'!$D$62="OFF","OFF","")</f>
        <v/>
      </c>
      <c r="BP92" s="56" t="str">
        <f>IF('⚙ OFF Weekends'!$D$63="OFF","OFF","")</f>
        <v/>
      </c>
      <c r="BQ92" s="54" t="str">
        <f>IF('⚙ OFF Weekends'!$D$64="OFF","OFF","")</f>
        <v/>
      </c>
      <c r="BR92" s="56" t="str">
        <f>IF('⚙ OFF Weekends'!$D$65="OFF","OFF","")</f>
        <v/>
      </c>
      <c r="BS92" s="54" t="str">
        <f>IF('⚙ OFF Weekends'!$D$66="OFF","OFF","")</f>
        <v/>
      </c>
      <c r="BT92" s="56" t="str">
        <f>IF('⚙ OFF Weekends'!$D$67="OFF","OFF","")</f>
        <v/>
      </c>
      <c r="BU92" s="54" t="str">
        <f>IF('⚙ OFF Weekends'!$D$68="OFF","OFF","")</f>
        <v/>
      </c>
      <c r="BV92" s="56" t="str">
        <f>IF('⚙ OFF Weekends'!$D$69="OFF","OFF","")</f>
        <v/>
      </c>
      <c r="BW92" s="54" t="str">
        <f>IF('⚙ OFF Weekends'!$D$70="OFF","OFF","")</f>
        <v/>
      </c>
      <c r="BX92" s="56" t="str">
        <f>IF('⚙ OFF Weekends'!$D$71="OFF","OFF","")</f>
        <v/>
      </c>
      <c r="BY92" s="54" t="str">
        <f>IF('⚙ OFF Weekends'!$D$72="OFF","OFF","")</f>
        <v/>
      </c>
      <c r="BZ92" s="56" t="str">
        <f>IF('⚙ OFF Weekends'!$D$73="OFF","OFF","")</f>
        <v/>
      </c>
      <c r="CA92" s="54" t="str">
        <f>IF('⚙ OFF Weekends'!$D$74="OFF","OFF","")</f>
        <v/>
      </c>
      <c r="CB92" s="56" t="str">
        <f>IF('⚙ OFF Weekends'!$D$75="OFF","OFF","")</f>
        <v/>
      </c>
      <c r="CC92" s="54" t="str">
        <f>IF('⚙ OFF Weekends'!$D$76="OFF","OFF","")</f>
        <v/>
      </c>
      <c r="CD92" s="56" t="str">
        <f>IF('⚙ OFF Weekends'!$D$77="OFF","OFF","")</f>
        <v/>
      </c>
      <c r="CE92" s="95">
        <f t="shared" si="21"/>
        <v>15</v>
      </c>
      <c r="CF92" s="95">
        <f t="shared" si="22"/>
        <v>1</v>
      </c>
      <c r="CG92" s="95">
        <f t="shared" si="23"/>
        <v>2</v>
      </c>
      <c r="CH92" s="95" t="str">
        <f t="shared" si="24"/>
        <v>94%</v>
      </c>
    </row>
    <row r="93" ht="18.0" customHeight="1">
      <c r="A93" s="96">
        <v>12.0</v>
      </c>
      <c r="B93" s="22" t="s">
        <v>547</v>
      </c>
      <c r="C93" s="23" t="s">
        <v>548</v>
      </c>
      <c r="D93" s="24" t="str">
        <f t="shared" si="19"/>
        <v>📞 Call</v>
      </c>
      <c r="E93" s="41" t="str">
        <f t="shared" si="20"/>
        <v>💬 WhatsApp</v>
      </c>
      <c r="F93" s="20"/>
      <c r="G93" s="20" t="s">
        <v>549</v>
      </c>
      <c r="H93" s="20"/>
      <c r="I93" s="48" t="s">
        <v>196</v>
      </c>
      <c r="J93" s="79" t="s">
        <v>223</v>
      </c>
      <c r="K93" s="49" t="s">
        <v>197</v>
      </c>
      <c r="L93" s="79" t="s">
        <v>223</v>
      </c>
      <c r="M93" s="50" t="s">
        <v>37</v>
      </c>
      <c r="N93" s="50" t="s">
        <v>37</v>
      </c>
      <c r="O93" s="79" t="s">
        <v>223</v>
      </c>
      <c r="P93" s="79" t="s">
        <v>223</v>
      </c>
      <c r="Q93" s="50" t="s">
        <v>37</v>
      </c>
      <c r="R93" s="79" t="s">
        <v>223</v>
      </c>
      <c r="S93" s="52" t="s">
        <v>37</v>
      </c>
      <c r="T93" s="53" t="s">
        <v>198</v>
      </c>
      <c r="U93" s="52" t="s">
        <v>223</v>
      </c>
      <c r="V93" s="53" t="s">
        <v>198</v>
      </c>
      <c r="W93" s="52" t="s">
        <v>198</v>
      </c>
      <c r="X93" s="53" t="s">
        <v>198</v>
      </c>
      <c r="Y93" s="52" t="s">
        <v>37</v>
      </c>
      <c r="Z93" s="53" t="s">
        <v>223</v>
      </c>
      <c r="AA93" s="52" t="s">
        <v>223</v>
      </c>
      <c r="AB93" s="53" t="s">
        <v>223</v>
      </c>
      <c r="AC93" s="54" t="str">
        <f>IF('⚙ OFF Weekends'!$D$24="OFF","OFF","")</f>
        <v/>
      </c>
      <c r="AD93" s="56" t="str">
        <f>IF('⚙ OFF Weekends'!$D$25="OFF","OFF","")</f>
        <v/>
      </c>
      <c r="AE93" s="54" t="str">
        <f>IF('⚙ OFF Weekends'!$D$26="OFF","OFF","")</f>
        <v/>
      </c>
      <c r="AF93" s="56" t="str">
        <f>IF('⚙ OFF Weekends'!$D$27="OFF","OFF","")</f>
        <v/>
      </c>
      <c r="AG93" s="54" t="str">
        <f>IF('⚙ OFF Weekends'!$D$28="OFF","OFF","")</f>
        <v/>
      </c>
      <c r="AH93" s="56" t="str">
        <f>IF('⚙ OFF Weekends'!$D$29="OFF","OFF","")</f>
        <v/>
      </c>
      <c r="AI93" s="54" t="str">
        <f>IF('⚙ OFF Weekends'!$D$30="OFF","OFF","")</f>
        <v/>
      </c>
      <c r="AJ93" s="56" t="str">
        <f>IF('⚙ OFF Weekends'!$D$31="OFF","OFF","")</f>
        <v/>
      </c>
      <c r="AK93" s="54" t="str">
        <f>IF('⚙ OFF Weekends'!$D$32="OFF","OFF","")</f>
        <v/>
      </c>
      <c r="AL93" s="56" t="str">
        <f>IF('⚙ OFF Weekends'!$D$33="OFF","OFF","")</f>
        <v/>
      </c>
      <c r="AM93" s="54" t="str">
        <f>IF('⚙ OFF Weekends'!$D$34="OFF","OFF","")</f>
        <v/>
      </c>
      <c r="AN93" s="56" t="str">
        <f>IF('⚙ OFF Weekends'!$D$35="OFF","OFF","")</f>
        <v/>
      </c>
      <c r="AO93" s="54" t="str">
        <f>IF('⚙ OFF Weekends'!$D$36="OFF","OFF","")</f>
        <v/>
      </c>
      <c r="AP93" s="56" t="str">
        <f>IF('⚙ OFF Weekends'!$D$37="OFF","OFF","")</f>
        <v/>
      </c>
      <c r="AQ93" s="54" t="str">
        <f>IF('⚙ OFF Weekends'!$D$38="OFF","OFF","")</f>
        <v/>
      </c>
      <c r="AR93" s="56" t="str">
        <f>IF('⚙ OFF Weekends'!$D$39="OFF","OFF","")</f>
        <v/>
      </c>
      <c r="AS93" s="54" t="str">
        <f>IF('⚙ OFF Weekends'!$D$40="OFF","OFF","")</f>
        <v/>
      </c>
      <c r="AT93" s="56" t="str">
        <f>IF('⚙ OFF Weekends'!$D$41="OFF","OFF","")</f>
        <v/>
      </c>
      <c r="AU93" s="54" t="str">
        <f>IF('⚙ OFF Weekends'!$D$42="OFF","OFF","")</f>
        <v/>
      </c>
      <c r="AV93" s="56" t="str">
        <f>IF('⚙ OFF Weekends'!$D$43="OFF","OFF","")</f>
        <v/>
      </c>
      <c r="AW93" s="54" t="str">
        <f>IF('⚙ OFF Weekends'!$D$44="OFF","OFF","")</f>
        <v/>
      </c>
      <c r="AX93" s="56" t="str">
        <f>IF('⚙ OFF Weekends'!$D$45="OFF","OFF","")</f>
        <v/>
      </c>
      <c r="AY93" s="54" t="str">
        <f>IF('⚙ OFF Weekends'!$D$46="OFF","OFF","")</f>
        <v/>
      </c>
      <c r="AZ93" s="56" t="str">
        <f>IF('⚙ OFF Weekends'!$D$47="OFF","OFF","")</f>
        <v/>
      </c>
      <c r="BA93" s="54" t="str">
        <f>IF('⚙ OFF Weekends'!$D$48="OFF","OFF","")</f>
        <v/>
      </c>
      <c r="BB93" s="56" t="str">
        <f>IF('⚙ OFF Weekends'!$D$49="OFF","OFF","")</f>
        <v/>
      </c>
      <c r="BC93" s="54" t="str">
        <f>IF('⚙ OFF Weekends'!$D$50="OFF","OFF","")</f>
        <v/>
      </c>
      <c r="BD93" s="56" t="str">
        <f>IF('⚙ OFF Weekends'!$D$51="OFF","OFF","")</f>
        <v/>
      </c>
      <c r="BE93" s="54" t="str">
        <f>IF('⚙ OFF Weekends'!$D$52="OFF","OFF","")</f>
        <v/>
      </c>
      <c r="BF93" s="56" t="str">
        <f>IF('⚙ OFF Weekends'!$D$53="OFF","OFF","")</f>
        <v/>
      </c>
      <c r="BG93" s="54" t="str">
        <f>IF('⚙ OFF Weekends'!$D$54="OFF","OFF","")</f>
        <v/>
      </c>
      <c r="BH93" s="56" t="str">
        <f>IF('⚙ OFF Weekends'!$D$55="OFF","OFF","")</f>
        <v/>
      </c>
      <c r="BI93" s="54" t="str">
        <f>IF('⚙ OFF Weekends'!$D$56="OFF","OFF","")</f>
        <v/>
      </c>
      <c r="BJ93" s="56" t="str">
        <f>IF('⚙ OFF Weekends'!$D$57="OFF","OFF","")</f>
        <v/>
      </c>
      <c r="BK93" s="54" t="str">
        <f>IF('⚙ OFF Weekends'!$D$58="OFF","OFF","")</f>
        <v/>
      </c>
      <c r="BL93" s="56" t="str">
        <f>IF('⚙ OFF Weekends'!$D$59="OFF","OFF","")</f>
        <v/>
      </c>
      <c r="BM93" s="54" t="str">
        <f>IF('⚙ OFF Weekends'!$D$60="OFF","OFF","")</f>
        <v/>
      </c>
      <c r="BN93" s="56" t="str">
        <f>IF('⚙ OFF Weekends'!$D$61="OFF","OFF","")</f>
        <v/>
      </c>
      <c r="BO93" s="54" t="str">
        <f>IF('⚙ OFF Weekends'!$D$62="OFF","OFF","")</f>
        <v/>
      </c>
      <c r="BP93" s="56" t="str">
        <f>IF('⚙ OFF Weekends'!$D$63="OFF","OFF","")</f>
        <v/>
      </c>
      <c r="BQ93" s="54" t="str">
        <f>IF('⚙ OFF Weekends'!$D$64="OFF","OFF","")</f>
        <v/>
      </c>
      <c r="BR93" s="56" t="str">
        <f>IF('⚙ OFF Weekends'!$D$65="OFF","OFF","")</f>
        <v/>
      </c>
      <c r="BS93" s="54" t="str">
        <f>IF('⚙ OFF Weekends'!$D$66="OFF","OFF","")</f>
        <v/>
      </c>
      <c r="BT93" s="56" t="str">
        <f>IF('⚙ OFF Weekends'!$D$67="OFF","OFF","")</f>
        <v/>
      </c>
      <c r="BU93" s="54" t="str">
        <f>IF('⚙ OFF Weekends'!$D$68="OFF","OFF","")</f>
        <v/>
      </c>
      <c r="BV93" s="56" t="str">
        <f>IF('⚙ OFF Weekends'!$D$69="OFF","OFF","")</f>
        <v/>
      </c>
      <c r="BW93" s="54" t="str">
        <f>IF('⚙ OFF Weekends'!$D$70="OFF","OFF","")</f>
        <v/>
      </c>
      <c r="BX93" s="56" t="str">
        <f>IF('⚙ OFF Weekends'!$D$71="OFF","OFF","")</f>
        <v/>
      </c>
      <c r="BY93" s="54" t="str">
        <f>IF('⚙ OFF Weekends'!$D$72="OFF","OFF","")</f>
        <v/>
      </c>
      <c r="BZ93" s="56" t="str">
        <f>IF('⚙ OFF Weekends'!$D$73="OFF","OFF","")</f>
        <v/>
      </c>
      <c r="CA93" s="54" t="str">
        <f>IF('⚙ OFF Weekends'!$D$74="OFF","OFF","")</f>
        <v/>
      </c>
      <c r="CB93" s="56" t="str">
        <f>IF('⚙ OFF Weekends'!$D$75="OFF","OFF","")</f>
        <v/>
      </c>
      <c r="CC93" s="54" t="str">
        <f>IF('⚙ OFF Weekends'!$D$76="OFF","OFF","")</f>
        <v/>
      </c>
      <c r="CD93" s="56" t="str">
        <f>IF('⚙ OFF Weekends'!$D$77="OFF","OFF","")</f>
        <v/>
      </c>
      <c r="CE93" s="96">
        <f t="shared" si="21"/>
        <v>6</v>
      </c>
      <c r="CF93" s="96">
        <f t="shared" si="22"/>
        <v>9</v>
      </c>
      <c r="CG93" s="96">
        <f t="shared" si="23"/>
        <v>4</v>
      </c>
      <c r="CH93" s="96" t="str">
        <f t="shared" si="24"/>
        <v>40%</v>
      </c>
    </row>
    <row r="94" ht="18.0" customHeight="1">
      <c r="A94" s="95">
        <v>13.0</v>
      </c>
      <c r="B94" s="12" t="s">
        <v>554</v>
      </c>
      <c r="C94" s="14" t="s">
        <v>555</v>
      </c>
      <c r="D94" s="17" t="str">
        <f t="shared" si="19"/>
        <v>📞 Call</v>
      </c>
      <c r="E94" s="19" t="str">
        <f t="shared" si="20"/>
        <v>💬 WhatsApp</v>
      </c>
      <c r="F94" s="10"/>
      <c r="G94" s="10" t="s">
        <v>517</v>
      </c>
      <c r="H94" s="10"/>
      <c r="I94" s="48" t="s">
        <v>196</v>
      </c>
      <c r="J94" s="48" t="s">
        <v>196</v>
      </c>
      <c r="K94" s="49" t="s">
        <v>197</v>
      </c>
      <c r="L94" s="79" t="s">
        <v>223</v>
      </c>
      <c r="M94" s="50" t="s">
        <v>37</v>
      </c>
      <c r="N94" s="50" t="s">
        <v>37</v>
      </c>
      <c r="O94" s="50" t="s">
        <v>37</v>
      </c>
      <c r="P94" s="79" t="s">
        <v>223</v>
      </c>
      <c r="Q94" s="48" t="s">
        <v>196</v>
      </c>
      <c r="R94" s="48" t="s">
        <v>196</v>
      </c>
      <c r="S94" s="52" t="s">
        <v>37</v>
      </c>
      <c r="T94" s="53" t="s">
        <v>196</v>
      </c>
      <c r="U94" s="52" t="s">
        <v>196</v>
      </c>
      <c r="V94" s="53" t="s">
        <v>37</v>
      </c>
      <c r="W94" s="54" t="str">
        <f>IF('⚙ OFF Weekends'!$D$18="OFF","OFF","")</f>
        <v>OFF</v>
      </c>
      <c r="X94" s="53" t="s">
        <v>196</v>
      </c>
      <c r="Y94" s="52" t="s">
        <v>223</v>
      </c>
      <c r="Z94" s="53" t="s">
        <v>37</v>
      </c>
      <c r="AA94" s="52" t="s">
        <v>223</v>
      </c>
      <c r="AB94" s="53" t="s">
        <v>223</v>
      </c>
      <c r="AC94" s="54" t="str">
        <f>IF('⚙ OFF Weekends'!$D$24="OFF","OFF","")</f>
        <v/>
      </c>
      <c r="AD94" s="56" t="str">
        <f>IF('⚙ OFF Weekends'!$D$25="OFF","OFF","")</f>
        <v/>
      </c>
      <c r="AE94" s="54" t="str">
        <f>IF('⚙ OFF Weekends'!$D$26="OFF","OFF","")</f>
        <v/>
      </c>
      <c r="AF94" s="56" t="str">
        <f>IF('⚙ OFF Weekends'!$D$27="OFF","OFF","")</f>
        <v/>
      </c>
      <c r="AG94" s="54" t="str">
        <f>IF('⚙ OFF Weekends'!$D$28="OFF","OFF","")</f>
        <v/>
      </c>
      <c r="AH94" s="56" t="str">
        <f>IF('⚙ OFF Weekends'!$D$29="OFF","OFF","")</f>
        <v/>
      </c>
      <c r="AI94" s="54" t="str">
        <f>IF('⚙ OFF Weekends'!$D$30="OFF","OFF","")</f>
        <v/>
      </c>
      <c r="AJ94" s="56" t="str">
        <f>IF('⚙ OFF Weekends'!$D$31="OFF","OFF","")</f>
        <v/>
      </c>
      <c r="AK94" s="54" t="str">
        <f>IF('⚙ OFF Weekends'!$D$32="OFF","OFF","")</f>
        <v/>
      </c>
      <c r="AL94" s="56" t="str">
        <f>IF('⚙ OFF Weekends'!$D$33="OFF","OFF","")</f>
        <v/>
      </c>
      <c r="AM94" s="54" t="str">
        <f>IF('⚙ OFF Weekends'!$D$34="OFF","OFF","")</f>
        <v/>
      </c>
      <c r="AN94" s="56" t="str">
        <f>IF('⚙ OFF Weekends'!$D$35="OFF","OFF","")</f>
        <v/>
      </c>
      <c r="AO94" s="54" t="str">
        <f>IF('⚙ OFF Weekends'!$D$36="OFF","OFF","")</f>
        <v/>
      </c>
      <c r="AP94" s="56" t="str">
        <f>IF('⚙ OFF Weekends'!$D$37="OFF","OFF","")</f>
        <v/>
      </c>
      <c r="AQ94" s="54" t="str">
        <f>IF('⚙ OFF Weekends'!$D$38="OFF","OFF","")</f>
        <v/>
      </c>
      <c r="AR94" s="56" t="str">
        <f>IF('⚙ OFF Weekends'!$D$39="OFF","OFF","")</f>
        <v/>
      </c>
      <c r="AS94" s="54" t="str">
        <f>IF('⚙ OFF Weekends'!$D$40="OFF","OFF","")</f>
        <v/>
      </c>
      <c r="AT94" s="56" t="str">
        <f>IF('⚙ OFF Weekends'!$D$41="OFF","OFF","")</f>
        <v/>
      </c>
      <c r="AU94" s="54" t="str">
        <f>IF('⚙ OFF Weekends'!$D$42="OFF","OFF","")</f>
        <v/>
      </c>
      <c r="AV94" s="56" t="str">
        <f>IF('⚙ OFF Weekends'!$D$43="OFF","OFF","")</f>
        <v/>
      </c>
      <c r="AW94" s="54" t="str">
        <f>IF('⚙ OFF Weekends'!$D$44="OFF","OFF","")</f>
        <v/>
      </c>
      <c r="AX94" s="56" t="str">
        <f>IF('⚙ OFF Weekends'!$D$45="OFF","OFF","")</f>
        <v/>
      </c>
      <c r="AY94" s="54" t="str">
        <f>IF('⚙ OFF Weekends'!$D$46="OFF","OFF","")</f>
        <v/>
      </c>
      <c r="AZ94" s="56" t="str">
        <f>IF('⚙ OFF Weekends'!$D$47="OFF","OFF","")</f>
        <v/>
      </c>
      <c r="BA94" s="54" t="str">
        <f>IF('⚙ OFF Weekends'!$D$48="OFF","OFF","")</f>
        <v/>
      </c>
      <c r="BB94" s="56" t="str">
        <f>IF('⚙ OFF Weekends'!$D$49="OFF","OFF","")</f>
        <v/>
      </c>
      <c r="BC94" s="54" t="str">
        <f>IF('⚙ OFF Weekends'!$D$50="OFF","OFF","")</f>
        <v/>
      </c>
      <c r="BD94" s="56" t="str">
        <f>IF('⚙ OFF Weekends'!$D$51="OFF","OFF","")</f>
        <v/>
      </c>
      <c r="BE94" s="54" t="str">
        <f>IF('⚙ OFF Weekends'!$D$52="OFF","OFF","")</f>
        <v/>
      </c>
      <c r="BF94" s="56" t="str">
        <f>IF('⚙ OFF Weekends'!$D$53="OFF","OFF","")</f>
        <v/>
      </c>
      <c r="BG94" s="54" t="str">
        <f>IF('⚙ OFF Weekends'!$D$54="OFF","OFF","")</f>
        <v/>
      </c>
      <c r="BH94" s="56" t="str">
        <f>IF('⚙ OFF Weekends'!$D$55="OFF","OFF","")</f>
        <v/>
      </c>
      <c r="BI94" s="54" t="str">
        <f>IF('⚙ OFF Weekends'!$D$56="OFF","OFF","")</f>
        <v/>
      </c>
      <c r="BJ94" s="56" t="str">
        <f>IF('⚙ OFF Weekends'!$D$57="OFF","OFF","")</f>
        <v/>
      </c>
      <c r="BK94" s="54" t="str">
        <f>IF('⚙ OFF Weekends'!$D$58="OFF","OFF","")</f>
        <v/>
      </c>
      <c r="BL94" s="56" t="str">
        <f>IF('⚙ OFF Weekends'!$D$59="OFF","OFF","")</f>
        <v/>
      </c>
      <c r="BM94" s="54" t="str">
        <f>IF('⚙ OFF Weekends'!$D$60="OFF","OFF","")</f>
        <v/>
      </c>
      <c r="BN94" s="56" t="str">
        <f>IF('⚙ OFF Weekends'!$D$61="OFF","OFF","")</f>
        <v/>
      </c>
      <c r="BO94" s="54" t="str">
        <f>IF('⚙ OFF Weekends'!$D$62="OFF","OFF","")</f>
        <v/>
      </c>
      <c r="BP94" s="56" t="str">
        <f>IF('⚙ OFF Weekends'!$D$63="OFF","OFF","")</f>
        <v/>
      </c>
      <c r="BQ94" s="54" t="str">
        <f>IF('⚙ OFF Weekends'!$D$64="OFF","OFF","")</f>
        <v/>
      </c>
      <c r="BR94" s="56" t="str">
        <f>IF('⚙ OFF Weekends'!$D$65="OFF","OFF","")</f>
        <v/>
      </c>
      <c r="BS94" s="54" t="str">
        <f>IF('⚙ OFF Weekends'!$D$66="OFF","OFF","")</f>
        <v/>
      </c>
      <c r="BT94" s="56" t="str">
        <f>IF('⚙ OFF Weekends'!$D$67="OFF","OFF","")</f>
        <v/>
      </c>
      <c r="BU94" s="54" t="str">
        <f>IF('⚙ OFF Weekends'!$D$68="OFF","OFF","")</f>
        <v/>
      </c>
      <c r="BV94" s="56" t="str">
        <f>IF('⚙ OFF Weekends'!$D$69="OFF","OFF","")</f>
        <v/>
      </c>
      <c r="BW94" s="54" t="str">
        <f>IF('⚙ OFF Weekends'!$D$70="OFF","OFF","")</f>
        <v/>
      </c>
      <c r="BX94" s="56" t="str">
        <f>IF('⚙ OFF Weekends'!$D$71="OFF","OFF","")</f>
        <v/>
      </c>
      <c r="BY94" s="54" t="str">
        <f>IF('⚙ OFF Weekends'!$D$72="OFF","OFF","")</f>
        <v/>
      </c>
      <c r="BZ94" s="56" t="str">
        <f>IF('⚙ OFF Weekends'!$D$73="OFF","OFF","")</f>
        <v/>
      </c>
      <c r="CA94" s="54" t="str">
        <f>IF('⚙ OFF Weekends'!$D$74="OFF","OFF","")</f>
        <v/>
      </c>
      <c r="CB94" s="56" t="str">
        <f>IF('⚙ OFF Weekends'!$D$75="OFF","OFF","")</f>
        <v/>
      </c>
      <c r="CC94" s="54" t="str">
        <f>IF('⚙ OFF Weekends'!$D$76="OFF","OFF","")</f>
        <v/>
      </c>
      <c r="CD94" s="56" t="str">
        <f>IF('⚙ OFF Weekends'!$D$77="OFF","OFF","")</f>
        <v/>
      </c>
      <c r="CE94" s="95">
        <f t="shared" si="21"/>
        <v>13</v>
      </c>
      <c r="CF94" s="95">
        <f t="shared" si="22"/>
        <v>5</v>
      </c>
      <c r="CG94" s="95">
        <f t="shared" si="23"/>
        <v>0</v>
      </c>
      <c r="CH94" s="95" t="str">
        <f t="shared" si="24"/>
        <v>72%</v>
      </c>
    </row>
    <row r="95" ht="18.0" customHeight="1">
      <c r="A95" s="96">
        <v>14.0</v>
      </c>
      <c r="B95" s="22" t="s">
        <v>481</v>
      </c>
      <c r="C95" s="23" t="s">
        <v>559</v>
      </c>
      <c r="D95" s="24" t="str">
        <f t="shared" si="19"/>
        <v>📞 Call</v>
      </c>
      <c r="E95" s="41" t="str">
        <f t="shared" si="20"/>
        <v>💬 WhatsApp</v>
      </c>
      <c r="F95" s="20"/>
      <c r="G95" s="20" t="s">
        <v>560</v>
      </c>
      <c r="H95" s="20"/>
      <c r="I95" s="79" t="s">
        <v>223</v>
      </c>
      <c r="J95" s="48" t="s">
        <v>196</v>
      </c>
      <c r="K95" s="49" t="s">
        <v>197</v>
      </c>
      <c r="L95" s="79" t="s">
        <v>223</v>
      </c>
      <c r="M95" s="79" t="s">
        <v>223</v>
      </c>
      <c r="N95" s="50" t="s">
        <v>37</v>
      </c>
      <c r="O95" s="77" t="s">
        <v>198</v>
      </c>
      <c r="P95" s="77" t="s">
        <v>198</v>
      </c>
      <c r="Q95" s="77" t="s">
        <v>198</v>
      </c>
      <c r="R95" s="77" t="s">
        <v>198</v>
      </c>
      <c r="S95" s="77" t="s">
        <v>198</v>
      </c>
      <c r="T95" s="77" t="s">
        <v>198</v>
      </c>
      <c r="U95" s="122" t="s">
        <v>37</v>
      </c>
      <c r="V95" s="77" t="s">
        <v>198</v>
      </c>
      <c r="W95" s="54" t="str">
        <f>IF('⚙ OFF Weekends'!$D$18="OFF","OFF","")</f>
        <v>OFF</v>
      </c>
      <c r="X95" s="53" t="s">
        <v>223</v>
      </c>
      <c r="Y95" s="52" t="s">
        <v>37</v>
      </c>
      <c r="Z95" s="53" t="s">
        <v>223</v>
      </c>
      <c r="AA95" s="52" t="s">
        <v>37</v>
      </c>
      <c r="AB95" s="53" t="s">
        <v>198</v>
      </c>
      <c r="AC95" s="54" t="str">
        <f>IF('⚙ OFF Weekends'!$D$24="OFF","OFF","")</f>
        <v/>
      </c>
      <c r="AD95" s="56" t="str">
        <f>IF('⚙ OFF Weekends'!$D$25="OFF","OFF","")</f>
        <v/>
      </c>
      <c r="AE95" s="54" t="str">
        <f>IF('⚙ OFF Weekends'!$D$26="OFF","OFF","")</f>
        <v/>
      </c>
      <c r="AF95" s="56" t="str">
        <f>IF('⚙ OFF Weekends'!$D$27="OFF","OFF","")</f>
        <v/>
      </c>
      <c r="AG95" s="54" t="str">
        <f>IF('⚙ OFF Weekends'!$D$28="OFF","OFF","")</f>
        <v/>
      </c>
      <c r="AH95" s="56" t="str">
        <f>IF('⚙ OFF Weekends'!$D$29="OFF","OFF","")</f>
        <v/>
      </c>
      <c r="AI95" s="54" t="str">
        <f>IF('⚙ OFF Weekends'!$D$30="OFF","OFF","")</f>
        <v/>
      </c>
      <c r="AJ95" s="56" t="str">
        <f>IF('⚙ OFF Weekends'!$D$31="OFF","OFF","")</f>
        <v/>
      </c>
      <c r="AK95" s="54" t="str">
        <f>IF('⚙ OFF Weekends'!$D$32="OFF","OFF","")</f>
        <v/>
      </c>
      <c r="AL95" s="56" t="str">
        <f>IF('⚙ OFF Weekends'!$D$33="OFF","OFF","")</f>
        <v/>
      </c>
      <c r="AM95" s="54" t="str">
        <f>IF('⚙ OFF Weekends'!$D$34="OFF","OFF","")</f>
        <v/>
      </c>
      <c r="AN95" s="56" t="str">
        <f>IF('⚙ OFF Weekends'!$D$35="OFF","OFF","")</f>
        <v/>
      </c>
      <c r="AO95" s="54" t="str">
        <f>IF('⚙ OFF Weekends'!$D$36="OFF","OFF","")</f>
        <v/>
      </c>
      <c r="AP95" s="56" t="str">
        <f>IF('⚙ OFF Weekends'!$D$37="OFF","OFF","")</f>
        <v/>
      </c>
      <c r="AQ95" s="54" t="str">
        <f>IF('⚙ OFF Weekends'!$D$38="OFF","OFF","")</f>
        <v/>
      </c>
      <c r="AR95" s="56" t="str">
        <f>IF('⚙ OFF Weekends'!$D$39="OFF","OFF","")</f>
        <v/>
      </c>
      <c r="AS95" s="54" t="str">
        <f>IF('⚙ OFF Weekends'!$D$40="OFF","OFF","")</f>
        <v/>
      </c>
      <c r="AT95" s="56" t="str">
        <f>IF('⚙ OFF Weekends'!$D$41="OFF","OFF","")</f>
        <v/>
      </c>
      <c r="AU95" s="54" t="str">
        <f>IF('⚙ OFF Weekends'!$D$42="OFF","OFF","")</f>
        <v/>
      </c>
      <c r="AV95" s="56" t="str">
        <f>IF('⚙ OFF Weekends'!$D$43="OFF","OFF","")</f>
        <v/>
      </c>
      <c r="AW95" s="54" t="str">
        <f>IF('⚙ OFF Weekends'!$D$44="OFF","OFF","")</f>
        <v/>
      </c>
      <c r="AX95" s="56" t="str">
        <f>IF('⚙ OFF Weekends'!$D$45="OFF","OFF","")</f>
        <v/>
      </c>
      <c r="AY95" s="54" t="str">
        <f>IF('⚙ OFF Weekends'!$D$46="OFF","OFF","")</f>
        <v/>
      </c>
      <c r="AZ95" s="56" t="str">
        <f>IF('⚙ OFF Weekends'!$D$47="OFF","OFF","")</f>
        <v/>
      </c>
      <c r="BA95" s="54" t="str">
        <f>IF('⚙ OFF Weekends'!$D$48="OFF","OFF","")</f>
        <v/>
      </c>
      <c r="BB95" s="56" t="str">
        <f>IF('⚙ OFF Weekends'!$D$49="OFF","OFF","")</f>
        <v/>
      </c>
      <c r="BC95" s="54" t="str">
        <f>IF('⚙ OFF Weekends'!$D$50="OFF","OFF","")</f>
        <v/>
      </c>
      <c r="BD95" s="56" t="str">
        <f>IF('⚙ OFF Weekends'!$D$51="OFF","OFF","")</f>
        <v/>
      </c>
      <c r="BE95" s="54" t="str">
        <f>IF('⚙ OFF Weekends'!$D$52="OFF","OFF","")</f>
        <v/>
      </c>
      <c r="BF95" s="56" t="str">
        <f>IF('⚙ OFF Weekends'!$D$53="OFF","OFF","")</f>
        <v/>
      </c>
      <c r="BG95" s="54" t="str">
        <f>IF('⚙ OFF Weekends'!$D$54="OFF","OFF","")</f>
        <v/>
      </c>
      <c r="BH95" s="56" t="str">
        <f>IF('⚙ OFF Weekends'!$D$55="OFF","OFF","")</f>
        <v/>
      </c>
      <c r="BI95" s="54" t="str">
        <f>IF('⚙ OFF Weekends'!$D$56="OFF","OFF","")</f>
        <v/>
      </c>
      <c r="BJ95" s="56" t="str">
        <f>IF('⚙ OFF Weekends'!$D$57="OFF","OFF","")</f>
        <v/>
      </c>
      <c r="BK95" s="54" t="str">
        <f>IF('⚙ OFF Weekends'!$D$58="OFF","OFF","")</f>
        <v/>
      </c>
      <c r="BL95" s="56" t="str">
        <f>IF('⚙ OFF Weekends'!$D$59="OFF","OFF","")</f>
        <v/>
      </c>
      <c r="BM95" s="54" t="str">
        <f>IF('⚙ OFF Weekends'!$D$60="OFF","OFF","")</f>
        <v/>
      </c>
      <c r="BN95" s="56" t="str">
        <f>IF('⚙ OFF Weekends'!$D$61="OFF","OFF","")</f>
        <v/>
      </c>
      <c r="BO95" s="54" t="str">
        <f>IF('⚙ OFF Weekends'!$D$62="OFF","OFF","")</f>
        <v/>
      </c>
      <c r="BP95" s="56" t="str">
        <f>IF('⚙ OFF Weekends'!$D$63="OFF","OFF","")</f>
        <v/>
      </c>
      <c r="BQ95" s="54" t="str">
        <f>IF('⚙ OFF Weekends'!$D$64="OFF","OFF","")</f>
        <v/>
      </c>
      <c r="BR95" s="56" t="str">
        <f>IF('⚙ OFF Weekends'!$D$65="OFF","OFF","")</f>
        <v/>
      </c>
      <c r="BS95" s="54" t="str">
        <f>IF('⚙ OFF Weekends'!$D$66="OFF","OFF","")</f>
        <v/>
      </c>
      <c r="BT95" s="56" t="str">
        <f>IF('⚙ OFF Weekends'!$D$67="OFF","OFF","")</f>
        <v/>
      </c>
      <c r="BU95" s="54" t="str">
        <f>IF('⚙ OFF Weekends'!$D$68="OFF","OFF","")</f>
        <v/>
      </c>
      <c r="BV95" s="56" t="str">
        <f>IF('⚙ OFF Weekends'!$D$69="OFF","OFF","")</f>
        <v/>
      </c>
      <c r="BW95" s="54" t="str">
        <f>IF('⚙ OFF Weekends'!$D$70="OFF","OFF","")</f>
        <v/>
      </c>
      <c r="BX95" s="56" t="str">
        <f>IF('⚙ OFF Weekends'!$D$71="OFF","OFF","")</f>
        <v/>
      </c>
      <c r="BY95" s="54" t="str">
        <f>IF('⚙ OFF Weekends'!$D$72="OFF","OFF","")</f>
        <v/>
      </c>
      <c r="BZ95" s="56" t="str">
        <f>IF('⚙ OFF Weekends'!$D$73="OFF","OFF","")</f>
        <v/>
      </c>
      <c r="CA95" s="54" t="str">
        <f>IF('⚙ OFF Weekends'!$D$74="OFF","OFF","")</f>
        <v/>
      </c>
      <c r="CB95" s="56" t="str">
        <f>IF('⚙ OFF Weekends'!$D$75="OFF","OFF","")</f>
        <v/>
      </c>
      <c r="CC95" s="54" t="str">
        <f>IF('⚙ OFF Weekends'!$D$76="OFF","OFF","")</f>
        <v/>
      </c>
      <c r="CD95" s="56" t="str">
        <f>IF('⚙ OFF Weekends'!$D$77="OFF","OFF","")</f>
        <v/>
      </c>
      <c r="CE95" s="96">
        <f t="shared" si="21"/>
        <v>5</v>
      </c>
      <c r="CF95" s="96">
        <f t="shared" si="22"/>
        <v>5</v>
      </c>
      <c r="CG95" s="96">
        <f t="shared" si="23"/>
        <v>8</v>
      </c>
      <c r="CH95" s="96" t="str">
        <f t="shared" si="24"/>
        <v>50%</v>
      </c>
    </row>
    <row r="96" ht="18.0" customHeight="1">
      <c r="A96" s="95">
        <v>15.0</v>
      </c>
      <c r="B96" s="12" t="s">
        <v>564</v>
      </c>
      <c r="C96" s="14" t="s">
        <v>565</v>
      </c>
      <c r="D96" s="17" t="str">
        <f t="shared" si="19"/>
        <v>📞 Call</v>
      </c>
      <c r="E96" s="19" t="str">
        <f t="shared" si="20"/>
        <v>💬 WhatsApp</v>
      </c>
      <c r="F96" s="10"/>
      <c r="G96" s="10" t="s">
        <v>560</v>
      </c>
      <c r="H96" s="10"/>
      <c r="I96" s="79" t="s">
        <v>223</v>
      </c>
      <c r="J96" s="79" t="s">
        <v>223</v>
      </c>
      <c r="K96" s="49" t="s">
        <v>197</v>
      </c>
      <c r="L96" s="77" t="s">
        <v>198</v>
      </c>
      <c r="M96" s="77" t="s">
        <v>198</v>
      </c>
      <c r="N96" s="77" t="s">
        <v>198</v>
      </c>
      <c r="O96" s="79" t="s">
        <v>223</v>
      </c>
      <c r="P96" s="79" t="s">
        <v>223</v>
      </c>
      <c r="Q96" s="79" t="s">
        <v>223</v>
      </c>
      <c r="R96" s="79" t="s">
        <v>223</v>
      </c>
      <c r="S96" s="52" t="s">
        <v>223</v>
      </c>
      <c r="T96" s="53" t="s">
        <v>223</v>
      </c>
      <c r="U96" s="53" t="s">
        <v>296</v>
      </c>
      <c r="V96" s="53" t="s">
        <v>296</v>
      </c>
      <c r="W96" s="53" t="s">
        <v>296</v>
      </c>
      <c r="X96" s="53" t="s">
        <v>296</v>
      </c>
      <c r="Y96" s="53" t="s">
        <v>296</v>
      </c>
      <c r="Z96" s="53" t="s">
        <v>296</v>
      </c>
      <c r="AA96" s="53" t="s">
        <v>296</v>
      </c>
      <c r="AB96" s="53" t="s">
        <v>296</v>
      </c>
      <c r="AC96" s="53" t="s">
        <v>296</v>
      </c>
      <c r="AD96" s="53" t="s">
        <v>296</v>
      </c>
      <c r="AE96" s="53" t="s">
        <v>296</v>
      </c>
      <c r="AF96" s="53" t="s">
        <v>296</v>
      </c>
      <c r="AG96" s="53" t="s">
        <v>296</v>
      </c>
      <c r="AH96" s="53" t="s">
        <v>296</v>
      </c>
      <c r="AI96" s="53" t="s">
        <v>296</v>
      </c>
      <c r="AJ96" s="53" t="s">
        <v>296</v>
      </c>
      <c r="AK96" s="53" t="s">
        <v>296</v>
      </c>
      <c r="AL96" s="53" t="s">
        <v>296</v>
      </c>
      <c r="AM96" s="53" t="s">
        <v>296</v>
      </c>
      <c r="AN96" s="53" t="s">
        <v>296</v>
      </c>
      <c r="AO96" s="53" t="s">
        <v>296</v>
      </c>
      <c r="AP96" s="53" t="s">
        <v>296</v>
      </c>
      <c r="AQ96" s="53" t="s">
        <v>296</v>
      </c>
      <c r="AR96" s="53" t="s">
        <v>296</v>
      </c>
      <c r="AS96" s="53" t="s">
        <v>296</v>
      </c>
      <c r="AT96" s="53" t="s">
        <v>296</v>
      </c>
      <c r="AU96" s="53" t="s">
        <v>296</v>
      </c>
      <c r="AV96" s="53" t="s">
        <v>296</v>
      </c>
      <c r="AW96" s="53" t="s">
        <v>296</v>
      </c>
      <c r="AX96" s="53" t="s">
        <v>296</v>
      </c>
      <c r="AY96" s="53" t="s">
        <v>296</v>
      </c>
      <c r="AZ96" s="53" t="s">
        <v>296</v>
      </c>
      <c r="BA96" s="53" t="s">
        <v>296</v>
      </c>
      <c r="BB96" s="53" t="s">
        <v>296</v>
      </c>
      <c r="BC96" s="53" t="s">
        <v>296</v>
      </c>
      <c r="BD96" s="53" t="s">
        <v>296</v>
      </c>
      <c r="BE96" s="53" t="s">
        <v>296</v>
      </c>
      <c r="BF96" s="53" t="s">
        <v>296</v>
      </c>
      <c r="BG96" s="53" t="s">
        <v>296</v>
      </c>
      <c r="BH96" s="53" t="s">
        <v>296</v>
      </c>
      <c r="BI96" s="53" t="s">
        <v>296</v>
      </c>
      <c r="BJ96" s="53" t="s">
        <v>296</v>
      </c>
      <c r="BK96" s="53" t="s">
        <v>296</v>
      </c>
      <c r="BL96" s="53" t="s">
        <v>296</v>
      </c>
      <c r="BM96" s="53" t="s">
        <v>296</v>
      </c>
      <c r="BN96" s="53" t="s">
        <v>296</v>
      </c>
      <c r="BO96" s="53" t="s">
        <v>296</v>
      </c>
      <c r="BP96" s="53" t="s">
        <v>296</v>
      </c>
      <c r="BQ96" s="53" t="s">
        <v>296</v>
      </c>
      <c r="BR96" s="53" t="s">
        <v>296</v>
      </c>
      <c r="BS96" s="53" t="s">
        <v>296</v>
      </c>
      <c r="BT96" s="53" t="s">
        <v>296</v>
      </c>
      <c r="BU96" s="53" t="s">
        <v>296</v>
      </c>
      <c r="BV96" s="53" t="s">
        <v>296</v>
      </c>
      <c r="BW96" s="53" t="s">
        <v>296</v>
      </c>
      <c r="BX96" s="53" t="s">
        <v>296</v>
      </c>
      <c r="BY96" s="53" t="s">
        <v>296</v>
      </c>
      <c r="BZ96" s="53" t="s">
        <v>296</v>
      </c>
      <c r="CA96" s="53" t="s">
        <v>296</v>
      </c>
      <c r="CB96" s="53" t="s">
        <v>296</v>
      </c>
      <c r="CC96" s="53" t="s">
        <v>296</v>
      </c>
      <c r="CD96" s="53" t="s">
        <v>296</v>
      </c>
      <c r="CE96" s="95">
        <f t="shared" si="21"/>
        <v>0</v>
      </c>
      <c r="CF96" s="95">
        <f t="shared" si="22"/>
        <v>8</v>
      </c>
      <c r="CG96" s="95">
        <f t="shared" si="23"/>
        <v>3</v>
      </c>
      <c r="CH96" s="95" t="str">
        <f t="shared" si="24"/>
        <v>0%</v>
      </c>
    </row>
    <row r="97" ht="18.0" customHeight="1">
      <c r="A97" s="96">
        <v>16.0</v>
      </c>
      <c r="B97" s="22" t="s">
        <v>567</v>
      </c>
      <c r="C97" s="23" t="s">
        <v>568</v>
      </c>
      <c r="D97" s="24" t="str">
        <f t="shared" si="19"/>
        <v>📞 Call</v>
      </c>
      <c r="E97" s="41" t="str">
        <f t="shared" si="20"/>
        <v>💬 WhatsApp</v>
      </c>
      <c r="F97" s="20"/>
      <c r="G97" s="104">
        <v>17.0</v>
      </c>
      <c r="H97" s="20"/>
      <c r="I97" s="54" t="str">
        <f>IF('⚙ OFF Weekends'!$D$4="OFF","OFF","")</f>
        <v/>
      </c>
      <c r="J97" s="56" t="str">
        <f>IF('⚙ OFF Weekends'!$D$5="OFF","OFF","")</f>
        <v/>
      </c>
      <c r="K97" s="49" t="s">
        <v>197</v>
      </c>
      <c r="L97" s="48" t="s">
        <v>196</v>
      </c>
      <c r="M97" s="79" t="s">
        <v>223</v>
      </c>
      <c r="N97" s="79" t="s">
        <v>223</v>
      </c>
      <c r="O97" s="77" t="s">
        <v>198</v>
      </c>
      <c r="P97" s="77" t="s">
        <v>198</v>
      </c>
      <c r="Q97" s="77" t="s">
        <v>198</v>
      </c>
      <c r="R97" s="77" t="s">
        <v>198</v>
      </c>
      <c r="S97" s="77" t="s">
        <v>198</v>
      </c>
      <c r="T97" s="77" t="s">
        <v>198</v>
      </c>
      <c r="U97" s="77" t="s">
        <v>198</v>
      </c>
      <c r="V97" s="77" t="s">
        <v>198</v>
      </c>
      <c r="W97" s="54" t="str">
        <f>IF('⚙ OFF Weekends'!$D$18="OFF","OFF","")</f>
        <v>OFF</v>
      </c>
      <c r="X97" s="53" t="s">
        <v>223</v>
      </c>
      <c r="Y97" s="52" t="s">
        <v>198</v>
      </c>
      <c r="Z97" s="53" t="s">
        <v>198</v>
      </c>
      <c r="AA97" s="52" t="s">
        <v>223</v>
      </c>
      <c r="AB97" s="53" t="s">
        <v>223</v>
      </c>
      <c r="AC97" s="54" t="str">
        <f>IF('⚙ OFF Weekends'!$D$24="OFF","OFF","")</f>
        <v/>
      </c>
      <c r="AD97" s="56" t="str">
        <f>IF('⚙ OFF Weekends'!$D$25="OFF","OFF","")</f>
        <v/>
      </c>
      <c r="AE97" s="54" t="str">
        <f>IF('⚙ OFF Weekends'!$D$26="OFF","OFF","")</f>
        <v/>
      </c>
      <c r="AF97" s="56" t="str">
        <f>IF('⚙ OFF Weekends'!$D$27="OFF","OFF","")</f>
        <v/>
      </c>
      <c r="AG97" s="54" t="str">
        <f>IF('⚙ OFF Weekends'!$D$28="OFF","OFF","")</f>
        <v/>
      </c>
      <c r="AH97" s="56" t="str">
        <f>IF('⚙ OFF Weekends'!$D$29="OFF","OFF","")</f>
        <v/>
      </c>
      <c r="AI97" s="54" t="str">
        <f>IF('⚙ OFF Weekends'!$D$30="OFF","OFF","")</f>
        <v/>
      </c>
      <c r="AJ97" s="56" t="str">
        <f>IF('⚙ OFF Weekends'!$D$31="OFF","OFF","")</f>
        <v/>
      </c>
      <c r="AK97" s="54" t="str">
        <f>IF('⚙ OFF Weekends'!$D$32="OFF","OFF","")</f>
        <v/>
      </c>
      <c r="AL97" s="56" t="str">
        <f>IF('⚙ OFF Weekends'!$D$33="OFF","OFF","")</f>
        <v/>
      </c>
      <c r="AM97" s="54" t="str">
        <f>IF('⚙ OFF Weekends'!$D$34="OFF","OFF","")</f>
        <v/>
      </c>
      <c r="AN97" s="56" t="str">
        <f>IF('⚙ OFF Weekends'!$D$35="OFF","OFF","")</f>
        <v/>
      </c>
      <c r="AO97" s="54" t="str">
        <f>IF('⚙ OFF Weekends'!$D$36="OFF","OFF","")</f>
        <v/>
      </c>
      <c r="AP97" s="56" t="str">
        <f>IF('⚙ OFF Weekends'!$D$37="OFF","OFF","")</f>
        <v/>
      </c>
      <c r="AQ97" s="54" t="str">
        <f>IF('⚙ OFF Weekends'!$D$38="OFF","OFF","")</f>
        <v/>
      </c>
      <c r="AR97" s="56" t="str">
        <f>IF('⚙ OFF Weekends'!$D$39="OFF","OFF","")</f>
        <v/>
      </c>
      <c r="AS97" s="54" t="str">
        <f>IF('⚙ OFF Weekends'!$D$40="OFF","OFF","")</f>
        <v/>
      </c>
      <c r="AT97" s="56" t="str">
        <f>IF('⚙ OFF Weekends'!$D$41="OFF","OFF","")</f>
        <v/>
      </c>
      <c r="AU97" s="54" t="str">
        <f>IF('⚙ OFF Weekends'!$D$42="OFF","OFF","")</f>
        <v/>
      </c>
      <c r="AV97" s="56" t="str">
        <f>IF('⚙ OFF Weekends'!$D$43="OFF","OFF","")</f>
        <v/>
      </c>
      <c r="AW97" s="54" t="str">
        <f>IF('⚙ OFF Weekends'!$D$44="OFF","OFF","")</f>
        <v/>
      </c>
      <c r="AX97" s="56" t="str">
        <f>IF('⚙ OFF Weekends'!$D$45="OFF","OFF","")</f>
        <v/>
      </c>
      <c r="AY97" s="54" t="str">
        <f>IF('⚙ OFF Weekends'!$D$46="OFF","OFF","")</f>
        <v/>
      </c>
      <c r="AZ97" s="56" t="str">
        <f>IF('⚙ OFF Weekends'!$D$47="OFF","OFF","")</f>
        <v/>
      </c>
      <c r="BA97" s="54" t="str">
        <f>IF('⚙ OFF Weekends'!$D$48="OFF","OFF","")</f>
        <v/>
      </c>
      <c r="BB97" s="56" t="str">
        <f>IF('⚙ OFF Weekends'!$D$49="OFF","OFF","")</f>
        <v/>
      </c>
      <c r="BC97" s="54" t="str">
        <f>IF('⚙ OFF Weekends'!$D$50="OFF","OFF","")</f>
        <v/>
      </c>
      <c r="BD97" s="56" t="str">
        <f>IF('⚙ OFF Weekends'!$D$51="OFF","OFF","")</f>
        <v/>
      </c>
      <c r="BE97" s="54" t="str">
        <f>IF('⚙ OFF Weekends'!$D$52="OFF","OFF","")</f>
        <v/>
      </c>
      <c r="BF97" s="56" t="str">
        <f>IF('⚙ OFF Weekends'!$D$53="OFF","OFF","")</f>
        <v/>
      </c>
      <c r="BG97" s="54" t="str">
        <f>IF('⚙ OFF Weekends'!$D$54="OFF","OFF","")</f>
        <v/>
      </c>
      <c r="BH97" s="56" t="str">
        <f>IF('⚙ OFF Weekends'!$D$55="OFF","OFF","")</f>
        <v/>
      </c>
      <c r="BI97" s="54" t="str">
        <f>IF('⚙ OFF Weekends'!$D$56="OFF","OFF","")</f>
        <v/>
      </c>
      <c r="BJ97" s="56" t="str">
        <f>IF('⚙ OFF Weekends'!$D$57="OFF","OFF","")</f>
        <v/>
      </c>
      <c r="BK97" s="54" t="str">
        <f>IF('⚙ OFF Weekends'!$D$58="OFF","OFF","")</f>
        <v/>
      </c>
      <c r="BL97" s="56" t="str">
        <f>IF('⚙ OFF Weekends'!$D$59="OFF","OFF","")</f>
        <v/>
      </c>
      <c r="BM97" s="54" t="str">
        <f>IF('⚙ OFF Weekends'!$D$60="OFF","OFF","")</f>
        <v/>
      </c>
      <c r="BN97" s="56" t="str">
        <f>IF('⚙ OFF Weekends'!$D$61="OFF","OFF","")</f>
        <v/>
      </c>
      <c r="BO97" s="54" t="str">
        <f>IF('⚙ OFF Weekends'!$D$62="OFF","OFF","")</f>
        <v/>
      </c>
      <c r="BP97" s="56" t="str">
        <f>IF('⚙ OFF Weekends'!$D$63="OFF","OFF","")</f>
        <v/>
      </c>
      <c r="BQ97" s="54" t="str">
        <f>IF('⚙ OFF Weekends'!$D$64="OFF","OFF","")</f>
        <v/>
      </c>
      <c r="BR97" s="56" t="str">
        <f>IF('⚙ OFF Weekends'!$D$65="OFF","OFF","")</f>
        <v/>
      </c>
      <c r="BS97" s="54" t="str">
        <f>IF('⚙ OFF Weekends'!$D$66="OFF","OFF","")</f>
        <v/>
      </c>
      <c r="BT97" s="56" t="str">
        <f>IF('⚙ OFF Weekends'!$D$67="OFF","OFF","")</f>
        <v/>
      </c>
      <c r="BU97" s="54" t="str">
        <f>IF('⚙ OFF Weekends'!$D$68="OFF","OFF","")</f>
        <v/>
      </c>
      <c r="BV97" s="56" t="str">
        <f>IF('⚙ OFF Weekends'!$D$69="OFF","OFF","")</f>
        <v/>
      </c>
      <c r="BW97" s="54" t="str">
        <f>IF('⚙ OFF Weekends'!$D$70="OFF","OFF","")</f>
        <v/>
      </c>
      <c r="BX97" s="56" t="str">
        <f>IF('⚙ OFF Weekends'!$D$71="OFF","OFF","")</f>
        <v/>
      </c>
      <c r="BY97" s="54" t="str">
        <f>IF('⚙ OFF Weekends'!$D$72="OFF","OFF","")</f>
        <v/>
      </c>
      <c r="BZ97" s="56" t="str">
        <f>IF('⚙ OFF Weekends'!$D$73="OFF","OFF","")</f>
        <v/>
      </c>
      <c r="CA97" s="54" t="str">
        <f>IF('⚙ OFF Weekends'!$D$74="OFF","OFF","")</f>
        <v/>
      </c>
      <c r="CB97" s="56" t="str">
        <f>IF('⚙ OFF Weekends'!$D$75="OFF","OFF","")</f>
        <v/>
      </c>
      <c r="CC97" s="54" t="str">
        <f>IF('⚙ OFF Weekends'!$D$76="OFF","OFF","")</f>
        <v/>
      </c>
      <c r="CD97" s="56" t="str">
        <f>IF('⚙ OFF Weekends'!$D$77="OFF","OFF","")</f>
        <v/>
      </c>
      <c r="CE97" s="96">
        <f t="shared" si="21"/>
        <v>1</v>
      </c>
      <c r="CF97" s="96">
        <f t="shared" si="22"/>
        <v>5</v>
      </c>
      <c r="CG97" s="96">
        <f t="shared" si="23"/>
        <v>10</v>
      </c>
      <c r="CH97" s="96" t="str">
        <f t="shared" si="24"/>
        <v>17%</v>
      </c>
    </row>
    <row r="98" ht="18.0" customHeight="1">
      <c r="A98" s="95">
        <v>17.0</v>
      </c>
      <c r="B98" s="12" t="s">
        <v>575</v>
      </c>
      <c r="C98" s="14"/>
      <c r="D98" s="17" t="str">
        <f t="shared" si="19"/>
        <v/>
      </c>
      <c r="E98" s="28" t="str">
        <f t="shared" si="20"/>
        <v/>
      </c>
      <c r="F98" s="10"/>
      <c r="G98" s="10"/>
      <c r="H98" s="10"/>
      <c r="I98" s="54" t="str">
        <f>IF('⚙ OFF Weekends'!$D$4="OFF","OFF","")</f>
        <v/>
      </c>
      <c r="J98" s="56" t="str">
        <f>IF('⚙ OFF Weekends'!$D$5="OFF","OFF","")</f>
        <v/>
      </c>
      <c r="K98" s="49" t="s">
        <v>197</v>
      </c>
      <c r="L98" s="56" t="str">
        <f>IF('⚙ OFF Weekends'!$D$7="OFF","OFF","")</f>
        <v/>
      </c>
      <c r="M98" s="54" t="str">
        <f>IF('⚙ OFF Weekends'!$D$8="OFF","OFF","")</f>
        <v/>
      </c>
      <c r="N98" s="48" t="s">
        <v>196</v>
      </c>
      <c r="O98" s="79" t="s">
        <v>223</v>
      </c>
      <c r="P98" s="50" t="s">
        <v>37</v>
      </c>
      <c r="Q98" s="79" t="s">
        <v>223</v>
      </c>
      <c r="R98" s="79" t="s">
        <v>223</v>
      </c>
      <c r="S98" s="52" t="s">
        <v>223</v>
      </c>
      <c r="T98" s="53" t="s">
        <v>223</v>
      </c>
      <c r="U98" s="52" t="s">
        <v>223</v>
      </c>
      <c r="V98" s="53" t="s">
        <v>223</v>
      </c>
      <c r="W98" s="54" t="str">
        <f>IF('⚙ OFF Weekends'!$D$18="OFF","OFF","")</f>
        <v>OFF</v>
      </c>
      <c r="X98" s="53" t="s">
        <v>223</v>
      </c>
      <c r="Y98" s="52" t="s">
        <v>296</v>
      </c>
      <c r="Z98" s="53" t="s">
        <v>296</v>
      </c>
      <c r="AA98" s="52" t="s">
        <v>296</v>
      </c>
      <c r="AB98" s="53" t="s">
        <v>296</v>
      </c>
      <c r="AC98" s="105" t="s">
        <v>296</v>
      </c>
      <c r="AD98" s="105" t="s">
        <v>296</v>
      </c>
      <c r="AE98" s="105" t="s">
        <v>296</v>
      </c>
      <c r="AF98" s="105" t="s">
        <v>296</v>
      </c>
      <c r="AG98" s="105" t="s">
        <v>296</v>
      </c>
      <c r="AH98" s="105" t="s">
        <v>296</v>
      </c>
      <c r="AI98" s="105" t="s">
        <v>296</v>
      </c>
      <c r="AJ98" s="105" t="s">
        <v>296</v>
      </c>
      <c r="AK98" s="105" t="s">
        <v>296</v>
      </c>
      <c r="AL98" s="105" t="s">
        <v>296</v>
      </c>
      <c r="AM98" s="105" t="s">
        <v>296</v>
      </c>
      <c r="AN98" s="105" t="s">
        <v>296</v>
      </c>
      <c r="AO98" s="105" t="s">
        <v>296</v>
      </c>
      <c r="AP98" s="105" t="s">
        <v>296</v>
      </c>
      <c r="AQ98" s="105" t="s">
        <v>296</v>
      </c>
      <c r="AR98" s="105" t="s">
        <v>296</v>
      </c>
      <c r="AS98" s="105" t="s">
        <v>296</v>
      </c>
      <c r="AT98" s="105" t="s">
        <v>296</v>
      </c>
      <c r="AU98" s="105" t="s">
        <v>296</v>
      </c>
      <c r="AV98" s="105" t="s">
        <v>296</v>
      </c>
      <c r="AW98" s="105" t="s">
        <v>296</v>
      </c>
      <c r="AX98" s="105" t="s">
        <v>296</v>
      </c>
      <c r="AY98" s="105" t="s">
        <v>296</v>
      </c>
      <c r="AZ98" s="105" t="s">
        <v>296</v>
      </c>
      <c r="BA98" s="105" t="s">
        <v>296</v>
      </c>
      <c r="BB98" s="105" t="s">
        <v>296</v>
      </c>
      <c r="BC98" s="105" t="s">
        <v>296</v>
      </c>
      <c r="BD98" s="105" t="s">
        <v>296</v>
      </c>
      <c r="BE98" s="105" t="s">
        <v>296</v>
      </c>
      <c r="BF98" s="105" t="s">
        <v>296</v>
      </c>
      <c r="BG98" s="105" t="s">
        <v>296</v>
      </c>
      <c r="BH98" s="105" t="s">
        <v>296</v>
      </c>
      <c r="BI98" s="105" t="s">
        <v>296</v>
      </c>
      <c r="BJ98" s="105" t="s">
        <v>296</v>
      </c>
      <c r="BK98" s="105" t="s">
        <v>296</v>
      </c>
      <c r="BL98" s="105" t="s">
        <v>296</v>
      </c>
      <c r="BM98" s="105" t="s">
        <v>296</v>
      </c>
      <c r="BN98" s="105" t="s">
        <v>296</v>
      </c>
      <c r="BO98" s="105" t="s">
        <v>296</v>
      </c>
      <c r="BP98" s="105" t="s">
        <v>296</v>
      </c>
      <c r="BQ98" s="105" t="s">
        <v>296</v>
      </c>
      <c r="BR98" s="105" t="s">
        <v>296</v>
      </c>
      <c r="BS98" s="105" t="s">
        <v>296</v>
      </c>
      <c r="BT98" s="105" t="s">
        <v>296</v>
      </c>
      <c r="BU98" s="105" t="s">
        <v>296</v>
      </c>
      <c r="BV98" s="105" t="s">
        <v>296</v>
      </c>
      <c r="BW98" s="105" t="s">
        <v>296</v>
      </c>
      <c r="BX98" s="105" t="s">
        <v>296</v>
      </c>
      <c r="BY98" s="105" t="s">
        <v>296</v>
      </c>
      <c r="BZ98" s="105" t="s">
        <v>296</v>
      </c>
      <c r="CA98" s="105" t="s">
        <v>296</v>
      </c>
      <c r="CB98" s="105" t="s">
        <v>296</v>
      </c>
      <c r="CC98" s="105" t="s">
        <v>296</v>
      </c>
      <c r="CD98" s="105" t="s">
        <v>296</v>
      </c>
      <c r="CE98" s="95">
        <f t="shared" si="21"/>
        <v>2</v>
      </c>
      <c r="CF98" s="95">
        <f t="shared" si="22"/>
        <v>8</v>
      </c>
      <c r="CG98" s="95">
        <f t="shared" si="23"/>
        <v>0</v>
      </c>
      <c r="CH98" s="95" t="str">
        <f t="shared" si="24"/>
        <v>20%</v>
      </c>
    </row>
    <row r="99" ht="18.0" customHeight="1">
      <c r="A99" s="96">
        <v>18.0</v>
      </c>
      <c r="B99" s="22" t="s">
        <v>577</v>
      </c>
      <c r="C99" s="23"/>
      <c r="D99" s="24" t="str">
        <f t="shared" si="19"/>
        <v/>
      </c>
      <c r="E99" s="26" t="str">
        <f t="shared" si="20"/>
        <v/>
      </c>
      <c r="F99" s="20"/>
      <c r="G99" s="20"/>
      <c r="H99" s="20"/>
      <c r="I99" s="54" t="str">
        <f>IF('⚙ OFF Weekends'!$D$4="OFF","OFF","")</f>
        <v/>
      </c>
      <c r="J99" s="56" t="str">
        <f>IF('⚙ OFF Weekends'!$D$5="OFF","OFF","")</f>
        <v/>
      </c>
      <c r="K99" s="49" t="s">
        <v>197</v>
      </c>
      <c r="L99" s="56" t="str">
        <f>IF('⚙ OFF Weekends'!$D$7="OFF","OFF","")</f>
        <v/>
      </c>
      <c r="M99" s="54" t="str">
        <f>IF('⚙ OFF Weekends'!$D$8="OFF","OFF","")</f>
        <v/>
      </c>
      <c r="N99" s="48" t="s">
        <v>196</v>
      </c>
      <c r="O99" s="100" t="s">
        <v>290</v>
      </c>
      <c r="P99" s="50" t="s">
        <v>37</v>
      </c>
      <c r="Q99" s="50" t="s">
        <v>37</v>
      </c>
      <c r="R99" s="50" t="s">
        <v>37</v>
      </c>
      <c r="S99" s="52" t="s">
        <v>223</v>
      </c>
      <c r="T99" s="53" t="s">
        <v>223</v>
      </c>
      <c r="U99" s="52" t="s">
        <v>37</v>
      </c>
      <c r="V99" s="53" t="s">
        <v>223</v>
      </c>
      <c r="W99" s="54" t="str">
        <f>IF('⚙ OFF Weekends'!$D$18="OFF","OFF","")</f>
        <v>OFF</v>
      </c>
      <c r="X99" s="53" t="s">
        <v>37</v>
      </c>
      <c r="Y99" s="52" t="s">
        <v>223</v>
      </c>
      <c r="Z99" s="53" t="s">
        <v>37</v>
      </c>
      <c r="AA99" s="52" t="s">
        <v>290</v>
      </c>
      <c r="AB99" s="53" t="s">
        <v>37</v>
      </c>
      <c r="AC99" s="54" t="str">
        <f>IF('⚙ OFF Weekends'!$D$24="OFF","OFF","")</f>
        <v/>
      </c>
      <c r="AD99" s="56" t="str">
        <f>IF('⚙ OFF Weekends'!$D$25="OFF","OFF","")</f>
        <v/>
      </c>
      <c r="AE99" s="54" t="str">
        <f>IF('⚙ OFF Weekends'!$D$26="OFF","OFF","")</f>
        <v/>
      </c>
      <c r="AF99" s="56" t="str">
        <f>IF('⚙ OFF Weekends'!$D$27="OFF","OFF","")</f>
        <v/>
      </c>
      <c r="AG99" s="54" t="str">
        <f>IF('⚙ OFF Weekends'!$D$28="OFF","OFF","")</f>
        <v/>
      </c>
      <c r="AH99" s="56" t="str">
        <f>IF('⚙ OFF Weekends'!$D$29="OFF","OFF","")</f>
        <v/>
      </c>
      <c r="AI99" s="54" t="str">
        <f>IF('⚙ OFF Weekends'!$D$30="OFF","OFF","")</f>
        <v/>
      </c>
      <c r="AJ99" s="56" t="str">
        <f>IF('⚙ OFF Weekends'!$D$31="OFF","OFF","")</f>
        <v/>
      </c>
      <c r="AK99" s="54" t="str">
        <f>IF('⚙ OFF Weekends'!$D$32="OFF","OFF","")</f>
        <v/>
      </c>
      <c r="AL99" s="56" t="str">
        <f>IF('⚙ OFF Weekends'!$D$33="OFF","OFF","")</f>
        <v/>
      </c>
      <c r="AM99" s="54" t="str">
        <f>IF('⚙ OFF Weekends'!$D$34="OFF","OFF","")</f>
        <v/>
      </c>
      <c r="AN99" s="56" t="str">
        <f>IF('⚙ OFF Weekends'!$D$35="OFF","OFF","")</f>
        <v/>
      </c>
      <c r="AO99" s="54" t="str">
        <f>IF('⚙ OFF Weekends'!$D$36="OFF","OFF","")</f>
        <v/>
      </c>
      <c r="AP99" s="56" t="str">
        <f>IF('⚙ OFF Weekends'!$D$37="OFF","OFF","")</f>
        <v/>
      </c>
      <c r="AQ99" s="54" t="str">
        <f>IF('⚙ OFF Weekends'!$D$38="OFF","OFF","")</f>
        <v/>
      </c>
      <c r="AR99" s="56" t="str">
        <f>IF('⚙ OFF Weekends'!$D$39="OFF","OFF","")</f>
        <v/>
      </c>
      <c r="AS99" s="54" t="str">
        <f>IF('⚙ OFF Weekends'!$D$40="OFF","OFF","")</f>
        <v/>
      </c>
      <c r="AT99" s="56" t="str">
        <f>IF('⚙ OFF Weekends'!$D$41="OFF","OFF","")</f>
        <v/>
      </c>
      <c r="AU99" s="54" t="str">
        <f>IF('⚙ OFF Weekends'!$D$42="OFF","OFF","")</f>
        <v/>
      </c>
      <c r="AV99" s="56" t="str">
        <f>IF('⚙ OFF Weekends'!$D$43="OFF","OFF","")</f>
        <v/>
      </c>
      <c r="AW99" s="54" t="str">
        <f>IF('⚙ OFF Weekends'!$D$44="OFF","OFF","")</f>
        <v/>
      </c>
      <c r="AX99" s="56" t="str">
        <f>IF('⚙ OFF Weekends'!$D$45="OFF","OFF","")</f>
        <v/>
      </c>
      <c r="AY99" s="54" t="str">
        <f>IF('⚙ OFF Weekends'!$D$46="OFF","OFF","")</f>
        <v/>
      </c>
      <c r="AZ99" s="56" t="str">
        <f>IF('⚙ OFF Weekends'!$D$47="OFF","OFF","")</f>
        <v/>
      </c>
      <c r="BA99" s="54" t="str">
        <f>IF('⚙ OFF Weekends'!$D$48="OFF","OFF","")</f>
        <v/>
      </c>
      <c r="BB99" s="56" t="str">
        <f>IF('⚙ OFF Weekends'!$D$49="OFF","OFF","")</f>
        <v/>
      </c>
      <c r="BC99" s="54" t="str">
        <f>IF('⚙ OFF Weekends'!$D$50="OFF","OFF","")</f>
        <v/>
      </c>
      <c r="BD99" s="56" t="str">
        <f>IF('⚙ OFF Weekends'!$D$51="OFF","OFF","")</f>
        <v/>
      </c>
      <c r="BE99" s="54" t="str">
        <f>IF('⚙ OFF Weekends'!$D$52="OFF","OFF","")</f>
        <v/>
      </c>
      <c r="BF99" s="56" t="str">
        <f>IF('⚙ OFF Weekends'!$D$53="OFF","OFF","")</f>
        <v/>
      </c>
      <c r="BG99" s="54" t="str">
        <f>IF('⚙ OFF Weekends'!$D$54="OFF","OFF","")</f>
        <v/>
      </c>
      <c r="BH99" s="56" t="str">
        <f>IF('⚙ OFF Weekends'!$D$55="OFF","OFF","")</f>
        <v/>
      </c>
      <c r="BI99" s="54" t="str">
        <f>IF('⚙ OFF Weekends'!$D$56="OFF","OFF","")</f>
        <v/>
      </c>
      <c r="BJ99" s="56" t="str">
        <f>IF('⚙ OFF Weekends'!$D$57="OFF","OFF","")</f>
        <v/>
      </c>
      <c r="BK99" s="54" t="str">
        <f>IF('⚙ OFF Weekends'!$D$58="OFF","OFF","")</f>
        <v/>
      </c>
      <c r="BL99" s="56" t="str">
        <f>IF('⚙ OFF Weekends'!$D$59="OFF","OFF","")</f>
        <v/>
      </c>
      <c r="BM99" s="54" t="str">
        <f>IF('⚙ OFF Weekends'!$D$60="OFF","OFF","")</f>
        <v/>
      </c>
      <c r="BN99" s="56" t="str">
        <f>IF('⚙ OFF Weekends'!$D$61="OFF","OFF","")</f>
        <v/>
      </c>
      <c r="BO99" s="54" t="str">
        <f>IF('⚙ OFF Weekends'!$D$62="OFF","OFF","")</f>
        <v/>
      </c>
      <c r="BP99" s="56" t="str">
        <f>IF('⚙ OFF Weekends'!$D$63="OFF","OFF","")</f>
        <v/>
      </c>
      <c r="BQ99" s="54" t="str">
        <f>IF('⚙ OFF Weekends'!$D$64="OFF","OFF","")</f>
        <v/>
      </c>
      <c r="BR99" s="56" t="str">
        <f>IF('⚙ OFF Weekends'!$D$65="OFF","OFF","")</f>
        <v/>
      </c>
      <c r="BS99" s="54" t="str">
        <f>IF('⚙ OFF Weekends'!$D$66="OFF","OFF","")</f>
        <v/>
      </c>
      <c r="BT99" s="56" t="str">
        <f>IF('⚙ OFF Weekends'!$D$67="OFF","OFF","")</f>
        <v/>
      </c>
      <c r="BU99" s="54" t="str">
        <f>IF('⚙ OFF Weekends'!$D$68="OFF","OFF","")</f>
        <v/>
      </c>
      <c r="BV99" s="56" t="str">
        <f>IF('⚙ OFF Weekends'!$D$69="OFF","OFF","")</f>
        <v/>
      </c>
      <c r="BW99" s="54" t="str">
        <f>IF('⚙ OFF Weekends'!$D$70="OFF","OFF","")</f>
        <v/>
      </c>
      <c r="BX99" s="56" t="str">
        <f>IF('⚙ OFF Weekends'!$D$71="OFF","OFF","")</f>
        <v/>
      </c>
      <c r="BY99" s="54" t="str">
        <f>IF('⚙ OFF Weekends'!$D$72="OFF","OFF","")</f>
        <v/>
      </c>
      <c r="BZ99" s="56" t="str">
        <f>IF('⚙ OFF Weekends'!$D$73="OFF","OFF","")</f>
        <v/>
      </c>
      <c r="CA99" s="54" t="str">
        <f>IF('⚙ OFF Weekends'!$D$74="OFF","OFF","")</f>
        <v/>
      </c>
      <c r="CB99" s="56" t="str">
        <f>IF('⚙ OFF Weekends'!$D$75="OFF","OFF","")</f>
        <v/>
      </c>
      <c r="CC99" s="54" t="str">
        <f>IF('⚙ OFF Weekends'!$D$76="OFF","OFF","")</f>
        <v/>
      </c>
      <c r="CD99" s="56" t="str">
        <f>IF('⚙ OFF Weekends'!$D$77="OFF","OFF","")</f>
        <v/>
      </c>
      <c r="CE99" s="96">
        <f t="shared" si="21"/>
        <v>8</v>
      </c>
      <c r="CF99" s="96">
        <f t="shared" si="22"/>
        <v>4</v>
      </c>
      <c r="CG99" s="96">
        <f t="shared" si="23"/>
        <v>0</v>
      </c>
      <c r="CH99" s="96" t="str">
        <f t="shared" si="24"/>
        <v>67%</v>
      </c>
    </row>
    <row r="100" ht="18.0" customHeight="1">
      <c r="A100" s="95">
        <v>19.0</v>
      </c>
      <c r="B100" s="12" t="s">
        <v>581</v>
      </c>
      <c r="C100" s="14" t="s">
        <v>582</v>
      </c>
      <c r="D100" s="17" t="str">
        <f t="shared" si="19"/>
        <v>📞 Call</v>
      </c>
      <c r="E100" s="19" t="str">
        <f t="shared" si="20"/>
        <v>💬 WhatsApp</v>
      </c>
      <c r="F100" s="10"/>
      <c r="G100" s="10">
        <v>17.0</v>
      </c>
      <c r="H100" s="10"/>
      <c r="I100" s="54" t="str">
        <f>IF('⚙ OFF Weekends'!$D$4="OFF","OFF","")</f>
        <v/>
      </c>
      <c r="J100" s="56" t="str">
        <f>IF('⚙ OFF Weekends'!$D$5="OFF","OFF","")</f>
        <v/>
      </c>
      <c r="K100" s="49" t="str">
        <f>IF('⚙ OFF Weekends'!$D$6="OFF","OFF","")</f>
        <v/>
      </c>
      <c r="L100" s="56" t="str">
        <f>IF('⚙ OFF Weekends'!$D$7="OFF","OFF","")</f>
        <v/>
      </c>
      <c r="M100" s="54" t="str">
        <f>IF('⚙ OFF Weekends'!$D$8="OFF","OFF","")</f>
        <v/>
      </c>
      <c r="N100" s="48" t="str">
        <f>IF('⚙ OFF Weekends'!$D$9="OFF","OFF","")</f>
        <v/>
      </c>
      <c r="O100" s="79" t="str">
        <f>IF('⚙ OFF Weekends'!$D$10="OFF","OFF","")</f>
        <v/>
      </c>
      <c r="P100" s="50" t="str">
        <f>IF('⚙ OFF Weekends'!$D$11="OFF","OFF","")</f>
        <v/>
      </c>
      <c r="Q100" s="79" t="str">
        <f>IF('⚙ OFF Weekends'!$D$12="OFF","OFF","")</f>
        <v/>
      </c>
      <c r="R100" s="79" t="str">
        <f>IF('⚙ OFF Weekends'!$D$13="OFF","OFF","")</f>
        <v/>
      </c>
      <c r="S100" s="52" t="str">
        <f>IF('⚙ OFF Weekends'!$D$14="OFF","OFF","")</f>
        <v/>
      </c>
      <c r="T100" s="53" t="str">
        <f>IF('⚙ OFF Weekends'!$D$15="OFF","OFF","")</f>
        <v/>
      </c>
      <c r="U100" s="52" t="str">
        <f>IF('⚙ OFF Weekends'!$D$16="OFF","OFF","")</f>
        <v/>
      </c>
      <c r="V100" s="53" t="str">
        <f>IF('⚙ OFF Weekends'!$D$17="OFF","OFF","")</f>
        <v/>
      </c>
      <c r="W100" s="54" t="str">
        <f>IF('⚙ OFF Weekends'!$D$18="OFF","OFF","")</f>
        <v>OFF</v>
      </c>
      <c r="X100" s="53" t="s">
        <v>223</v>
      </c>
      <c r="Y100" s="52" t="s">
        <v>37</v>
      </c>
      <c r="Z100" s="53" t="s">
        <v>37</v>
      </c>
      <c r="AA100" s="52" t="s">
        <v>290</v>
      </c>
      <c r="AB100" s="53" t="s">
        <v>223</v>
      </c>
      <c r="AC100" s="54" t="str">
        <f>IF('⚙ OFF Weekends'!$D$24="OFF","OFF","")</f>
        <v/>
      </c>
      <c r="AD100" s="56" t="str">
        <f>IF('⚙ OFF Weekends'!$D$25="OFF","OFF","")</f>
        <v/>
      </c>
      <c r="AE100" s="54" t="str">
        <f>IF('⚙ OFF Weekends'!$D$26="OFF","OFF","")</f>
        <v/>
      </c>
      <c r="AF100" s="56" t="str">
        <f>IF('⚙ OFF Weekends'!$D$27="OFF","OFF","")</f>
        <v/>
      </c>
      <c r="AG100" s="54" t="str">
        <f>IF('⚙ OFF Weekends'!$D$28="OFF","OFF","")</f>
        <v/>
      </c>
      <c r="AH100" s="56" t="str">
        <f>IF('⚙ OFF Weekends'!$D$29="OFF","OFF","")</f>
        <v/>
      </c>
      <c r="AI100" s="54" t="str">
        <f>IF('⚙ OFF Weekends'!$D$30="OFF","OFF","")</f>
        <v/>
      </c>
      <c r="AJ100" s="56" t="str">
        <f>IF('⚙ OFF Weekends'!$D$31="OFF","OFF","")</f>
        <v/>
      </c>
      <c r="AK100" s="54" t="str">
        <f>IF('⚙ OFF Weekends'!$D$32="OFF","OFF","")</f>
        <v/>
      </c>
      <c r="AL100" s="56" t="str">
        <f>IF('⚙ OFF Weekends'!$D$33="OFF","OFF","")</f>
        <v/>
      </c>
      <c r="AM100" s="54" t="str">
        <f>IF('⚙ OFF Weekends'!$D$34="OFF","OFF","")</f>
        <v/>
      </c>
      <c r="AN100" s="56" t="str">
        <f>IF('⚙ OFF Weekends'!$D$35="OFF","OFF","")</f>
        <v/>
      </c>
      <c r="AO100" s="54" t="str">
        <f>IF('⚙ OFF Weekends'!$D$36="OFF","OFF","")</f>
        <v/>
      </c>
      <c r="AP100" s="56" t="str">
        <f>IF('⚙ OFF Weekends'!$D$37="OFF","OFF","")</f>
        <v/>
      </c>
      <c r="AQ100" s="54" t="str">
        <f>IF('⚙ OFF Weekends'!$D$38="OFF","OFF","")</f>
        <v/>
      </c>
      <c r="AR100" s="56" t="str">
        <f>IF('⚙ OFF Weekends'!$D$39="OFF","OFF","")</f>
        <v/>
      </c>
      <c r="AS100" s="54" t="str">
        <f>IF('⚙ OFF Weekends'!$D$40="OFF","OFF","")</f>
        <v/>
      </c>
      <c r="AT100" s="56" t="str">
        <f>IF('⚙ OFF Weekends'!$D$41="OFF","OFF","")</f>
        <v/>
      </c>
      <c r="AU100" s="54" t="str">
        <f>IF('⚙ OFF Weekends'!$D$42="OFF","OFF","")</f>
        <v/>
      </c>
      <c r="AV100" s="56" t="str">
        <f>IF('⚙ OFF Weekends'!$D$43="OFF","OFF","")</f>
        <v/>
      </c>
      <c r="AW100" s="54" t="str">
        <f>IF('⚙ OFF Weekends'!$D$44="OFF","OFF","")</f>
        <v/>
      </c>
      <c r="AX100" s="56" t="str">
        <f>IF('⚙ OFF Weekends'!$D$45="OFF","OFF","")</f>
        <v/>
      </c>
      <c r="AY100" s="54" t="str">
        <f>IF('⚙ OFF Weekends'!$D$46="OFF","OFF","")</f>
        <v/>
      </c>
      <c r="AZ100" s="56" t="str">
        <f>IF('⚙ OFF Weekends'!$D$47="OFF","OFF","")</f>
        <v/>
      </c>
      <c r="BA100" s="54" t="str">
        <f>IF('⚙ OFF Weekends'!$D$48="OFF","OFF","")</f>
        <v/>
      </c>
      <c r="BB100" s="56" t="str">
        <f>IF('⚙ OFF Weekends'!$D$49="OFF","OFF","")</f>
        <v/>
      </c>
      <c r="BC100" s="54" t="str">
        <f>IF('⚙ OFF Weekends'!$D$50="OFF","OFF","")</f>
        <v/>
      </c>
      <c r="BD100" s="56" t="str">
        <f>IF('⚙ OFF Weekends'!$D$51="OFF","OFF","")</f>
        <v/>
      </c>
      <c r="BE100" s="54" t="str">
        <f>IF('⚙ OFF Weekends'!$D$52="OFF","OFF","")</f>
        <v/>
      </c>
      <c r="BF100" s="56" t="str">
        <f>IF('⚙ OFF Weekends'!$D$53="OFF","OFF","")</f>
        <v/>
      </c>
      <c r="BG100" s="54" t="str">
        <f>IF('⚙ OFF Weekends'!$D$54="OFF","OFF","")</f>
        <v/>
      </c>
      <c r="BH100" s="56" t="str">
        <f>IF('⚙ OFF Weekends'!$D$55="OFF","OFF","")</f>
        <v/>
      </c>
      <c r="BI100" s="54" t="str">
        <f>IF('⚙ OFF Weekends'!$D$56="OFF","OFF","")</f>
        <v/>
      </c>
      <c r="BJ100" s="56" t="str">
        <f>IF('⚙ OFF Weekends'!$D$57="OFF","OFF","")</f>
        <v/>
      </c>
      <c r="BK100" s="54" t="str">
        <f>IF('⚙ OFF Weekends'!$D$58="OFF","OFF","")</f>
        <v/>
      </c>
      <c r="BL100" s="56" t="str">
        <f>IF('⚙ OFF Weekends'!$D$59="OFF","OFF","")</f>
        <v/>
      </c>
      <c r="BM100" s="54" t="str">
        <f>IF('⚙ OFF Weekends'!$D$60="OFF","OFF","")</f>
        <v/>
      </c>
      <c r="BN100" s="56" t="str">
        <f>IF('⚙ OFF Weekends'!$D$61="OFF","OFF","")</f>
        <v/>
      </c>
      <c r="BO100" s="54" t="str">
        <f>IF('⚙ OFF Weekends'!$D$62="OFF","OFF","")</f>
        <v/>
      </c>
      <c r="BP100" s="56" t="str">
        <f>IF('⚙ OFF Weekends'!$D$63="OFF","OFF","")</f>
        <v/>
      </c>
      <c r="BQ100" s="54" t="str">
        <f>IF('⚙ OFF Weekends'!$D$64="OFF","OFF","")</f>
        <v/>
      </c>
      <c r="BR100" s="56" t="str">
        <f>IF('⚙ OFF Weekends'!$D$65="OFF","OFF","")</f>
        <v/>
      </c>
      <c r="BS100" s="54" t="str">
        <f>IF('⚙ OFF Weekends'!$D$66="OFF","OFF","")</f>
        <v/>
      </c>
      <c r="BT100" s="56" t="str">
        <f>IF('⚙ OFF Weekends'!$D$67="OFF","OFF","")</f>
        <v/>
      </c>
      <c r="BU100" s="54" t="str">
        <f>IF('⚙ OFF Weekends'!$D$68="OFF","OFF","")</f>
        <v/>
      </c>
      <c r="BV100" s="56" t="str">
        <f>IF('⚙ OFF Weekends'!$D$69="OFF","OFF","")</f>
        <v/>
      </c>
      <c r="BW100" s="54" t="str">
        <f>IF('⚙ OFF Weekends'!$D$70="OFF","OFF","")</f>
        <v/>
      </c>
      <c r="BX100" s="56" t="str">
        <f>IF('⚙ OFF Weekends'!$D$71="OFF","OFF","")</f>
        <v/>
      </c>
      <c r="BY100" s="54" t="str">
        <f>IF('⚙ OFF Weekends'!$D$72="OFF","OFF","")</f>
        <v/>
      </c>
      <c r="BZ100" s="56" t="str">
        <f>IF('⚙ OFF Weekends'!$D$73="OFF","OFF","")</f>
        <v/>
      </c>
      <c r="CA100" s="54" t="str">
        <f>IF('⚙ OFF Weekends'!$D$74="OFF","OFF","")</f>
        <v/>
      </c>
      <c r="CB100" s="56" t="str">
        <f>IF('⚙ OFF Weekends'!$D$75="OFF","OFF","")</f>
        <v/>
      </c>
      <c r="CC100" s="54" t="str">
        <f>IF('⚙ OFF Weekends'!$D$76="OFF","OFF","")</f>
        <v/>
      </c>
      <c r="CD100" s="56" t="str">
        <f>IF('⚙ OFF Weekends'!$D$77="OFF","OFF","")</f>
        <v/>
      </c>
      <c r="CE100" s="95">
        <f t="shared" si="21"/>
        <v>2</v>
      </c>
      <c r="CF100" s="95">
        <f t="shared" si="22"/>
        <v>2</v>
      </c>
      <c r="CG100" s="95">
        <f t="shared" si="23"/>
        <v>0</v>
      </c>
      <c r="CH100" s="95" t="str">
        <f t="shared" si="24"/>
        <v>50%</v>
      </c>
    </row>
    <row r="101" ht="18.0" customHeight="1">
      <c r="A101" s="107">
        <v>20.0</v>
      </c>
      <c r="B101" s="108"/>
      <c r="C101" s="108"/>
      <c r="D101" s="109" t="str">
        <f t="shared" si="19"/>
        <v/>
      </c>
      <c r="E101" s="110" t="str">
        <f t="shared" si="20"/>
        <v/>
      </c>
      <c r="F101" s="108"/>
      <c r="G101" s="108"/>
      <c r="H101" s="108"/>
      <c r="I101" s="111" t="str">
        <f>IF('⚙ OFF Weekends'!$D$4="OFF","OFF","")</f>
        <v/>
      </c>
      <c r="J101" s="111" t="str">
        <f>IF('⚙ OFF Weekends'!$D$5="OFF","OFF","")</f>
        <v/>
      </c>
      <c r="K101" s="111" t="str">
        <f>IF('⚙ OFF Weekends'!$D$6="OFF","OFF","")</f>
        <v/>
      </c>
      <c r="L101" s="111" t="str">
        <f>IF('⚙ OFF Weekends'!$D$7="OFF","OFF","")</f>
        <v/>
      </c>
      <c r="M101" s="111" t="str">
        <f>IF('⚙ OFF Weekends'!$D$8="OFF","OFF","")</f>
        <v/>
      </c>
      <c r="N101" s="111" t="str">
        <f>IF('⚙ OFF Weekends'!$D$9="OFF","OFF","")</f>
        <v/>
      </c>
      <c r="O101" s="111" t="str">
        <f>IF('⚙ OFF Weekends'!$D$10="OFF","OFF","")</f>
        <v/>
      </c>
      <c r="P101" s="111" t="str">
        <f>IF('⚙ OFF Weekends'!$D$11="OFF","OFF","")</f>
        <v/>
      </c>
      <c r="Q101" s="111" t="str">
        <f>IF('⚙ OFF Weekends'!$D$12="OFF","OFF","")</f>
        <v/>
      </c>
      <c r="R101" s="111" t="str">
        <f>IF('⚙ OFF Weekends'!$D$13="OFF","OFF","")</f>
        <v/>
      </c>
      <c r="S101" s="111" t="str">
        <f>IF('⚙ OFF Weekends'!$D$14="OFF","OFF","")</f>
        <v/>
      </c>
      <c r="T101" s="111" t="str">
        <f>IF('⚙ OFF Weekends'!$D$15="OFF","OFF","")</f>
        <v/>
      </c>
      <c r="U101" s="111" t="str">
        <f>IF('⚙ OFF Weekends'!$D$16="OFF","OFF","")</f>
        <v/>
      </c>
      <c r="V101" s="111" t="str">
        <f>IF('⚙ OFF Weekends'!$D$17="OFF","OFF","")</f>
        <v/>
      </c>
      <c r="W101" s="111" t="str">
        <f>IF('⚙ OFF Weekends'!$D$18="OFF","OFF","")</f>
        <v>OFF</v>
      </c>
      <c r="X101" s="111" t="str">
        <f>IF('⚙ OFF Weekends'!$D$19="OFF","OFF","")</f>
        <v/>
      </c>
      <c r="Y101" s="111" t="str">
        <f>IF('⚙ OFF Weekends'!$D$20="OFF","OFF","")</f>
        <v/>
      </c>
      <c r="Z101" s="111" t="str">
        <f>IF('⚙ OFF Weekends'!$D$21="OFF","OFF","")</f>
        <v/>
      </c>
      <c r="AA101" s="111" t="str">
        <f>IF('⚙ OFF Weekends'!$D$22="OFF","OFF","")</f>
        <v/>
      </c>
      <c r="AB101" s="111" t="str">
        <f>IF('⚙ OFF Weekends'!$D$23="OFF","OFF","")</f>
        <v/>
      </c>
      <c r="AC101" s="111" t="str">
        <f>IF('⚙ OFF Weekends'!$D$24="OFF","OFF","")</f>
        <v/>
      </c>
      <c r="AD101" s="111" t="str">
        <f>IF('⚙ OFF Weekends'!$D$25="OFF","OFF","")</f>
        <v/>
      </c>
      <c r="AE101" s="111" t="str">
        <f>IF('⚙ OFF Weekends'!$D$26="OFF","OFF","")</f>
        <v/>
      </c>
      <c r="AF101" s="111" t="str">
        <f>IF('⚙ OFF Weekends'!$D$27="OFF","OFF","")</f>
        <v/>
      </c>
      <c r="AG101" s="111" t="str">
        <f>IF('⚙ OFF Weekends'!$D$28="OFF","OFF","")</f>
        <v/>
      </c>
      <c r="AH101" s="111" t="str">
        <f>IF('⚙ OFF Weekends'!$D$29="OFF","OFF","")</f>
        <v/>
      </c>
      <c r="AI101" s="111" t="str">
        <f>IF('⚙ OFF Weekends'!$D$30="OFF","OFF","")</f>
        <v/>
      </c>
      <c r="AJ101" s="111" t="str">
        <f>IF('⚙ OFF Weekends'!$D$31="OFF","OFF","")</f>
        <v/>
      </c>
      <c r="AK101" s="111" t="str">
        <f>IF('⚙ OFF Weekends'!$D$32="OFF","OFF","")</f>
        <v/>
      </c>
      <c r="AL101" s="111" t="str">
        <f>IF('⚙ OFF Weekends'!$D$33="OFF","OFF","")</f>
        <v/>
      </c>
      <c r="AM101" s="111" t="str">
        <f>IF('⚙ OFF Weekends'!$D$34="OFF","OFF","")</f>
        <v/>
      </c>
      <c r="AN101" s="111" t="str">
        <f>IF('⚙ OFF Weekends'!$D$35="OFF","OFF","")</f>
        <v/>
      </c>
      <c r="AO101" s="111" t="str">
        <f>IF('⚙ OFF Weekends'!$D$36="OFF","OFF","")</f>
        <v/>
      </c>
      <c r="AP101" s="111" t="str">
        <f>IF('⚙ OFF Weekends'!$D$37="OFF","OFF","")</f>
        <v/>
      </c>
      <c r="AQ101" s="111" t="str">
        <f>IF('⚙ OFF Weekends'!$D$38="OFF","OFF","")</f>
        <v/>
      </c>
      <c r="AR101" s="111" t="str">
        <f>IF('⚙ OFF Weekends'!$D$39="OFF","OFF","")</f>
        <v/>
      </c>
      <c r="AS101" s="111" t="str">
        <f>IF('⚙ OFF Weekends'!$D$40="OFF","OFF","")</f>
        <v/>
      </c>
      <c r="AT101" s="111" t="str">
        <f>IF('⚙ OFF Weekends'!$D$41="OFF","OFF","")</f>
        <v/>
      </c>
      <c r="AU101" s="111" t="str">
        <f>IF('⚙ OFF Weekends'!$D$42="OFF","OFF","")</f>
        <v/>
      </c>
      <c r="AV101" s="111" t="str">
        <f>IF('⚙ OFF Weekends'!$D$43="OFF","OFF","")</f>
        <v/>
      </c>
      <c r="AW101" s="111" t="str">
        <f>IF('⚙ OFF Weekends'!$D$44="OFF","OFF","")</f>
        <v/>
      </c>
      <c r="AX101" s="111" t="str">
        <f>IF('⚙ OFF Weekends'!$D$45="OFF","OFF","")</f>
        <v/>
      </c>
      <c r="AY101" s="111" t="str">
        <f>IF('⚙ OFF Weekends'!$D$46="OFF","OFF","")</f>
        <v/>
      </c>
      <c r="AZ101" s="111" t="str">
        <f>IF('⚙ OFF Weekends'!$D$47="OFF","OFF","")</f>
        <v/>
      </c>
      <c r="BA101" s="111" t="str">
        <f>IF('⚙ OFF Weekends'!$D$48="OFF","OFF","")</f>
        <v/>
      </c>
      <c r="BB101" s="111" t="str">
        <f>IF('⚙ OFF Weekends'!$D$49="OFF","OFF","")</f>
        <v/>
      </c>
      <c r="BC101" s="111" t="str">
        <f>IF('⚙ OFF Weekends'!$D$50="OFF","OFF","")</f>
        <v/>
      </c>
      <c r="BD101" s="111" t="str">
        <f>IF('⚙ OFF Weekends'!$D$51="OFF","OFF","")</f>
        <v/>
      </c>
      <c r="BE101" s="111" t="str">
        <f>IF('⚙ OFF Weekends'!$D$52="OFF","OFF","")</f>
        <v/>
      </c>
      <c r="BF101" s="111" t="str">
        <f>IF('⚙ OFF Weekends'!$D$53="OFF","OFF","")</f>
        <v/>
      </c>
      <c r="BG101" s="111" t="str">
        <f>IF('⚙ OFF Weekends'!$D$54="OFF","OFF","")</f>
        <v/>
      </c>
      <c r="BH101" s="111" t="str">
        <f>IF('⚙ OFF Weekends'!$D$55="OFF","OFF","")</f>
        <v/>
      </c>
      <c r="BI101" s="111" t="str">
        <f>IF('⚙ OFF Weekends'!$D$56="OFF","OFF","")</f>
        <v/>
      </c>
      <c r="BJ101" s="111" t="str">
        <f>IF('⚙ OFF Weekends'!$D$57="OFF","OFF","")</f>
        <v/>
      </c>
      <c r="BK101" s="111" t="str">
        <f>IF('⚙ OFF Weekends'!$D$58="OFF","OFF","")</f>
        <v/>
      </c>
      <c r="BL101" s="111" t="str">
        <f>IF('⚙ OFF Weekends'!$D$59="OFF","OFF","")</f>
        <v/>
      </c>
      <c r="BM101" s="111" t="str">
        <f>IF('⚙ OFF Weekends'!$D$60="OFF","OFF","")</f>
        <v/>
      </c>
      <c r="BN101" s="111" t="str">
        <f>IF('⚙ OFF Weekends'!$D$61="OFF","OFF","")</f>
        <v/>
      </c>
      <c r="BO101" s="111" t="str">
        <f>IF('⚙ OFF Weekends'!$D$62="OFF","OFF","")</f>
        <v/>
      </c>
      <c r="BP101" s="111" t="str">
        <f>IF('⚙ OFF Weekends'!$D$63="OFF","OFF","")</f>
        <v/>
      </c>
      <c r="BQ101" s="111" t="str">
        <f>IF('⚙ OFF Weekends'!$D$64="OFF","OFF","")</f>
        <v/>
      </c>
      <c r="BR101" s="111" t="str">
        <f>IF('⚙ OFF Weekends'!$D$65="OFF","OFF","")</f>
        <v/>
      </c>
      <c r="BS101" s="111" t="str">
        <f>IF('⚙ OFF Weekends'!$D$66="OFF","OFF","")</f>
        <v/>
      </c>
      <c r="BT101" s="111" t="str">
        <f>IF('⚙ OFF Weekends'!$D$67="OFF","OFF","")</f>
        <v/>
      </c>
      <c r="BU101" s="111" t="str">
        <f>IF('⚙ OFF Weekends'!$D$68="OFF","OFF","")</f>
        <v/>
      </c>
      <c r="BV101" s="111" t="str">
        <f>IF('⚙ OFF Weekends'!$D$69="OFF","OFF","")</f>
        <v/>
      </c>
      <c r="BW101" s="111" t="str">
        <f>IF('⚙ OFF Weekends'!$D$70="OFF","OFF","")</f>
        <v/>
      </c>
      <c r="BX101" s="111" t="str">
        <f>IF('⚙ OFF Weekends'!$D$71="OFF","OFF","")</f>
        <v/>
      </c>
      <c r="BY101" s="111" t="str">
        <f>IF('⚙ OFF Weekends'!$D$72="OFF","OFF","")</f>
        <v/>
      </c>
      <c r="BZ101" s="111" t="str">
        <f>IF('⚙ OFF Weekends'!$D$73="OFF","OFF","")</f>
        <v/>
      </c>
      <c r="CA101" s="111" t="str">
        <f>IF('⚙ OFF Weekends'!$D$74="OFF","OFF","")</f>
        <v/>
      </c>
      <c r="CB101" s="111" t="str">
        <f>IF('⚙ OFF Weekends'!$D$75="OFF","OFF","")</f>
        <v/>
      </c>
      <c r="CC101" s="111" t="str">
        <f>IF('⚙ OFF Weekends'!$D$76="OFF","OFF","")</f>
        <v/>
      </c>
      <c r="CD101" s="111" t="str">
        <f>IF('⚙ OFF Weekends'!$D$77="OFF","OFF","")</f>
        <v/>
      </c>
      <c r="CE101" s="112">
        <f t="shared" si="21"/>
        <v>0</v>
      </c>
      <c r="CF101" s="112">
        <f t="shared" si="22"/>
        <v>0</v>
      </c>
      <c r="CG101" s="112">
        <f t="shared" si="23"/>
        <v>0</v>
      </c>
      <c r="CH101" s="112" t="str">
        <f t="shared" si="24"/>
        <v>0%</v>
      </c>
    </row>
    <row r="102" ht="18.0" customHeight="1">
      <c r="A102" s="107">
        <v>21.0</v>
      </c>
      <c r="B102" s="108"/>
      <c r="C102" s="108"/>
      <c r="D102" s="109" t="str">
        <f t="shared" si="19"/>
        <v/>
      </c>
      <c r="E102" s="110" t="str">
        <f t="shared" si="20"/>
        <v/>
      </c>
      <c r="F102" s="108"/>
      <c r="G102" s="108"/>
      <c r="H102" s="108"/>
      <c r="I102" s="111" t="str">
        <f>IF('⚙ OFF Weekends'!$D$4="OFF","OFF","")</f>
        <v/>
      </c>
      <c r="J102" s="111" t="str">
        <f>IF('⚙ OFF Weekends'!$D$5="OFF","OFF","")</f>
        <v/>
      </c>
      <c r="K102" s="111" t="str">
        <f>IF('⚙ OFF Weekends'!$D$6="OFF","OFF","")</f>
        <v/>
      </c>
      <c r="L102" s="111" t="str">
        <f>IF('⚙ OFF Weekends'!$D$7="OFF","OFF","")</f>
        <v/>
      </c>
      <c r="M102" s="111" t="str">
        <f>IF('⚙ OFF Weekends'!$D$8="OFF","OFF","")</f>
        <v/>
      </c>
      <c r="N102" s="111" t="str">
        <f>IF('⚙ OFF Weekends'!$D$9="OFF","OFF","")</f>
        <v/>
      </c>
      <c r="O102" s="111" t="str">
        <f>IF('⚙ OFF Weekends'!$D$10="OFF","OFF","")</f>
        <v/>
      </c>
      <c r="P102" s="111" t="str">
        <f>IF('⚙ OFF Weekends'!$D$11="OFF","OFF","")</f>
        <v/>
      </c>
      <c r="Q102" s="111" t="str">
        <f>IF('⚙ OFF Weekends'!$D$12="OFF","OFF","")</f>
        <v/>
      </c>
      <c r="R102" s="111" t="str">
        <f>IF('⚙ OFF Weekends'!$D$13="OFF","OFF","")</f>
        <v/>
      </c>
      <c r="S102" s="111" t="str">
        <f>IF('⚙ OFF Weekends'!$D$14="OFF","OFF","")</f>
        <v/>
      </c>
      <c r="T102" s="111" t="str">
        <f>IF('⚙ OFF Weekends'!$D$15="OFF","OFF","")</f>
        <v/>
      </c>
      <c r="U102" s="111" t="str">
        <f>IF('⚙ OFF Weekends'!$D$16="OFF","OFF","")</f>
        <v/>
      </c>
      <c r="V102" s="111" t="str">
        <f>IF('⚙ OFF Weekends'!$D$17="OFF","OFF","")</f>
        <v/>
      </c>
      <c r="W102" s="111" t="str">
        <f>IF('⚙ OFF Weekends'!$D$18="OFF","OFF","")</f>
        <v>OFF</v>
      </c>
      <c r="X102" s="111" t="str">
        <f>IF('⚙ OFF Weekends'!$D$19="OFF","OFF","")</f>
        <v/>
      </c>
      <c r="Y102" s="111" t="str">
        <f>IF('⚙ OFF Weekends'!$D$20="OFF","OFF","")</f>
        <v/>
      </c>
      <c r="Z102" s="111" t="str">
        <f>IF('⚙ OFF Weekends'!$D$21="OFF","OFF","")</f>
        <v/>
      </c>
      <c r="AA102" s="111" t="str">
        <f>IF('⚙ OFF Weekends'!$D$22="OFF","OFF","")</f>
        <v/>
      </c>
      <c r="AB102" s="111" t="str">
        <f>IF('⚙ OFF Weekends'!$D$23="OFF","OFF","")</f>
        <v/>
      </c>
      <c r="AC102" s="111" t="str">
        <f>IF('⚙ OFF Weekends'!$D$24="OFF","OFF","")</f>
        <v/>
      </c>
      <c r="AD102" s="111" t="str">
        <f>IF('⚙ OFF Weekends'!$D$25="OFF","OFF","")</f>
        <v/>
      </c>
      <c r="AE102" s="111" t="str">
        <f>IF('⚙ OFF Weekends'!$D$26="OFF","OFF","")</f>
        <v/>
      </c>
      <c r="AF102" s="111" t="str">
        <f>IF('⚙ OFF Weekends'!$D$27="OFF","OFF","")</f>
        <v/>
      </c>
      <c r="AG102" s="111" t="str">
        <f>IF('⚙ OFF Weekends'!$D$28="OFF","OFF","")</f>
        <v/>
      </c>
      <c r="AH102" s="111" t="str">
        <f>IF('⚙ OFF Weekends'!$D$29="OFF","OFF","")</f>
        <v/>
      </c>
      <c r="AI102" s="111" t="str">
        <f>IF('⚙ OFF Weekends'!$D$30="OFF","OFF","")</f>
        <v/>
      </c>
      <c r="AJ102" s="111" t="str">
        <f>IF('⚙ OFF Weekends'!$D$31="OFF","OFF","")</f>
        <v/>
      </c>
      <c r="AK102" s="111" t="str">
        <f>IF('⚙ OFF Weekends'!$D$32="OFF","OFF","")</f>
        <v/>
      </c>
      <c r="AL102" s="111" t="str">
        <f>IF('⚙ OFF Weekends'!$D$33="OFF","OFF","")</f>
        <v/>
      </c>
      <c r="AM102" s="111" t="str">
        <f>IF('⚙ OFF Weekends'!$D$34="OFF","OFF","")</f>
        <v/>
      </c>
      <c r="AN102" s="111" t="str">
        <f>IF('⚙ OFF Weekends'!$D$35="OFF","OFF","")</f>
        <v/>
      </c>
      <c r="AO102" s="111" t="str">
        <f>IF('⚙ OFF Weekends'!$D$36="OFF","OFF","")</f>
        <v/>
      </c>
      <c r="AP102" s="111" t="str">
        <f>IF('⚙ OFF Weekends'!$D$37="OFF","OFF","")</f>
        <v/>
      </c>
      <c r="AQ102" s="111" t="str">
        <f>IF('⚙ OFF Weekends'!$D$38="OFF","OFF","")</f>
        <v/>
      </c>
      <c r="AR102" s="111" t="str">
        <f>IF('⚙ OFF Weekends'!$D$39="OFF","OFF","")</f>
        <v/>
      </c>
      <c r="AS102" s="111" t="str">
        <f>IF('⚙ OFF Weekends'!$D$40="OFF","OFF","")</f>
        <v/>
      </c>
      <c r="AT102" s="111" t="str">
        <f>IF('⚙ OFF Weekends'!$D$41="OFF","OFF","")</f>
        <v/>
      </c>
      <c r="AU102" s="111" t="str">
        <f>IF('⚙ OFF Weekends'!$D$42="OFF","OFF","")</f>
        <v/>
      </c>
      <c r="AV102" s="111" t="str">
        <f>IF('⚙ OFF Weekends'!$D$43="OFF","OFF","")</f>
        <v/>
      </c>
      <c r="AW102" s="111" t="str">
        <f>IF('⚙ OFF Weekends'!$D$44="OFF","OFF","")</f>
        <v/>
      </c>
      <c r="AX102" s="111" t="str">
        <f>IF('⚙ OFF Weekends'!$D$45="OFF","OFF","")</f>
        <v/>
      </c>
      <c r="AY102" s="111" t="str">
        <f>IF('⚙ OFF Weekends'!$D$46="OFF","OFF","")</f>
        <v/>
      </c>
      <c r="AZ102" s="111" t="str">
        <f>IF('⚙ OFF Weekends'!$D$47="OFF","OFF","")</f>
        <v/>
      </c>
      <c r="BA102" s="111" t="str">
        <f>IF('⚙ OFF Weekends'!$D$48="OFF","OFF","")</f>
        <v/>
      </c>
      <c r="BB102" s="111" t="str">
        <f>IF('⚙ OFF Weekends'!$D$49="OFF","OFF","")</f>
        <v/>
      </c>
      <c r="BC102" s="111" t="str">
        <f>IF('⚙ OFF Weekends'!$D$50="OFF","OFF","")</f>
        <v/>
      </c>
      <c r="BD102" s="111" t="str">
        <f>IF('⚙ OFF Weekends'!$D$51="OFF","OFF","")</f>
        <v/>
      </c>
      <c r="BE102" s="111" t="str">
        <f>IF('⚙ OFF Weekends'!$D$52="OFF","OFF","")</f>
        <v/>
      </c>
      <c r="BF102" s="111" t="str">
        <f>IF('⚙ OFF Weekends'!$D$53="OFF","OFF","")</f>
        <v/>
      </c>
      <c r="BG102" s="111" t="str">
        <f>IF('⚙ OFF Weekends'!$D$54="OFF","OFF","")</f>
        <v/>
      </c>
      <c r="BH102" s="111" t="str">
        <f>IF('⚙ OFF Weekends'!$D$55="OFF","OFF","")</f>
        <v/>
      </c>
      <c r="BI102" s="111" t="str">
        <f>IF('⚙ OFF Weekends'!$D$56="OFF","OFF","")</f>
        <v/>
      </c>
      <c r="BJ102" s="111" t="str">
        <f>IF('⚙ OFF Weekends'!$D$57="OFF","OFF","")</f>
        <v/>
      </c>
      <c r="BK102" s="111" t="str">
        <f>IF('⚙ OFF Weekends'!$D$58="OFF","OFF","")</f>
        <v/>
      </c>
      <c r="BL102" s="111" t="str">
        <f>IF('⚙ OFF Weekends'!$D$59="OFF","OFF","")</f>
        <v/>
      </c>
      <c r="BM102" s="111" t="str">
        <f>IF('⚙ OFF Weekends'!$D$60="OFF","OFF","")</f>
        <v/>
      </c>
      <c r="BN102" s="111" t="str">
        <f>IF('⚙ OFF Weekends'!$D$61="OFF","OFF","")</f>
        <v/>
      </c>
      <c r="BO102" s="111" t="str">
        <f>IF('⚙ OFF Weekends'!$D$62="OFF","OFF","")</f>
        <v/>
      </c>
      <c r="BP102" s="111" t="str">
        <f>IF('⚙ OFF Weekends'!$D$63="OFF","OFF","")</f>
        <v/>
      </c>
      <c r="BQ102" s="111" t="str">
        <f>IF('⚙ OFF Weekends'!$D$64="OFF","OFF","")</f>
        <v/>
      </c>
      <c r="BR102" s="111" t="str">
        <f>IF('⚙ OFF Weekends'!$D$65="OFF","OFF","")</f>
        <v/>
      </c>
      <c r="BS102" s="111" t="str">
        <f>IF('⚙ OFF Weekends'!$D$66="OFF","OFF","")</f>
        <v/>
      </c>
      <c r="BT102" s="111" t="str">
        <f>IF('⚙ OFF Weekends'!$D$67="OFF","OFF","")</f>
        <v/>
      </c>
      <c r="BU102" s="111" t="str">
        <f>IF('⚙ OFF Weekends'!$D$68="OFF","OFF","")</f>
        <v/>
      </c>
      <c r="BV102" s="111" t="str">
        <f>IF('⚙ OFF Weekends'!$D$69="OFF","OFF","")</f>
        <v/>
      </c>
      <c r="BW102" s="111" t="str">
        <f>IF('⚙ OFF Weekends'!$D$70="OFF","OFF","")</f>
        <v/>
      </c>
      <c r="BX102" s="111" t="str">
        <f>IF('⚙ OFF Weekends'!$D$71="OFF","OFF","")</f>
        <v/>
      </c>
      <c r="BY102" s="111" t="str">
        <f>IF('⚙ OFF Weekends'!$D$72="OFF","OFF","")</f>
        <v/>
      </c>
      <c r="BZ102" s="111" t="str">
        <f>IF('⚙ OFF Weekends'!$D$73="OFF","OFF","")</f>
        <v/>
      </c>
      <c r="CA102" s="111" t="str">
        <f>IF('⚙ OFF Weekends'!$D$74="OFF","OFF","")</f>
        <v/>
      </c>
      <c r="CB102" s="111" t="str">
        <f>IF('⚙ OFF Weekends'!$D$75="OFF","OFF","")</f>
        <v/>
      </c>
      <c r="CC102" s="111" t="str">
        <f>IF('⚙ OFF Weekends'!$D$76="OFF","OFF","")</f>
        <v/>
      </c>
      <c r="CD102" s="111" t="str">
        <f>IF('⚙ OFF Weekends'!$D$77="OFF","OFF","")</f>
        <v/>
      </c>
      <c r="CE102" s="112">
        <f t="shared" si="21"/>
        <v>0</v>
      </c>
      <c r="CF102" s="112">
        <f t="shared" si="22"/>
        <v>0</v>
      </c>
      <c r="CG102" s="112">
        <f t="shared" si="23"/>
        <v>0</v>
      </c>
      <c r="CH102" s="112" t="str">
        <f t="shared" si="24"/>
        <v>0%</v>
      </c>
    </row>
    <row r="103" ht="18.0" customHeight="1">
      <c r="A103" s="107">
        <v>22.0</v>
      </c>
      <c r="B103" s="108"/>
      <c r="C103" s="108"/>
      <c r="D103" s="109" t="str">
        <f t="shared" si="19"/>
        <v/>
      </c>
      <c r="E103" s="110" t="str">
        <f t="shared" si="20"/>
        <v/>
      </c>
      <c r="F103" s="108"/>
      <c r="G103" s="108"/>
      <c r="H103" s="108"/>
      <c r="I103" s="111" t="str">
        <f>IF('⚙ OFF Weekends'!$D$4="OFF","OFF","")</f>
        <v/>
      </c>
      <c r="J103" s="111" t="str">
        <f>IF('⚙ OFF Weekends'!$D$5="OFF","OFF","")</f>
        <v/>
      </c>
      <c r="K103" s="111" t="str">
        <f>IF('⚙ OFF Weekends'!$D$6="OFF","OFF","")</f>
        <v/>
      </c>
      <c r="L103" s="111" t="str">
        <f>IF('⚙ OFF Weekends'!$D$7="OFF","OFF","")</f>
        <v/>
      </c>
      <c r="M103" s="111" t="str">
        <f>IF('⚙ OFF Weekends'!$D$8="OFF","OFF","")</f>
        <v/>
      </c>
      <c r="N103" s="111" t="str">
        <f>IF('⚙ OFF Weekends'!$D$9="OFF","OFF","")</f>
        <v/>
      </c>
      <c r="O103" s="111" t="str">
        <f>IF('⚙ OFF Weekends'!$D$10="OFF","OFF","")</f>
        <v/>
      </c>
      <c r="P103" s="111" t="str">
        <f>IF('⚙ OFF Weekends'!$D$11="OFF","OFF","")</f>
        <v/>
      </c>
      <c r="Q103" s="111" t="str">
        <f>IF('⚙ OFF Weekends'!$D$12="OFF","OFF","")</f>
        <v/>
      </c>
      <c r="R103" s="111" t="str">
        <f>IF('⚙ OFF Weekends'!$D$13="OFF","OFF","")</f>
        <v/>
      </c>
      <c r="S103" s="111" t="str">
        <f>IF('⚙ OFF Weekends'!$D$14="OFF","OFF","")</f>
        <v/>
      </c>
      <c r="T103" s="111" t="str">
        <f>IF('⚙ OFF Weekends'!$D$15="OFF","OFF","")</f>
        <v/>
      </c>
      <c r="U103" s="111" t="str">
        <f>IF('⚙ OFF Weekends'!$D$16="OFF","OFF","")</f>
        <v/>
      </c>
      <c r="V103" s="111" t="str">
        <f>IF('⚙ OFF Weekends'!$D$17="OFF","OFF","")</f>
        <v/>
      </c>
      <c r="W103" s="111" t="str">
        <f>IF('⚙ OFF Weekends'!$D$18="OFF","OFF","")</f>
        <v>OFF</v>
      </c>
      <c r="X103" s="111" t="str">
        <f>IF('⚙ OFF Weekends'!$D$19="OFF","OFF","")</f>
        <v/>
      </c>
      <c r="Y103" s="111" t="str">
        <f>IF('⚙ OFF Weekends'!$D$20="OFF","OFF","")</f>
        <v/>
      </c>
      <c r="Z103" s="111" t="str">
        <f>IF('⚙ OFF Weekends'!$D$21="OFF","OFF","")</f>
        <v/>
      </c>
      <c r="AA103" s="111" t="str">
        <f>IF('⚙ OFF Weekends'!$D$22="OFF","OFF","")</f>
        <v/>
      </c>
      <c r="AB103" s="111" t="str">
        <f>IF('⚙ OFF Weekends'!$D$23="OFF","OFF","")</f>
        <v/>
      </c>
      <c r="AC103" s="111" t="str">
        <f>IF('⚙ OFF Weekends'!$D$24="OFF","OFF","")</f>
        <v/>
      </c>
      <c r="AD103" s="111" t="str">
        <f>IF('⚙ OFF Weekends'!$D$25="OFF","OFF","")</f>
        <v/>
      </c>
      <c r="AE103" s="111" t="str">
        <f>IF('⚙ OFF Weekends'!$D$26="OFF","OFF","")</f>
        <v/>
      </c>
      <c r="AF103" s="111" t="str">
        <f>IF('⚙ OFF Weekends'!$D$27="OFF","OFF","")</f>
        <v/>
      </c>
      <c r="AG103" s="111" t="str">
        <f>IF('⚙ OFF Weekends'!$D$28="OFF","OFF","")</f>
        <v/>
      </c>
      <c r="AH103" s="111" t="str">
        <f>IF('⚙ OFF Weekends'!$D$29="OFF","OFF","")</f>
        <v/>
      </c>
      <c r="AI103" s="111" t="str">
        <f>IF('⚙ OFF Weekends'!$D$30="OFF","OFF","")</f>
        <v/>
      </c>
      <c r="AJ103" s="111" t="str">
        <f>IF('⚙ OFF Weekends'!$D$31="OFF","OFF","")</f>
        <v/>
      </c>
      <c r="AK103" s="111" t="str">
        <f>IF('⚙ OFF Weekends'!$D$32="OFF","OFF","")</f>
        <v/>
      </c>
      <c r="AL103" s="111" t="str">
        <f>IF('⚙ OFF Weekends'!$D$33="OFF","OFF","")</f>
        <v/>
      </c>
      <c r="AM103" s="111" t="str">
        <f>IF('⚙ OFF Weekends'!$D$34="OFF","OFF","")</f>
        <v/>
      </c>
      <c r="AN103" s="111" t="str">
        <f>IF('⚙ OFF Weekends'!$D$35="OFF","OFF","")</f>
        <v/>
      </c>
      <c r="AO103" s="111" t="str">
        <f>IF('⚙ OFF Weekends'!$D$36="OFF","OFF","")</f>
        <v/>
      </c>
      <c r="AP103" s="111" t="str">
        <f>IF('⚙ OFF Weekends'!$D$37="OFF","OFF","")</f>
        <v/>
      </c>
      <c r="AQ103" s="111" t="str">
        <f>IF('⚙ OFF Weekends'!$D$38="OFF","OFF","")</f>
        <v/>
      </c>
      <c r="AR103" s="111" t="str">
        <f>IF('⚙ OFF Weekends'!$D$39="OFF","OFF","")</f>
        <v/>
      </c>
      <c r="AS103" s="111" t="str">
        <f>IF('⚙ OFF Weekends'!$D$40="OFF","OFF","")</f>
        <v/>
      </c>
      <c r="AT103" s="111" t="str">
        <f>IF('⚙ OFF Weekends'!$D$41="OFF","OFF","")</f>
        <v/>
      </c>
      <c r="AU103" s="111" t="str">
        <f>IF('⚙ OFF Weekends'!$D$42="OFF","OFF","")</f>
        <v/>
      </c>
      <c r="AV103" s="111" t="str">
        <f>IF('⚙ OFF Weekends'!$D$43="OFF","OFF","")</f>
        <v/>
      </c>
      <c r="AW103" s="111" t="str">
        <f>IF('⚙ OFF Weekends'!$D$44="OFF","OFF","")</f>
        <v/>
      </c>
      <c r="AX103" s="111" t="str">
        <f>IF('⚙ OFF Weekends'!$D$45="OFF","OFF","")</f>
        <v/>
      </c>
      <c r="AY103" s="111" t="str">
        <f>IF('⚙ OFF Weekends'!$D$46="OFF","OFF","")</f>
        <v/>
      </c>
      <c r="AZ103" s="111" t="str">
        <f>IF('⚙ OFF Weekends'!$D$47="OFF","OFF","")</f>
        <v/>
      </c>
      <c r="BA103" s="111" t="str">
        <f>IF('⚙ OFF Weekends'!$D$48="OFF","OFF","")</f>
        <v/>
      </c>
      <c r="BB103" s="111" t="str">
        <f>IF('⚙ OFF Weekends'!$D$49="OFF","OFF","")</f>
        <v/>
      </c>
      <c r="BC103" s="111" t="str">
        <f>IF('⚙ OFF Weekends'!$D$50="OFF","OFF","")</f>
        <v/>
      </c>
      <c r="BD103" s="111" t="str">
        <f>IF('⚙ OFF Weekends'!$D$51="OFF","OFF","")</f>
        <v/>
      </c>
      <c r="BE103" s="111" t="str">
        <f>IF('⚙ OFF Weekends'!$D$52="OFF","OFF","")</f>
        <v/>
      </c>
      <c r="BF103" s="111" t="str">
        <f>IF('⚙ OFF Weekends'!$D$53="OFF","OFF","")</f>
        <v/>
      </c>
      <c r="BG103" s="111" t="str">
        <f>IF('⚙ OFF Weekends'!$D$54="OFF","OFF","")</f>
        <v/>
      </c>
      <c r="BH103" s="111" t="str">
        <f>IF('⚙ OFF Weekends'!$D$55="OFF","OFF","")</f>
        <v/>
      </c>
      <c r="BI103" s="111" t="str">
        <f>IF('⚙ OFF Weekends'!$D$56="OFF","OFF","")</f>
        <v/>
      </c>
      <c r="BJ103" s="111" t="str">
        <f>IF('⚙ OFF Weekends'!$D$57="OFF","OFF","")</f>
        <v/>
      </c>
      <c r="BK103" s="111" t="str">
        <f>IF('⚙ OFF Weekends'!$D$58="OFF","OFF","")</f>
        <v/>
      </c>
      <c r="BL103" s="111" t="str">
        <f>IF('⚙ OFF Weekends'!$D$59="OFF","OFF","")</f>
        <v/>
      </c>
      <c r="BM103" s="111" t="str">
        <f>IF('⚙ OFF Weekends'!$D$60="OFF","OFF","")</f>
        <v/>
      </c>
      <c r="BN103" s="111" t="str">
        <f>IF('⚙ OFF Weekends'!$D$61="OFF","OFF","")</f>
        <v/>
      </c>
      <c r="BO103" s="111" t="str">
        <f>IF('⚙ OFF Weekends'!$D$62="OFF","OFF","")</f>
        <v/>
      </c>
      <c r="BP103" s="111" t="str">
        <f>IF('⚙ OFF Weekends'!$D$63="OFF","OFF","")</f>
        <v/>
      </c>
      <c r="BQ103" s="111" t="str">
        <f>IF('⚙ OFF Weekends'!$D$64="OFF","OFF","")</f>
        <v/>
      </c>
      <c r="BR103" s="111" t="str">
        <f>IF('⚙ OFF Weekends'!$D$65="OFF","OFF","")</f>
        <v/>
      </c>
      <c r="BS103" s="111" t="str">
        <f>IF('⚙ OFF Weekends'!$D$66="OFF","OFF","")</f>
        <v/>
      </c>
      <c r="BT103" s="111" t="str">
        <f>IF('⚙ OFF Weekends'!$D$67="OFF","OFF","")</f>
        <v/>
      </c>
      <c r="BU103" s="111" t="str">
        <f>IF('⚙ OFF Weekends'!$D$68="OFF","OFF","")</f>
        <v/>
      </c>
      <c r="BV103" s="111" t="str">
        <f>IF('⚙ OFF Weekends'!$D$69="OFF","OFF","")</f>
        <v/>
      </c>
      <c r="BW103" s="111" t="str">
        <f>IF('⚙ OFF Weekends'!$D$70="OFF","OFF","")</f>
        <v/>
      </c>
      <c r="BX103" s="111" t="str">
        <f>IF('⚙ OFF Weekends'!$D$71="OFF","OFF","")</f>
        <v/>
      </c>
      <c r="BY103" s="111" t="str">
        <f>IF('⚙ OFF Weekends'!$D$72="OFF","OFF","")</f>
        <v/>
      </c>
      <c r="BZ103" s="111" t="str">
        <f>IF('⚙ OFF Weekends'!$D$73="OFF","OFF","")</f>
        <v/>
      </c>
      <c r="CA103" s="111" t="str">
        <f>IF('⚙ OFF Weekends'!$D$74="OFF","OFF","")</f>
        <v/>
      </c>
      <c r="CB103" s="111" t="str">
        <f>IF('⚙ OFF Weekends'!$D$75="OFF","OFF","")</f>
        <v/>
      </c>
      <c r="CC103" s="111" t="str">
        <f>IF('⚙ OFF Weekends'!$D$76="OFF","OFF","")</f>
        <v/>
      </c>
      <c r="CD103" s="111" t="str">
        <f>IF('⚙ OFF Weekends'!$D$77="OFF","OFF","")</f>
        <v/>
      </c>
      <c r="CE103" s="112">
        <f t="shared" si="21"/>
        <v>0</v>
      </c>
      <c r="CF103" s="112">
        <f t="shared" si="22"/>
        <v>0</v>
      </c>
      <c r="CG103" s="112">
        <f t="shared" si="23"/>
        <v>0</v>
      </c>
      <c r="CH103" s="112" t="str">
        <f t="shared" si="24"/>
        <v>0%</v>
      </c>
    </row>
    <row r="104" ht="18.0" customHeight="1">
      <c r="A104" s="107">
        <v>23.0</v>
      </c>
      <c r="B104" s="108"/>
      <c r="C104" s="108"/>
      <c r="D104" s="109" t="str">
        <f t="shared" si="19"/>
        <v/>
      </c>
      <c r="E104" s="110" t="str">
        <f t="shared" si="20"/>
        <v/>
      </c>
      <c r="F104" s="108"/>
      <c r="G104" s="108"/>
      <c r="H104" s="108"/>
      <c r="I104" s="111" t="str">
        <f>IF('⚙ OFF Weekends'!$D$4="OFF","OFF","")</f>
        <v/>
      </c>
      <c r="J104" s="111" t="str">
        <f>IF('⚙ OFF Weekends'!$D$5="OFF","OFF","")</f>
        <v/>
      </c>
      <c r="K104" s="111" t="str">
        <f>IF('⚙ OFF Weekends'!$D$6="OFF","OFF","")</f>
        <v/>
      </c>
      <c r="L104" s="111" t="str">
        <f>IF('⚙ OFF Weekends'!$D$7="OFF","OFF","")</f>
        <v/>
      </c>
      <c r="M104" s="111" t="str">
        <f>IF('⚙ OFF Weekends'!$D$8="OFF","OFF","")</f>
        <v/>
      </c>
      <c r="N104" s="111" t="str">
        <f>IF('⚙ OFF Weekends'!$D$9="OFF","OFF","")</f>
        <v/>
      </c>
      <c r="O104" s="111" t="str">
        <f>IF('⚙ OFF Weekends'!$D$10="OFF","OFF","")</f>
        <v/>
      </c>
      <c r="P104" s="111" t="str">
        <f>IF('⚙ OFF Weekends'!$D$11="OFF","OFF","")</f>
        <v/>
      </c>
      <c r="Q104" s="111" t="str">
        <f>IF('⚙ OFF Weekends'!$D$12="OFF","OFF","")</f>
        <v/>
      </c>
      <c r="R104" s="111" t="str">
        <f>IF('⚙ OFF Weekends'!$D$13="OFF","OFF","")</f>
        <v/>
      </c>
      <c r="S104" s="111" t="str">
        <f>IF('⚙ OFF Weekends'!$D$14="OFF","OFF","")</f>
        <v/>
      </c>
      <c r="T104" s="111" t="str">
        <f>IF('⚙ OFF Weekends'!$D$15="OFF","OFF","")</f>
        <v/>
      </c>
      <c r="U104" s="111" t="str">
        <f>IF('⚙ OFF Weekends'!$D$16="OFF","OFF","")</f>
        <v/>
      </c>
      <c r="V104" s="111" t="str">
        <f>IF('⚙ OFF Weekends'!$D$17="OFF","OFF","")</f>
        <v/>
      </c>
      <c r="W104" s="111" t="str">
        <f>IF('⚙ OFF Weekends'!$D$18="OFF","OFF","")</f>
        <v>OFF</v>
      </c>
      <c r="X104" s="111" t="str">
        <f>IF('⚙ OFF Weekends'!$D$19="OFF","OFF","")</f>
        <v/>
      </c>
      <c r="Y104" s="111" t="str">
        <f>IF('⚙ OFF Weekends'!$D$20="OFF","OFF","")</f>
        <v/>
      </c>
      <c r="Z104" s="111" t="str">
        <f>IF('⚙ OFF Weekends'!$D$21="OFF","OFF","")</f>
        <v/>
      </c>
      <c r="AA104" s="111" t="str">
        <f>IF('⚙ OFF Weekends'!$D$22="OFF","OFF","")</f>
        <v/>
      </c>
      <c r="AB104" s="111" t="str">
        <f>IF('⚙ OFF Weekends'!$D$23="OFF","OFF","")</f>
        <v/>
      </c>
      <c r="AC104" s="111" t="str">
        <f>IF('⚙ OFF Weekends'!$D$24="OFF","OFF","")</f>
        <v/>
      </c>
      <c r="AD104" s="111" t="str">
        <f>IF('⚙ OFF Weekends'!$D$25="OFF","OFF","")</f>
        <v/>
      </c>
      <c r="AE104" s="111" t="str">
        <f>IF('⚙ OFF Weekends'!$D$26="OFF","OFF","")</f>
        <v/>
      </c>
      <c r="AF104" s="111" t="str">
        <f>IF('⚙ OFF Weekends'!$D$27="OFF","OFF","")</f>
        <v/>
      </c>
      <c r="AG104" s="111" t="str">
        <f>IF('⚙ OFF Weekends'!$D$28="OFF","OFF","")</f>
        <v/>
      </c>
      <c r="AH104" s="111" t="str">
        <f>IF('⚙ OFF Weekends'!$D$29="OFF","OFF","")</f>
        <v/>
      </c>
      <c r="AI104" s="111" t="str">
        <f>IF('⚙ OFF Weekends'!$D$30="OFF","OFF","")</f>
        <v/>
      </c>
      <c r="AJ104" s="111" t="str">
        <f>IF('⚙ OFF Weekends'!$D$31="OFF","OFF","")</f>
        <v/>
      </c>
      <c r="AK104" s="111" t="str">
        <f>IF('⚙ OFF Weekends'!$D$32="OFF","OFF","")</f>
        <v/>
      </c>
      <c r="AL104" s="111" t="str">
        <f>IF('⚙ OFF Weekends'!$D$33="OFF","OFF","")</f>
        <v/>
      </c>
      <c r="AM104" s="111" t="str">
        <f>IF('⚙ OFF Weekends'!$D$34="OFF","OFF","")</f>
        <v/>
      </c>
      <c r="AN104" s="111" t="str">
        <f>IF('⚙ OFF Weekends'!$D$35="OFF","OFF","")</f>
        <v/>
      </c>
      <c r="AO104" s="111" t="str">
        <f>IF('⚙ OFF Weekends'!$D$36="OFF","OFF","")</f>
        <v/>
      </c>
      <c r="AP104" s="111" t="str">
        <f>IF('⚙ OFF Weekends'!$D$37="OFF","OFF","")</f>
        <v/>
      </c>
      <c r="AQ104" s="111" t="str">
        <f>IF('⚙ OFF Weekends'!$D$38="OFF","OFF","")</f>
        <v/>
      </c>
      <c r="AR104" s="111" t="str">
        <f>IF('⚙ OFF Weekends'!$D$39="OFF","OFF","")</f>
        <v/>
      </c>
      <c r="AS104" s="111" t="str">
        <f>IF('⚙ OFF Weekends'!$D$40="OFF","OFF","")</f>
        <v/>
      </c>
      <c r="AT104" s="111" t="str">
        <f>IF('⚙ OFF Weekends'!$D$41="OFF","OFF","")</f>
        <v/>
      </c>
      <c r="AU104" s="111" t="str">
        <f>IF('⚙ OFF Weekends'!$D$42="OFF","OFF","")</f>
        <v/>
      </c>
      <c r="AV104" s="111" t="str">
        <f>IF('⚙ OFF Weekends'!$D$43="OFF","OFF","")</f>
        <v/>
      </c>
      <c r="AW104" s="111" t="str">
        <f>IF('⚙ OFF Weekends'!$D$44="OFF","OFF","")</f>
        <v/>
      </c>
      <c r="AX104" s="111" t="str">
        <f>IF('⚙ OFF Weekends'!$D$45="OFF","OFF","")</f>
        <v/>
      </c>
      <c r="AY104" s="111" t="str">
        <f>IF('⚙ OFF Weekends'!$D$46="OFF","OFF","")</f>
        <v/>
      </c>
      <c r="AZ104" s="111" t="str">
        <f>IF('⚙ OFF Weekends'!$D$47="OFF","OFF","")</f>
        <v/>
      </c>
      <c r="BA104" s="111" t="str">
        <f>IF('⚙ OFF Weekends'!$D$48="OFF","OFF","")</f>
        <v/>
      </c>
      <c r="BB104" s="111" t="str">
        <f>IF('⚙ OFF Weekends'!$D$49="OFF","OFF","")</f>
        <v/>
      </c>
      <c r="BC104" s="111" t="str">
        <f>IF('⚙ OFF Weekends'!$D$50="OFF","OFF","")</f>
        <v/>
      </c>
      <c r="BD104" s="111" t="str">
        <f>IF('⚙ OFF Weekends'!$D$51="OFF","OFF","")</f>
        <v/>
      </c>
      <c r="BE104" s="111" t="str">
        <f>IF('⚙ OFF Weekends'!$D$52="OFF","OFF","")</f>
        <v/>
      </c>
      <c r="BF104" s="111" t="str">
        <f>IF('⚙ OFF Weekends'!$D$53="OFF","OFF","")</f>
        <v/>
      </c>
      <c r="BG104" s="111" t="str">
        <f>IF('⚙ OFF Weekends'!$D$54="OFF","OFF","")</f>
        <v/>
      </c>
      <c r="BH104" s="111" t="str">
        <f>IF('⚙ OFF Weekends'!$D$55="OFF","OFF","")</f>
        <v/>
      </c>
      <c r="BI104" s="111" t="str">
        <f>IF('⚙ OFF Weekends'!$D$56="OFF","OFF","")</f>
        <v/>
      </c>
      <c r="BJ104" s="111" t="str">
        <f>IF('⚙ OFF Weekends'!$D$57="OFF","OFF","")</f>
        <v/>
      </c>
      <c r="BK104" s="111" t="str">
        <f>IF('⚙ OFF Weekends'!$D$58="OFF","OFF","")</f>
        <v/>
      </c>
      <c r="BL104" s="111" t="str">
        <f>IF('⚙ OFF Weekends'!$D$59="OFF","OFF","")</f>
        <v/>
      </c>
      <c r="BM104" s="111" t="str">
        <f>IF('⚙ OFF Weekends'!$D$60="OFF","OFF","")</f>
        <v/>
      </c>
      <c r="BN104" s="111" t="str">
        <f>IF('⚙ OFF Weekends'!$D$61="OFF","OFF","")</f>
        <v/>
      </c>
      <c r="BO104" s="111" t="str">
        <f>IF('⚙ OFF Weekends'!$D$62="OFF","OFF","")</f>
        <v/>
      </c>
      <c r="BP104" s="111" t="str">
        <f>IF('⚙ OFF Weekends'!$D$63="OFF","OFF","")</f>
        <v/>
      </c>
      <c r="BQ104" s="111" t="str">
        <f>IF('⚙ OFF Weekends'!$D$64="OFF","OFF","")</f>
        <v/>
      </c>
      <c r="BR104" s="111" t="str">
        <f>IF('⚙ OFF Weekends'!$D$65="OFF","OFF","")</f>
        <v/>
      </c>
      <c r="BS104" s="111" t="str">
        <f>IF('⚙ OFF Weekends'!$D$66="OFF","OFF","")</f>
        <v/>
      </c>
      <c r="BT104" s="111" t="str">
        <f>IF('⚙ OFF Weekends'!$D$67="OFF","OFF","")</f>
        <v/>
      </c>
      <c r="BU104" s="111" t="str">
        <f>IF('⚙ OFF Weekends'!$D$68="OFF","OFF","")</f>
        <v/>
      </c>
      <c r="BV104" s="111" t="str">
        <f>IF('⚙ OFF Weekends'!$D$69="OFF","OFF","")</f>
        <v/>
      </c>
      <c r="BW104" s="111" t="str">
        <f>IF('⚙ OFF Weekends'!$D$70="OFF","OFF","")</f>
        <v/>
      </c>
      <c r="BX104" s="111" t="str">
        <f>IF('⚙ OFF Weekends'!$D$71="OFF","OFF","")</f>
        <v/>
      </c>
      <c r="BY104" s="111" t="str">
        <f>IF('⚙ OFF Weekends'!$D$72="OFF","OFF","")</f>
        <v/>
      </c>
      <c r="BZ104" s="111" t="str">
        <f>IF('⚙ OFF Weekends'!$D$73="OFF","OFF","")</f>
        <v/>
      </c>
      <c r="CA104" s="111" t="str">
        <f>IF('⚙ OFF Weekends'!$D$74="OFF","OFF","")</f>
        <v/>
      </c>
      <c r="CB104" s="111" t="str">
        <f>IF('⚙ OFF Weekends'!$D$75="OFF","OFF","")</f>
        <v/>
      </c>
      <c r="CC104" s="111" t="str">
        <f>IF('⚙ OFF Weekends'!$D$76="OFF","OFF","")</f>
        <v/>
      </c>
      <c r="CD104" s="111" t="str">
        <f>IF('⚙ OFF Weekends'!$D$77="OFF","OFF","")</f>
        <v/>
      </c>
      <c r="CE104" s="112">
        <f t="shared" si="21"/>
        <v>0</v>
      </c>
      <c r="CF104" s="112">
        <f t="shared" si="22"/>
        <v>0</v>
      </c>
      <c r="CG104" s="112">
        <f t="shared" si="23"/>
        <v>0</v>
      </c>
      <c r="CH104" s="112" t="str">
        <f t="shared" si="24"/>
        <v>0%</v>
      </c>
    </row>
    <row r="105" ht="15.0" customHeight="1">
      <c r="A105" s="113" t="str">
        <f>"Group Strength: "&amp;COUNTA(B82:B104)</f>
        <v>Group Strength: 19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3"/>
    </row>
    <row r="106" ht="4.5" customHeight="1">
      <c r="A106" s="11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3"/>
    </row>
    <row r="107" ht="15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  <c r="AQ107" s="72"/>
      <c r="AR107" s="72"/>
      <c r="AS107" s="72"/>
      <c r="AT107" s="72"/>
      <c r="AU107" s="72"/>
      <c r="AV107" s="72"/>
      <c r="AW107" s="72"/>
      <c r="AX107" s="72"/>
      <c r="AY107" s="72"/>
      <c r="AZ107" s="72"/>
      <c r="BA107" s="72"/>
      <c r="BB107" s="72"/>
      <c r="BC107" s="72"/>
      <c r="BD107" s="72"/>
      <c r="BE107" s="72"/>
      <c r="BF107" s="72"/>
      <c r="BG107" s="72"/>
      <c r="BH107" s="72"/>
      <c r="BI107" s="72"/>
      <c r="BJ107" s="72"/>
      <c r="BK107" s="72"/>
      <c r="BL107" s="72"/>
      <c r="BM107" s="72"/>
      <c r="BN107" s="72"/>
      <c r="BO107" s="72"/>
      <c r="BP107" s="72"/>
      <c r="BQ107" s="72"/>
      <c r="BR107" s="72"/>
      <c r="BS107" s="72"/>
      <c r="BT107" s="72"/>
      <c r="BU107" s="72"/>
      <c r="BV107" s="72"/>
      <c r="BW107" s="72"/>
      <c r="BX107" s="72"/>
      <c r="BY107" s="72"/>
      <c r="BZ107" s="72"/>
      <c r="CA107" s="72"/>
      <c r="CB107" s="72"/>
      <c r="CC107" s="72"/>
      <c r="CD107" s="72"/>
      <c r="CE107" s="72"/>
      <c r="CF107" s="72"/>
      <c r="CG107" s="72"/>
      <c r="CH107" s="72"/>
    </row>
    <row r="108" ht="15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  <c r="AQ108" s="72"/>
      <c r="AR108" s="72"/>
      <c r="AS108" s="72"/>
      <c r="AT108" s="72"/>
      <c r="AU108" s="72"/>
      <c r="AV108" s="72"/>
      <c r="AW108" s="72"/>
      <c r="AX108" s="72"/>
      <c r="AY108" s="72"/>
      <c r="AZ108" s="72"/>
      <c r="BA108" s="72"/>
      <c r="BB108" s="72"/>
      <c r="BC108" s="72"/>
      <c r="BD108" s="72"/>
      <c r="BE108" s="72"/>
      <c r="BF108" s="72"/>
      <c r="BG108" s="72"/>
      <c r="BH108" s="72"/>
      <c r="BI108" s="72"/>
      <c r="BJ108" s="72"/>
      <c r="BK108" s="72"/>
      <c r="BL108" s="72"/>
      <c r="BM108" s="72"/>
      <c r="BN108" s="72"/>
      <c r="BO108" s="72"/>
      <c r="BP108" s="72"/>
      <c r="BQ108" s="72"/>
      <c r="BR108" s="72"/>
      <c r="BS108" s="72"/>
      <c r="BT108" s="72"/>
      <c r="BU108" s="72"/>
      <c r="BV108" s="72"/>
      <c r="BW108" s="72"/>
      <c r="BX108" s="72"/>
      <c r="BY108" s="72"/>
      <c r="BZ108" s="72"/>
      <c r="CA108" s="72"/>
      <c r="CB108" s="72"/>
      <c r="CC108" s="72"/>
      <c r="CD108" s="72"/>
      <c r="CE108" s="72"/>
      <c r="CF108" s="72"/>
      <c r="CG108" s="72"/>
      <c r="CH108" s="72"/>
    </row>
    <row r="109" ht="15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  <c r="AQ109" s="72"/>
      <c r="AR109" s="72"/>
      <c r="AS109" s="72"/>
      <c r="AT109" s="72"/>
      <c r="AU109" s="72"/>
      <c r="AV109" s="72"/>
      <c r="AW109" s="72"/>
      <c r="AX109" s="72"/>
      <c r="AY109" s="72"/>
      <c r="AZ109" s="72"/>
      <c r="BA109" s="72"/>
      <c r="BB109" s="72"/>
      <c r="BC109" s="72"/>
      <c r="BD109" s="72"/>
      <c r="BE109" s="72"/>
      <c r="BF109" s="72"/>
      <c r="BG109" s="72"/>
      <c r="BH109" s="72"/>
      <c r="BI109" s="72"/>
      <c r="BJ109" s="72"/>
      <c r="BK109" s="72"/>
      <c r="BL109" s="72"/>
      <c r="BM109" s="72"/>
      <c r="BN109" s="72"/>
      <c r="BO109" s="72"/>
      <c r="BP109" s="72"/>
      <c r="BQ109" s="72"/>
      <c r="BR109" s="72"/>
      <c r="BS109" s="72"/>
      <c r="BT109" s="72"/>
      <c r="BU109" s="72"/>
      <c r="BV109" s="72"/>
      <c r="BW109" s="72"/>
      <c r="BX109" s="72"/>
      <c r="BY109" s="72"/>
      <c r="BZ109" s="72"/>
      <c r="CA109" s="72"/>
      <c r="CB109" s="72"/>
      <c r="CC109" s="72"/>
      <c r="CD109" s="72"/>
      <c r="CE109" s="72"/>
      <c r="CF109" s="72"/>
      <c r="CG109" s="72"/>
      <c r="CH109" s="72"/>
    </row>
    <row r="110" ht="15.75" customHeight="1">
      <c r="A110" s="72"/>
      <c r="B110" s="72" t="s">
        <v>607</v>
      </c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s="72"/>
      <c r="AV110" s="72"/>
      <c r="AW110" s="72"/>
      <c r="AX110" s="72"/>
      <c r="AY110" s="72"/>
      <c r="AZ110" s="72"/>
      <c r="BA110" s="72"/>
      <c r="BB110" s="72"/>
      <c r="BC110" s="72"/>
      <c r="BD110" s="72"/>
      <c r="BE110" s="72"/>
      <c r="BF110" s="72"/>
      <c r="BG110" s="72"/>
      <c r="BH110" s="72"/>
      <c r="BI110" s="72"/>
      <c r="BJ110" s="72"/>
      <c r="BK110" s="72"/>
      <c r="BL110" s="72"/>
      <c r="BM110" s="72"/>
      <c r="BN110" s="72"/>
      <c r="BO110" s="72"/>
      <c r="BP110" s="72"/>
      <c r="BQ110" s="72"/>
      <c r="BR110" s="72"/>
      <c r="BS110" s="72"/>
      <c r="BT110" s="72"/>
      <c r="BU110" s="72"/>
      <c r="BV110" s="72"/>
      <c r="BW110" s="72"/>
      <c r="BX110" s="72"/>
      <c r="BY110" s="72"/>
      <c r="BZ110" s="72"/>
      <c r="CA110" s="72"/>
      <c r="CB110" s="72"/>
      <c r="CC110" s="72"/>
      <c r="CD110" s="72"/>
      <c r="CE110" s="72"/>
      <c r="CF110" s="72"/>
      <c r="CG110" s="72"/>
      <c r="CH110" s="72"/>
    </row>
    <row r="111" ht="15.75" customHeight="1">
      <c r="A111" s="72"/>
      <c r="B111" s="72" t="s">
        <v>610</v>
      </c>
      <c r="C111" s="131">
        <v>3.07889801E9</v>
      </c>
      <c r="D111" s="72"/>
      <c r="E111" s="72"/>
      <c r="F111" s="72"/>
      <c r="G111" s="131">
        <v>18.0</v>
      </c>
      <c r="H111" s="72" t="s">
        <v>611</v>
      </c>
      <c r="I111" s="72"/>
      <c r="J111" s="72"/>
      <c r="K111" s="72"/>
      <c r="L111" s="72"/>
      <c r="M111" s="72"/>
      <c r="N111" s="72"/>
      <c r="O111" s="72"/>
      <c r="P111" s="72" t="s">
        <v>196</v>
      </c>
      <c r="Q111" s="72" t="s">
        <v>223</v>
      </c>
      <c r="R111" s="132" t="s">
        <v>223</v>
      </c>
      <c r="S111" s="132" t="s">
        <v>223</v>
      </c>
      <c r="T111" s="132" t="s">
        <v>196</v>
      </c>
      <c r="U111" s="132" t="s">
        <v>198</v>
      </c>
      <c r="V111" s="132" t="s">
        <v>198</v>
      </c>
      <c r="W111" s="72"/>
      <c r="X111" s="132" t="s">
        <v>223</v>
      </c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72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  <c r="BM111" s="72"/>
      <c r="BN111" s="72"/>
      <c r="BO111" s="72"/>
      <c r="BP111" s="72"/>
      <c r="BQ111" s="72"/>
      <c r="BR111" s="72"/>
      <c r="BS111" s="72"/>
      <c r="BT111" s="72"/>
      <c r="BU111" s="72"/>
      <c r="BV111" s="72"/>
      <c r="BW111" s="72"/>
      <c r="BX111" s="72"/>
      <c r="BY111" s="72"/>
      <c r="BZ111" s="72"/>
      <c r="CA111" s="72"/>
      <c r="CB111" s="72"/>
      <c r="CC111" s="72"/>
      <c r="CD111" s="72"/>
      <c r="CE111" s="72"/>
      <c r="CF111" s="72"/>
      <c r="CG111" s="72"/>
      <c r="CH111" s="72"/>
    </row>
    <row r="112" ht="15.75" customHeight="1">
      <c r="A112" s="72"/>
      <c r="B112" s="72" t="s">
        <v>612</v>
      </c>
      <c r="C112" s="131">
        <v>3.214324171E9</v>
      </c>
      <c r="D112" s="72"/>
      <c r="E112" s="72"/>
      <c r="F112" s="72"/>
      <c r="G112" s="131">
        <v>16.0</v>
      </c>
      <c r="H112" s="72" t="s">
        <v>613</v>
      </c>
      <c r="I112" s="72"/>
      <c r="J112" s="72"/>
      <c r="K112" s="72"/>
      <c r="L112" s="72"/>
      <c r="M112" s="72"/>
      <c r="N112" s="72"/>
      <c r="O112" s="72"/>
      <c r="P112" s="72" t="s">
        <v>196</v>
      </c>
      <c r="Q112" s="72" t="s">
        <v>37</v>
      </c>
      <c r="R112" s="72"/>
      <c r="S112" s="132" t="s">
        <v>37</v>
      </c>
      <c r="T112" s="72"/>
      <c r="U112" s="72"/>
      <c r="V112" s="132" t="s">
        <v>198</v>
      </c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  <c r="AQ112" s="72"/>
      <c r="AR112" s="72"/>
      <c r="AS112" s="72"/>
      <c r="AT112" s="72"/>
      <c r="AU112" s="72"/>
      <c r="AV112" s="72"/>
      <c r="AW112" s="72"/>
      <c r="AX112" s="72"/>
      <c r="AY112" s="72"/>
      <c r="AZ112" s="72"/>
      <c r="BA112" s="72"/>
      <c r="BB112" s="72"/>
      <c r="BC112" s="72"/>
      <c r="BD112" s="72"/>
      <c r="BE112" s="72"/>
      <c r="BF112" s="72"/>
      <c r="BG112" s="72"/>
      <c r="BH112" s="72"/>
      <c r="BI112" s="72"/>
      <c r="BJ112" s="72"/>
      <c r="BK112" s="72"/>
      <c r="BL112" s="72"/>
      <c r="BM112" s="72"/>
      <c r="BN112" s="72"/>
      <c r="BO112" s="72"/>
      <c r="BP112" s="72"/>
      <c r="BQ112" s="72"/>
      <c r="BR112" s="72"/>
      <c r="BS112" s="72"/>
      <c r="BT112" s="72"/>
      <c r="BU112" s="72"/>
      <c r="BV112" s="72"/>
      <c r="BW112" s="72"/>
      <c r="BX112" s="72"/>
      <c r="BY112" s="72"/>
      <c r="BZ112" s="72"/>
      <c r="CA112" s="72"/>
      <c r="CB112" s="72"/>
      <c r="CC112" s="72"/>
      <c r="CD112" s="72"/>
      <c r="CE112" s="72"/>
      <c r="CF112" s="72"/>
      <c r="CG112" s="72"/>
      <c r="CH112" s="72"/>
    </row>
    <row r="113" ht="15.75" customHeight="1">
      <c r="A113" s="72"/>
      <c r="B113" s="72" t="s">
        <v>614</v>
      </c>
      <c r="C113" s="131">
        <v>3.324786364E9</v>
      </c>
      <c r="D113" s="72"/>
      <c r="E113" s="72"/>
      <c r="F113" s="72"/>
      <c r="G113" s="131">
        <v>16.0</v>
      </c>
      <c r="H113" s="132" t="s">
        <v>616</v>
      </c>
      <c r="I113" s="72"/>
      <c r="J113" s="72"/>
      <c r="K113" s="72"/>
      <c r="L113" s="72"/>
      <c r="M113" s="72"/>
      <c r="N113" s="72"/>
      <c r="O113" s="72"/>
      <c r="P113" s="72" t="s">
        <v>196</v>
      </c>
      <c r="Q113" s="72" t="s">
        <v>223</v>
      </c>
      <c r="R113" s="72"/>
      <c r="S113" s="72"/>
      <c r="T113" s="72"/>
      <c r="U113" s="72"/>
      <c r="V113" s="132" t="s">
        <v>223</v>
      </c>
      <c r="W113" s="72"/>
      <c r="X113" s="72"/>
      <c r="Y113" s="72"/>
      <c r="Z113" s="72"/>
      <c r="AA113" s="132" t="s">
        <v>290</v>
      </c>
      <c r="AB113" s="132" t="s">
        <v>37</v>
      </c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  <c r="AQ113" s="72"/>
      <c r="AR113" s="72"/>
      <c r="AS113" s="72"/>
      <c r="AT113" s="72"/>
      <c r="AU113" s="72"/>
      <c r="AV113" s="72"/>
      <c r="AW113" s="72"/>
      <c r="AX113" s="72"/>
      <c r="AY113" s="72"/>
      <c r="AZ113" s="72"/>
      <c r="BA113" s="72"/>
      <c r="BB113" s="72"/>
      <c r="BC113" s="72"/>
      <c r="BD113" s="72"/>
      <c r="BE113" s="72"/>
      <c r="BF113" s="72"/>
      <c r="BG113" s="72"/>
      <c r="BH113" s="72"/>
      <c r="BI113" s="72"/>
      <c r="BJ113" s="72"/>
      <c r="BK113" s="72"/>
      <c r="BL113" s="72"/>
      <c r="BM113" s="72"/>
      <c r="BN113" s="72"/>
      <c r="BO113" s="72"/>
      <c r="BP113" s="72"/>
      <c r="BQ113" s="72"/>
      <c r="BR113" s="72"/>
      <c r="BS113" s="72"/>
      <c r="BT113" s="72"/>
      <c r="BU113" s="72"/>
      <c r="BV113" s="72"/>
      <c r="BW113" s="72"/>
      <c r="BX113" s="72"/>
      <c r="BY113" s="72"/>
      <c r="BZ113" s="72"/>
      <c r="CA113" s="72"/>
      <c r="CB113" s="72"/>
      <c r="CC113" s="72"/>
      <c r="CD113" s="72"/>
      <c r="CE113" s="72"/>
      <c r="CF113" s="72"/>
      <c r="CG113" s="72"/>
      <c r="CH113" s="72"/>
    </row>
    <row r="114" ht="15.75" customHeight="1">
      <c r="A114" s="72"/>
      <c r="B114" s="72" t="s">
        <v>360</v>
      </c>
      <c r="C114" s="131">
        <v>3.1718522E9</v>
      </c>
      <c r="D114" s="72"/>
      <c r="E114" s="72"/>
      <c r="F114" s="72"/>
      <c r="G114" s="131">
        <v>14.0</v>
      </c>
      <c r="H114" s="72" t="s">
        <v>618</v>
      </c>
      <c r="I114" s="72"/>
      <c r="J114" s="72"/>
      <c r="K114" s="72"/>
      <c r="L114" s="72"/>
      <c r="M114" s="72"/>
      <c r="N114" s="72"/>
      <c r="O114" s="72"/>
      <c r="P114" s="72" t="s">
        <v>196</v>
      </c>
      <c r="Q114" s="72" t="s">
        <v>223</v>
      </c>
      <c r="R114" s="72"/>
      <c r="S114" s="72"/>
      <c r="T114" s="72"/>
      <c r="U114" s="72"/>
      <c r="V114" s="132" t="s">
        <v>196</v>
      </c>
      <c r="W114" s="72"/>
      <c r="X114" s="72"/>
      <c r="Y114" s="132" t="s">
        <v>290</v>
      </c>
      <c r="Z114" s="132" t="s">
        <v>196</v>
      </c>
      <c r="AA114" s="132" t="s">
        <v>290</v>
      </c>
      <c r="AB114" s="132" t="s">
        <v>37</v>
      </c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  <c r="AQ114" s="72"/>
      <c r="AR114" s="72"/>
      <c r="AS114" s="72"/>
      <c r="AT114" s="72"/>
      <c r="AU114" s="72"/>
      <c r="AV114" s="72"/>
      <c r="AW114" s="72"/>
      <c r="AX114" s="72"/>
      <c r="AY114" s="72"/>
      <c r="AZ114" s="72"/>
      <c r="BA114" s="72"/>
      <c r="BB114" s="72"/>
      <c r="BC114" s="72"/>
      <c r="BD114" s="72"/>
      <c r="BE114" s="72"/>
      <c r="BF114" s="72"/>
      <c r="BG114" s="72"/>
      <c r="BH114" s="72"/>
      <c r="BI114" s="72"/>
      <c r="BJ114" s="72"/>
      <c r="BK114" s="72"/>
      <c r="BL114" s="72"/>
      <c r="BM114" s="72"/>
      <c r="BN114" s="72"/>
      <c r="BO114" s="72"/>
      <c r="BP114" s="72"/>
      <c r="BQ114" s="72"/>
      <c r="BR114" s="72"/>
      <c r="BS114" s="72"/>
      <c r="BT114" s="72"/>
      <c r="BU114" s="72"/>
      <c r="BV114" s="72"/>
      <c r="BW114" s="72"/>
      <c r="BX114" s="72"/>
      <c r="BY114" s="72"/>
      <c r="BZ114" s="72"/>
      <c r="CA114" s="72"/>
      <c r="CB114" s="72"/>
      <c r="CC114" s="72"/>
      <c r="CD114" s="72"/>
      <c r="CE114" s="72"/>
      <c r="CF114" s="72"/>
      <c r="CG114" s="72"/>
      <c r="CH114" s="72"/>
    </row>
    <row r="115" ht="15.75" customHeight="1">
      <c r="A115" s="72"/>
      <c r="B115" s="72"/>
      <c r="C115" s="131">
        <v>3.234741461E9</v>
      </c>
      <c r="D115" s="72"/>
      <c r="E115" s="72"/>
      <c r="F115" s="72"/>
      <c r="G115" s="131">
        <v>14.0</v>
      </c>
      <c r="H115" s="72" t="s">
        <v>618</v>
      </c>
      <c r="I115" s="72"/>
      <c r="J115" s="72"/>
      <c r="K115" s="72"/>
      <c r="L115" s="72"/>
      <c r="M115" s="72"/>
      <c r="N115" s="72"/>
      <c r="O115" s="72"/>
      <c r="P115" s="72" t="s">
        <v>196</v>
      </c>
      <c r="Q115" s="72" t="s">
        <v>223</v>
      </c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  <c r="AQ115" s="72"/>
      <c r="AR115" s="72"/>
      <c r="AS115" s="72"/>
      <c r="AT115" s="72"/>
      <c r="AU115" s="72"/>
      <c r="AV115" s="72"/>
      <c r="AW115" s="72"/>
      <c r="AX115" s="72"/>
      <c r="AY115" s="72"/>
      <c r="AZ115" s="72"/>
      <c r="BA115" s="72"/>
      <c r="BB115" s="72"/>
      <c r="BC115" s="72"/>
      <c r="BD115" s="72"/>
      <c r="BE115" s="72"/>
      <c r="BF115" s="72"/>
      <c r="BG115" s="72"/>
      <c r="BH115" s="72"/>
      <c r="BI115" s="72"/>
      <c r="BJ115" s="72"/>
      <c r="BK115" s="72"/>
      <c r="BL115" s="72"/>
      <c r="BM115" s="72"/>
      <c r="BN115" s="72"/>
      <c r="BO115" s="72"/>
      <c r="BP115" s="72"/>
      <c r="BQ115" s="72"/>
      <c r="BR115" s="72"/>
      <c r="BS115" s="72"/>
      <c r="BT115" s="72"/>
      <c r="BU115" s="72"/>
      <c r="BV115" s="72"/>
      <c r="BW115" s="72"/>
      <c r="BX115" s="72"/>
      <c r="BY115" s="72"/>
      <c r="BZ115" s="72"/>
      <c r="CA115" s="72"/>
      <c r="CB115" s="72"/>
      <c r="CC115" s="72"/>
      <c r="CD115" s="72"/>
      <c r="CE115" s="72"/>
      <c r="CF115" s="72"/>
      <c r="CG115" s="72"/>
      <c r="CH115" s="72"/>
    </row>
    <row r="116" ht="15.75" customHeight="1">
      <c r="A116" s="72"/>
      <c r="B116" s="72"/>
      <c r="C116" s="131">
        <v>3.214936217E9</v>
      </c>
      <c r="D116" s="72"/>
      <c r="E116" s="72"/>
      <c r="F116" s="72"/>
      <c r="G116" s="131">
        <v>13.0</v>
      </c>
      <c r="H116" s="72" t="s">
        <v>618</v>
      </c>
      <c r="I116" s="72"/>
      <c r="J116" s="72"/>
      <c r="K116" s="72"/>
      <c r="L116" s="72"/>
      <c r="M116" s="72"/>
      <c r="N116" s="72"/>
      <c r="O116" s="72"/>
      <c r="P116" s="72" t="s">
        <v>196</v>
      </c>
      <c r="Q116" s="72" t="s">
        <v>223</v>
      </c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  <c r="AT116" s="72"/>
      <c r="AU116" s="72"/>
      <c r="AV116" s="72"/>
      <c r="AW116" s="72"/>
      <c r="AX116" s="72"/>
      <c r="AY116" s="72"/>
      <c r="AZ116" s="72"/>
      <c r="BA116" s="72"/>
      <c r="BB116" s="72"/>
      <c r="BC116" s="72"/>
      <c r="BD116" s="72"/>
      <c r="BE116" s="72"/>
      <c r="BF116" s="72"/>
      <c r="BG116" s="72"/>
      <c r="BH116" s="72"/>
      <c r="BI116" s="72"/>
      <c r="BJ116" s="72"/>
      <c r="BK116" s="72"/>
      <c r="BL116" s="72"/>
      <c r="BM116" s="72"/>
      <c r="BN116" s="72"/>
      <c r="BO116" s="72"/>
      <c r="BP116" s="72"/>
      <c r="BQ116" s="72"/>
      <c r="BR116" s="72"/>
      <c r="BS116" s="72"/>
      <c r="BT116" s="72"/>
      <c r="BU116" s="72"/>
      <c r="BV116" s="72"/>
      <c r="BW116" s="72"/>
      <c r="BX116" s="72"/>
      <c r="BY116" s="72"/>
      <c r="BZ116" s="72"/>
      <c r="CA116" s="72"/>
      <c r="CB116" s="72"/>
      <c r="CC116" s="72"/>
      <c r="CD116" s="72"/>
      <c r="CE116" s="72"/>
      <c r="CF116" s="72"/>
      <c r="CG116" s="72"/>
      <c r="CH116" s="72"/>
    </row>
    <row r="117" ht="15.75" customHeight="1">
      <c r="A117" s="72"/>
      <c r="B117" s="72"/>
      <c r="C117" s="131">
        <v>3.214524882E9</v>
      </c>
      <c r="D117" s="72"/>
      <c r="E117" s="72"/>
      <c r="F117" s="72"/>
      <c r="G117" s="131">
        <v>13.0</v>
      </c>
      <c r="H117" s="72" t="s">
        <v>618</v>
      </c>
      <c r="I117" s="72"/>
      <c r="J117" s="72"/>
      <c r="K117" s="72"/>
      <c r="L117" s="72"/>
      <c r="M117" s="72"/>
      <c r="N117" s="72"/>
      <c r="O117" s="72"/>
      <c r="P117" s="72" t="s">
        <v>196</v>
      </c>
      <c r="Q117" s="72" t="s">
        <v>223</v>
      </c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  <c r="AT117" s="72"/>
      <c r="AU117" s="72"/>
      <c r="AV117" s="72"/>
      <c r="AW117" s="72"/>
      <c r="AX117" s="72"/>
      <c r="AY117" s="72"/>
      <c r="AZ117" s="72"/>
      <c r="BA117" s="72"/>
      <c r="BB117" s="72"/>
      <c r="BC117" s="72"/>
      <c r="BD117" s="72"/>
      <c r="BE117" s="72"/>
      <c r="BF117" s="72"/>
      <c r="BG117" s="72"/>
      <c r="BH117" s="72"/>
      <c r="BI117" s="72"/>
      <c r="BJ117" s="72"/>
      <c r="BK117" s="72"/>
      <c r="BL117" s="72"/>
      <c r="BM117" s="72"/>
      <c r="BN117" s="72"/>
      <c r="BO117" s="72"/>
      <c r="BP117" s="72"/>
      <c r="BQ117" s="72"/>
      <c r="BR117" s="72"/>
      <c r="BS117" s="72"/>
      <c r="BT117" s="72"/>
      <c r="BU117" s="72"/>
      <c r="BV117" s="72"/>
      <c r="BW117" s="72"/>
      <c r="BX117" s="72"/>
      <c r="BY117" s="72"/>
      <c r="BZ117" s="72"/>
      <c r="CA117" s="72"/>
      <c r="CB117" s="72"/>
      <c r="CC117" s="72"/>
      <c r="CD117" s="72"/>
      <c r="CE117" s="72"/>
      <c r="CF117" s="72"/>
      <c r="CG117" s="72"/>
      <c r="CH117" s="72"/>
    </row>
    <row r="118" ht="15.75" customHeight="1">
      <c r="A118" s="72"/>
      <c r="B118" s="72"/>
      <c r="C118" s="131">
        <v>3.214524882E9</v>
      </c>
      <c r="D118" s="72"/>
      <c r="E118" s="72"/>
      <c r="F118" s="72"/>
      <c r="G118" s="131">
        <v>11.0</v>
      </c>
      <c r="H118" s="72" t="s">
        <v>618</v>
      </c>
      <c r="I118" s="72"/>
      <c r="J118" s="72"/>
      <c r="K118" s="72"/>
      <c r="L118" s="72"/>
      <c r="M118" s="72"/>
      <c r="N118" s="72"/>
      <c r="O118" s="72"/>
      <c r="P118" s="72" t="s">
        <v>196</v>
      </c>
      <c r="Q118" s="72" t="s">
        <v>223</v>
      </c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  <c r="AT118" s="72"/>
      <c r="AU118" s="72"/>
      <c r="AV118" s="72"/>
      <c r="AW118" s="72"/>
      <c r="AX118" s="72"/>
      <c r="AY118" s="72"/>
      <c r="AZ118" s="72"/>
      <c r="BA118" s="72"/>
      <c r="BB118" s="72"/>
      <c r="BC118" s="72"/>
      <c r="BD118" s="72"/>
      <c r="BE118" s="72"/>
      <c r="BF118" s="72"/>
      <c r="BG118" s="72"/>
      <c r="BH118" s="72"/>
      <c r="BI118" s="72"/>
      <c r="BJ118" s="72"/>
      <c r="BK118" s="72"/>
      <c r="BL118" s="72"/>
      <c r="BM118" s="72"/>
      <c r="BN118" s="72"/>
      <c r="BO118" s="72"/>
      <c r="BP118" s="72"/>
      <c r="BQ118" s="72"/>
      <c r="BR118" s="72"/>
      <c r="BS118" s="72"/>
      <c r="BT118" s="72"/>
      <c r="BU118" s="72"/>
      <c r="BV118" s="72"/>
      <c r="BW118" s="72"/>
      <c r="BX118" s="72"/>
      <c r="BY118" s="72"/>
      <c r="BZ118" s="72"/>
      <c r="CA118" s="72"/>
      <c r="CB118" s="72"/>
      <c r="CC118" s="72"/>
      <c r="CD118" s="72"/>
      <c r="CE118" s="72"/>
      <c r="CF118" s="72"/>
      <c r="CG118" s="72"/>
      <c r="CH118" s="72"/>
    </row>
    <row r="119" ht="15.75" customHeight="1">
      <c r="A119" s="72"/>
      <c r="B119" s="72"/>
      <c r="C119" s="131">
        <v>3.206897878E9</v>
      </c>
      <c r="D119" s="72"/>
      <c r="E119" s="72"/>
      <c r="F119" s="72"/>
      <c r="G119" s="131">
        <v>14.0</v>
      </c>
      <c r="H119" s="72" t="s">
        <v>618</v>
      </c>
      <c r="I119" s="72"/>
      <c r="J119" s="72"/>
      <c r="K119" s="72"/>
      <c r="L119" s="72"/>
      <c r="M119" s="72"/>
      <c r="N119" s="72"/>
      <c r="O119" s="72"/>
      <c r="P119" s="72" t="s">
        <v>196</v>
      </c>
      <c r="Q119" s="72" t="s">
        <v>223</v>
      </c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  <c r="AT119" s="72"/>
      <c r="AU119" s="72"/>
      <c r="AV119" s="72"/>
      <c r="AW119" s="72"/>
      <c r="AX119" s="72"/>
      <c r="AY119" s="72"/>
      <c r="AZ119" s="72"/>
      <c r="BA119" s="72"/>
      <c r="BB119" s="72"/>
      <c r="BC119" s="72"/>
      <c r="BD119" s="72"/>
      <c r="BE119" s="72"/>
      <c r="BF119" s="72"/>
      <c r="BG119" s="72"/>
      <c r="BH119" s="72"/>
      <c r="BI119" s="72"/>
      <c r="BJ119" s="72"/>
      <c r="BK119" s="72"/>
      <c r="BL119" s="72"/>
      <c r="BM119" s="72"/>
      <c r="BN119" s="72"/>
      <c r="BO119" s="72"/>
      <c r="BP119" s="72"/>
      <c r="BQ119" s="72"/>
      <c r="BR119" s="72"/>
      <c r="BS119" s="72"/>
      <c r="BT119" s="72"/>
      <c r="BU119" s="72"/>
      <c r="BV119" s="72"/>
      <c r="BW119" s="72"/>
      <c r="BX119" s="72"/>
      <c r="BY119" s="72"/>
      <c r="BZ119" s="72"/>
      <c r="CA119" s="72"/>
      <c r="CB119" s="72"/>
      <c r="CC119" s="72"/>
      <c r="CD119" s="72"/>
      <c r="CE119" s="72"/>
      <c r="CF119" s="72"/>
      <c r="CG119" s="72"/>
      <c r="CH119" s="72"/>
    </row>
    <row r="120" ht="15.75" customHeight="1">
      <c r="A120" s="72"/>
      <c r="B120" s="72" t="s">
        <v>620</v>
      </c>
      <c r="C120" s="131">
        <v>3.214936217E9</v>
      </c>
      <c r="D120" s="72"/>
      <c r="E120" s="72"/>
      <c r="F120" s="72"/>
      <c r="G120" s="131">
        <v>16.0</v>
      </c>
      <c r="H120" s="72" t="s">
        <v>611</v>
      </c>
      <c r="I120" s="72"/>
      <c r="J120" s="72"/>
      <c r="K120" s="72"/>
      <c r="L120" s="72"/>
      <c r="M120" s="72"/>
      <c r="N120" s="72"/>
      <c r="O120" s="72"/>
      <c r="P120" s="72" t="s">
        <v>196</v>
      </c>
      <c r="Q120" s="72" t="s">
        <v>223</v>
      </c>
      <c r="R120" s="132" t="s">
        <v>223</v>
      </c>
      <c r="S120" s="132" t="s">
        <v>223</v>
      </c>
      <c r="T120" s="132" t="s">
        <v>223</v>
      </c>
      <c r="U120" s="132" t="s">
        <v>223</v>
      </c>
      <c r="V120" s="132" t="s">
        <v>223</v>
      </c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  <c r="AT120" s="72"/>
      <c r="AU120" s="72"/>
      <c r="AV120" s="72"/>
      <c r="AW120" s="72"/>
      <c r="AX120" s="72"/>
      <c r="AY120" s="72"/>
      <c r="AZ120" s="72"/>
      <c r="BA120" s="72"/>
      <c r="BB120" s="72"/>
      <c r="BC120" s="72"/>
      <c r="BD120" s="72"/>
      <c r="BE120" s="72"/>
      <c r="BF120" s="72"/>
      <c r="BG120" s="72"/>
      <c r="BH120" s="72"/>
      <c r="BI120" s="72"/>
      <c r="BJ120" s="72"/>
      <c r="BK120" s="72"/>
      <c r="BL120" s="72"/>
      <c r="BM120" s="72"/>
      <c r="BN120" s="72"/>
      <c r="BO120" s="72"/>
      <c r="BP120" s="72"/>
      <c r="BQ120" s="72"/>
      <c r="BR120" s="72"/>
      <c r="BS120" s="72"/>
      <c r="BT120" s="72"/>
      <c r="BU120" s="72"/>
      <c r="BV120" s="72"/>
      <c r="BW120" s="72"/>
      <c r="BX120" s="72"/>
      <c r="BY120" s="72"/>
      <c r="BZ120" s="72"/>
      <c r="CA120" s="72"/>
      <c r="CB120" s="72"/>
      <c r="CC120" s="72"/>
      <c r="CD120" s="72"/>
      <c r="CE120" s="72"/>
      <c r="CF120" s="72"/>
      <c r="CG120" s="72"/>
      <c r="CH120" s="72"/>
    </row>
    <row r="121" ht="15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  <c r="AT121" s="72"/>
      <c r="AU121" s="72"/>
      <c r="AV121" s="72"/>
      <c r="AW121" s="72"/>
      <c r="AX121" s="72"/>
      <c r="AY121" s="72"/>
      <c r="AZ121" s="72"/>
      <c r="BA121" s="72"/>
      <c r="BB121" s="72"/>
      <c r="BC121" s="72"/>
      <c r="BD121" s="72"/>
      <c r="BE121" s="72"/>
      <c r="BF121" s="72"/>
      <c r="BG121" s="72"/>
      <c r="BH121" s="72"/>
      <c r="BI121" s="72"/>
      <c r="BJ121" s="72"/>
      <c r="BK121" s="72"/>
      <c r="BL121" s="72"/>
      <c r="BM121" s="72"/>
      <c r="BN121" s="72"/>
      <c r="BO121" s="72"/>
      <c r="BP121" s="72"/>
      <c r="BQ121" s="72"/>
      <c r="BR121" s="72"/>
      <c r="BS121" s="72"/>
      <c r="BT121" s="72"/>
      <c r="BU121" s="72"/>
      <c r="BV121" s="72"/>
      <c r="BW121" s="72"/>
      <c r="BX121" s="72"/>
      <c r="BY121" s="72"/>
      <c r="BZ121" s="72"/>
      <c r="CA121" s="72"/>
      <c r="CB121" s="72"/>
      <c r="CC121" s="72"/>
      <c r="CD121" s="72"/>
      <c r="CE121" s="72"/>
      <c r="CF121" s="72"/>
      <c r="CG121" s="72"/>
      <c r="CH121" s="72"/>
    </row>
    <row r="122" ht="15.75" customHeight="1">
      <c r="A122" s="72"/>
      <c r="B122" s="72" t="s">
        <v>625</v>
      </c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  <c r="AT122" s="72"/>
      <c r="AU122" s="72"/>
      <c r="AV122" s="72"/>
      <c r="AW122" s="72"/>
      <c r="AX122" s="72"/>
      <c r="AY122" s="72"/>
      <c r="AZ122" s="72"/>
      <c r="BA122" s="72"/>
      <c r="BB122" s="72"/>
      <c r="BC122" s="72"/>
      <c r="BD122" s="72"/>
      <c r="BE122" s="72"/>
      <c r="BF122" s="72"/>
      <c r="BG122" s="72"/>
      <c r="BH122" s="72"/>
      <c r="BI122" s="72"/>
      <c r="BJ122" s="72"/>
      <c r="BK122" s="72"/>
      <c r="BL122" s="72"/>
      <c r="BM122" s="72"/>
      <c r="BN122" s="72"/>
      <c r="BO122" s="72"/>
      <c r="BP122" s="72"/>
      <c r="BQ122" s="72"/>
      <c r="BR122" s="72"/>
      <c r="BS122" s="72"/>
      <c r="BT122" s="72"/>
      <c r="BU122" s="72"/>
      <c r="BV122" s="72"/>
      <c r="BW122" s="72"/>
      <c r="BX122" s="72"/>
      <c r="BY122" s="72"/>
      <c r="BZ122" s="72"/>
      <c r="CA122" s="72"/>
      <c r="CB122" s="72"/>
      <c r="CC122" s="72"/>
      <c r="CD122" s="72"/>
      <c r="CE122" s="72"/>
      <c r="CF122" s="72"/>
      <c r="CG122" s="72"/>
      <c r="CH122" s="72"/>
    </row>
    <row r="123" ht="15.75" customHeight="1">
      <c r="A123" s="72"/>
      <c r="B123" s="72" t="s">
        <v>626</v>
      </c>
      <c r="C123" s="72"/>
      <c r="D123" s="72"/>
      <c r="E123" s="72"/>
      <c r="F123" s="72"/>
      <c r="G123" s="72"/>
      <c r="H123" s="72" t="s">
        <v>611</v>
      </c>
      <c r="I123" s="72"/>
      <c r="J123" s="72"/>
      <c r="K123" s="72"/>
      <c r="L123" s="72"/>
      <c r="M123" s="72"/>
      <c r="N123" s="72"/>
      <c r="O123" s="72"/>
      <c r="P123" s="72"/>
      <c r="Q123" s="72" t="s">
        <v>196</v>
      </c>
      <c r="R123" s="72"/>
      <c r="S123" s="132" t="s">
        <v>37</v>
      </c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  <c r="AT123" s="72"/>
      <c r="AU123" s="72"/>
      <c r="AV123" s="72"/>
      <c r="AW123" s="72"/>
      <c r="AX123" s="72"/>
      <c r="AY123" s="72"/>
      <c r="AZ123" s="72"/>
      <c r="BA123" s="72"/>
      <c r="BB123" s="72"/>
      <c r="BC123" s="72"/>
      <c r="BD123" s="72"/>
      <c r="BE123" s="72"/>
      <c r="BF123" s="72"/>
      <c r="BG123" s="72"/>
      <c r="BH123" s="72"/>
      <c r="BI123" s="72"/>
      <c r="BJ123" s="72"/>
      <c r="BK123" s="72"/>
      <c r="BL123" s="72"/>
      <c r="BM123" s="72"/>
      <c r="BN123" s="72"/>
      <c r="BO123" s="72"/>
      <c r="BP123" s="72"/>
      <c r="BQ123" s="72"/>
      <c r="BR123" s="72"/>
      <c r="BS123" s="72"/>
      <c r="BT123" s="72"/>
      <c r="BU123" s="72"/>
      <c r="BV123" s="72"/>
      <c r="BW123" s="72"/>
      <c r="BX123" s="72"/>
      <c r="BY123" s="72"/>
      <c r="BZ123" s="72"/>
      <c r="CA123" s="72"/>
      <c r="CB123" s="72"/>
      <c r="CC123" s="72"/>
      <c r="CD123" s="72"/>
      <c r="CE123" s="72"/>
      <c r="CF123" s="72"/>
      <c r="CG123" s="72"/>
      <c r="CH123" s="72"/>
    </row>
    <row r="124" ht="15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  <c r="AT124" s="72"/>
      <c r="AU124" s="72"/>
      <c r="AV124" s="72"/>
      <c r="AW124" s="72"/>
      <c r="AX124" s="72"/>
      <c r="AY124" s="72"/>
      <c r="AZ124" s="72"/>
      <c r="BA124" s="72"/>
      <c r="BB124" s="72"/>
      <c r="BC124" s="72"/>
      <c r="BD124" s="72"/>
      <c r="BE124" s="72"/>
      <c r="BF124" s="72"/>
      <c r="BG124" s="72"/>
      <c r="BH124" s="72"/>
      <c r="BI124" s="72"/>
      <c r="BJ124" s="72"/>
      <c r="BK124" s="72"/>
      <c r="BL124" s="72"/>
      <c r="BM124" s="72"/>
      <c r="BN124" s="72"/>
      <c r="BO124" s="72"/>
      <c r="BP124" s="72"/>
      <c r="BQ124" s="72"/>
      <c r="BR124" s="72"/>
      <c r="BS124" s="72"/>
      <c r="BT124" s="72"/>
      <c r="BU124" s="72"/>
      <c r="BV124" s="72"/>
      <c r="BW124" s="72"/>
      <c r="BX124" s="72"/>
      <c r="BY124" s="72"/>
      <c r="BZ124" s="72"/>
      <c r="CA124" s="72"/>
      <c r="CB124" s="72"/>
      <c r="CC124" s="72"/>
      <c r="CD124" s="72"/>
      <c r="CE124" s="72"/>
      <c r="CF124" s="72"/>
      <c r="CG124" s="72"/>
      <c r="CH124" s="72"/>
    </row>
    <row r="125" ht="15.75" customHeight="1">
      <c r="A125" s="72"/>
      <c r="B125" s="13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  <c r="AT125" s="72"/>
      <c r="AU125" s="72"/>
      <c r="AV125" s="72"/>
      <c r="AW125" s="72"/>
      <c r="AX125" s="72"/>
      <c r="AY125" s="72"/>
      <c r="AZ125" s="72"/>
      <c r="BA125" s="72"/>
      <c r="BB125" s="72"/>
      <c r="BC125" s="72"/>
      <c r="BD125" s="72"/>
      <c r="BE125" s="72"/>
      <c r="BF125" s="72"/>
      <c r="BG125" s="72"/>
      <c r="BH125" s="72"/>
      <c r="BI125" s="72"/>
      <c r="BJ125" s="72"/>
      <c r="BK125" s="72"/>
      <c r="BL125" s="72"/>
      <c r="BM125" s="72"/>
      <c r="BN125" s="72"/>
      <c r="BO125" s="72"/>
      <c r="BP125" s="72"/>
      <c r="BQ125" s="72"/>
      <c r="BR125" s="72"/>
      <c r="BS125" s="72"/>
      <c r="BT125" s="72"/>
      <c r="BU125" s="72"/>
      <c r="BV125" s="72"/>
      <c r="BW125" s="72"/>
      <c r="BX125" s="72"/>
      <c r="BY125" s="72"/>
      <c r="BZ125" s="72"/>
      <c r="CA125" s="72"/>
      <c r="CB125" s="72"/>
      <c r="CC125" s="72"/>
      <c r="CD125" s="72"/>
      <c r="CE125" s="72"/>
      <c r="CF125" s="72"/>
      <c r="CG125" s="72"/>
      <c r="CH125" s="72"/>
    </row>
    <row r="126" ht="15.75" customHeight="1">
      <c r="A126" s="72"/>
      <c r="B126" s="132"/>
      <c r="C126" s="132"/>
      <c r="D126" s="72"/>
      <c r="E126" s="72"/>
      <c r="F126" s="72"/>
      <c r="G126" s="132"/>
      <c r="H126" s="13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132" t="s">
        <v>196</v>
      </c>
      <c r="V126" s="132" t="s">
        <v>37</v>
      </c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  <c r="AT126" s="72"/>
      <c r="AU126" s="72"/>
      <c r="AV126" s="72"/>
      <c r="AW126" s="72"/>
      <c r="AX126" s="72"/>
      <c r="AY126" s="72"/>
      <c r="AZ126" s="72"/>
      <c r="BA126" s="72"/>
      <c r="BB126" s="72"/>
      <c r="BC126" s="72"/>
      <c r="BD126" s="72"/>
      <c r="BE126" s="72"/>
      <c r="BF126" s="72"/>
      <c r="BG126" s="72"/>
      <c r="BH126" s="72"/>
      <c r="BI126" s="72"/>
      <c r="BJ126" s="72"/>
      <c r="BK126" s="72"/>
      <c r="BL126" s="72"/>
      <c r="BM126" s="72"/>
      <c r="BN126" s="72"/>
      <c r="BO126" s="72"/>
      <c r="BP126" s="72"/>
      <c r="BQ126" s="72"/>
      <c r="BR126" s="72"/>
      <c r="BS126" s="72"/>
      <c r="BT126" s="72"/>
      <c r="BU126" s="72"/>
      <c r="BV126" s="72"/>
      <c r="BW126" s="72"/>
      <c r="BX126" s="72"/>
      <c r="BY126" s="72"/>
      <c r="BZ126" s="72"/>
      <c r="CA126" s="72"/>
      <c r="CB126" s="72"/>
      <c r="CC126" s="72"/>
      <c r="CD126" s="72"/>
      <c r="CE126" s="72"/>
      <c r="CF126" s="72"/>
      <c r="CG126" s="72"/>
      <c r="CH126" s="72"/>
    </row>
    <row r="127" ht="15.75" customHeight="1">
      <c r="A127" s="72"/>
      <c r="B127" s="132"/>
      <c r="C127" s="72"/>
      <c r="D127" s="72"/>
      <c r="E127" s="72"/>
      <c r="F127" s="72"/>
      <c r="G127" s="132"/>
      <c r="H127" s="13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132" t="s">
        <v>196</v>
      </c>
      <c r="V127" s="132" t="s">
        <v>37</v>
      </c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  <c r="AT127" s="72"/>
      <c r="AU127" s="72"/>
      <c r="AV127" s="72"/>
      <c r="AW127" s="72"/>
      <c r="AX127" s="72"/>
      <c r="AY127" s="72"/>
      <c r="AZ127" s="72"/>
      <c r="BA127" s="72"/>
      <c r="BB127" s="72"/>
      <c r="BC127" s="72"/>
      <c r="BD127" s="72"/>
      <c r="BE127" s="72"/>
      <c r="BF127" s="72"/>
      <c r="BG127" s="72"/>
      <c r="BH127" s="72"/>
      <c r="BI127" s="72"/>
      <c r="BJ127" s="72"/>
      <c r="BK127" s="72"/>
      <c r="BL127" s="72"/>
      <c r="BM127" s="72"/>
      <c r="BN127" s="72"/>
      <c r="BO127" s="72"/>
      <c r="BP127" s="72"/>
      <c r="BQ127" s="72"/>
      <c r="BR127" s="72"/>
      <c r="BS127" s="72"/>
      <c r="BT127" s="72"/>
      <c r="BU127" s="72"/>
      <c r="BV127" s="72"/>
      <c r="BW127" s="72"/>
      <c r="BX127" s="72"/>
      <c r="BY127" s="72"/>
      <c r="BZ127" s="72"/>
      <c r="CA127" s="72"/>
      <c r="CB127" s="72"/>
      <c r="CC127" s="72"/>
      <c r="CD127" s="72"/>
      <c r="CE127" s="72"/>
      <c r="CF127" s="72"/>
      <c r="CG127" s="72"/>
      <c r="CH127" s="72"/>
    </row>
    <row r="128" ht="15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  <c r="AT128" s="72"/>
      <c r="AU128" s="72"/>
      <c r="AV128" s="72"/>
      <c r="AW128" s="72"/>
      <c r="AX128" s="72"/>
      <c r="AY128" s="72"/>
      <c r="AZ128" s="72"/>
      <c r="BA128" s="72"/>
      <c r="BB128" s="72"/>
      <c r="BC128" s="72"/>
      <c r="BD128" s="72"/>
      <c r="BE128" s="72"/>
      <c r="BF128" s="72"/>
      <c r="BG128" s="72"/>
      <c r="BH128" s="72"/>
      <c r="BI128" s="72"/>
      <c r="BJ128" s="72"/>
      <c r="BK128" s="72"/>
      <c r="BL128" s="72"/>
      <c r="BM128" s="72"/>
      <c r="BN128" s="72"/>
      <c r="BO128" s="72"/>
      <c r="BP128" s="72"/>
      <c r="BQ128" s="72"/>
      <c r="BR128" s="72"/>
      <c r="BS128" s="72"/>
      <c r="BT128" s="72"/>
      <c r="BU128" s="72"/>
      <c r="BV128" s="72"/>
      <c r="BW128" s="72"/>
      <c r="BX128" s="72"/>
      <c r="BY128" s="72"/>
      <c r="BZ128" s="72"/>
      <c r="CA128" s="72"/>
      <c r="CB128" s="72"/>
      <c r="CC128" s="72"/>
      <c r="CD128" s="72"/>
      <c r="CE128" s="72"/>
      <c r="CF128" s="72"/>
      <c r="CG128" s="72"/>
      <c r="CH128" s="72"/>
    </row>
    <row r="129" ht="15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  <c r="AT129" s="72"/>
      <c r="AU129" s="72"/>
      <c r="AV129" s="72"/>
      <c r="AW129" s="72"/>
      <c r="AX129" s="72"/>
      <c r="AY129" s="72"/>
      <c r="AZ129" s="72"/>
      <c r="BA129" s="72"/>
      <c r="BB129" s="72"/>
      <c r="BC129" s="72"/>
      <c r="BD129" s="72"/>
      <c r="BE129" s="72"/>
      <c r="BF129" s="72"/>
      <c r="BG129" s="72"/>
      <c r="BH129" s="72"/>
      <c r="BI129" s="72"/>
      <c r="BJ129" s="72"/>
      <c r="BK129" s="72"/>
      <c r="BL129" s="72"/>
      <c r="BM129" s="72"/>
      <c r="BN129" s="72"/>
      <c r="BO129" s="72"/>
      <c r="BP129" s="72"/>
      <c r="BQ129" s="72"/>
      <c r="BR129" s="72"/>
      <c r="BS129" s="72"/>
      <c r="BT129" s="72"/>
      <c r="BU129" s="72"/>
      <c r="BV129" s="72"/>
      <c r="BW129" s="72"/>
      <c r="BX129" s="72"/>
      <c r="BY129" s="72"/>
      <c r="BZ129" s="72"/>
      <c r="CA129" s="72"/>
      <c r="CB129" s="72"/>
      <c r="CC129" s="72"/>
      <c r="CD129" s="72"/>
      <c r="CE129" s="72"/>
      <c r="CF129" s="72"/>
      <c r="CG129" s="72"/>
      <c r="CH129" s="72"/>
    </row>
    <row r="130" ht="15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  <c r="AT130" s="72"/>
      <c r="AU130" s="72"/>
      <c r="AV130" s="72"/>
      <c r="AW130" s="72"/>
      <c r="AX130" s="72"/>
      <c r="AY130" s="72"/>
      <c r="AZ130" s="72"/>
      <c r="BA130" s="72"/>
      <c r="BB130" s="72"/>
      <c r="BC130" s="72"/>
      <c r="BD130" s="72"/>
      <c r="BE130" s="72"/>
      <c r="BF130" s="72"/>
      <c r="BG130" s="72"/>
      <c r="BH130" s="72"/>
      <c r="BI130" s="72"/>
      <c r="BJ130" s="72"/>
      <c r="BK130" s="72"/>
      <c r="BL130" s="72"/>
      <c r="BM130" s="72"/>
      <c r="BN130" s="72"/>
      <c r="BO130" s="72"/>
      <c r="BP130" s="72"/>
      <c r="BQ130" s="72"/>
      <c r="BR130" s="72"/>
      <c r="BS130" s="72"/>
      <c r="BT130" s="72"/>
      <c r="BU130" s="72"/>
      <c r="BV130" s="72"/>
      <c r="BW130" s="72"/>
      <c r="BX130" s="72"/>
      <c r="BY130" s="72"/>
      <c r="BZ130" s="72"/>
      <c r="CA130" s="72"/>
      <c r="CB130" s="72"/>
      <c r="CC130" s="72"/>
      <c r="CD130" s="72"/>
      <c r="CE130" s="72"/>
      <c r="CF130" s="72"/>
      <c r="CG130" s="72"/>
      <c r="CH130" s="72"/>
    </row>
    <row r="131" ht="15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  <c r="AT131" s="72"/>
      <c r="AU131" s="72"/>
      <c r="AV131" s="72"/>
      <c r="AW131" s="72"/>
      <c r="AX131" s="72"/>
      <c r="AY131" s="72"/>
      <c r="AZ131" s="72"/>
      <c r="BA131" s="72"/>
      <c r="BB131" s="72"/>
      <c r="BC131" s="72"/>
      <c r="BD131" s="72"/>
      <c r="BE131" s="72"/>
      <c r="BF131" s="72"/>
      <c r="BG131" s="72"/>
      <c r="BH131" s="72"/>
      <c r="BI131" s="72"/>
      <c r="BJ131" s="72"/>
      <c r="BK131" s="72"/>
      <c r="BL131" s="72"/>
      <c r="BM131" s="72"/>
      <c r="BN131" s="72"/>
      <c r="BO131" s="72"/>
      <c r="BP131" s="72"/>
      <c r="BQ131" s="72"/>
      <c r="BR131" s="72"/>
      <c r="BS131" s="72"/>
      <c r="BT131" s="72"/>
      <c r="BU131" s="72"/>
      <c r="BV131" s="72"/>
      <c r="BW131" s="72"/>
      <c r="BX131" s="72"/>
      <c r="BY131" s="72"/>
      <c r="BZ131" s="72"/>
      <c r="CA131" s="72"/>
      <c r="CB131" s="72"/>
      <c r="CC131" s="72"/>
      <c r="CD131" s="72"/>
      <c r="CE131" s="72"/>
      <c r="CF131" s="72"/>
      <c r="CG131" s="72"/>
      <c r="CH131" s="72"/>
    </row>
    <row r="132" ht="15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  <c r="BS132" s="72"/>
      <c r="BT132" s="72"/>
      <c r="BU132" s="72"/>
      <c r="BV132" s="72"/>
      <c r="BW132" s="72"/>
      <c r="BX132" s="72"/>
      <c r="BY132" s="72"/>
      <c r="BZ132" s="72"/>
      <c r="CA132" s="72"/>
      <c r="CB132" s="72"/>
      <c r="CC132" s="72"/>
      <c r="CD132" s="72"/>
      <c r="CE132" s="72"/>
      <c r="CF132" s="72"/>
      <c r="CG132" s="72"/>
      <c r="CH132" s="72"/>
    </row>
    <row r="133" ht="15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72"/>
      <c r="BU133" s="72"/>
      <c r="BV133" s="72"/>
      <c r="BW133" s="72"/>
      <c r="BX133" s="72"/>
      <c r="BY133" s="72"/>
      <c r="BZ133" s="72"/>
      <c r="CA133" s="72"/>
      <c r="CB133" s="72"/>
      <c r="CC133" s="72"/>
      <c r="CD133" s="72"/>
      <c r="CE133" s="72"/>
      <c r="CF133" s="72"/>
      <c r="CG133" s="72"/>
      <c r="CH133" s="72"/>
    </row>
    <row r="134" ht="15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  <c r="AT134" s="72"/>
      <c r="AU134" s="72"/>
      <c r="AV134" s="72"/>
      <c r="AW134" s="72"/>
      <c r="AX134" s="72"/>
      <c r="AY134" s="72"/>
      <c r="AZ134" s="72"/>
      <c r="BA134" s="72"/>
      <c r="BB134" s="72"/>
      <c r="BC134" s="72"/>
      <c r="BD134" s="72"/>
      <c r="BE134" s="72"/>
      <c r="BF134" s="72"/>
      <c r="BG134" s="72"/>
      <c r="BH134" s="72"/>
      <c r="BI134" s="72"/>
      <c r="BJ134" s="72"/>
      <c r="BK134" s="72"/>
      <c r="BL134" s="72"/>
      <c r="BM134" s="72"/>
      <c r="BN134" s="72"/>
      <c r="BO134" s="72"/>
      <c r="BP134" s="72"/>
      <c r="BQ134" s="72"/>
      <c r="BR134" s="72"/>
      <c r="BS134" s="72"/>
      <c r="BT134" s="72"/>
      <c r="BU134" s="72"/>
      <c r="BV134" s="72"/>
      <c r="BW134" s="72"/>
      <c r="BX134" s="72"/>
      <c r="BY134" s="72"/>
      <c r="BZ134" s="72"/>
      <c r="CA134" s="72"/>
      <c r="CB134" s="72"/>
      <c r="CC134" s="72"/>
      <c r="CD134" s="72"/>
      <c r="CE134" s="72"/>
      <c r="CF134" s="72"/>
      <c r="CG134" s="72"/>
      <c r="CH134" s="72"/>
    </row>
    <row r="135" ht="15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  <c r="AT135" s="72"/>
      <c r="AU135" s="72"/>
      <c r="AV135" s="72"/>
      <c r="AW135" s="72"/>
      <c r="AX135" s="72"/>
      <c r="AY135" s="72"/>
      <c r="AZ135" s="72"/>
      <c r="BA135" s="72"/>
      <c r="BB135" s="72"/>
      <c r="BC135" s="72"/>
      <c r="BD135" s="72"/>
      <c r="BE135" s="72"/>
      <c r="BF135" s="72"/>
      <c r="BG135" s="72"/>
      <c r="BH135" s="72"/>
      <c r="BI135" s="72"/>
      <c r="BJ135" s="72"/>
      <c r="BK135" s="72"/>
      <c r="BL135" s="72"/>
      <c r="BM135" s="72"/>
      <c r="BN135" s="72"/>
      <c r="BO135" s="72"/>
      <c r="BP135" s="72"/>
      <c r="BQ135" s="72"/>
      <c r="BR135" s="72"/>
      <c r="BS135" s="72"/>
      <c r="BT135" s="72"/>
      <c r="BU135" s="72"/>
      <c r="BV135" s="72"/>
      <c r="BW135" s="72"/>
      <c r="BX135" s="72"/>
      <c r="BY135" s="72"/>
      <c r="BZ135" s="72"/>
      <c r="CA135" s="72"/>
      <c r="CB135" s="72"/>
      <c r="CC135" s="72"/>
      <c r="CD135" s="72"/>
      <c r="CE135" s="72"/>
      <c r="CF135" s="72"/>
      <c r="CG135" s="72"/>
      <c r="CH135" s="72"/>
    </row>
    <row r="136" ht="15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  <c r="AT136" s="72"/>
      <c r="AU136" s="72"/>
      <c r="AV136" s="72"/>
      <c r="AW136" s="72"/>
      <c r="AX136" s="72"/>
      <c r="AY136" s="72"/>
      <c r="AZ136" s="72"/>
      <c r="BA136" s="72"/>
      <c r="BB136" s="72"/>
      <c r="BC136" s="72"/>
      <c r="BD136" s="72"/>
      <c r="BE136" s="72"/>
      <c r="BF136" s="72"/>
      <c r="BG136" s="72"/>
      <c r="BH136" s="72"/>
      <c r="BI136" s="72"/>
      <c r="BJ136" s="72"/>
      <c r="BK136" s="72"/>
      <c r="BL136" s="72"/>
      <c r="BM136" s="72"/>
      <c r="BN136" s="72"/>
      <c r="BO136" s="72"/>
      <c r="BP136" s="72"/>
      <c r="BQ136" s="72"/>
      <c r="BR136" s="72"/>
      <c r="BS136" s="72"/>
      <c r="BT136" s="72"/>
      <c r="BU136" s="72"/>
      <c r="BV136" s="72"/>
      <c r="BW136" s="72"/>
      <c r="BX136" s="72"/>
      <c r="BY136" s="72"/>
      <c r="BZ136" s="72"/>
      <c r="CA136" s="72"/>
      <c r="CB136" s="72"/>
      <c r="CC136" s="72"/>
      <c r="CD136" s="72"/>
      <c r="CE136" s="72"/>
      <c r="CF136" s="72"/>
      <c r="CG136" s="72"/>
      <c r="CH136" s="72"/>
    </row>
    <row r="137" ht="15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  <c r="AT137" s="72"/>
      <c r="AU137" s="72"/>
      <c r="AV137" s="72"/>
      <c r="AW137" s="72"/>
      <c r="AX137" s="72"/>
      <c r="AY137" s="72"/>
      <c r="AZ137" s="72"/>
      <c r="BA137" s="72"/>
      <c r="BB137" s="72"/>
      <c r="BC137" s="72"/>
      <c r="BD137" s="72"/>
      <c r="BE137" s="72"/>
      <c r="BF137" s="72"/>
      <c r="BG137" s="72"/>
      <c r="BH137" s="72"/>
      <c r="BI137" s="72"/>
      <c r="BJ137" s="72"/>
      <c r="BK137" s="72"/>
      <c r="BL137" s="72"/>
      <c r="BM137" s="72"/>
      <c r="BN137" s="72"/>
      <c r="BO137" s="72"/>
      <c r="BP137" s="72"/>
      <c r="BQ137" s="72"/>
      <c r="BR137" s="72"/>
      <c r="BS137" s="72"/>
      <c r="BT137" s="72"/>
      <c r="BU137" s="72"/>
      <c r="BV137" s="72"/>
      <c r="BW137" s="72"/>
      <c r="BX137" s="72"/>
      <c r="BY137" s="72"/>
      <c r="BZ137" s="72"/>
      <c r="CA137" s="72"/>
      <c r="CB137" s="72"/>
      <c r="CC137" s="72"/>
      <c r="CD137" s="72"/>
      <c r="CE137" s="72"/>
      <c r="CF137" s="72"/>
      <c r="CG137" s="72"/>
      <c r="CH137" s="72"/>
    </row>
    <row r="138" ht="15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/>
      <c r="BN138" s="72"/>
      <c r="BO138" s="72"/>
      <c r="BP138" s="72"/>
      <c r="BQ138" s="72"/>
      <c r="BR138" s="72"/>
      <c r="BS138" s="72"/>
      <c r="BT138" s="72"/>
      <c r="BU138" s="72"/>
      <c r="BV138" s="72"/>
      <c r="BW138" s="72"/>
      <c r="BX138" s="72"/>
      <c r="BY138" s="72"/>
      <c r="BZ138" s="72"/>
      <c r="CA138" s="72"/>
      <c r="CB138" s="72"/>
      <c r="CC138" s="72"/>
      <c r="CD138" s="72"/>
      <c r="CE138" s="72"/>
      <c r="CF138" s="72"/>
      <c r="CG138" s="72"/>
      <c r="CH138" s="72"/>
    </row>
    <row r="139" ht="15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/>
      <c r="BN139" s="72"/>
      <c r="BO139" s="72"/>
      <c r="BP139" s="72"/>
      <c r="BQ139" s="72"/>
      <c r="BR139" s="72"/>
      <c r="BS139" s="72"/>
      <c r="BT139" s="72"/>
      <c r="BU139" s="72"/>
      <c r="BV139" s="72"/>
      <c r="BW139" s="72"/>
      <c r="BX139" s="72"/>
      <c r="BY139" s="72"/>
      <c r="BZ139" s="72"/>
      <c r="CA139" s="72"/>
      <c r="CB139" s="72"/>
      <c r="CC139" s="72"/>
      <c r="CD139" s="72"/>
      <c r="CE139" s="72"/>
      <c r="CF139" s="72"/>
      <c r="CG139" s="72"/>
      <c r="CH139" s="72"/>
    </row>
    <row r="140" ht="15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  <c r="AT140" s="72"/>
      <c r="AU140" s="72"/>
      <c r="AV140" s="72"/>
      <c r="AW140" s="72"/>
      <c r="AX140" s="72"/>
      <c r="AY140" s="72"/>
      <c r="AZ140" s="72"/>
      <c r="BA140" s="72"/>
      <c r="BB140" s="72"/>
      <c r="BC140" s="72"/>
      <c r="BD140" s="72"/>
      <c r="BE140" s="72"/>
      <c r="BF140" s="72"/>
      <c r="BG140" s="72"/>
      <c r="BH140" s="72"/>
      <c r="BI140" s="72"/>
      <c r="BJ140" s="72"/>
      <c r="BK140" s="72"/>
      <c r="BL140" s="72"/>
      <c r="BM140" s="72"/>
      <c r="BN140" s="72"/>
      <c r="BO140" s="72"/>
      <c r="BP140" s="72"/>
      <c r="BQ140" s="72"/>
      <c r="BR140" s="72"/>
      <c r="BS140" s="72"/>
      <c r="BT140" s="72"/>
      <c r="BU140" s="72"/>
      <c r="BV140" s="72"/>
      <c r="BW140" s="72"/>
      <c r="BX140" s="72"/>
      <c r="BY140" s="72"/>
      <c r="BZ140" s="72"/>
      <c r="CA140" s="72"/>
      <c r="CB140" s="72"/>
      <c r="CC140" s="72"/>
      <c r="CD140" s="72"/>
      <c r="CE140" s="72"/>
      <c r="CF140" s="72"/>
      <c r="CG140" s="72"/>
      <c r="CH140" s="72"/>
    </row>
    <row r="141" ht="15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  <c r="AT141" s="72"/>
      <c r="AU141" s="72"/>
      <c r="AV141" s="72"/>
      <c r="AW141" s="72"/>
      <c r="AX141" s="72"/>
      <c r="AY141" s="72"/>
      <c r="AZ141" s="72"/>
      <c r="BA141" s="72"/>
      <c r="BB141" s="72"/>
      <c r="BC141" s="72"/>
      <c r="BD141" s="72"/>
      <c r="BE141" s="72"/>
      <c r="BF141" s="72"/>
      <c r="BG141" s="72"/>
      <c r="BH141" s="72"/>
      <c r="BI141" s="72"/>
      <c r="BJ141" s="72"/>
      <c r="BK141" s="72"/>
      <c r="BL141" s="72"/>
      <c r="BM141" s="72"/>
      <c r="BN141" s="72"/>
      <c r="BO141" s="72"/>
      <c r="BP141" s="72"/>
      <c r="BQ141" s="72"/>
      <c r="BR141" s="72"/>
      <c r="BS141" s="72"/>
      <c r="BT141" s="72"/>
      <c r="BU141" s="72"/>
      <c r="BV141" s="72"/>
      <c r="BW141" s="72"/>
      <c r="BX141" s="72"/>
      <c r="BY141" s="72"/>
      <c r="BZ141" s="72"/>
      <c r="CA141" s="72"/>
      <c r="CB141" s="72"/>
      <c r="CC141" s="72"/>
      <c r="CD141" s="72"/>
      <c r="CE141" s="72"/>
      <c r="CF141" s="72"/>
      <c r="CG141" s="72"/>
      <c r="CH141" s="72"/>
    </row>
    <row r="142" ht="15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  <c r="AT142" s="72"/>
      <c r="AU142" s="72"/>
      <c r="AV142" s="72"/>
      <c r="AW142" s="72"/>
      <c r="AX142" s="72"/>
      <c r="AY142" s="72"/>
      <c r="AZ142" s="72"/>
      <c r="BA142" s="72"/>
      <c r="BB142" s="72"/>
      <c r="BC142" s="72"/>
      <c r="BD142" s="72"/>
      <c r="BE142" s="72"/>
      <c r="BF142" s="72"/>
      <c r="BG142" s="72"/>
      <c r="BH142" s="72"/>
      <c r="BI142" s="72"/>
      <c r="BJ142" s="72"/>
      <c r="BK142" s="72"/>
      <c r="BL142" s="72"/>
      <c r="BM142" s="72"/>
      <c r="BN142" s="72"/>
      <c r="BO142" s="72"/>
      <c r="BP142" s="72"/>
      <c r="BQ142" s="72"/>
      <c r="BR142" s="72"/>
      <c r="BS142" s="72"/>
      <c r="BT142" s="72"/>
      <c r="BU142" s="72"/>
      <c r="BV142" s="72"/>
      <c r="BW142" s="72"/>
      <c r="BX142" s="72"/>
      <c r="BY142" s="72"/>
      <c r="BZ142" s="72"/>
      <c r="CA142" s="72"/>
      <c r="CB142" s="72"/>
      <c r="CC142" s="72"/>
      <c r="CD142" s="72"/>
      <c r="CE142" s="72"/>
      <c r="CF142" s="72"/>
      <c r="CG142" s="72"/>
      <c r="CH142" s="72"/>
    </row>
    <row r="143" ht="15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  <c r="AT143" s="72"/>
      <c r="AU143" s="72"/>
      <c r="AV143" s="72"/>
      <c r="AW143" s="72"/>
      <c r="AX143" s="72"/>
      <c r="AY143" s="72"/>
      <c r="AZ143" s="72"/>
      <c r="BA143" s="72"/>
      <c r="BB143" s="72"/>
      <c r="BC143" s="72"/>
      <c r="BD143" s="72"/>
      <c r="BE143" s="72"/>
      <c r="BF143" s="72"/>
      <c r="BG143" s="72"/>
      <c r="BH143" s="72"/>
      <c r="BI143" s="72"/>
      <c r="BJ143" s="72"/>
      <c r="BK143" s="72"/>
      <c r="BL143" s="72"/>
      <c r="BM143" s="72"/>
      <c r="BN143" s="72"/>
      <c r="BO143" s="72"/>
      <c r="BP143" s="72"/>
      <c r="BQ143" s="72"/>
      <c r="BR143" s="72"/>
      <c r="BS143" s="72"/>
      <c r="BT143" s="72"/>
      <c r="BU143" s="72"/>
      <c r="BV143" s="72"/>
      <c r="BW143" s="72"/>
      <c r="BX143" s="72"/>
      <c r="BY143" s="72"/>
      <c r="BZ143" s="72"/>
      <c r="CA143" s="72"/>
      <c r="CB143" s="72"/>
      <c r="CC143" s="72"/>
      <c r="CD143" s="72"/>
      <c r="CE143" s="72"/>
      <c r="CF143" s="72"/>
      <c r="CG143" s="72"/>
      <c r="CH143" s="72"/>
    </row>
    <row r="144" ht="15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  <c r="AT144" s="72"/>
      <c r="AU144" s="72"/>
      <c r="AV144" s="72"/>
      <c r="AW144" s="72"/>
      <c r="AX144" s="72"/>
      <c r="AY144" s="72"/>
      <c r="AZ144" s="72"/>
      <c r="BA144" s="72"/>
      <c r="BB144" s="72"/>
      <c r="BC144" s="72"/>
      <c r="BD144" s="72"/>
      <c r="BE144" s="72"/>
      <c r="BF144" s="72"/>
      <c r="BG144" s="72"/>
      <c r="BH144" s="72"/>
      <c r="BI144" s="72"/>
      <c r="BJ144" s="72"/>
      <c r="BK144" s="72"/>
      <c r="BL144" s="72"/>
      <c r="BM144" s="72"/>
      <c r="BN144" s="72"/>
      <c r="BO144" s="72"/>
      <c r="BP144" s="72"/>
      <c r="BQ144" s="72"/>
      <c r="BR144" s="72"/>
      <c r="BS144" s="72"/>
      <c r="BT144" s="72"/>
      <c r="BU144" s="72"/>
      <c r="BV144" s="72"/>
      <c r="BW144" s="72"/>
      <c r="BX144" s="72"/>
      <c r="BY144" s="72"/>
      <c r="BZ144" s="72"/>
      <c r="CA144" s="72"/>
      <c r="CB144" s="72"/>
      <c r="CC144" s="72"/>
      <c r="CD144" s="72"/>
      <c r="CE144" s="72"/>
      <c r="CF144" s="72"/>
      <c r="CG144" s="72"/>
      <c r="CH144" s="72"/>
    </row>
    <row r="145" ht="15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  <c r="AT145" s="72"/>
      <c r="AU145" s="72"/>
      <c r="AV145" s="72"/>
      <c r="AW145" s="72"/>
      <c r="AX145" s="72"/>
      <c r="AY145" s="72"/>
      <c r="AZ145" s="72"/>
      <c r="BA145" s="72"/>
      <c r="BB145" s="72"/>
      <c r="BC145" s="72"/>
      <c r="BD145" s="72"/>
      <c r="BE145" s="72"/>
      <c r="BF145" s="72"/>
      <c r="BG145" s="72"/>
      <c r="BH145" s="72"/>
      <c r="BI145" s="72"/>
      <c r="BJ145" s="72"/>
      <c r="BK145" s="72"/>
      <c r="BL145" s="72"/>
      <c r="BM145" s="72"/>
      <c r="BN145" s="72"/>
      <c r="BO145" s="72"/>
      <c r="BP145" s="72"/>
      <c r="BQ145" s="72"/>
      <c r="BR145" s="72"/>
      <c r="BS145" s="72"/>
      <c r="BT145" s="72"/>
      <c r="BU145" s="72"/>
      <c r="BV145" s="72"/>
      <c r="BW145" s="72"/>
      <c r="BX145" s="72"/>
      <c r="BY145" s="72"/>
      <c r="BZ145" s="72"/>
      <c r="CA145" s="72"/>
      <c r="CB145" s="72"/>
      <c r="CC145" s="72"/>
      <c r="CD145" s="72"/>
      <c r="CE145" s="72"/>
      <c r="CF145" s="72"/>
      <c r="CG145" s="72"/>
      <c r="CH145" s="72"/>
    </row>
    <row r="146" ht="15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  <c r="AT146" s="72"/>
      <c r="AU146" s="72"/>
      <c r="AV146" s="72"/>
      <c r="AW146" s="72"/>
      <c r="AX146" s="72"/>
      <c r="AY146" s="72"/>
      <c r="AZ146" s="72"/>
      <c r="BA146" s="72"/>
      <c r="BB146" s="72"/>
      <c r="BC146" s="72"/>
      <c r="BD146" s="72"/>
      <c r="BE146" s="72"/>
      <c r="BF146" s="72"/>
      <c r="BG146" s="72"/>
      <c r="BH146" s="72"/>
      <c r="BI146" s="72"/>
      <c r="BJ146" s="72"/>
      <c r="BK146" s="72"/>
      <c r="BL146" s="72"/>
      <c r="BM146" s="72"/>
      <c r="BN146" s="72"/>
      <c r="BO146" s="72"/>
      <c r="BP146" s="72"/>
      <c r="BQ146" s="72"/>
      <c r="BR146" s="72"/>
      <c r="BS146" s="72"/>
      <c r="BT146" s="72"/>
      <c r="BU146" s="72"/>
      <c r="BV146" s="72"/>
      <c r="BW146" s="72"/>
      <c r="BX146" s="72"/>
      <c r="BY146" s="72"/>
      <c r="BZ146" s="72"/>
      <c r="CA146" s="72"/>
      <c r="CB146" s="72"/>
      <c r="CC146" s="72"/>
      <c r="CD146" s="72"/>
      <c r="CE146" s="72"/>
      <c r="CF146" s="72"/>
      <c r="CG146" s="72"/>
      <c r="CH146" s="72"/>
    </row>
    <row r="147" ht="15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  <c r="AT147" s="72"/>
      <c r="AU147" s="72"/>
      <c r="AV147" s="72"/>
      <c r="AW147" s="72"/>
      <c r="AX147" s="72"/>
      <c r="AY147" s="72"/>
      <c r="AZ147" s="72"/>
      <c r="BA147" s="72"/>
      <c r="BB147" s="72"/>
      <c r="BC147" s="72"/>
      <c r="BD147" s="72"/>
      <c r="BE147" s="72"/>
      <c r="BF147" s="72"/>
      <c r="BG147" s="72"/>
      <c r="BH147" s="72"/>
      <c r="BI147" s="72"/>
      <c r="BJ147" s="72"/>
      <c r="BK147" s="72"/>
      <c r="BL147" s="72"/>
      <c r="BM147" s="72"/>
      <c r="BN147" s="72"/>
      <c r="BO147" s="72"/>
      <c r="BP147" s="72"/>
      <c r="BQ147" s="72"/>
      <c r="BR147" s="72"/>
      <c r="BS147" s="72"/>
      <c r="BT147" s="72"/>
      <c r="BU147" s="72"/>
      <c r="BV147" s="72"/>
      <c r="BW147" s="72"/>
      <c r="BX147" s="72"/>
      <c r="BY147" s="72"/>
      <c r="BZ147" s="72"/>
      <c r="CA147" s="72"/>
      <c r="CB147" s="72"/>
      <c r="CC147" s="72"/>
      <c r="CD147" s="72"/>
      <c r="CE147" s="72"/>
      <c r="CF147" s="72"/>
      <c r="CG147" s="72"/>
      <c r="CH147" s="72"/>
    </row>
    <row r="148" ht="15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  <c r="AT148" s="72"/>
      <c r="AU148" s="72"/>
      <c r="AV148" s="72"/>
      <c r="AW148" s="72"/>
      <c r="AX148" s="72"/>
      <c r="AY148" s="72"/>
      <c r="AZ148" s="72"/>
      <c r="BA148" s="72"/>
      <c r="BB148" s="72"/>
      <c r="BC148" s="72"/>
      <c r="BD148" s="72"/>
      <c r="BE148" s="72"/>
      <c r="BF148" s="72"/>
      <c r="BG148" s="72"/>
      <c r="BH148" s="72"/>
      <c r="BI148" s="72"/>
      <c r="BJ148" s="72"/>
      <c r="BK148" s="72"/>
      <c r="BL148" s="72"/>
      <c r="BM148" s="72"/>
      <c r="BN148" s="72"/>
      <c r="BO148" s="72"/>
      <c r="BP148" s="72"/>
      <c r="BQ148" s="72"/>
      <c r="BR148" s="72"/>
      <c r="BS148" s="72"/>
      <c r="BT148" s="72"/>
      <c r="BU148" s="72"/>
      <c r="BV148" s="72"/>
      <c r="BW148" s="72"/>
      <c r="BX148" s="72"/>
      <c r="BY148" s="72"/>
      <c r="BZ148" s="72"/>
      <c r="CA148" s="72"/>
      <c r="CB148" s="72"/>
      <c r="CC148" s="72"/>
      <c r="CD148" s="72"/>
      <c r="CE148" s="72"/>
      <c r="CF148" s="72"/>
      <c r="CG148" s="72"/>
      <c r="CH148" s="72"/>
    </row>
    <row r="149" ht="15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  <c r="AT149" s="72"/>
      <c r="AU149" s="72"/>
      <c r="AV149" s="72"/>
      <c r="AW149" s="72"/>
      <c r="AX149" s="72"/>
      <c r="AY149" s="72"/>
      <c r="AZ149" s="72"/>
      <c r="BA149" s="72"/>
      <c r="BB149" s="72"/>
      <c r="BC149" s="72"/>
      <c r="BD149" s="72"/>
      <c r="BE149" s="72"/>
      <c r="BF149" s="72"/>
      <c r="BG149" s="72"/>
      <c r="BH149" s="72"/>
      <c r="BI149" s="72"/>
      <c r="BJ149" s="72"/>
      <c r="BK149" s="72"/>
      <c r="BL149" s="72"/>
      <c r="BM149" s="72"/>
      <c r="BN149" s="72"/>
      <c r="BO149" s="72"/>
      <c r="BP149" s="72"/>
      <c r="BQ149" s="72"/>
      <c r="BR149" s="72"/>
      <c r="BS149" s="72"/>
      <c r="BT149" s="72"/>
      <c r="BU149" s="72"/>
      <c r="BV149" s="72"/>
      <c r="BW149" s="72"/>
      <c r="BX149" s="72"/>
      <c r="BY149" s="72"/>
      <c r="BZ149" s="72"/>
      <c r="CA149" s="72"/>
      <c r="CB149" s="72"/>
      <c r="CC149" s="72"/>
      <c r="CD149" s="72"/>
      <c r="CE149" s="72"/>
      <c r="CF149" s="72"/>
      <c r="CG149" s="72"/>
      <c r="CH149" s="72"/>
    </row>
    <row r="150" ht="15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  <c r="AT150" s="72"/>
      <c r="AU150" s="72"/>
      <c r="AV150" s="72"/>
      <c r="AW150" s="72"/>
      <c r="AX150" s="72"/>
      <c r="AY150" s="72"/>
      <c r="AZ150" s="72"/>
      <c r="BA150" s="72"/>
      <c r="BB150" s="72"/>
      <c r="BC150" s="72"/>
      <c r="BD150" s="72"/>
      <c r="BE150" s="72"/>
      <c r="BF150" s="72"/>
      <c r="BG150" s="72"/>
      <c r="BH150" s="72"/>
      <c r="BI150" s="72"/>
      <c r="BJ150" s="72"/>
      <c r="BK150" s="72"/>
      <c r="BL150" s="72"/>
      <c r="BM150" s="72"/>
      <c r="BN150" s="72"/>
      <c r="BO150" s="72"/>
      <c r="BP150" s="72"/>
      <c r="BQ150" s="72"/>
      <c r="BR150" s="72"/>
      <c r="BS150" s="72"/>
      <c r="BT150" s="72"/>
      <c r="BU150" s="72"/>
      <c r="BV150" s="72"/>
      <c r="BW150" s="72"/>
      <c r="BX150" s="72"/>
      <c r="BY150" s="72"/>
      <c r="BZ150" s="72"/>
      <c r="CA150" s="72"/>
      <c r="CB150" s="72"/>
      <c r="CC150" s="72"/>
      <c r="CD150" s="72"/>
      <c r="CE150" s="72"/>
      <c r="CF150" s="72"/>
      <c r="CG150" s="72"/>
      <c r="CH150" s="72"/>
    </row>
    <row r="151" ht="15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  <c r="AT151" s="72"/>
      <c r="AU151" s="72"/>
      <c r="AV151" s="72"/>
      <c r="AW151" s="72"/>
      <c r="AX151" s="72"/>
      <c r="AY151" s="72"/>
      <c r="AZ151" s="72"/>
      <c r="BA151" s="72"/>
      <c r="BB151" s="72"/>
      <c r="BC151" s="72"/>
      <c r="BD151" s="72"/>
      <c r="BE151" s="72"/>
      <c r="BF151" s="72"/>
      <c r="BG151" s="72"/>
      <c r="BH151" s="72"/>
      <c r="BI151" s="72"/>
      <c r="BJ151" s="72"/>
      <c r="BK151" s="72"/>
      <c r="BL151" s="72"/>
      <c r="BM151" s="72"/>
      <c r="BN151" s="72"/>
      <c r="BO151" s="72"/>
      <c r="BP151" s="72"/>
      <c r="BQ151" s="72"/>
      <c r="BR151" s="72"/>
      <c r="BS151" s="72"/>
      <c r="BT151" s="72"/>
      <c r="BU151" s="72"/>
      <c r="BV151" s="72"/>
      <c r="BW151" s="72"/>
      <c r="BX151" s="72"/>
      <c r="BY151" s="72"/>
      <c r="BZ151" s="72"/>
      <c r="CA151" s="72"/>
      <c r="CB151" s="72"/>
      <c r="CC151" s="72"/>
      <c r="CD151" s="72"/>
      <c r="CE151" s="72"/>
      <c r="CF151" s="72"/>
      <c r="CG151" s="72"/>
      <c r="CH151" s="72"/>
    </row>
    <row r="152" ht="15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  <c r="AT152" s="72"/>
      <c r="AU152" s="72"/>
      <c r="AV152" s="72"/>
      <c r="AW152" s="72"/>
      <c r="AX152" s="72"/>
      <c r="AY152" s="72"/>
      <c r="AZ152" s="72"/>
      <c r="BA152" s="72"/>
      <c r="BB152" s="72"/>
      <c r="BC152" s="72"/>
      <c r="BD152" s="72"/>
      <c r="BE152" s="72"/>
      <c r="BF152" s="72"/>
      <c r="BG152" s="72"/>
      <c r="BH152" s="72"/>
      <c r="BI152" s="72"/>
      <c r="BJ152" s="72"/>
      <c r="BK152" s="72"/>
      <c r="BL152" s="72"/>
      <c r="BM152" s="72"/>
      <c r="BN152" s="72"/>
      <c r="BO152" s="72"/>
      <c r="BP152" s="72"/>
      <c r="BQ152" s="72"/>
      <c r="BR152" s="72"/>
      <c r="BS152" s="72"/>
      <c r="BT152" s="72"/>
      <c r="BU152" s="72"/>
      <c r="BV152" s="72"/>
      <c r="BW152" s="72"/>
      <c r="BX152" s="72"/>
      <c r="BY152" s="72"/>
      <c r="BZ152" s="72"/>
      <c r="CA152" s="72"/>
      <c r="CB152" s="72"/>
      <c r="CC152" s="72"/>
      <c r="CD152" s="72"/>
      <c r="CE152" s="72"/>
      <c r="CF152" s="72"/>
      <c r="CG152" s="72"/>
      <c r="CH152" s="72"/>
    </row>
    <row r="153" ht="15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/>
      <c r="BM153" s="72"/>
      <c r="BN153" s="72"/>
      <c r="BO153" s="72"/>
      <c r="BP153" s="72"/>
      <c r="BQ153" s="72"/>
      <c r="BR153" s="72"/>
      <c r="BS153" s="72"/>
      <c r="BT153" s="72"/>
      <c r="BU153" s="72"/>
      <c r="BV153" s="72"/>
      <c r="BW153" s="72"/>
      <c r="BX153" s="72"/>
      <c r="BY153" s="72"/>
      <c r="BZ153" s="72"/>
      <c r="CA153" s="72"/>
      <c r="CB153" s="72"/>
      <c r="CC153" s="72"/>
      <c r="CD153" s="72"/>
      <c r="CE153" s="72"/>
      <c r="CF153" s="72"/>
      <c r="CG153" s="72"/>
      <c r="CH153" s="72"/>
    </row>
    <row r="154" ht="15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/>
      <c r="BM154" s="72"/>
      <c r="BN154" s="72"/>
      <c r="BO154" s="72"/>
      <c r="BP154" s="72"/>
      <c r="BQ154" s="72"/>
      <c r="BR154" s="72"/>
      <c r="BS154" s="72"/>
      <c r="BT154" s="72"/>
      <c r="BU154" s="72"/>
      <c r="BV154" s="72"/>
      <c r="BW154" s="72"/>
      <c r="BX154" s="72"/>
      <c r="BY154" s="72"/>
      <c r="BZ154" s="72"/>
      <c r="CA154" s="72"/>
      <c r="CB154" s="72"/>
      <c r="CC154" s="72"/>
      <c r="CD154" s="72"/>
      <c r="CE154" s="72"/>
      <c r="CF154" s="72"/>
      <c r="CG154" s="72"/>
      <c r="CH154" s="72"/>
    </row>
    <row r="155" ht="15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/>
      <c r="BM155" s="72"/>
      <c r="BN155" s="72"/>
      <c r="BO155" s="72"/>
      <c r="BP155" s="72"/>
      <c r="BQ155" s="72"/>
      <c r="BR155" s="72"/>
      <c r="BS155" s="72"/>
      <c r="BT155" s="72"/>
      <c r="BU155" s="72"/>
      <c r="BV155" s="72"/>
      <c r="BW155" s="72"/>
      <c r="BX155" s="72"/>
      <c r="BY155" s="72"/>
      <c r="BZ155" s="72"/>
      <c r="CA155" s="72"/>
      <c r="CB155" s="72"/>
      <c r="CC155" s="72"/>
      <c r="CD155" s="72"/>
      <c r="CE155" s="72"/>
      <c r="CF155" s="72"/>
      <c r="CG155" s="72"/>
      <c r="CH155" s="72"/>
    </row>
    <row r="156" ht="15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/>
      <c r="BM156" s="72"/>
      <c r="BN156" s="72"/>
      <c r="BO156" s="72"/>
      <c r="BP156" s="72"/>
      <c r="BQ156" s="72"/>
      <c r="BR156" s="72"/>
      <c r="BS156" s="72"/>
      <c r="BT156" s="72"/>
      <c r="BU156" s="72"/>
      <c r="BV156" s="72"/>
      <c r="BW156" s="72"/>
      <c r="BX156" s="72"/>
      <c r="BY156" s="72"/>
      <c r="BZ156" s="72"/>
      <c r="CA156" s="72"/>
      <c r="CB156" s="72"/>
      <c r="CC156" s="72"/>
      <c r="CD156" s="72"/>
      <c r="CE156" s="72"/>
      <c r="CF156" s="72"/>
      <c r="CG156" s="72"/>
      <c r="CH156" s="72"/>
    </row>
    <row r="157" ht="15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/>
      <c r="BM157" s="72"/>
      <c r="BN157" s="72"/>
      <c r="BO157" s="72"/>
      <c r="BP157" s="72"/>
      <c r="BQ157" s="72"/>
      <c r="BR157" s="72"/>
      <c r="BS157" s="72"/>
      <c r="BT157" s="72"/>
      <c r="BU157" s="72"/>
      <c r="BV157" s="72"/>
      <c r="BW157" s="72"/>
      <c r="BX157" s="72"/>
      <c r="BY157" s="72"/>
      <c r="BZ157" s="72"/>
      <c r="CA157" s="72"/>
      <c r="CB157" s="72"/>
      <c r="CC157" s="72"/>
      <c r="CD157" s="72"/>
      <c r="CE157" s="72"/>
      <c r="CF157" s="72"/>
      <c r="CG157" s="72"/>
      <c r="CH157" s="72"/>
    </row>
    <row r="158" ht="15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/>
      <c r="BN158" s="72"/>
      <c r="BO158" s="72"/>
      <c r="BP158" s="72"/>
      <c r="BQ158" s="72"/>
      <c r="BR158" s="72"/>
      <c r="BS158" s="72"/>
      <c r="BT158" s="72"/>
      <c r="BU158" s="72"/>
      <c r="BV158" s="72"/>
      <c r="BW158" s="72"/>
      <c r="BX158" s="72"/>
      <c r="BY158" s="72"/>
      <c r="BZ158" s="72"/>
      <c r="CA158" s="72"/>
      <c r="CB158" s="72"/>
      <c r="CC158" s="72"/>
      <c r="CD158" s="72"/>
      <c r="CE158" s="72"/>
      <c r="CF158" s="72"/>
      <c r="CG158" s="72"/>
      <c r="CH158" s="72"/>
    </row>
    <row r="159" ht="15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/>
      <c r="BN159" s="72"/>
      <c r="BO159" s="72"/>
      <c r="BP159" s="72"/>
      <c r="BQ159" s="72"/>
      <c r="BR159" s="72"/>
      <c r="BS159" s="72"/>
      <c r="BT159" s="72"/>
      <c r="BU159" s="72"/>
      <c r="BV159" s="72"/>
      <c r="BW159" s="72"/>
      <c r="BX159" s="72"/>
      <c r="BY159" s="72"/>
      <c r="BZ159" s="72"/>
      <c r="CA159" s="72"/>
      <c r="CB159" s="72"/>
      <c r="CC159" s="72"/>
      <c r="CD159" s="72"/>
      <c r="CE159" s="72"/>
      <c r="CF159" s="72"/>
      <c r="CG159" s="72"/>
      <c r="CH159" s="72"/>
    </row>
    <row r="160" ht="15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/>
      <c r="BN160" s="72"/>
      <c r="BO160" s="72"/>
      <c r="BP160" s="72"/>
      <c r="BQ160" s="72"/>
      <c r="BR160" s="72"/>
      <c r="BS160" s="72"/>
      <c r="BT160" s="72"/>
      <c r="BU160" s="72"/>
      <c r="BV160" s="72"/>
      <c r="BW160" s="72"/>
      <c r="BX160" s="72"/>
      <c r="BY160" s="72"/>
      <c r="BZ160" s="72"/>
      <c r="CA160" s="72"/>
      <c r="CB160" s="72"/>
      <c r="CC160" s="72"/>
      <c r="CD160" s="72"/>
      <c r="CE160" s="72"/>
      <c r="CF160" s="72"/>
      <c r="CG160" s="72"/>
      <c r="CH160" s="72"/>
    </row>
    <row r="161" ht="15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/>
      <c r="BN161" s="72"/>
      <c r="BO161" s="72"/>
      <c r="BP161" s="72"/>
      <c r="BQ161" s="72"/>
      <c r="BR161" s="72"/>
      <c r="BS161" s="72"/>
      <c r="BT161" s="72"/>
      <c r="BU161" s="72"/>
      <c r="BV161" s="72"/>
      <c r="BW161" s="72"/>
      <c r="BX161" s="72"/>
      <c r="BY161" s="72"/>
      <c r="BZ161" s="72"/>
      <c r="CA161" s="72"/>
      <c r="CB161" s="72"/>
      <c r="CC161" s="72"/>
      <c r="CD161" s="72"/>
      <c r="CE161" s="72"/>
      <c r="CF161" s="72"/>
      <c r="CG161" s="72"/>
      <c r="CH161" s="72"/>
    </row>
    <row r="162" ht="15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/>
      <c r="BN162" s="72"/>
      <c r="BO162" s="72"/>
      <c r="BP162" s="72"/>
      <c r="BQ162" s="72"/>
      <c r="BR162" s="72"/>
      <c r="BS162" s="72"/>
      <c r="BT162" s="72"/>
      <c r="BU162" s="72"/>
      <c r="BV162" s="72"/>
      <c r="BW162" s="72"/>
      <c r="BX162" s="72"/>
      <c r="BY162" s="72"/>
      <c r="BZ162" s="72"/>
      <c r="CA162" s="72"/>
      <c r="CB162" s="72"/>
      <c r="CC162" s="72"/>
      <c r="CD162" s="72"/>
      <c r="CE162" s="72"/>
      <c r="CF162" s="72"/>
      <c r="CG162" s="72"/>
      <c r="CH162" s="72"/>
    </row>
    <row r="163" ht="15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/>
      <c r="BN163" s="72"/>
      <c r="BO163" s="72"/>
      <c r="BP163" s="72"/>
      <c r="BQ163" s="72"/>
      <c r="BR163" s="72"/>
      <c r="BS163" s="72"/>
      <c r="BT163" s="72"/>
      <c r="BU163" s="72"/>
      <c r="BV163" s="72"/>
      <c r="BW163" s="72"/>
      <c r="BX163" s="72"/>
      <c r="BY163" s="72"/>
      <c r="BZ163" s="72"/>
      <c r="CA163" s="72"/>
      <c r="CB163" s="72"/>
      <c r="CC163" s="72"/>
      <c r="CD163" s="72"/>
      <c r="CE163" s="72"/>
      <c r="CF163" s="72"/>
      <c r="CG163" s="72"/>
      <c r="CH163" s="72"/>
    </row>
    <row r="164" ht="15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  <c r="BS164" s="72"/>
      <c r="BT164" s="72"/>
      <c r="BU164" s="72"/>
      <c r="BV164" s="72"/>
      <c r="BW164" s="72"/>
      <c r="BX164" s="72"/>
      <c r="BY164" s="72"/>
      <c r="BZ164" s="72"/>
      <c r="CA164" s="72"/>
      <c r="CB164" s="72"/>
      <c r="CC164" s="72"/>
      <c r="CD164" s="72"/>
      <c r="CE164" s="72"/>
      <c r="CF164" s="72"/>
      <c r="CG164" s="72"/>
      <c r="CH164" s="72"/>
    </row>
    <row r="165" ht="15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  <c r="AT165" s="72"/>
      <c r="AU165" s="72"/>
      <c r="AV165" s="72"/>
      <c r="AW165" s="72"/>
      <c r="AX165" s="72"/>
      <c r="AY165" s="72"/>
      <c r="AZ165" s="72"/>
      <c r="BA165" s="72"/>
      <c r="BB165" s="72"/>
      <c r="BC165" s="72"/>
      <c r="BD165" s="72"/>
      <c r="BE165" s="72"/>
      <c r="BF165" s="72"/>
      <c r="BG165" s="72"/>
      <c r="BH165" s="72"/>
      <c r="BI165" s="72"/>
      <c r="BJ165" s="72"/>
      <c r="BK165" s="72"/>
      <c r="BL165" s="72"/>
      <c r="BM165" s="72"/>
      <c r="BN165" s="72"/>
      <c r="BO165" s="72"/>
      <c r="BP165" s="72"/>
      <c r="BQ165" s="72"/>
      <c r="BR165" s="72"/>
      <c r="BS165" s="72"/>
      <c r="BT165" s="72"/>
      <c r="BU165" s="72"/>
      <c r="BV165" s="72"/>
      <c r="BW165" s="72"/>
      <c r="BX165" s="72"/>
      <c r="BY165" s="72"/>
      <c r="BZ165" s="72"/>
      <c r="CA165" s="72"/>
      <c r="CB165" s="72"/>
      <c r="CC165" s="72"/>
      <c r="CD165" s="72"/>
      <c r="CE165" s="72"/>
      <c r="CF165" s="72"/>
      <c r="CG165" s="72"/>
      <c r="CH165" s="72"/>
    </row>
    <row r="166" ht="15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  <c r="AQ166" s="72"/>
      <c r="AR166" s="72"/>
      <c r="AS166" s="72"/>
      <c r="AT166" s="72"/>
      <c r="AU166" s="72"/>
      <c r="AV166" s="72"/>
      <c r="AW166" s="72"/>
      <c r="AX166" s="72"/>
      <c r="AY166" s="72"/>
      <c r="AZ166" s="72"/>
      <c r="BA166" s="72"/>
      <c r="BB166" s="72"/>
      <c r="BC166" s="72"/>
      <c r="BD166" s="72"/>
      <c r="BE166" s="72"/>
      <c r="BF166" s="72"/>
      <c r="BG166" s="72"/>
      <c r="BH166" s="72"/>
      <c r="BI166" s="72"/>
      <c r="BJ166" s="72"/>
      <c r="BK166" s="72"/>
      <c r="BL166" s="72"/>
      <c r="BM166" s="72"/>
      <c r="BN166" s="72"/>
      <c r="BO166" s="72"/>
      <c r="BP166" s="72"/>
      <c r="BQ166" s="72"/>
      <c r="BR166" s="72"/>
      <c r="BS166" s="72"/>
      <c r="BT166" s="72"/>
      <c r="BU166" s="72"/>
      <c r="BV166" s="72"/>
      <c r="BW166" s="72"/>
      <c r="BX166" s="72"/>
      <c r="BY166" s="72"/>
      <c r="BZ166" s="72"/>
      <c r="CA166" s="72"/>
      <c r="CB166" s="72"/>
      <c r="CC166" s="72"/>
      <c r="CD166" s="72"/>
      <c r="CE166" s="72"/>
      <c r="CF166" s="72"/>
      <c r="CG166" s="72"/>
      <c r="CH166" s="72"/>
    </row>
    <row r="167" ht="15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  <c r="AT167" s="72"/>
      <c r="AU167" s="72"/>
      <c r="AV167" s="72"/>
      <c r="AW167" s="72"/>
      <c r="AX167" s="72"/>
      <c r="AY167" s="72"/>
      <c r="AZ167" s="72"/>
      <c r="BA167" s="72"/>
      <c r="BB167" s="72"/>
      <c r="BC167" s="72"/>
      <c r="BD167" s="72"/>
      <c r="BE167" s="72"/>
      <c r="BF167" s="72"/>
      <c r="BG167" s="72"/>
      <c r="BH167" s="72"/>
      <c r="BI167" s="72"/>
      <c r="BJ167" s="72"/>
      <c r="BK167" s="72"/>
      <c r="BL167" s="72"/>
      <c r="BM167" s="72"/>
      <c r="BN167" s="72"/>
      <c r="BO167" s="72"/>
      <c r="BP167" s="72"/>
      <c r="BQ167" s="72"/>
      <c r="BR167" s="72"/>
      <c r="BS167" s="72"/>
      <c r="BT167" s="72"/>
      <c r="BU167" s="72"/>
      <c r="BV167" s="72"/>
      <c r="BW167" s="72"/>
      <c r="BX167" s="72"/>
      <c r="BY167" s="72"/>
      <c r="BZ167" s="72"/>
      <c r="CA167" s="72"/>
      <c r="CB167" s="72"/>
      <c r="CC167" s="72"/>
      <c r="CD167" s="72"/>
      <c r="CE167" s="72"/>
      <c r="CF167" s="72"/>
      <c r="CG167" s="72"/>
      <c r="CH167" s="72"/>
    </row>
    <row r="168" ht="15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  <c r="AT168" s="72"/>
      <c r="AU168" s="72"/>
      <c r="AV168" s="72"/>
      <c r="AW168" s="72"/>
      <c r="AX168" s="72"/>
      <c r="AY168" s="72"/>
      <c r="AZ168" s="72"/>
      <c r="BA168" s="72"/>
      <c r="BB168" s="72"/>
      <c r="BC168" s="72"/>
      <c r="BD168" s="72"/>
      <c r="BE168" s="72"/>
      <c r="BF168" s="72"/>
      <c r="BG168" s="72"/>
      <c r="BH168" s="72"/>
      <c r="BI168" s="72"/>
      <c r="BJ168" s="72"/>
      <c r="BK168" s="72"/>
      <c r="BL168" s="72"/>
      <c r="BM168" s="72"/>
      <c r="BN168" s="72"/>
      <c r="BO168" s="72"/>
      <c r="BP168" s="72"/>
      <c r="BQ168" s="72"/>
      <c r="BR168" s="72"/>
      <c r="BS168" s="72"/>
      <c r="BT168" s="72"/>
      <c r="BU168" s="72"/>
      <c r="BV168" s="72"/>
      <c r="BW168" s="72"/>
      <c r="BX168" s="72"/>
      <c r="BY168" s="72"/>
      <c r="BZ168" s="72"/>
      <c r="CA168" s="72"/>
      <c r="CB168" s="72"/>
      <c r="CC168" s="72"/>
      <c r="CD168" s="72"/>
      <c r="CE168" s="72"/>
      <c r="CF168" s="72"/>
      <c r="CG168" s="72"/>
      <c r="CH168" s="72"/>
    </row>
    <row r="169" ht="15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  <c r="AT169" s="72"/>
      <c r="AU169" s="72"/>
      <c r="AV169" s="72"/>
      <c r="AW169" s="72"/>
      <c r="AX169" s="72"/>
      <c r="AY169" s="72"/>
      <c r="AZ169" s="72"/>
      <c r="BA169" s="72"/>
      <c r="BB169" s="72"/>
      <c r="BC169" s="72"/>
      <c r="BD169" s="72"/>
      <c r="BE169" s="72"/>
      <c r="BF169" s="72"/>
      <c r="BG169" s="72"/>
      <c r="BH169" s="72"/>
      <c r="BI169" s="72"/>
      <c r="BJ169" s="72"/>
      <c r="BK169" s="72"/>
      <c r="BL169" s="72"/>
      <c r="BM169" s="72"/>
      <c r="BN169" s="72"/>
      <c r="BO169" s="72"/>
      <c r="BP169" s="72"/>
      <c r="BQ169" s="72"/>
      <c r="BR169" s="72"/>
      <c r="BS169" s="72"/>
      <c r="BT169" s="72"/>
      <c r="BU169" s="72"/>
      <c r="BV169" s="72"/>
      <c r="BW169" s="72"/>
      <c r="BX169" s="72"/>
      <c r="BY169" s="72"/>
      <c r="BZ169" s="72"/>
      <c r="CA169" s="72"/>
      <c r="CB169" s="72"/>
      <c r="CC169" s="72"/>
      <c r="CD169" s="72"/>
      <c r="CE169" s="72"/>
      <c r="CF169" s="72"/>
      <c r="CG169" s="72"/>
      <c r="CH169" s="72"/>
    </row>
    <row r="170" ht="15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  <c r="AT170" s="72"/>
      <c r="AU170" s="72"/>
      <c r="AV170" s="72"/>
      <c r="AW170" s="72"/>
      <c r="AX170" s="72"/>
      <c r="AY170" s="72"/>
      <c r="AZ170" s="72"/>
      <c r="BA170" s="72"/>
      <c r="BB170" s="72"/>
      <c r="BC170" s="72"/>
      <c r="BD170" s="72"/>
      <c r="BE170" s="72"/>
      <c r="BF170" s="72"/>
      <c r="BG170" s="72"/>
      <c r="BH170" s="72"/>
      <c r="BI170" s="72"/>
      <c r="BJ170" s="72"/>
      <c r="BK170" s="72"/>
      <c r="BL170" s="72"/>
      <c r="BM170" s="72"/>
      <c r="BN170" s="72"/>
      <c r="BO170" s="72"/>
      <c r="BP170" s="72"/>
      <c r="BQ170" s="72"/>
      <c r="BR170" s="72"/>
      <c r="BS170" s="72"/>
      <c r="BT170" s="72"/>
      <c r="BU170" s="72"/>
      <c r="BV170" s="72"/>
      <c r="BW170" s="72"/>
      <c r="BX170" s="72"/>
      <c r="BY170" s="72"/>
      <c r="BZ170" s="72"/>
      <c r="CA170" s="72"/>
      <c r="CB170" s="72"/>
      <c r="CC170" s="72"/>
      <c r="CD170" s="72"/>
      <c r="CE170" s="72"/>
      <c r="CF170" s="72"/>
      <c r="CG170" s="72"/>
      <c r="CH170" s="72"/>
    </row>
    <row r="171" ht="15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  <c r="AT171" s="72"/>
      <c r="AU171" s="72"/>
      <c r="AV171" s="72"/>
      <c r="AW171" s="72"/>
      <c r="AX171" s="72"/>
      <c r="AY171" s="72"/>
      <c r="AZ171" s="72"/>
      <c r="BA171" s="72"/>
      <c r="BB171" s="72"/>
      <c r="BC171" s="72"/>
      <c r="BD171" s="72"/>
      <c r="BE171" s="72"/>
      <c r="BF171" s="72"/>
      <c r="BG171" s="72"/>
      <c r="BH171" s="72"/>
      <c r="BI171" s="72"/>
      <c r="BJ171" s="72"/>
      <c r="BK171" s="72"/>
      <c r="BL171" s="72"/>
      <c r="BM171" s="72"/>
      <c r="BN171" s="72"/>
      <c r="BO171" s="72"/>
      <c r="BP171" s="72"/>
      <c r="BQ171" s="72"/>
      <c r="BR171" s="72"/>
      <c r="BS171" s="72"/>
      <c r="BT171" s="72"/>
      <c r="BU171" s="72"/>
      <c r="BV171" s="72"/>
      <c r="BW171" s="72"/>
      <c r="BX171" s="72"/>
      <c r="BY171" s="72"/>
      <c r="BZ171" s="72"/>
      <c r="CA171" s="72"/>
      <c r="CB171" s="72"/>
      <c r="CC171" s="72"/>
      <c r="CD171" s="72"/>
      <c r="CE171" s="72"/>
      <c r="CF171" s="72"/>
      <c r="CG171" s="72"/>
      <c r="CH171" s="72"/>
    </row>
    <row r="172" ht="15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  <c r="AT172" s="72"/>
      <c r="AU172" s="72"/>
      <c r="AV172" s="72"/>
      <c r="AW172" s="72"/>
      <c r="AX172" s="72"/>
      <c r="AY172" s="72"/>
      <c r="AZ172" s="72"/>
      <c r="BA172" s="72"/>
      <c r="BB172" s="72"/>
      <c r="BC172" s="72"/>
      <c r="BD172" s="72"/>
      <c r="BE172" s="72"/>
      <c r="BF172" s="72"/>
      <c r="BG172" s="72"/>
      <c r="BH172" s="72"/>
      <c r="BI172" s="72"/>
      <c r="BJ172" s="72"/>
      <c r="BK172" s="72"/>
      <c r="BL172" s="72"/>
      <c r="BM172" s="72"/>
      <c r="BN172" s="72"/>
      <c r="BO172" s="72"/>
      <c r="BP172" s="72"/>
      <c r="BQ172" s="72"/>
      <c r="BR172" s="72"/>
      <c r="BS172" s="72"/>
      <c r="BT172" s="72"/>
      <c r="BU172" s="72"/>
      <c r="BV172" s="72"/>
      <c r="BW172" s="72"/>
      <c r="BX172" s="72"/>
      <c r="BY172" s="72"/>
      <c r="BZ172" s="72"/>
      <c r="CA172" s="72"/>
      <c r="CB172" s="72"/>
      <c r="CC172" s="72"/>
      <c r="CD172" s="72"/>
      <c r="CE172" s="72"/>
      <c r="CF172" s="72"/>
      <c r="CG172" s="72"/>
      <c r="CH172" s="72"/>
    </row>
    <row r="173" ht="15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  <c r="AT173" s="72"/>
      <c r="AU173" s="72"/>
      <c r="AV173" s="72"/>
      <c r="AW173" s="72"/>
      <c r="AX173" s="72"/>
      <c r="AY173" s="72"/>
      <c r="AZ173" s="72"/>
      <c r="BA173" s="72"/>
      <c r="BB173" s="72"/>
      <c r="BC173" s="72"/>
      <c r="BD173" s="72"/>
      <c r="BE173" s="72"/>
      <c r="BF173" s="72"/>
      <c r="BG173" s="72"/>
      <c r="BH173" s="72"/>
      <c r="BI173" s="72"/>
      <c r="BJ173" s="72"/>
      <c r="BK173" s="72"/>
      <c r="BL173" s="72"/>
      <c r="BM173" s="72"/>
      <c r="BN173" s="72"/>
      <c r="BO173" s="72"/>
      <c r="BP173" s="72"/>
      <c r="BQ173" s="72"/>
      <c r="BR173" s="72"/>
      <c r="BS173" s="72"/>
      <c r="BT173" s="72"/>
      <c r="BU173" s="72"/>
      <c r="BV173" s="72"/>
      <c r="BW173" s="72"/>
      <c r="BX173" s="72"/>
      <c r="BY173" s="72"/>
      <c r="BZ173" s="72"/>
      <c r="CA173" s="72"/>
      <c r="CB173" s="72"/>
      <c r="CC173" s="72"/>
      <c r="CD173" s="72"/>
      <c r="CE173" s="72"/>
      <c r="CF173" s="72"/>
      <c r="CG173" s="72"/>
      <c r="CH173" s="72"/>
    </row>
    <row r="174" ht="15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  <c r="AT174" s="72"/>
      <c r="AU174" s="72"/>
      <c r="AV174" s="72"/>
      <c r="AW174" s="72"/>
      <c r="AX174" s="72"/>
      <c r="AY174" s="72"/>
      <c r="AZ174" s="72"/>
      <c r="BA174" s="72"/>
      <c r="BB174" s="72"/>
      <c r="BC174" s="72"/>
      <c r="BD174" s="72"/>
      <c r="BE174" s="72"/>
      <c r="BF174" s="72"/>
      <c r="BG174" s="72"/>
      <c r="BH174" s="72"/>
      <c r="BI174" s="72"/>
      <c r="BJ174" s="72"/>
      <c r="BK174" s="72"/>
      <c r="BL174" s="72"/>
      <c r="BM174" s="72"/>
      <c r="BN174" s="72"/>
      <c r="BO174" s="72"/>
      <c r="BP174" s="72"/>
      <c r="BQ174" s="72"/>
      <c r="BR174" s="72"/>
      <c r="BS174" s="72"/>
      <c r="BT174" s="72"/>
      <c r="BU174" s="72"/>
      <c r="BV174" s="72"/>
      <c r="BW174" s="72"/>
      <c r="BX174" s="72"/>
      <c r="BY174" s="72"/>
      <c r="BZ174" s="72"/>
      <c r="CA174" s="72"/>
      <c r="CB174" s="72"/>
      <c r="CC174" s="72"/>
      <c r="CD174" s="72"/>
      <c r="CE174" s="72"/>
      <c r="CF174" s="72"/>
      <c r="CG174" s="72"/>
      <c r="CH174" s="72"/>
    </row>
    <row r="175" ht="15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  <c r="AT175" s="72"/>
      <c r="AU175" s="72"/>
      <c r="AV175" s="72"/>
      <c r="AW175" s="72"/>
      <c r="AX175" s="72"/>
      <c r="AY175" s="72"/>
      <c r="AZ175" s="72"/>
      <c r="BA175" s="72"/>
      <c r="BB175" s="72"/>
      <c r="BC175" s="72"/>
      <c r="BD175" s="72"/>
      <c r="BE175" s="72"/>
      <c r="BF175" s="72"/>
      <c r="BG175" s="72"/>
      <c r="BH175" s="72"/>
      <c r="BI175" s="72"/>
      <c r="BJ175" s="72"/>
      <c r="BK175" s="72"/>
      <c r="BL175" s="72"/>
      <c r="BM175" s="72"/>
      <c r="BN175" s="72"/>
      <c r="BO175" s="72"/>
      <c r="BP175" s="72"/>
      <c r="BQ175" s="72"/>
      <c r="BR175" s="72"/>
      <c r="BS175" s="72"/>
      <c r="BT175" s="72"/>
      <c r="BU175" s="72"/>
      <c r="BV175" s="72"/>
      <c r="BW175" s="72"/>
      <c r="BX175" s="72"/>
      <c r="BY175" s="72"/>
      <c r="BZ175" s="72"/>
      <c r="CA175" s="72"/>
      <c r="CB175" s="72"/>
      <c r="CC175" s="72"/>
      <c r="CD175" s="72"/>
      <c r="CE175" s="72"/>
      <c r="CF175" s="72"/>
      <c r="CG175" s="72"/>
      <c r="CH175" s="72"/>
    </row>
    <row r="176" ht="15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/>
      <c r="BM176" s="72"/>
      <c r="BN176" s="72"/>
      <c r="BO176" s="72"/>
      <c r="BP176" s="72"/>
      <c r="BQ176" s="72"/>
      <c r="BR176" s="72"/>
      <c r="BS176" s="72"/>
      <c r="BT176" s="72"/>
      <c r="BU176" s="72"/>
      <c r="BV176" s="72"/>
      <c r="BW176" s="72"/>
      <c r="BX176" s="72"/>
      <c r="BY176" s="72"/>
      <c r="BZ176" s="72"/>
      <c r="CA176" s="72"/>
      <c r="CB176" s="72"/>
      <c r="CC176" s="72"/>
      <c r="CD176" s="72"/>
      <c r="CE176" s="72"/>
      <c r="CF176" s="72"/>
      <c r="CG176" s="72"/>
      <c r="CH176" s="72"/>
    </row>
    <row r="177" ht="15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  <c r="BM177" s="72"/>
      <c r="BN177" s="72"/>
      <c r="BO177" s="72"/>
      <c r="BP177" s="72"/>
      <c r="BQ177" s="72"/>
      <c r="BR177" s="72"/>
      <c r="BS177" s="72"/>
      <c r="BT177" s="72"/>
      <c r="BU177" s="72"/>
      <c r="BV177" s="72"/>
      <c r="BW177" s="72"/>
      <c r="BX177" s="72"/>
      <c r="BY177" s="72"/>
      <c r="BZ177" s="72"/>
      <c r="CA177" s="72"/>
      <c r="CB177" s="72"/>
      <c r="CC177" s="72"/>
      <c r="CD177" s="72"/>
      <c r="CE177" s="72"/>
      <c r="CF177" s="72"/>
      <c r="CG177" s="72"/>
      <c r="CH177" s="72"/>
    </row>
    <row r="178" ht="15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/>
      <c r="BM178" s="72"/>
      <c r="BN178" s="72"/>
      <c r="BO178" s="72"/>
      <c r="BP178" s="72"/>
      <c r="BQ178" s="72"/>
      <c r="BR178" s="72"/>
      <c r="BS178" s="72"/>
      <c r="BT178" s="72"/>
      <c r="BU178" s="72"/>
      <c r="BV178" s="72"/>
      <c r="BW178" s="72"/>
      <c r="BX178" s="72"/>
      <c r="BY178" s="72"/>
      <c r="BZ178" s="72"/>
      <c r="CA178" s="72"/>
      <c r="CB178" s="72"/>
      <c r="CC178" s="72"/>
      <c r="CD178" s="72"/>
      <c r="CE178" s="72"/>
      <c r="CF178" s="72"/>
      <c r="CG178" s="72"/>
      <c r="CH178" s="72"/>
    </row>
    <row r="179" ht="15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  <c r="BM179" s="72"/>
      <c r="BN179" s="72"/>
      <c r="BO179" s="72"/>
      <c r="BP179" s="72"/>
      <c r="BQ179" s="72"/>
      <c r="BR179" s="72"/>
      <c r="BS179" s="72"/>
      <c r="BT179" s="72"/>
      <c r="BU179" s="72"/>
      <c r="BV179" s="72"/>
      <c r="BW179" s="72"/>
      <c r="BX179" s="72"/>
      <c r="BY179" s="72"/>
      <c r="BZ179" s="72"/>
      <c r="CA179" s="72"/>
      <c r="CB179" s="72"/>
      <c r="CC179" s="72"/>
      <c r="CD179" s="72"/>
      <c r="CE179" s="72"/>
      <c r="CF179" s="72"/>
      <c r="CG179" s="72"/>
      <c r="CH179" s="72"/>
    </row>
    <row r="180" ht="15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  <c r="AT180" s="72"/>
      <c r="AU180" s="72"/>
      <c r="AV180" s="72"/>
      <c r="AW180" s="72"/>
      <c r="AX180" s="72"/>
      <c r="AY180" s="72"/>
      <c r="AZ180" s="72"/>
      <c r="BA180" s="72"/>
      <c r="BB180" s="72"/>
      <c r="BC180" s="72"/>
      <c r="BD180" s="72"/>
      <c r="BE180" s="72"/>
      <c r="BF180" s="72"/>
      <c r="BG180" s="72"/>
      <c r="BH180" s="72"/>
      <c r="BI180" s="72"/>
      <c r="BJ180" s="72"/>
      <c r="BK180" s="72"/>
      <c r="BL180" s="72"/>
      <c r="BM180" s="72"/>
      <c r="BN180" s="72"/>
      <c r="BO180" s="72"/>
      <c r="BP180" s="72"/>
      <c r="BQ180" s="72"/>
      <c r="BR180" s="72"/>
      <c r="BS180" s="72"/>
      <c r="BT180" s="72"/>
      <c r="BU180" s="72"/>
      <c r="BV180" s="72"/>
      <c r="BW180" s="72"/>
      <c r="BX180" s="72"/>
      <c r="BY180" s="72"/>
      <c r="BZ180" s="72"/>
      <c r="CA180" s="72"/>
      <c r="CB180" s="72"/>
      <c r="CC180" s="72"/>
      <c r="CD180" s="72"/>
      <c r="CE180" s="72"/>
      <c r="CF180" s="72"/>
      <c r="CG180" s="72"/>
      <c r="CH180" s="72"/>
    </row>
    <row r="181" ht="15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/>
      <c r="BM181" s="72"/>
      <c r="BN181" s="72"/>
      <c r="BO181" s="72"/>
      <c r="BP181" s="72"/>
      <c r="BQ181" s="72"/>
      <c r="BR181" s="72"/>
      <c r="BS181" s="72"/>
      <c r="BT181" s="72"/>
      <c r="BU181" s="72"/>
      <c r="BV181" s="72"/>
      <c r="BW181" s="72"/>
      <c r="BX181" s="72"/>
      <c r="BY181" s="72"/>
      <c r="BZ181" s="72"/>
      <c r="CA181" s="72"/>
      <c r="CB181" s="72"/>
      <c r="CC181" s="72"/>
      <c r="CD181" s="72"/>
      <c r="CE181" s="72"/>
      <c r="CF181" s="72"/>
      <c r="CG181" s="72"/>
      <c r="CH181" s="72"/>
    </row>
    <row r="182" ht="15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/>
      <c r="BM182" s="72"/>
      <c r="BN182" s="72"/>
      <c r="BO182" s="72"/>
      <c r="BP182" s="72"/>
      <c r="BQ182" s="72"/>
      <c r="BR182" s="72"/>
      <c r="BS182" s="72"/>
      <c r="BT182" s="72"/>
      <c r="BU182" s="72"/>
      <c r="BV182" s="72"/>
      <c r="BW182" s="72"/>
      <c r="BX182" s="72"/>
      <c r="BY182" s="72"/>
      <c r="BZ182" s="72"/>
      <c r="CA182" s="72"/>
      <c r="CB182" s="72"/>
      <c r="CC182" s="72"/>
      <c r="CD182" s="72"/>
      <c r="CE182" s="72"/>
      <c r="CF182" s="72"/>
      <c r="CG182" s="72"/>
      <c r="CH182" s="72"/>
    </row>
    <row r="183" ht="15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  <c r="BM183" s="72"/>
      <c r="BN183" s="72"/>
      <c r="BO183" s="72"/>
      <c r="BP183" s="72"/>
      <c r="BQ183" s="72"/>
      <c r="BR183" s="72"/>
      <c r="BS183" s="72"/>
      <c r="BT183" s="72"/>
      <c r="BU183" s="72"/>
      <c r="BV183" s="72"/>
      <c r="BW183" s="72"/>
      <c r="BX183" s="72"/>
      <c r="BY183" s="72"/>
      <c r="BZ183" s="72"/>
      <c r="CA183" s="72"/>
      <c r="CB183" s="72"/>
      <c r="CC183" s="72"/>
      <c r="CD183" s="72"/>
      <c r="CE183" s="72"/>
      <c r="CF183" s="72"/>
      <c r="CG183" s="72"/>
      <c r="CH183" s="72"/>
    </row>
    <row r="184" ht="15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/>
      <c r="BM184" s="72"/>
      <c r="BN184" s="72"/>
      <c r="BO184" s="72"/>
      <c r="BP184" s="72"/>
      <c r="BQ184" s="72"/>
      <c r="BR184" s="72"/>
      <c r="BS184" s="72"/>
      <c r="BT184" s="72"/>
      <c r="BU184" s="72"/>
      <c r="BV184" s="72"/>
      <c r="BW184" s="72"/>
      <c r="BX184" s="72"/>
      <c r="BY184" s="72"/>
      <c r="BZ184" s="72"/>
      <c r="CA184" s="72"/>
      <c r="CB184" s="72"/>
      <c r="CC184" s="72"/>
      <c r="CD184" s="72"/>
      <c r="CE184" s="72"/>
      <c r="CF184" s="72"/>
      <c r="CG184" s="72"/>
      <c r="CH184" s="72"/>
    </row>
    <row r="185" ht="15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  <c r="AT185" s="72"/>
      <c r="AU185" s="72"/>
      <c r="AV185" s="72"/>
      <c r="AW185" s="72"/>
      <c r="AX185" s="72"/>
      <c r="AY185" s="72"/>
      <c r="AZ185" s="72"/>
      <c r="BA185" s="72"/>
      <c r="BB185" s="72"/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  <c r="BM185" s="72"/>
      <c r="BN185" s="72"/>
      <c r="BO185" s="72"/>
      <c r="BP185" s="72"/>
      <c r="BQ185" s="72"/>
      <c r="BR185" s="72"/>
      <c r="BS185" s="72"/>
      <c r="BT185" s="72"/>
      <c r="BU185" s="72"/>
      <c r="BV185" s="72"/>
      <c r="BW185" s="72"/>
      <c r="BX185" s="72"/>
      <c r="BY185" s="72"/>
      <c r="BZ185" s="72"/>
      <c r="CA185" s="72"/>
      <c r="CB185" s="72"/>
      <c r="CC185" s="72"/>
      <c r="CD185" s="72"/>
      <c r="CE185" s="72"/>
      <c r="CF185" s="72"/>
      <c r="CG185" s="72"/>
      <c r="CH185" s="72"/>
    </row>
    <row r="186" ht="15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  <c r="AT186" s="72"/>
      <c r="AU186" s="72"/>
      <c r="AV186" s="72"/>
      <c r="AW186" s="72"/>
      <c r="AX186" s="72"/>
      <c r="AY186" s="72"/>
      <c r="AZ186" s="72"/>
      <c r="BA186" s="72"/>
      <c r="BB186" s="72"/>
      <c r="BC186" s="72"/>
      <c r="BD186" s="72"/>
      <c r="BE186" s="72"/>
      <c r="BF186" s="72"/>
      <c r="BG186" s="72"/>
      <c r="BH186" s="72"/>
      <c r="BI186" s="72"/>
      <c r="BJ186" s="72"/>
      <c r="BK186" s="72"/>
      <c r="BL186" s="72"/>
      <c r="BM186" s="72"/>
      <c r="BN186" s="72"/>
      <c r="BO186" s="72"/>
      <c r="BP186" s="72"/>
      <c r="BQ186" s="72"/>
      <c r="BR186" s="72"/>
      <c r="BS186" s="72"/>
      <c r="BT186" s="72"/>
      <c r="BU186" s="72"/>
      <c r="BV186" s="72"/>
      <c r="BW186" s="72"/>
      <c r="BX186" s="72"/>
      <c r="BY186" s="72"/>
      <c r="BZ186" s="72"/>
      <c r="CA186" s="72"/>
      <c r="CB186" s="72"/>
      <c r="CC186" s="72"/>
      <c r="CD186" s="72"/>
      <c r="CE186" s="72"/>
      <c r="CF186" s="72"/>
      <c r="CG186" s="72"/>
      <c r="CH186" s="72"/>
    </row>
    <row r="187" ht="15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  <c r="AT187" s="72"/>
      <c r="AU187" s="72"/>
      <c r="AV187" s="72"/>
      <c r="AW187" s="72"/>
      <c r="AX187" s="72"/>
      <c r="AY187" s="72"/>
      <c r="AZ187" s="72"/>
      <c r="BA187" s="72"/>
      <c r="BB187" s="72"/>
      <c r="BC187" s="72"/>
      <c r="BD187" s="72"/>
      <c r="BE187" s="72"/>
      <c r="BF187" s="72"/>
      <c r="BG187" s="72"/>
      <c r="BH187" s="72"/>
      <c r="BI187" s="72"/>
      <c r="BJ187" s="72"/>
      <c r="BK187" s="72"/>
      <c r="BL187" s="72"/>
      <c r="BM187" s="72"/>
      <c r="BN187" s="72"/>
      <c r="BO187" s="72"/>
      <c r="BP187" s="72"/>
      <c r="BQ187" s="72"/>
      <c r="BR187" s="72"/>
      <c r="BS187" s="72"/>
      <c r="BT187" s="72"/>
      <c r="BU187" s="72"/>
      <c r="BV187" s="72"/>
      <c r="BW187" s="72"/>
      <c r="BX187" s="72"/>
      <c r="BY187" s="72"/>
      <c r="BZ187" s="72"/>
      <c r="CA187" s="72"/>
      <c r="CB187" s="72"/>
      <c r="CC187" s="72"/>
      <c r="CD187" s="72"/>
      <c r="CE187" s="72"/>
      <c r="CF187" s="72"/>
      <c r="CG187" s="72"/>
      <c r="CH187" s="72"/>
    </row>
    <row r="188" ht="15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  <c r="AT188" s="72"/>
      <c r="AU188" s="72"/>
      <c r="AV188" s="72"/>
      <c r="AW188" s="72"/>
      <c r="AX188" s="72"/>
      <c r="AY188" s="72"/>
      <c r="AZ188" s="72"/>
      <c r="BA188" s="72"/>
      <c r="BB188" s="72"/>
      <c r="BC188" s="72"/>
      <c r="BD188" s="72"/>
      <c r="BE188" s="72"/>
      <c r="BF188" s="72"/>
      <c r="BG188" s="72"/>
      <c r="BH188" s="72"/>
      <c r="BI188" s="72"/>
      <c r="BJ188" s="72"/>
      <c r="BK188" s="72"/>
      <c r="BL188" s="72"/>
      <c r="BM188" s="72"/>
      <c r="BN188" s="72"/>
      <c r="BO188" s="72"/>
      <c r="BP188" s="72"/>
      <c r="BQ188" s="72"/>
      <c r="BR188" s="72"/>
      <c r="BS188" s="72"/>
      <c r="BT188" s="72"/>
      <c r="BU188" s="72"/>
      <c r="BV188" s="72"/>
      <c r="BW188" s="72"/>
      <c r="BX188" s="72"/>
      <c r="BY188" s="72"/>
      <c r="BZ188" s="72"/>
      <c r="CA188" s="72"/>
      <c r="CB188" s="72"/>
      <c r="CC188" s="72"/>
      <c r="CD188" s="72"/>
      <c r="CE188" s="72"/>
      <c r="CF188" s="72"/>
      <c r="CG188" s="72"/>
      <c r="CH188" s="72"/>
    </row>
    <row r="189" ht="15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  <c r="AT189" s="72"/>
      <c r="AU189" s="72"/>
      <c r="AV189" s="72"/>
      <c r="AW189" s="72"/>
      <c r="AX189" s="72"/>
      <c r="AY189" s="72"/>
      <c r="AZ189" s="72"/>
      <c r="BA189" s="72"/>
      <c r="BB189" s="72"/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  <c r="BM189" s="72"/>
      <c r="BN189" s="72"/>
      <c r="BO189" s="72"/>
      <c r="BP189" s="72"/>
      <c r="BQ189" s="72"/>
      <c r="BR189" s="72"/>
      <c r="BS189" s="72"/>
      <c r="BT189" s="72"/>
      <c r="BU189" s="72"/>
      <c r="BV189" s="72"/>
      <c r="BW189" s="72"/>
      <c r="BX189" s="72"/>
      <c r="BY189" s="72"/>
      <c r="BZ189" s="72"/>
      <c r="CA189" s="72"/>
      <c r="CB189" s="72"/>
      <c r="CC189" s="72"/>
      <c r="CD189" s="72"/>
      <c r="CE189" s="72"/>
      <c r="CF189" s="72"/>
      <c r="CG189" s="72"/>
      <c r="CH189" s="72"/>
    </row>
    <row r="190" ht="15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  <c r="AT190" s="72"/>
      <c r="AU190" s="72"/>
      <c r="AV190" s="72"/>
      <c r="AW190" s="72"/>
      <c r="AX190" s="72"/>
      <c r="AY190" s="72"/>
      <c r="AZ190" s="72"/>
      <c r="BA190" s="72"/>
      <c r="BB190" s="72"/>
      <c r="BC190" s="72"/>
      <c r="BD190" s="72"/>
      <c r="BE190" s="72"/>
      <c r="BF190" s="72"/>
      <c r="BG190" s="72"/>
      <c r="BH190" s="72"/>
      <c r="BI190" s="72"/>
      <c r="BJ190" s="72"/>
      <c r="BK190" s="72"/>
      <c r="BL190" s="72"/>
      <c r="BM190" s="72"/>
      <c r="BN190" s="72"/>
      <c r="BO190" s="72"/>
      <c r="BP190" s="72"/>
      <c r="BQ190" s="72"/>
      <c r="BR190" s="72"/>
      <c r="BS190" s="72"/>
      <c r="BT190" s="72"/>
      <c r="BU190" s="72"/>
      <c r="BV190" s="72"/>
      <c r="BW190" s="72"/>
      <c r="BX190" s="72"/>
      <c r="BY190" s="72"/>
      <c r="BZ190" s="72"/>
      <c r="CA190" s="72"/>
      <c r="CB190" s="72"/>
      <c r="CC190" s="72"/>
      <c r="CD190" s="72"/>
      <c r="CE190" s="72"/>
      <c r="CF190" s="72"/>
      <c r="CG190" s="72"/>
      <c r="CH190" s="72"/>
    </row>
    <row r="191" ht="15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/>
      <c r="BM191" s="72"/>
      <c r="BN191" s="72"/>
      <c r="BO191" s="72"/>
      <c r="BP191" s="72"/>
      <c r="BQ191" s="72"/>
      <c r="BR191" s="72"/>
      <c r="BS191" s="72"/>
      <c r="BT191" s="72"/>
      <c r="BU191" s="72"/>
      <c r="BV191" s="72"/>
      <c r="BW191" s="72"/>
      <c r="BX191" s="72"/>
      <c r="BY191" s="72"/>
      <c r="BZ191" s="72"/>
      <c r="CA191" s="72"/>
      <c r="CB191" s="72"/>
      <c r="CC191" s="72"/>
      <c r="CD191" s="72"/>
      <c r="CE191" s="72"/>
      <c r="CF191" s="72"/>
      <c r="CG191" s="72"/>
      <c r="CH191" s="72"/>
    </row>
    <row r="192" ht="15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  <c r="AT192" s="72"/>
      <c r="AU192" s="72"/>
      <c r="AV192" s="72"/>
      <c r="AW192" s="72"/>
      <c r="AX192" s="72"/>
      <c r="AY192" s="72"/>
      <c r="AZ192" s="72"/>
      <c r="BA192" s="72"/>
      <c r="BB192" s="72"/>
      <c r="BC192" s="72"/>
      <c r="BD192" s="72"/>
      <c r="BE192" s="72"/>
      <c r="BF192" s="72"/>
      <c r="BG192" s="72"/>
      <c r="BH192" s="72"/>
      <c r="BI192" s="72"/>
      <c r="BJ192" s="72"/>
      <c r="BK192" s="72"/>
      <c r="BL192" s="72"/>
      <c r="BM192" s="72"/>
      <c r="BN192" s="72"/>
      <c r="BO192" s="72"/>
      <c r="BP192" s="72"/>
      <c r="BQ192" s="72"/>
      <c r="BR192" s="72"/>
      <c r="BS192" s="72"/>
      <c r="BT192" s="72"/>
      <c r="BU192" s="72"/>
      <c r="BV192" s="72"/>
      <c r="BW192" s="72"/>
      <c r="BX192" s="72"/>
      <c r="BY192" s="72"/>
      <c r="BZ192" s="72"/>
      <c r="CA192" s="72"/>
      <c r="CB192" s="72"/>
      <c r="CC192" s="72"/>
      <c r="CD192" s="72"/>
      <c r="CE192" s="72"/>
      <c r="CF192" s="72"/>
      <c r="CG192" s="72"/>
      <c r="CH192" s="72"/>
    </row>
    <row r="193" ht="15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  <c r="AT193" s="72"/>
      <c r="AU193" s="72"/>
      <c r="AV193" s="72"/>
      <c r="AW193" s="72"/>
      <c r="AX193" s="72"/>
      <c r="AY193" s="72"/>
      <c r="AZ193" s="72"/>
      <c r="BA193" s="72"/>
      <c r="BB193" s="72"/>
      <c r="BC193" s="72"/>
      <c r="BD193" s="72"/>
      <c r="BE193" s="72"/>
      <c r="BF193" s="72"/>
      <c r="BG193" s="72"/>
      <c r="BH193" s="72"/>
      <c r="BI193" s="72"/>
      <c r="BJ193" s="72"/>
      <c r="BK193" s="72"/>
      <c r="BL193" s="72"/>
      <c r="BM193" s="72"/>
      <c r="BN193" s="72"/>
      <c r="BO193" s="72"/>
      <c r="BP193" s="72"/>
      <c r="BQ193" s="72"/>
      <c r="BR193" s="72"/>
      <c r="BS193" s="72"/>
      <c r="BT193" s="72"/>
      <c r="BU193" s="72"/>
      <c r="BV193" s="72"/>
      <c r="BW193" s="72"/>
      <c r="BX193" s="72"/>
      <c r="BY193" s="72"/>
      <c r="BZ193" s="72"/>
      <c r="CA193" s="72"/>
      <c r="CB193" s="72"/>
      <c r="CC193" s="72"/>
      <c r="CD193" s="72"/>
      <c r="CE193" s="72"/>
      <c r="CF193" s="72"/>
      <c r="CG193" s="72"/>
      <c r="CH193" s="72"/>
    </row>
    <row r="194" ht="15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  <c r="AT194" s="72"/>
      <c r="AU194" s="72"/>
      <c r="AV194" s="72"/>
      <c r="AW194" s="72"/>
      <c r="AX194" s="72"/>
      <c r="AY194" s="72"/>
      <c r="AZ194" s="72"/>
      <c r="BA194" s="72"/>
      <c r="BB194" s="72"/>
      <c r="BC194" s="72"/>
      <c r="BD194" s="72"/>
      <c r="BE194" s="72"/>
      <c r="BF194" s="72"/>
      <c r="BG194" s="72"/>
      <c r="BH194" s="72"/>
      <c r="BI194" s="72"/>
      <c r="BJ194" s="72"/>
      <c r="BK194" s="72"/>
      <c r="BL194" s="72"/>
      <c r="BM194" s="72"/>
      <c r="BN194" s="72"/>
      <c r="BO194" s="72"/>
      <c r="BP194" s="72"/>
      <c r="BQ194" s="72"/>
      <c r="BR194" s="72"/>
      <c r="BS194" s="72"/>
      <c r="BT194" s="72"/>
      <c r="BU194" s="72"/>
      <c r="BV194" s="72"/>
      <c r="BW194" s="72"/>
      <c r="BX194" s="72"/>
      <c r="BY194" s="72"/>
      <c r="BZ194" s="72"/>
      <c r="CA194" s="72"/>
      <c r="CB194" s="72"/>
      <c r="CC194" s="72"/>
      <c r="CD194" s="72"/>
      <c r="CE194" s="72"/>
      <c r="CF194" s="72"/>
      <c r="CG194" s="72"/>
      <c r="CH194" s="72"/>
    </row>
    <row r="195" ht="15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  <c r="AT195" s="72"/>
      <c r="AU195" s="72"/>
      <c r="AV195" s="72"/>
      <c r="AW195" s="72"/>
      <c r="AX195" s="72"/>
      <c r="AY195" s="72"/>
      <c r="AZ195" s="72"/>
      <c r="BA195" s="72"/>
      <c r="BB195" s="72"/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  <c r="BM195" s="72"/>
      <c r="BN195" s="72"/>
      <c r="BO195" s="72"/>
      <c r="BP195" s="72"/>
      <c r="BQ195" s="72"/>
      <c r="BR195" s="72"/>
      <c r="BS195" s="72"/>
      <c r="BT195" s="72"/>
      <c r="BU195" s="72"/>
      <c r="BV195" s="72"/>
      <c r="BW195" s="72"/>
      <c r="BX195" s="72"/>
      <c r="BY195" s="72"/>
      <c r="BZ195" s="72"/>
      <c r="CA195" s="72"/>
      <c r="CB195" s="72"/>
      <c r="CC195" s="72"/>
      <c r="CD195" s="72"/>
      <c r="CE195" s="72"/>
      <c r="CF195" s="72"/>
      <c r="CG195" s="72"/>
      <c r="CH195" s="72"/>
    </row>
    <row r="196" ht="15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/>
      <c r="BN196" s="72"/>
      <c r="BO196" s="72"/>
      <c r="BP196" s="72"/>
      <c r="BQ196" s="72"/>
      <c r="BR196" s="72"/>
      <c r="BS196" s="72"/>
      <c r="BT196" s="72"/>
      <c r="BU196" s="72"/>
      <c r="BV196" s="72"/>
      <c r="BW196" s="72"/>
      <c r="BX196" s="72"/>
      <c r="BY196" s="72"/>
      <c r="BZ196" s="72"/>
      <c r="CA196" s="72"/>
      <c r="CB196" s="72"/>
      <c r="CC196" s="72"/>
      <c r="CD196" s="72"/>
      <c r="CE196" s="72"/>
      <c r="CF196" s="72"/>
      <c r="CG196" s="72"/>
      <c r="CH196" s="72"/>
    </row>
    <row r="197" ht="15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/>
      <c r="AR197" s="72"/>
      <c r="AS197" s="72"/>
      <c r="AT197" s="72"/>
      <c r="AU197" s="72"/>
      <c r="AV197" s="72"/>
      <c r="AW197" s="72"/>
      <c r="AX197" s="72"/>
      <c r="AY197" s="72"/>
      <c r="AZ197" s="72"/>
      <c r="BA197" s="72"/>
      <c r="BB197" s="72"/>
      <c r="BC197" s="72"/>
      <c r="BD197" s="72"/>
      <c r="BE197" s="72"/>
      <c r="BF197" s="72"/>
      <c r="BG197" s="72"/>
      <c r="BH197" s="72"/>
      <c r="BI197" s="72"/>
      <c r="BJ197" s="72"/>
      <c r="BK197" s="72"/>
      <c r="BL197" s="72"/>
      <c r="BM197" s="72"/>
      <c r="BN197" s="72"/>
      <c r="BO197" s="72"/>
      <c r="BP197" s="72"/>
      <c r="BQ197" s="72"/>
      <c r="BR197" s="72"/>
      <c r="BS197" s="72"/>
      <c r="BT197" s="72"/>
      <c r="BU197" s="72"/>
      <c r="BV197" s="72"/>
      <c r="BW197" s="72"/>
      <c r="BX197" s="72"/>
      <c r="BY197" s="72"/>
      <c r="BZ197" s="72"/>
      <c r="CA197" s="72"/>
      <c r="CB197" s="72"/>
      <c r="CC197" s="72"/>
      <c r="CD197" s="72"/>
      <c r="CE197" s="72"/>
      <c r="CF197" s="72"/>
      <c r="CG197" s="72"/>
      <c r="CH197" s="72"/>
    </row>
    <row r="198" ht="15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  <c r="AQ198" s="72"/>
      <c r="AR198" s="72"/>
      <c r="AS198" s="72"/>
      <c r="AT198" s="72"/>
      <c r="AU198" s="72"/>
      <c r="AV198" s="72"/>
      <c r="AW198" s="72"/>
      <c r="AX198" s="72"/>
      <c r="AY198" s="72"/>
      <c r="AZ198" s="72"/>
      <c r="BA198" s="72"/>
      <c r="BB198" s="72"/>
      <c r="BC198" s="72"/>
      <c r="BD198" s="72"/>
      <c r="BE198" s="72"/>
      <c r="BF198" s="72"/>
      <c r="BG198" s="72"/>
      <c r="BH198" s="72"/>
      <c r="BI198" s="72"/>
      <c r="BJ198" s="72"/>
      <c r="BK198" s="72"/>
      <c r="BL198" s="72"/>
      <c r="BM198" s="72"/>
      <c r="BN198" s="72"/>
      <c r="BO198" s="72"/>
      <c r="BP198" s="72"/>
      <c r="BQ198" s="72"/>
      <c r="BR198" s="72"/>
      <c r="BS198" s="72"/>
      <c r="BT198" s="72"/>
      <c r="BU198" s="72"/>
      <c r="BV198" s="72"/>
      <c r="BW198" s="72"/>
      <c r="BX198" s="72"/>
      <c r="BY198" s="72"/>
      <c r="BZ198" s="72"/>
      <c r="CA198" s="72"/>
      <c r="CB198" s="72"/>
      <c r="CC198" s="72"/>
      <c r="CD198" s="72"/>
      <c r="CE198" s="72"/>
      <c r="CF198" s="72"/>
      <c r="CG198" s="72"/>
      <c r="CH198" s="72"/>
    </row>
    <row r="199" ht="15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  <c r="AQ199" s="72"/>
      <c r="AR199" s="72"/>
      <c r="AS199" s="72"/>
      <c r="AT199" s="72"/>
      <c r="AU199" s="72"/>
      <c r="AV199" s="72"/>
      <c r="AW199" s="72"/>
      <c r="AX199" s="72"/>
      <c r="AY199" s="72"/>
      <c r="AZ199" s="72"/>
      <c r="BA199" s="72"/>
      <c r="BB199" s="72"/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  <c r="BM199" s="72"/>
      <c r="BN199" s="72"/>
      <c r="BO199" s="72"/>
      <c r="BP199" s="72"/>
      <c r="BQ199" s="72"/>
      <c r="BR199" s="72"/>
      <c r="BS199" s="72"/>
      <c r="BT199" s="72"/>
      <c r="BU199" s="72"/>
      <c r="BV199" s="72"/>
      <c r="BW199" s="72"/>
      <c r="BX199" s="72"/>
      <c r="BY199" s="72"/>
      <c r="BZ199" s="72"/>
      <c r="CA199" s="72"/>
      <c r="CB199" s="72"/>
      <c r="CC199" s="72"/>
      <c r="CD199" s="72"/>
      <c r="CE199" s="72"/>
      <c r="CF199" s="72"/>
      <c r="CG199" s="72"/>
      <c r="CH199" s="72"/>
    </row>
    <row r="200" ht="15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  <c r="AQ200" s="72"/>
      <c r="AR200" s="72"/>
      <c r="AS200" s="72"/>
      <c r="AT200" s="72"/>
      <c r="AU200" s="72"/>
      <c r="AV200" s="72"/>
      <c r="AW200" s="72"/>
      <c r="AX200" s="72"/>
      <c r="AY200" s="72"/>
      <c r="AZ200" s="72"/>
      <c r="BA200" s="72"/>
      <c r="BB200" s="72"/>
      <c r="BC200" s="72"/>
      <c r="BD200" s="72"/>
      <c r="BE200" s="72"/>
      <c r="BF200" s="72"/>
      <c r="BG200" s="72"/>
      <c r="BH200" s="72"/>
      <c r="BI200" s="72"/>
      <c r="BJ200" s="72"/>
      <c r="BK200" s="72"/>
      <c r="BL200" s="72"/>
      <c r="BM200" s="72"/>
      <c r="BN200" s="72"/>
      <c r="BO200" s="72"/>
      <c r="BP200" s="72"/>
      <c r="BQ200" s="72"/>
      <c r="BR200" s="72"/>
      <c r="BS200" s="72"/>
      <c r="BT200" s="72"/>
      <c r="BU200" s="72"/>
      <c r="BV200" s="72"/>
      <c r="BW200" s="72"/>
      <c r="BX200" s="72"/>
      <c r="BY200" s="72"/>
      <c r="BZ200" s="72"/>
      <c r="CA200" s="72"/>
      <c r="CB200" s="72"/>
      <c r="CC200" s="72"/>
      <c r="CD200" s="72"/>
      <c r="CE200" s="72"/>
      <c r="CF200" s="72"/>
      <c r="CG200" s="72"/>
      <c r="CH200" s="72"/>
    </row>
    <row r="201" ht="15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72"/>
      <c r="BO201" s="72"/>
      <c r="BP201" s="72"/>
      <c r="BQ201" s="72"/>
      <c r="BR201" s="72"/>
      <c r="BS201" s="72"/>
      <c r="BT201" s="72"/>
      <c r="BU201" s="72"/>
      <c r="BV201" s="72"/>
      <c r="BW201" s="72"/>
      <c r="BX201" s="72"/>
      <c r="BY201" s="72"/>
      <c r="BZ201" s="72"/>
      <c r="CA201" s="72"/>
      <c r="CB201" s="72"/>
      <c r="CC201" s="72"/>
      <c r="CD201" s="72"/>
      <c r="CE201" s="72"/>
      <c r="CF201" s="72"/>
      <c r="CG201" s="72"/>
      <c r="CH201" s="72"/>
    </row>
    <row r="202" ht="15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72"/>
      <c r="BO202" s="72"/>
      <c r="BP202" s="72"/>
      <c r="BQ202" s="72"/>
      <c r="BR202" s="72"/>
      <c r="BS202" s="72"/>
      <c r="BT202" s="72"/>
      <c r="BU202" s="72"/>
      <c r="BV202" s="72"/>
      <c r="BW202" s="72"/>
      <c r="BX202" s="72"/>
      <c r="BY202" s="72"/>
      <c r="BZ202" s="72"/>
      <c r="CA202" s="72"/>
      <c r="CB202" s="72"/>
      <c r="CC202" s="72"/>
      <c r="CD202" s="72"/>
      <c r="CE202" s="72"/>
      <c r="CF202" s="72"/>
      <c r="CG202" s="72"/>
      <c r="CH202" s="72"/>
    </row>
    <row r="203" ht="15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72"/>
      <c r="BO203" s="72"/>
      <c r="BP203" s="72"/>
      <c r="BQ203" s="72"/>
      <c r="BR203" s="72"/>
      <c r="BS203" s="72"/>
      <c r="BT203" s="72"/>
      <c r="BU203" s="72"/>
      <c r="BV203" s="72"/>
      <c r="BW203" s="72"/>
      <c r="BX203" s="72"/>
      <c r="BY203" s="72"/>
      <c r="BZ203" s="72"/>
      <c r="CA203" s="72"/>
      <c r="CB203" s="72"/>
      <c r="CC203" s="72"/>
      <c r="CD203" s="72"/>
      <c r="CE203" s="72"/>
      <c r="CF203" s="72"/>
      <c r="CG203" s="72"/>
      <c r="CH203" s="72"/>
    </row>
    <row r="204" ht="15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72"/>
      <c r="BO204" s="72"/>
      <c r="BP204" s="72"/>
      <c r="BQ204" s="72"/>
      <c r="BR204" s="72"/>
      <c r="BS204" s="72"/>
      <c r="BT204" s="72"/>
      <c r="BU204" s="72"/>
      <c r="BV204" s="72"/>
      <c r="BW204" s="72"/>
      <c r="BX204" s="72"/>
      <c r="BY204" s="72"/>
      <c r="BZ204" s="72"/>
      <c r="CA204" s="72"/>
      <c r="CB204" s="72"/>
      <c r="CC204" s="72"/>
      <c r="CD204" s="72"/>
      <c r="CE204" s="72"/>
      <c r="CF204" s="72"/>
      <c r="CG204" s="72"/>
      <c r="CH204" s="72"/>
    </row>
    <row r="205" ht="15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72"/>
      <c r="BO205" s="72"/>
      <c r="BP205" s="72"/>
      <c r="BQ205" s="72"/>
      <c r="BR205" s="72"/>
      <c r="BS205" s="72"/>
      <c r="BT205" s="72"/>
      <c r="BU205" s="72"/>
      <c r="BV205" s="72"/>
      <c r="BW205" s="72"/>
      <c r="BX205" s="72"/>
      <c r="BY205" s="72"/>
      <c r="BZ205" s="72"/>
      <c r="CA205" s="72"/>
      <c r="CB205" s="72"/>
      <c r="CC205" s="72"/>
      <c r="CD205" s="72"/>
      <c r="CE205" s="72"/>
      <c r="CF205" s="72"/>
      <c r="CG205" s="72"/>
      <c r="CH205" s="72"/>
    </row>
    <row r="206" ht="15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72"/>
      <c r="BO206" s="72"/>
      <c r="BP206" s="72"/>
      <c r="BQ206" s="72"/>
      <c r="BR206" s="72"/>
      <c r="BS206" s="72"/>
      <c r="BT206" s="72"/>
      <c r="BU206" s="72"/>
      <c r="BV206" s="72"/>
      <c r="BW206" s="72"/>
      <c r="BX206" s="72"/>
      <c r="BY206" s="72"/>
      <c r="BZ206" s="72"/>
      <c r="CA206" s="72"/>
      <c r="CB206" s="72"/>
      <c r="CC206" s="72"/>
      <c r="CD206" s="72"/>
      <c r="CE206" s="72"/>
      <c r="CF206" s="72"/>
      <c r="CG206" s="72"/>
      <c r="CH206" s="72"/>
    </row>
    <row r="207" ht="15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72"/>
      <c r="BO207" s="72"/>
      <c r="BP207" s="72"/>
      <c r="BQ207" s="72"/>
      <c r="BR207" s="72"/>
      <c r="BS207" s="72"/>
      <c r="BT207" s="72"/>
      <c r="BU207" s="72"/>
      <c r="BV207" s="72"/>
      <c r="BW207" s="72"/>
      <c r="BX207" s="72"/>
      <c r="BY207" s="72"/>
      <c r="BZ207" s="72"/>
      <c r="CA207" s="72"/>
      <c r="CB207" s="72"/>
      <c r="CC207" s="72"/>
      <c r="CD207" s="72"/>
      <c r="CE207" s="72"/>
      <c r="CF207" s="72"/>
      <c r="CG207" s="72"/>
      <c r="CH207" s="72"/>
    </row>
    <row r="208" ht="15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72"/>
      <c r="BO208" s="72"/>
      <c r="BP208" s="72"/>
      <c r="BQ208" s="72"/>
      <c r="BR208" s="72"/>
      <c r="BS208" s="72"/>
      <c r="BT208" s="72"/>
      <c r="BU208" s="72"/>
      <c r="BV208" s="72"/>
      <c r="BW208" s="72"/>
      <c r="BX208" s="72"/>
      <c r="BY208" s="72"/>
      <c r="BZ208" s="72"/>
      <c r="CA208" s="72"/>
      <c r="CB208" s="72"/>
      <c r="CC208" s="72"/>
      <c r="CD208" s="72"/>
      <c r="CE208" s="72"/>
      <c r="CF208" s="72"/>
      <c r="CG208" s="72"/>
      <c r="CH208" s="72"/>
    </row>
    <row r="209" ht="15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72"/>
      <c r="BO209" s="72"/>
      <c r="BP209" s="72"/>
      <c r="BQ209" s="72"/>
      <c r="BR209" s="72"/>
      <c r="BS209" s="72"/>
      <c r="BT209" s="72"/>
      <c r="BU209" s="72"/>
      <c r="BV209" s="72"/>
      <c r="BW209" s="72"/>
      <c r="BX209" s="72"/>
      <c r="BY209" s="72"/>
      <c r="BZ209" s="72"/>
      <c r="CA209" s="72"/>
      <c r="CB209" s="72"/>
      <c r="CC209" s="72"/>
      <c r="CD209" s="72"/>
      <c r="CE209" s="72"/>
      <c r="CF209" s="72"/>
      <c r="CG209" s="72"/>
      <c r="CH209" s="72"/>
    </row>
    <row r="210" ht="15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72"/>
      <c r="BO210" s="72"/>
      <c r="BP210" s="72"/>
      <c r="BQ210" s="72"/>
      <c r="BR210" s="72"/>
      <c r="BS210" s="72"/>
      <c r="BT210" s="72"/>
      <c r="BU210" s="72"/>
      <c r="BV210" s="72"/>
      <c r="BW210" s="72"/>
      <c r="BX210" s="72"/>
      <c r="BY210" s="72"/>
      <c r="BZ210" s="72"/>
      <c r="CA210" s="72"/>
      <c r="CB210" s="72"/>
      <c r="CC210" s="72"/>
      <c r="CD210" s="72"/>
      <c r="CE210" s="72"/>
      <c r="CF210" s="72"/>
      <c r="CG210" s="72"/>
      <c r="CH210" s="72"/>
    </row>
    <row r="211" ht="15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  <c r="AQ211" s="72"/>
      <c r="AR211" s="72"/>
      <c r="AS211" s="72"/>
      <c r="AT211" s="72"/>
      <c r="AU211" s="72"/>
      <c r="AV211" s="72"/>
      <c r="AW211" s="72"/>
      <c r="AX211" s="72"/>
      <c r="AY211" s="72"/>
      <c r="AZ211" s="72"/>
      <c r="BA211" s="72"/>
      <c r="BB211" s="72"/>
      <c r="BC211" s="72"/>
      <c r="BD211" s="72"/>
      <c r="BE211" s="72"/>
      <c r="BF211" s="72"/>
      <c r="BG211" s="72"/>
      <c r="BH211" s="72"/>
      <c r="BI211" s="72"/>
      <c r="BJ211" s="72"/>
      <c r="BK211" s="72"/>
      <c r="BL211" s="72"/>
      <c r="BM211" s="72"/>
      <c r="BN211" s="72"/>
      <c r="BO211" s="72"/>
      <c r="BP211" s="72"/>
      <c r="BQ211" s="72"/>
      <c r="BR211" s="72"/>
      <c r="BS211" s="72"/>
      <c r="BT211" s="72"/>
      <c r="BU211" s="72"/>
      <c r="BV211" s="72"/>
      <c r="BW211" s="72"/>
      <c r="BX211" s="72"/>
      <c r="BY211" s="72"/>
      <c r="BZ211" s="72"/>
      <c r="CA211" s="72"/>
      <c r="CB211" s="72"/>
      <c r="CC211" s="72"/>
      <c r="CD211" s="72"/>
      <c r="CE211" s="72"/>
      <c r="CF211" s="72"/>
      <c r="CG211" s="72"/>
      <c r="CH211" s="72"/>
    </row>
    <row r="212" ht="15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  <c r="AQ212" s="72"/>
      <c r="AR212" s="72"/>
      <c r="AS212" s="72"/>
      <c r="AT212" s="72"/>
      <c r="AU212" s="72"/>
      <c r="AV212" s="72"/>
      <c r="AW212" s="72"/>
      <c r="AX212" s="72"/>
      <c r="AY212" s="72"/>
      <c r="AZ212" s="72"/>
      <c r="BA212" s="72"/>
      <c r="BB212" s="72"/>
      <c r="BC212" s="72"/>
      <c r="BD212" s="72"/>
      <c r="BE212" s="72"/>
      <c r="BF212" s="72"/>
      <c r="BG212" s="72"/>
      <c r="BH212" s="72"/>
      <c r="BI212" s="72"/>
      <c r="BJ212" s="72"/>
      <c r="BK212" s="72"/>
      <c r="BL212" s="72"/>
      <c r="BM212" s="72"/>
      <c r="BN212" s="72"/>
      <c r="BO212" s="72"/>
      <c r="BP212" s="72"/>
      <c r="BQ212" s="72"/>
      <c r="BR212" s="72"/>
      <c r="BS212" s="72"/>
      <c r="BT212" s="72"/>
      <c r="BU212" s="72"/>
      <c r="BV212" s="72"/>
      <c r="BW212" s="72"/>
      <c r="BX212" s="72"/>
      <c r="BY212" s="72"/>
      <c r="BZ212" s="72"/>
      <c r="CA212" s="72"/>
      <c r="CB212" s="72"/>
      <c r="CC212" s="72"/>
      <c r="CD212" s="72"/>
      <c r="CE212" s="72"/>
      <c r="CF212" s="72"/>
      <c r="CG212" s="72"/>
      <c r="CH212" s="72"/>
    </row>
    <row r="213" ht="15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  <c r="AQ213" s="72"/>
      <c r="AR213" s="72"/>
      <c r="AS213" s="72"/>
      <c r="AT213" s="72"/>
      <c r="AU213" s="72"/>
      <c r="AV213" s="72"/>
      <c r="AW213" s="72"/>
      <c r="AX213" s="72"/>
      <c r="AY213" s="72"/>
      <c r="AZ213" s="72"/>
      <c r="BA213" s="72"/>
      <c r="BB213" s="72"/>
      <c r="BC213" s="72"/>
      <c r="BD213" s="72"/>
      <c r="BE213" s="72"/>
      <c r="BF213" s="72"/>
      <c r="BG213" s="72"/>
      <c r="BH213" s="72"/>
      <c r="BI213" s="72"/>
      <c r="BJ213" s="72"/>
      <c r="BK213" s="72"/>
      <c r="BL213" s="72"/>
      <c r="BM213" s="72"/>
      <c r="BN213" s="72"/>
      <c r="BO213" s="72"/>
      <c r="BP213" s="72"/>
      <c r="BQ213" s="72"/>
      <c r="BR213" s="72"/>
      <c r="BS213" s="72"/>
      <c r="BT213" s="72"/>
      <c r="BU213" s="72"/>
      <c r="BV213" s="72"/>
      <c r="BW213" s="72"/>
      <c r="BX213" s="72"/>
      <c r="BY213" s="72"/>
      <c r="BZ213" s="72"/>
      <c r="CA213" s="72"/>
      <c r="CB213" s="72"/>
      <c r="CC213" s="72"/>
      <c r="CD213" s="72"/>
      <c r="CE213" s="72"/>
      <c r="CF213" s="72"/>
      <c r="CG213" s="72"/>
      <c r="CH213" s="72"/>
    </row>
    <row r="214" ht="15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  <c r="AQ214" s="72"/>
      <c r="AR214" s="72"/>
      <c r="AS214" s="72"/>
      <c r="AT214" s="72"/>
      <c r="AU214" s="72"/>
      <c r="AV214" s="72"/>
      <c r="AW214" s="72"/>
      <c r="AX214" s="72"/>
      <c r="AY214" s="72"/>
      <c r="AZ214" s="72"/>
      <c r="BA214" s="72"/>
      <c r="BB214" s="72"/>
      <c r="BC214" s="72"/>
      <c r="BD214" s="72"/>
      <c r="BE214" s="72"/>
      <c r="BF214" s="72"/>
      <c r="BG214" s="72"/>
      <c r="BH214" s="72"/>
      <c r="BI214" s="72"/>
      <c r="BJ214" s="72"/>
      <c r="BK214" s="72"/>
      <c r="BL214" s="72"/>
      <c r="BM214" s="72"/>
      <c r="BN214" s="72"/>
      <c r="BO214" s="72"/>
      <c r="BP214" s="72"/>
      <c r="BQ214" s="72"/>
      <c r="BR214" s="72"/>
      <c r="BS214" s="72"/>
      <c r="BT214" s="72"/>
      <c r="BU214" s="72"/>
      <c r="BV214" s="72"/>
      <c r="BW214" s="72"/>
      <c r="BX214" s="72"/>
      <c r="BY214" s="72"/>
      <c r="BZ214" s="72"/>
      <c r="CA214" s="72"/>
      <c r="CB214" s="72"/>
      <c r="CC214" s="72"/>
      <c r="CD214" s="72"/>
      <c r="CE214" s="72"/>
      <c r="CF214" s="72"/>
      <c r="CG214" s="72"/>
      <c r="CH214" s="72"/>
    </row>
    <row r="215" ht="15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  <c r="AQ215" s="72"/>
      <c r="AR215" s="72"/>
      <c r="AS215" s="72"/>
      <c r="AT215" s="72"/>
      <c r="AU215" s="72"/>
      <c r="AV215" s="72"/>
      <c r="AW215" s="72"/>
      <c r="AX215" s="72"/>
      <c r="AY215" s="72"/>
      <c r="AZ215" s="72"/>
      <c r="BA215" s="72"/>
      <c r="BB215" s="72"/>
      <c r="BC215" s="72"/>
      <c r="BD215" s="72"/>
      <c r="BE215" s="72"/>
      <c r="BF215" s="72"/>
      <c r="BG215" s="72"/>
      <c r="BH215" s="72"/>
      <c r="BI215" s="72"/>
      <c r="BJ215" s="72"/>
      <c r="BK215" s="72"/>
      <c r="BL215" s="72"/>
      <c r="BM215" s="72"/>
      <c r="BN215" s="72"/>
      <c r="BO215" s="72"/>
      <c r="BP215" s="72"/>
      <c r="BQ215" s="72"/>
      <c r="BR215" s="72"/>
      <c r="BS215" s="72"/>
      <c r="BT215" s="72"/>
      <c r="BU215" s="72"/>
      <c r="BV215" s="72"/>
      <c r="BW215" s="72"/>
      <c r="BX215" s="72"/>
      <c r="BY215" s="72"/>
      <c r="BZ215" s="72"/>
      <c r="CA215" s="72"/>
      <c r="CB215" s="72"/>
      <c r="CC215" s="72"/>
      <c r="CD215" s="72"/>
      <c r="CE215" s="72"/>
      <c r="CF215" s="72"/>
      <c r="CG215" s="72"/>
      <c r="CH215" s="72"/>
    </row>
    <row r="216" ht="15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  <c r="AQ216" s="72"/>
      <c r="AR216" s="72"/>
      <c r="AS216" s="72"/>
      <c r="AT216" s="72"/>
      <c r="AU216" s="72"/>
      <c r="AV216" s="72"/>
      <c r="AW216" s="72"/>
      <c r="AX216" s="72"/>
      <c r="AY216" s="72"/>
      <c r="AZ216" s="72"/>
      <c r="BA216" s="72"/>
      <c r="BB216" s="72"/>
      <c r="BC216" s="72"/>
      <c r="BD216" s="72"/>
      <c r="BE216" s="72"/>
      <c r="BF216" s="72"/>
      <c r="BG216" s="72"/>
      <c r="BH216" s="72"/>
      <c r="BI216" s="72"/>
      <c r="BJ216" s="72"/>
      <c r="BK216" s="72"/>
      <c r="BL216" s="72"/>
      <c r="BM216" s="72"/>
      <c r="BN216" s="72"/>
      <c r="BO216" s="72"/>
      <c r="BP216" s="72"/>
      <c r="BQ216" s="72"/>
      <c r="BR216" s="72"/>
      <c r="BS216" s="72"/>
      <c r="BT216" s="72"/>
      <c r="BU216" s="72"/>
      <c r="BV216" s="72"/>
      <c r="BW216" s="72"/>
      <c r="BX216" s="72"/>
      <c r="BY216" s="72"/>
      <c r="BZ216" s="72"/>
      <c r="CA216" s="72"/>
      <c r="CB216" s="72"/>
      <c r="CC216" s="72"/>
      <c r="CD216" s="72"/>
      <c r="CE216" s="72"/>
      <c r="CF216" s="72"/>
      <c r="CG216" s="72"/>
      <c r="CH216" s="72"/>
    </row>
    <row r="217" ht="15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  <c r="AS217" s="72"/>
      <c r="AT217" s="72"/>
      <c r="AU217" s="72"/>
      <c r="AV217" s="72"/>
      <c r="AW217" s="72"/>
      <c r="AX217" s="72"/>
      <c r="AY217" s="72"/>
      <c r="AZ217" s="72"/>
      <c r="BA217" s="72"/>
      <c r="BB217" s="72"/>
      <c r="BC217" s="72"/>
      <c r="BD217" s="72"/>
      <c r="BE217" s="72"/>
      <c r="BF217" s="72"/>
      <c r="BG217" s="72"/>
      <c r="BH217" s="72"/>
      <c r="BI217" s="72"/>
      <c r="BJ217" s="72"/>
      <c r="BK217" s="72"/>
      <c r="BL217" s="72"/>
      <c r="BM217" s="72"/>
      <c r="BN217" s="72"/>
      <c r="BO217" s="72"/>
      <c r="BP217" s="72"/>
      <c r="BQ217" s="72"/>
      <c r="BR217" s="72"/>
      <c r="BS217" s="72"/>
      <c r="BT217" s="72"/>
      <c r="BU217" s="72"/>
      <c r="BV217" s="72"/>
      <c r="BW217" s="72"/>
      <c r="BX217" s="72"/>
      <c r="BY217" s="72"/>
      <c r="BZ217" s="72"/>
      <c r="CA217" s="72"/>
      <c r="CB217" s="72"/>
      <c r="CC217" s="72"/>
      <c r="CD217" s="72"/>
      <c r="CE217" s="72"/>
      <c r="CF217" s="72"/>
      <c r="CG217" s="72"/>
      <c r="CH217" s="72"/>
    </row>
    <row r="218" ht="15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  <c r="AQ218" s="72"/>
      <c r="AR218" s="72"/>
      <c r="AS218" s="72"/>
      <c r="AT218" s="72"/>
      <c r="AU218" s="72"/>
      <c r="AV218" s="72"/>
      <c r="AW218" s="72"/>
      <c r="AX218" s="72"/>
      <c r="AY218" s="72"/>
      <c r="AZ218" s="72"/>
      <c r="BA218" s="72"/>
      <c r="BB218" s="72"/>
      <c r="BC218" s="72"/>
      <c r="BD218" s="72"/>
      <c r="BE218" s="72"/>
      <c r="BF218" s="72"/>
      <c r="BG218" s="72"/>
      <c r="BH218" s="72"/>
      <c r="BI218" s="72"/>
      <c r="BJ218" s="72"/>
      <c r="BK218" s="72"/>
      <c r="BL218" s="72"/>
      <c r="BM218" s="72"/>
      <c r="BN218" s="72"/>
      <c r="BO218" s="72"/>
      <c r="BP218" s="72"/>
      <c r="BQ218" s="72"/>
      <c r="BR218" s="72"/>
      <c r="BS218" s="72"/>
      <c r="BT218" s="72"/>
      <c r="BU218" s="72"/>
      <c r="BV218" s="72"/>
      <c r="BW218" s="72"/>
      <c r="BX218" s="72"/>
      <c r="BY218" s="72"/>
      <c r="BZ218" s="72"/>
      <c r="CA218" s="72"/>
      <c r="CB218" s="72"/>
      <c r="CC218" s="72"/>
      <c r="CD218" s="72"/>
      <c r="CE218" s="72"/>
      <c r="CF218" s="72"/>
      <c r="CG218" s="72"/>
      <c r="CH218" s="72"/>
    </row>
    <row r="219" ht="15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  <c r="AQ219" s="72"/>
      <c r="AR219" s="72"/>
      <c r="AS219" s="72"/>
      <c r="AT219" s="72"/>
      <c r="AU219" s="72"/>
      <c r="AV219" s="72"/>
      <c r="AW219" s="72"/>
      <c r="AX219" s="72"/>
      <c r="AY219" s="72"/>
      <c r="AZ219" s="72"/>
      <c r="BA219" s="72"/>
      <c r="BB219" s="72"/>
      <c r="BC219" s="72"/>
      <c r="BD219" s="72"/>
      <c r="BE219" s="72"/>
      <c r="BF219" s="72"/>
      <c r="BG219" s="72"/>
      <c r="BH219" s="72"/>
      <c r="BI219" s="72"/>
      <c r="BJ219" s="72"/>
      <c r="BK219" s="72"/>
      <c r="BL219" s="72"/>
      <c r="BM219" s="72"/>
      <c r="BN219" s="72"/>
      <c r="BO219" s="72"/>
      <c r="BP219" s="72"/>
      <c r="BQ219" s="72"/>
      <c r="BR219" s="72"/>
      <c r="BS219" s="72"/>
      <c r="BT219" s="72"/>
      <c r="BU219" s="72"/>
      <c r="BV219" s="72"/>
      <c r="BW219" s="72"/>
      <c r="BX219" s="72"/>
      <c r="BY219" s="72"/>
      <c r="BZ219" s="72"/>
      <c r="CA219" s="72"/>
      <c r="CB219" s="72"/>
      <c r="CC219" s="72"/>
      <c r="CD219" s="72"/>
      <c r="CE219" s="72"/>
      <c r="CF219" s="72"/>
      <c r="CG219" s="72"/>
      <c r="CH219" s="72"/>
    </row>
    <row r="220" ht="15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  <c r="AQ220" s="72"/>
      <c r="AR220" s="72"/>
      <c r="AS220" s="72"/>
      <c r="AT220" s="72"/>
      <c r="AU220" s="72"/>
      <c r="AV220" s="72"/>
      <c r="AW220" s="72"/>
      <c r="AX220" s="72"/>
      <c r="AY220" s="72"/>
      <c r="AZ220" s="72"/>
      <c r="BA220" s="72"/>
      <c r="BB220" s="72"/>
      <c r="BC220" s="72"/>
      <c r="BD220" s="72"/>
      <c r="BE220" s="72"/>
      <c r="BF220" s="72"/>
      <c r="BG220" s="72"/>
      <c r="BH220" s="72"/>
      <c r="BI220" s="72"/>
      <c r="BJ220" s="72"/>
      <c r="BK220" s="72"/>
      <c r="BL220" s="72"/>
      <c r="BM220" s="72"/>
      <c r="BN220" s="72"/>
      <c r="BO220" s="72"/>
      <c r="BP220" s="72"/>
      <c r="BQ220" s="72"/>
      <c r="BR220" s="72"/>
      <c r="BS220" s="72"/>
      <c r="BT220" s="72"/>
      <c r="BU220" s="72"/>
      <c r="BV220" s="72"/>
      <c r="BW220" s="72"/>
      <c r="BX220" s="72"/>
      <c r="BY220" s="72"/>
      <c r="BZ220" s="72"/>
      <c r="CA220" s="72"/>
      <c r="CB220" s="72"/>
      <c r="CC220" s="72"/>
      <c r="CD220" s="72"/>
      <c r="CE220" s="72"/>
      <c r="CF220" s="72"/>
      <c r="CG220" s="72"/>
      <c r="CH220" s="72"/>
    </row>
    <row r="221" ht="15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  <c r="AQ221" s="72"/>
      <c r="AR221" s="72"/>
      <c r="AS221" s="72"/>
      <c r="AT221" s="72"/>
      <c r="AU221" s="72"/>
      <c r="AV221" s="72"/>
      <c r="AW221" s="72"/>
      <c r="AX221" s="72"/>
      <c r="AY221" s="72"/>
      <c r="AZ221" s="72"/>
      <c r="BA221" s="72"/>
      <c r="BB221" s="72"/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  <c r="BM221" s="72"/>
      <c r="BN221" s="72"/>
      <c r="BO221" s="72"/>
      <c r="BP221" s="72"/>
      <c r="BQ221" s="72"/>
      <c r="BR221" s="72"/>
      <c r="BS221" s="72"/>
      <c r="BT221" s="72"/>
      <c r="BU221" s="72"/>
      <c r="BV221" s="72"/>
      <c r="BW221" s="72"/>
      <c r="BX221" s="72"/>
      <c r="BY221" s="72"/>
      <c r="BZ221" s="72"/>
      <c r="CA221" s="72"/>
      <c r="CB221" s="72"/>
      <c r="CC221" s="72"/>
      <c r="CD221" s="72"/>
      <c r="CE221" s="72"/>
      <c r="CF221" s="72"/>
      <c r="CG221" s="72"/>
      <c r="CH221" s="72"/>
    </row>
    <row r="222" ht="15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  <c r="AQ222" s="72"/>
      <c r="AR222" s="72"/>
      <c r="AS222" s="72"/>
      <c r="AT222" s="72"/>
      <c r="AU222" s="72"/>
      <c r="AV222" s="72"/>
      <c r="AW222" s="72"/>
      <c r="AX222" s="72"/>
      <c r="AY222" s="72"/>
      <c r="AZ222" s="72"/>
      <c r="BA222" s="72"/>
      <c r="BB222" s="72"/>
      <c r="BC222" s="72"/>
      <c r="BD222" s="72"/>
      <c r="BE222" s="72"/>
      <c r="BF222" s="72"/>
      <c r="BG222" s="72"/>
      <c r="BH222" s="72"/>
      <c r="BI222" s="72"/>
      <c r="BJ222" s="72"/>
      <c r="BK222" s="72"/>
      <c r="BL222" s="72"/>
      <c r="BM222" s="72"/>
      <c r="BN222" s="72"/>
      <c r="BO222" s="72"/>
      <c r="BP222" s="72"/>
      <c r="BQ222" s="72"/>
      <c r="BR222" s="72"/>
      <c r="BS222" s="72"/>
      <c r="BT222" s="72"/>
      <c r="BU222" s="72"/>
      <c r="BV222" s="72"/>
      <c r="BW222" s="72"/>
      <c r="BX222" s="72"/>
      <c r="BY222" s="72"/>
      <c r="BZ222" s="72"/>
      <c r="CA222" s="72"/>
      <c r="CB222" s="72"/>
      <c r="CC222" s="72"/>
      <c r="CD222" s="72"/>
      <c r="CE222" s="72"/>
      <c r="CF222" s="72"/>
      <c r="CG222" s="72"/>
      <c r="CH222" s="72"/>
    </row>
    <row r="223" ht="15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  <c r="AQ223" s="72"/>
      <c r="AR223" s="72"/>
      <c r="AS223" s="72"/>
      <c r="AT223" s="72"/>
      <c r="AU223" s="72"/>
      <c r="AV223" s="72"/>
      <c r="AW223" s="72"/>
      <c r="AX223" s="72"/>
      <c r="AY223" s="72"/>
      <c r="AZ223" s="72"/>
      <c r="BA223" s="72"/>
      <c r="BB223" s="72"/>
      <c r="BC223" s="72"/>
      <c r="BD223" s="72"/>
      <c r="BE223" s="72"/>
      <c r="BF223" s="72"/>
      <c r="BG223" s="72"/>
      <c r="BH223" s="72"/>
      <c r="BI223" s="72"/>
      <c r="BJ223" s="72"/>
      <c r="BK223" s="72"/>
      <c r="BL223" s="72"/>
      <c r="BM223" s="72"/>
      <c r="BN223" s="72"/>
      <c r="BO223" s="72"/>
      <c r="BP223" s="72"/>
      <c r="BQ223" s="72"/>
      <c r="BR223" s="72"/>
      <c r="BS223" s="72"/>
      <c r="BT223" s="72"/>
      <c r="BU223" s="72"/>
      <c r="BV223" s="72"/>
      <c r="BW223" s="72"/>
      <c r="BX223" s="72"/>
      <c r="BY223" s="72"/>
      <c r="BZ223" s="72"/>
      <c r="CA223" s="72"/>
      <c r="CB223" s="72"/>
      <c r="CC223" s="72"/>
      <c r="CD223" s="72"/>
      <c r="CE223" s="72"/>
      <c r="CF223" s="72"/>
      <c r="CG223" s="72"/>
      <c r="CH223" s="72"/>
    </row>
    <row r="224" ht="15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  <c r="AQ224" s="72"/>
      <c r="AR224" s="72"/>
      <c r="AS224" s="72"/>
      <c r="AT224" s="72"/>
      <c r="AU224" s="72"/>
      <c r="AV224" s="72"/>
      <c r="AW224" s="72"/>
      <c r="AX224" s="72"/>
      <c r="AY224" s="72"/>
      <c r="AZ224" s="72"/>
      <c r="BA224" s="72"/>
      <c r="BB224" s="72"/>
      <c r="BC224" s="72"/>
      <c r="BD224" s="72"/>
      <c r="BE224" s="72"/>
      <c r="BF224" s="72"/>
      <c r="BG224" s="72"/>
      <c r="BH224" s="72"/>
      <c r="BI224" s="72"/>
      <c r="BJ224" s="72"/>
      <c r="BK224" s="72"/>
      <c r="BL224" s="72"/>
      <c r="BM224" s="72"/>
      <c r="BN224" s="72"/>
      <c r="BO224" s="72"/>
      <c r="BP224" s="72"/>
      <c r="BQ224" s="72"/>
      <c r="BR224" s="72"/>
      <c r="BS224" s="72"/>
      <c r="BT224" s="72"/>
      <c r="BU224" s="72"/>
      <c r="BV224" s="72"/>
      <c r="BW224" s="72"/>
      <c r="BX224" s="72"/>
      <c r="BY224" s="72"/>
      <c r="BZ224" s="72"/>
      <c r="CA224" s="72"/>
      <c r="CB224" s="72"/>
      <c r="CC224" s="72"/>
      <c r="CD224" s="72"/>
      <c r="CE224" s="72"/>
      <c r="CF224" s="72"/>
      <c r="CG224" s="72"/>
      <c r="CH224" s="72"/>
    </row>
    <row r="225" ht="15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  <c r="AQ225" s="72"/>
      <c r="AR225" s="72"/>
      <c r="AS225" s="72"/>
      <c r="AT225" s="72"/>
      <c r="AU225" s="72"/>
      <c r="AV225" s="72"/>
      <c r="AW225" s="72"/>
      <c r="AX225" s="72"/>
      <c r="AY225" s="72"/>
      <c r="AZ225" s="72"/>
      <c r="BA225" s="72"/>
      <c r="BB225" s="72"/>
      <c r="BC225" s="72"/>
      <c r="BD225" s="72"/>
      <c r="BE225" s="72"/>
      <c r="BF225" s="72"/>
      <c r="BG225" s="72"/>
      <c r="BH225" s="72"/>
      <c r="BI225" s="72"/>
      <c r="BJ225" s="72"/>
      <c r="BK225" s="72"/>
      <c r="BL225" s="72"/>
      <c r="BM225" s="72"/>
      <c r="BN225" s="72"/>
      <c r="BO225" s="72"/>
      <c r="BP225" s="72"/>
      <c r="BQ225" s="72"/>
      <c r="BR225" s="72"/>
      <c r="BS225" s="72"/>
      <c r="BT225" s="72"/>
      <c r="BU225" s="72"/>
      <c r="BV225" s="72"/>
      <c r="BW225" s="72"/>
      <c r="BX225" s="72"/>
      <c r="BY225" s="72"/>
      <c r="BZ225" s="72"/>
      <c r="CA225" s="72"/>
      <c r="CB225" s="72"/>
      <c r="CC225" s="72"/>
      <c r="CD225" s="72"/>
      <c r="CE225" s="72"/>
      <c r="CF225" s="72"/>
      <c r="CG225" s="72"/>
      <c r="CH225" s="72"/>
    </row>
    <row r="226" ht="15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  <c r="AQ226" s="72"/>
      <c r="AR226" s="72"/>
      <c r="AS226" s="72"/>
      <c r="AT226" s="72"/>
      <c r="AU226" s="72"/>
      <c r="AV226" s="72"/>
      <c r="AW226" s="72"/>
      <c r="AX226" s="72"/>
      <c r="AY226" s="72"/>
      <c r="AZ226" s="72"/>
      <c r="BA226" s="72"/>
      <c r="BB226" s="72"/>
      <c r="BC226" s="72"/>
      <c r="BD226" s="72"/>
      <c r="BE226" s="72"/>
      <c r="BF226" s="72"/>
      <c r="BG226" s="72"/>
      <c r="BH226" s="72"/>
      <c r="BI226" s="72"/>
      <c r="BJ226" s="72"/>
      <c r="BK226" s="72"/>
      <c r="BL226" s="72"/>
      <c r="BM226" s="72"/>
      <c r="BN226" s="72"/>
      <c r="BO226" s="72"/>
      <c r="BP226" s="72"/>
      <c r="BQ226" s="72"/>
      <c r="BR226" s="72"/>
      <c r="BS226" s="72"/>
      <c r="BT226" s="72"/>
      <c r="BU226" s="72"/>
      <c r="BV226" s="72"/>
      <c r="BW226" s="72"/>
      <c r="BX226" s="72"/>
      <c r="BY226" s="72"/>
      <c r="BZ226" s="72"/>
      <c r="CA226" s="72"/>
      <c r="CB226" s="72"/>
      <c r="CC226" s="72"/>
      <c r="CD226" s="72"/>
      <c r="CE226" s="72"/>
      <c r="CF226" s="72"/>
      <c r="CG226" s="72"/>
      <c r="CH226" s="72"/>
    </row>
    <row r="227" ht="15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  <c r="AQ227" s="72"/>
      <c r="AR227" s="72"/>
      <c r="AS227" s="72"/>
      <c r="AT227" s="72"/>
      <c r="AU227" s="72"/>
      <c r="AV227" s="72"/>
      <c r="AW227" s="72"/>
      <c r="AX227" s="72"/>
      <c r="AY227" s="72"/>
      <c r="AZ227" s="72"/>
      <c r="BA227" s="72"/>
      <c r="BB227" s="72"/>
      <c r="BC227" s="72"/>
      <c r="BD227" s="72"/>
      <c r="BE227" s="72"/>
      <c r="BF227" s="72"/>
      <c r="BG227" s="72"/>
      <c r="BH227" s="72"/>
      <c r="BI227" s="72"/>
      <c r="BJ227" s="72"/>
      <c r="BK227" s="72"/>
      <c r="BL227" s="72"/>
      <c r="BM227" s="72"/>
      <c r="BN227" s="72"/>
      <c r="BO227" s="72"/>
      <c r="BP227" s="72"/>
      <c r="BQ227" s="72"/>
      <c r="BR227" s="72"/>
      <c r="BS227" s="72"/>
      <c r="BT227" s="72"/>
      <c r="BU227" s="72"/>
      <c r="BV227" s="72"/>
      <c r="BW227" s="72"/>
      <c r="BX227" s="72"/>
      <c r="BY227" s="72"/>
      <c r="BZ227" s="72"/>
      <c r="CA227" s="72"/>
      <c r="CB227" s="72"/>
      <c r="CC227" s="72"/>
      <c r="CD227" s="72"/>
      <c r="CE227" s="72"/>
      <c r="CF227" s="72"/>
      <c r="CG227" s="72"/>
      <c r="CH227" s="72"/>
    </row>
    <row r="228" ht="15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  <c r="AQ228" s="72"/>
      <c r="AR228" s="72"/>
      <c r="AS228" s="72"/>
      <c r="AT228" s="72"/>
      <c r="AU228" s="72"/>
      <c r="AV228" s="72"/>
      <c r="AW228" s="72"/>
      <c r="AX228" s="72"/>
      <c r="AY228" s="72"/>
      <c r="AZ228" s="72"/>
      <c r="BA228" s="72"/>
      <c r="BB228" s="72"/>
      <c r="BC228" s="72"/>
      <c r="BD228" s="72"/>
      <c r="BE228" s="72"/>
      <c r="BF228" s="72"/>
      <c r="BG228" s="72"/>
      <c r="BH228" s="72"/>
      <c r="BI228" s="72"/>
      <c r="BJ228" s="72"/>
      <c r="BK228" s="72"/>
      <c r="BL228" s="72"/>
      <c r="BM228" s="72"/>
      <c r="BN228" s="72"/>
      <c r="BO228" s="72"/>
      <c r="BP228" s="72"/>
      <c r="BQ228" s="72"/>
      <c r="BR228" s="72"/>
      <c r="BS228" s="72"/>
      <c r="BT228" s="72"/>
      <c r="BU228" s="72"/>
      <c r="BV228" s="72"/>
      <c r="BW228" s="72"/>
      <c r="BX228" s="72"/>
      <c r="BY228" s="72"/>
      <c r="BZ228" s="72"/>
      <c r="CA228" s="72"/>
      <c r="CB228" s="72"/>
      <c r="CC228" s="72"/>
      <c r="CD228" s="72"/>
      <c r="CE228" s="72"/>
      <c r="CF228" s="72"/>
      <c r="CG228" s="72"/>
      <c r="CH228" s="72"/>
    </row>
    <row r="229" ht="15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  <c r="AQ229" s="72"/>
      <c r="AR229" s="72"/>
      <c r="AS229" s="72"/>
      <c r="AT229" s="72"/>
      <c r="AU229" s="72"/>
      <c r="AV229" s="72"/>
      <c r="AW229" s="72"/>
      <c r="AX229" s="72"/>
      <c r="AY229" s="72"/>
      <c r="AZ229" s="72"/>
      <c r="BA229" s="72"/>
      <c r="BB229" s="72"/>
      <c r="BC229" s="72"/>
      <c r="BD229" s="72"/>
      <c r="BE229" s="72"/>
      <c r="BF229" s="72"/>
      <c r="BG229" s="72"/>
      <c r="BH229" s="72"/>
      <c r="BI229" s="72"/>
      <c r="BJ229" s="72"/>
      <c r="BK229" s="72"/>
      <c r="BL229" s="72"/>
      <c r="BM229" s="72"/>
      <c r="BN229" s="72"/>
      <c r="BO229" s="72"/>
      <c r="BP229" s="72"/>
      <c r="BQ229" s="72"/>
      <c r="BR229" s="72"/>
      <c r="BS229" s="72"/>
      <c r="BT229" s="72"/>
      <c r="BU229" s="72"/>
      <c r="BV229" s="72"/>
      <c r="BW229" s="72"/>
      <c r="BX229" s="72"/>
      <c r="BY229" s="72"/>
      <c r="BZ229" s="72"/>
      <c r="CA229" s="72"/>
      <c r="CB229" s="72"/>
      <c r="CC229" s="72"/>
      <c r="CD229" s="72"/>
      <c r="CE229" s="72"/>
      <c r="CF229" s="72"/>
      <c r="CG229" s="72"/>
      <c r="CH229" s="72"/>
    </row>
    <row r="230" ht="15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  <c r="AQ230" s="72"/>
      <c r="AR230" s="72"/>
      <c r="AS230" s="72"/>
      <c r="AT230" s="72"/>
      <c r="AU230" s="72"/>
      <c r="AV230" s="72"/>
      <c r="AW230" s="72"/>
      <c r="AX230" s="72"/>
      <c r="AY230" s="72"/>
      <c r="AZ230" s="72"/>
      <c r="BA230" s="72"/>
      <c r="BB230" s="72"/>
      <c r="BC230" s="72"/>
      <c r="BD230" s="72"/>
      <c r="BE230" s="72"/>
      <c r="BF230" s="72"/>
      <c r="BG230" s="72"/>
      <c r="BH230" s="72"/>
      <c r="BI230" s="72"/>
      <c r="BJ230" s="72"/>
      <c r="BK230" s="72"/>
      <c r="BL230" s="72"/>
      <c r="BM230" s="72"/>
      <c r="BN230" s="72"/>
      <c r="BO230" s="72"/>
      <c r="BP230" s="72"/>
      <c r="BQ230" s="72"/>
      <c r="BR230" s="72"/>
      <c r="BS230" s="72"/>
      <c r="BT230" s="72"/>
      <c r="BU230" s="72"/>
      <c r="BV230" s="72"/>
      <c r="BW230" s="72"/>
      <c r="BX230" s="72"/>
      <c r="BY230" s="72"/>
      <c r="BZ230" s="72"/>
      <c r="CA230" s="72"/>
      <c r="CB230" s="72"/>
      <c r="CC230" s="72"/>
      <c r="CD230" s="72"/>
      <c r="CE230" s="72"/>
      <c r="CF230" s="72"/>
      <c r="CG230" s="72"/>
      <c r="CH230" s="72"/>
    </row>
    <row r="231" ht="15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  <c r="AQ231" s="72"/>
      <c r="AR231" s="72"/>
      <c r="AS231" s="72"/>
      <c r="AT231" s="72"/>
      <c r="AU231" s="72"/>
      <c r="AV231" s="72"/>
      <c r="AW231" s="72"/>
      <c r="AX231" s="72"/>
      <c r="AY231" s="72"/>
      <c r="AZ231" s="72"/>
      <c r="BA231" s="72"/>
      <c r="BB231" s="72"/>
      <c r="BC231" s="72"/>
      <c r="BD231" s="72"/>
      <c r="BE231" s="72"/>
      <c r="BF231" s="72"/>
      <c r="BG231" s="72"/>
      <c r="BH231" s="72"/>
      <c r="BI231" s="72"/>
      <c r="BJ231" s="72"/>
      <c r="BK231" s="72"/>
      <c r="BL231" s="72"/>
      <c r="BM231" s="72"/>
      <c r="BN231" s="72"/>
      <c r="BO231" s="72"/>
      <c r="BP231" s="72"/>
      <c r="BQ231" s="72"/>
      <c r="BR231" s="72"/>
      <c r="BS231" s="72"/>
      <c r="BT231" s="72"/>
      <c r="BU231" s="72"/>
      <c r="BV231" s="72"/>
      <c r="BW231" s="72"/>
      <c r="BX231" s="72"/>
      <c r="BY231" s="72"/>
      <c r="BZ231" s="72"/>
      <c r="CA231" s="72"/>
      <c r="CB231" s="72"/>
      <c r="CC231" s="72"/>
      <c r="CD231" s="72"/>
      <c r="CE231" s="72"/>
      <c r="CF231" s="72"/>
      <c r="CG231" s="72"/>
      <c r="CH231" s="72"/>
    </row>
    <row r="232" ht="15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  <c r="AQ232" s="72"/>
      <c r="AR232" s="72"/>
      <c r="AS232" s="72"/>
      <c r="AT232" s="72"/>
      <c r="AU232" s="72"/>
      <c r="AV232" s="72"/>
      <c r="AW232" s="72"/>
      <c r="AX232" s="72"/>
      <c r="AY232" s="72"/>
      <c r="AZ232" s="72"/>
      <c r="BA232" s="72"/>
      <c r="BB232" s="72"/>
      <c r="BC232" s="72"/>
      <c r="BD232" s="72"/>
      <c r="BE232" s="72"/>
      <c r="BF232" s="72"/>
      <c r="BG232" s="72"/>
      <c r="BH232" s="72"/>
      <c r="BI232" s="72"/>
      <c r="BJ232" s="72"/>
      <c r="BK232" s="72"/>
      <c r="BL232" s="72"/>
      <c r="BM232" s="72"/>
      <c r="BN232" s="72"/>
      <c r="BO232" s="72"/>
      <c r="BP232" s="72"/>
      <c r="BQ232" s="72"/>
      <c r="BR232" s="72"/>
      <c r="BS232" s="72"/>
      <c r="BT232" s="72"/>
      <c r="BU232" s="72"/>
      <c r="BV232" s="72"/>
      <c r="BW232" s="72"/>
      <c r="BX232" s="72"/>
      <c r="BY232" s="72"/>
      <c r="BZ232" s="72"/>
      <c r="CA232" s="72"/>
      <c r="CB232" s="72"/>
      <c r="CC232" s="72"/>
      <c r="CD232" s="72"/>
      <c r="CE232" s="72"/>
      <c r="CF232" s="72"/>
      <c r="CG232" s="72"/>
      <c r="CH232" s="72"/>
    </row>
    <row r="233" ht="15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  <c r="AQ233" s="72"/>
      <c r="AR233" s="72"/>
      <c r="AS233" s="72"/>
      <c r="AT233" s="72"/>
      <c r="AU233" s="72"/>
      <c r="AV233" s="72"/>
      <c r="AW233" s="72"/>
      <c r="AX233" s="72"/>
      <c r="AY233" s="72"/>
      <c r="AZ233" s="72"/>
      <c r="BA233" s="72"/>
      <c r="BB233" s="72"/>
      <c r="BC233" s="72"/>
      <c r="BD233" s="72"/>
      <c r="BE233" s="72"/>
      <c r="BF233" s="72"/>
      <c r="BG233" s="72"/>
      <c r="BH233" s="72"/>
      <c r="BI233" s="72"/>
      <c r="BJ233" s="72"/>
      <c r="BK233" s="72"/>
      <c r="BL233" s="72"/>
      <c r="BM233" s="72"/>
      <c r="BN233" s="72"/>
      <c r="BO233" s="72"/>
      <c r="BP233" s="72"/>
      <c r="BQ233" s="72"/>
      <c r="BR233" s="72"/>
      <c r="BS233" s="72"/>
      <c r="BT233" s="72"/>
      <c r="BU233" s="72"/>
      <c r="BV233" s="72"/>
      <c r="BW233" s="72"/>
      <c r="BX233" s="72"/>
      <c r="BY233" s="72"/>
      <c r="BZ233" s="72"/>
      <c r="CA233" s="72"/>
      <c r="CB233" s="72"/>
      <c r="CC233" s="72"/>
      <c r="CD233" s="72"/>
      <c r="CE233" s="72"/>
      <c r="CF233" s="72"/>
      <c r="CG233" s="72"/>
      <c r="CH233" s="72"/>
    </row>
    <row r="234" ht="15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  <c r="AQ234" s="72"/>
      <c r="AR234" s="72"/>
      <c r="AS234" s="72"/>
      <c r="AT234" s="72"/>
      <c r="AU234" s="72"/>
      <c r="AV234" s="72"/>
      <c r="AW234" s="72"/>
      <c r="AX234" s="72"/>
      <c r="AY234" s="72"/>
      <c r="AZ234" s="72"/>
      <c r="BA234" s="72"/>
      <c r="BB234" s="72"/>
      <c r="BC234" s="72"/>
      <c r="BD234" s="72"/>
      <c r="BE234" s="72"/>
      <c r="BF234" s="72"/>
      <c r="BG234" s="72"/>
      <c r="BH234" s="72"/>
      <c r="BI234" s="72"/>
      <c r="BJ234" s="72"/>
      <c r="BK234" s="72"/>
      <c r="BL234" s="72"/>
      <c r="BM234" s="72"/>
      <c r="BN234" s="72"/>
      <c r="BO234" s="72"/>
      <c r="BP234" s="72"/>
      <c r="BQ234" s="72"/>
      <c r="BR234" s="72"/>
      <c r="BS234" s="72"/>
      <c r="BT234" s="72"/>
      <c r="BU234" s="72"/>
      <c r="BV234" s="72"/>
      <c r="BW234" s="72"/>
      <c r="BX234" s="72"/>
      <c r="BY234" s="72"/>
      <c r="BZ234" s="72"/>
      <c r="CA234" s="72"/>
      <c r="CB234" s="72"/>
      <c r="CC234" s="72"/>
      <c r="CD234" s="72"/>
      <c r="CE234" s="72"/>
      <c r="CF234" s="72"/>
      <c r="CG234" s="72"/>
      <c r="CH234" s="72"/>
    </row>
    <row r="235" ht="15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  <c r="AQ235" s="72"/>
      <c r="AR235" s="72"/>
      <c r="AS235" s="72"/>
      <c r="AT235" s="72"/>
      <c r="AU235" s="72"/>
      <c r="AV235" s="72"/>
      <c r="AW235" s="72"/>
      <c r="AX235" s="72"/>
      <c r="AY235" s="72"/>
      <c r="AZ235" s="72"/>
      <c r="BA235" s="72"/>
      <c r="BB235" s="72"/>
      <c r="BC235" s="72"/>
      <c r="BD235" s="72"/>
      <c r="BE235" s="72"/>
      <c r="BF235" s="72"/>
      <c r="BG235" s="72"/>
      <c r="BH235" s="72"/>
      <c r="BI235" s="72"/>
      <c r="BJ235" s="72"/>
      <c r="BK235" s="72"/>
      <c r="BL235" s="72"/>
      <c r="BM235" s="72"/>
      <c r="BN235" s="72"/>
      <c r="BO235" s="72"/>
      <c r="BP235" s="72"/>
      <c r="BQ235" s="72"/>
      <c r="BR235" s="72"/>
      <c r="BS235" s="72"/>
      <c r="BT235" s="72"/>
      <c r="BU235" s="72"/>
      <c r="BV235" s="72"/>
      <c r="BW235" s="72"/>
      <c r="BX235" s="72"/>
      <c r="BY235" s="72"/>
      <c r="BZ235" s="72"/>
      <c r="CA235" s="72"/>
      <c r="CB235" s="72"/>
      <c r="CC235" s="72"/>
      <c r="CD235" s="72"/>
      <c r="CE235" s="72"/>
      <c r="CF235" s="72"/>
      <c r="CG235" s="72"/>
      <c r="CH235" s="72"/>
    </row>
    <row r="236" ht="15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  <c r="AQ236" s="72"/>
      <c r="AR236" s="72"/>
      <c r="AS236" s="72"/>
      <c r="AT236" s="72"/>
      <c r="AU236" s="72"/>
      <c r="AV236" s="72"/>
      <c r="AW236" s="72"/>
      <c r="AX236" s="72"/>
      <c r="AY236" s="72"/>
      <c r="AZ236" s="72"/>
      <c r="BA236" s="72"/>
      <c r="BB236" s="72"/>
      <c r="BC236" s="72"/>
      <c r="BD236" s="72"/>
      <c r="BE236" s="72"/>
      <c r="BF236" s="72"/>
      <c r="BG236" s="72"/>
      <c r="BH236" s="72"/>
      <c r="BI236" s="72"/>
      <c r="BJ236" s="72"/>
      <c r="BK236" s="72"/>
      <c r="BL236" s="72"/>
      <c r="BM236" s="72"/>
      <c r="BN236" s="72"/>
      <c r="BO236" s="72"/>
      <c r="BP236" s="72"/>
      <c r="BQ236" s="72"/>
      <c r="BR236" s="72"/>
      <c r="BS236" s="72"/>
      <c r="BT236" s="72"/>
      <c r="BU236" s="72"/>
      <c r="BV236" s="72"/>
      <c r="BW236" s="72"/>
      <c r="BX236" s="72"/>
      <c r="BY236" s="72"/>
      <c r="BZ236" s="72"/>
      <c r="CA236" s="72"/>
      <c r="CB236" s="72"/>
      <c r="CC236" s="72"/>
      <c r="CD236" s="72"/>
      <c r="CE236" s="72"/>
      <c r="CF236" s="72"/>
      <c r="CG236" s="72"/>
      <c r="CH236" s="72"/>
    </row>
    <row r="237" ht="15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  <c r="AQ237" s="72"/>
      <c r="AR237" s="72"/>
      <c r="AS237" s="72"/>
      <c r="AT237" s="72"/>
      <c r="AU237" s="72"/>
      <c r="AV237" s="72"/>
      <c r="AW237" s="72"/>
      <c r="AX237" s="72"/>
      <c r="AY237" s="72"/>
      <c r="AZ237" s="72"/>
      <c r="BA237" s="72"/>
      <c r="BB237" s="72"/>
      <c r="BC237" s="72"/>
      <c r="BD237" s="72"/>
      <c r="BE237" s="72"/>
      <c r="BF237" s="72"/>
      <c r="BG237" s="72"/>
      <c r="BH237" s="72"/>
      <c r="BI237" s="72"/>
      <c r="BJ237" s="72"/>
      <c r="BK237" s="72"/>
      <c r="BL237" s="72"/>
      <c r="BM237" s="72"/>
      <c r="BN237" s="72"/>
      <c r="BO237" s="72"/>
      <c r="BP237" s="72"/>
      <c r="BQ237" s="72"/>
      <c r="BR237" s="72"/>
      <c r="BS237" s="72"/>
      <c r="BT237" s="72"/>
      <c r="BU237" s="72"/>
      <c r="BV237" s="72"/>
      <c r="BW237" s="72"/>
      <c r="BX237" s="72"/>
      <c r="BY237" s="72"/>
      <c r="BZ237" s="72"/>
      <c r="CA237" s="72"/>
      <c r="CB237" s="72"/>
      <c r="CC237" s="72"/>
      <c r="CD237" s="72"/>
      <c r="CE237" s="72"/>
      <c r="CF237" s="72"/>
      <c r="CG237" s="72"/>
      <c r="CH237" s="72"/>
    </row>
    <row r="238" ht="15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  <c r="AQ238" s="72"/>
      <c r="AR238" s="72"/>
      <c r="AS238" s="72"/>
      <c r="AT238" s="72"/>
      <c r="AU238" s="72"/>
      <c r="AV238" s="72"/>
      <c r="AW238" s="72"/>
      <c r="AX238" s="72"/>
      <c r="AY238" s="72"/>
      <c r="AZ238" s="72"/>
      <c r="BA238" s="72"/>
      <c r="BB238" s="72"/>
      <c r="BC238" s="72"/>
      <c r="BD238" s="72"/>
      <c r="BE238" s="72"/>
      <c r="BF238" s="72"/>
      <c r="BG238" s="72"/>
      <c r="BH238" s="72"/>
      <c r="BI238" s="72"/>
      <c r="BJ238" s="72"/>
      <c r="BK238" s="72"/>
      <c r="BL238" s="72"/>
      <c r="BM238" s="72"/>
      <c r="BN238" s="72"/>
      <c r="BO238" s="72"/>
      <c r="BP238" s="72"/>
      <c r="BQ238" s="72"/>
      <c r="BR238" s="72"/>
      <c r="BS238" s="72"/>
      <c r="BT238" s="72"/>
      <c r="BU238" s="72"/>
      <c r="BV238" s="72"/>
      <c r="BW238" s="72"/>
      <c r="BX238" s="72"/>
      <c r="BY238" s="72"/>
      <c r="BZ238" s="72"/>
      <c r="CA238" s="72"/>
      <c r="CB238" s="72"/>
      <c r="CC238" s="72"/>
      <c r="CD238" s="72"/>
      <c r="CE238" s="72"/>
      <c r="CF238" s="72"/>
      <c r="CG238" s="72"/>
      <c r="CH238" s="72"/>
    </row>
    <row r="239" ht="15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  <c r="AQ239" s="72"/>
      <c r="AR239" s="72"/>
      <c r="AS239" s="72"/>
      <c r="AT239" s="72"/>
      <c r="AU239" s="72"/>
      <c r="AV239" s="72"/>
      <c r="AW239" s="72"/>
      <c r="AX239" s="72"/>
      <c r="AY239" s="72"/>
      <c r="AZ239" s="72"/>
      <c r="BA239" s="72"/>
      <c r="BB239" s="72"/>
      <c r="BC239" s="72"/>
      <c r="BD239" s="72"/>
      <c r="BE239" s="72"/>
      <c r="BF239" s="72"/>
      <c r="BG239" s="72"/>
      <c r="BH239" s="72"/>
      <c r="BI239" s="72"/>
      <c r="BJ239" s="72"/>
      <c r="BK239" s="72"/>
      <c r="BL239" s="72"/>
      <c r="BM239" s="72"/>
      <c r="BN239" s="72"/>
      <c r="BO239" s="72"/>
      <c r="BP239" s="72"/>
      <c r="BQ239" s="72"/>
      <c r="BR239" s="72"/>
      <c r="BS239" s="72"/>
      <c r="BT239" s="72"/>
      <c r="BU239" s="72"/>
      <c r="BV239" s="72"/>
      <c r="BW239" s="72"/>
      <c r="BX239" s="72"/>
      <c r="BY239" s="72"/>
      <c r="BZ239" s="72"/>
      <c r="CA239" s="72"/>
      <c r="CB239" s="72"/>
      <c r="CC239" s="72"/>
      <c r="CD239" s="72"/>
      <c r="CE239" s="72"/>
      <c r="CF239" s="72"/>
      <c r="CG239" s="72"/>
      <c r="CH239" s="72"/>
    </row>
    <row r="240" ht="15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  <c r="AQ240" s="72"/>
      <c r="AR240" s="72"/>
      <c r="AS240" s="72"/>
      <c r="AT240" s="72"/>
      <c r="AU240" s="72"/>
      <c r="AV240" s="72"/>
      <c r="AW240" s="72"/>
      <c r="AX240" s="72"/>
      <c r="AY240" s="72"/>
      <c r="AZ240" s="72"/>
      <c r="BA240" s="72"/>
      <c r="BB240" s="72"/>
      <c r="BC240" s="72"/>
      <c r="BD240" s="72"/>
      <c r="BE240" s="72"/>
      <c r="BF240" s="72"/>
      <c r="BG240" s="72"/>
      <c r="BH240" s="72"/>
      <c r="BI240" s="72"/>
      <c r="BJ240" s="72"/>
      <c r="BK240" s="72"/>
      <c r="BL240" s="72"/>
      <c r="BM240" s="72"/>
      <c r="BN240" s="72"/>
      <c r="BO240" s="72"/>
      <c r="BP240" s="72"/>
      <c r="BQ240" s="72"/>
      <c r="BR240" s="72"/>
      <c r="BS240" s="72"/>
      <c r="BT240" s="72"/>
      <c r="BU240" s="72"/>
      <c r="BV240" s="72"/>
      <c r="BW240" s="72"/>
      <c r="BX240" s="72"/>
      <c r="BY240" s="72"/>
      <c r="BZ240" s="72"/>
      <c r="CA240" s="72"/>
      <c r="CB240" s="72"/>
      <c r="CC240" s="72"/>
      <c r="CD240" s="72"/>
      <c r="CE240" s="72"/>
      <c r="CF240" s="72"/>
      <c r="CG240" s="72"/>
      <c r="CH240" s="72"/>
    </row>
    <row r="241" ht="15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  <c r="AQ241" s="72"/>
      <c r="AR241" s="72"/>
      <c r="AS241" s="72"/>
      <c r="AT241" s="72"/>
      <c r="AU241" s="72"/>
      <c r="AV241" s="72"/>
      <c r="AW241" s="72"/>
      <c r="AX241" s="72"/>
      <c r="AY241" s="72"/>
      <c r="AZ241" s="72"/>
      <c r="BA241" s="72"/>
      <c r="BB241" s="72"/>
      <c r="BC241" s="72"/>
      <c r="BD241" s="72"/>
      <c r="BE241" s="72"/>
      <c r="BF241" s="72"/>
      <c r="BG241" s="72"/>
      <c r="BH241" s="72"/>
      <c r="BI241" s="72"/>
      <c r="BJ241" s="72"/>
      <c r="BK241" s="72"/>
      <c r="BL241" s="72"/>
      <c r="BM241" s="72"/>
      <c r="BN241" s="72"/>
      <c r="BO241" s="72"/>
      <c r="BP241" s="72"/>
      <c r="BQ241" s="72"/>
      <c r="BR241" s="72"/>
      <c r="BS241" s="72"/>
      <c r="BT241" s="72"/>
      <c r="BU241" s="72"/>
      <c r="BV241" s="72"/>
      <c r="BW241" s="72"/>
      <c r="BX241" s="72"/>
      <c r="BY241" s="72"/>
      <c r="BZ241" s="72"/>
      <c r="CA241" s="72"/>
      <c r="CB241" s="72"/>
      <c r="CC241" s="72"/>
      <c r="CD241" s="72"/>
      <c r="CE241" s="72"/>
      <c r="CF241" s="72"/>
      <c r="CG241" s="72"/>
      <c r="CH241" s="72"/>
    </row>
    <row r="242" ht="15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  <c r="AQ242" s="72"/>
      <c r="AR242" s="72"/>
      <c r="AS242" s="72"/>
      <c r="AT242" s="72"/>
      <c r="AU242" s="72"/>
      <c r="AV242" s="72"/>
      <c r="AW242" s="72"/>
      <c r="AX242" s="72"/>
      <c r="AY242" s="72"/>
      <c r="AZ242" s="72"/>
      <c r="BA242" s="72"/>
      <c r="BB242" s="72"/>
      <c r="BC242" s="72"/>
      <c r="BD242" s="72"/>
      <c r="BE242" s="72"/>
      <c r="BF242" s="72"/>
      <c r="BG242" s="72"/>
      <c r="BH242" s="72"/>
      <c r="BI242" s="72"/>
      <c r="BJ242" s="72"/>
      <c r="BK242" s="72"/>
      <c r="BL242" s="72"/>
      <c r="BM242" s="72"/>
      <c r="BN242" s="72"/>
      <c r="BO242" s="72"/>
      <c r="BP242" s="72"/>
      <c r="BQ242" s="72"/>
      <c r="BR242" s="72"/>
      <c r="BS242" s="72"/>
      <c r="BT242" s="72"/>
      <c r="BU242" s="72"/>
      <c r="BV242" s="72"/>
      <c r="BW242" s="72"/>
      <c r="BX242" s="72"/>
      <c r="BY242" s="72"/>
      <c r="BZ242" s="72"/>
      <c r="CA242" s="72"/>
      <c r="CB242" s="72"/>
      <c r="CC242" s="72"/>
      <c r="CD242" s="72"/>
      <c r="CE242" s="72"/>
      <c r="CF242" s="72"/>
      <c r="CG242" s="72"/>
      <c r="CH242" s="72"/>
    </row>
    <row r="243" ht="15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  <c r="AQ243" s="72"/>
      <c r="AR243" s="72"/>
      <c r="AS243" s="72"/>
      <c r="AT243" s="72"/>
      <c r="AU243" s="72"/>
      <c r="AV243" s="72"/>
      <c r="AW243" s="72"/>
      <c r="AX243" s="72"/>
      <c r="AY243" s="72"/>
      <c r="AZ243" s="72"/>
      <c r="BA243" s="72"/>
      <c r="BB243" s="72"/>
      <c r="BC243" s="72"/>
      <c r="BD243" s="72"/>
      <c r="BE243" s="72"/>
      <c r="BF243" s="72"/>
      <c r="BG243" s="72"/>
      <c r="BH243" s="72"/>
      <c r="BI243" s="72"/>
      <c r="BJ243" s="72"/>
      <c r="BK243" s="72"/>
      <c r="BL243" s="72"/>
      <c r="BM243" s="72"/>
      <c r="BN243" s="72"/>
      <c r="BO243" s="72"/>
      <c r="BP243" s="72"/>
      <c r="BQ243" s="72"/>
      <c r="BR243" s="72"/>
      <c r="BS243" s="72"/>
      <c r="BT243" s="72"/>
      <c r="BU243" s="72"/>
      <c r="BV243" s="72"/>
      <c r="BW243" s="72"/>
      <c r="BX243" s="72"/>
      <c r="BY243" s="72"/>
      <c r="BZ243" s="72"/>
      <c r="CA243" s="72"/>
      <c r="CB243" s="72"/>
      <c r="CC243" s="72"/>
      <c r="CD243" s="72"/>
      <c r="CE243" s="72"/>
      <c r="CF243" s="72"/>
      <c r="CG243" s="72"/>
      <c r="CH243" s="72"/>
    </row>
    <row r="244" ht="15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  <c r="AQ244" s="72"/>
      <c r="AR244" s="72"/>
      <c r="AS244" s="72"/>
      <c r="AT244" s="72"/>
      <c r="AU244" s="72"/>
      <c r="AV244" s="72"/>
      <c r="AW244" s="72"/>
      <c r="AX244" s="72"/>
      <c r="AY244" s="72"/>
      <c r="AZ244" s="72"/>
      <c r="BA244" s="72"/>
      <c r="BB244" s="72"/>
      <c r="BC244" s="72"/>
      <c r="BD244" s="72"/>
      <c r="BE244" s="72"/>
      <c r="BF244" s="72"/>
      <c r="BG244" s="72"/>
      <c r="BH244" s="72"/>
      <c r="BI244" s="72"/>
      <c r="BJ244" s="72"/>
      <c r="BK244" s="72"/>
      <c r="BL244" s="72"/>
      <c r="BM244" s="72"/>
      <c r="BN244" s="72"/>
      <c r="BO244" s="72"/>
      <c r="BP244" s="72"/>
      <c r="BQ244" s="72"/>
      <c r="BR244" s="72"/>
      <c r="BS244" s="72"/>
      <c r="BT244" s="72"/>
      <c r="BU244" s="72"/>
      <c r="BV244" s="72"/>
      <c r="BW244" s="72"/>
      <c r="BX244" s="72"/>
      <c r="BY244" s="72"/>
      <c r="BZ244" s="72"/>
      <c r="CA244" s="72"/>
      <c r="CB244" s="72"/>
      <c r="CC244" s="72"/>
      <c r="CD244" s="72"/>
      <c r="CE244" s="72"/>
      <c r="CF244" s="72"/>
      <c r="CG244" s="72"/>
      <c r="CH244" s="72"/>
    </row>
    <row r="245" ht="15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  <c r="AQ245" s="72"/>
      <c r="AR245" s="72"/>
      <c r="AS245" s="72"/>
      <c r="AT245" s="72"/>
      <c r="AU245" s="72"/>
      <c r="AV245" s="72"/>
      <c r="AW245" s="72"/>
      <c r="AX245" s="72"/>
      <c r="AY245" s="72"/>
      <c r="AZ245" s="72"/>
      <c r="BA245" s="72"/>
      <c r="BB245" s="72"/>
      <c r="BC245" s="72"/>
      <c r="BD245" s="72"/>
      <c r="BE245" s="72"/>
      <c r="BF245" s="72"/>
      <c r="BG245" s="72"/>
      <c r="BH245" s="72"/>
      <c r="BI245" s="72"/>
      <c r="BJ245" s="72"/>
      <c r="BK245" s="72"/>
      <c r="BL245" s="72"/>
      <c r="BM245" s="72"/>
      <c r="BN245" s="72"/>
      <c r="BO245" s="72"/>
      <c r="BP245" s="72"/>
      <c r="BQ245" s="72"/>
      <c r="BR245" s="72"/>
      <c r="BS245" s="72"/>
      <c r="BT245" s="72"/>
      <c r="BU245" s="72"/>
      <c r="BV245" s="72"/>
      <c r="BW245" s="72"/>
      <c r="BX245" s="72"/>
      <c r="BY245" s="72"/>
      <c r="BZ245" s="72"/>
      <c r="CA245" s="72"/>
      <c r="CB245" s="72"/>
      <c r="CC245" s="72"/>
      <c r="CD245" s="72"/>
      <c r="CE245" s="72"/>
      <c r="CF245" s="72"/>
      <c r="CG245" s="72"/>
      <c r="CH245" s="72"/>
    </row>
    <row r="246" ht="15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  <c r="AQ246" s="72"/>
      <c r="AR246" s="72"/>
      <c r="AS246" s="72"/>
      <c r="AT246" s="72"/>
      <c r="AU246" s="72"/>
      <c r="AV246" s="72"/>
      <c r="AW246" s="72"/>
      <c r="AX246" s="72"/>
      <c r="AY246" s="72"/>
      <c r="AZ246" s="72"/>
      <c r="BA246" s="72"/>
      <c r="BB246" s="72"/>
      <c r="BC246" s="72"/>
      <c r="BD246" s="72"/>
      <c r="BE246" s="72"/>
      <c r="BF246" s="72"/>
      <c r="BG246" s="72"/>
      <c r="BH246" s="72"/>
      <c r="BI246" s="72"/>
      <c r="BJ246" s="72"/>
      <c r="BK246" s="72"/>
      <c r="BL246" s="72"/>
      <c r="BM246" s="72"/>
      <c r="BN246" s="72"/>
      <c r="BO246" s="72"/>
      <c r="BP246" s="72"/>
      <c r="BQ246" s="72"/>
      <c r="BR246" s="72"/>
      <c r="BS246" s="72"/>
      <c r="BT246" s="72"/>
      <c r="BU246" s="72"/>
      <c r="BV246" s="72"/>
      <c r="BW246" s="72"/>
      <c r="BX246" s="72"/>
      <c r="BY246" s="72"/>
      <c r="BZ246" s="72"/>
      <c r="CA246" s="72"/>
      <c r="CB246" s="72"/>
      <c r="CC246" s="72"/>
      <c r="CD246" s="72"/>
      <c r="CE246" s="72"/>
      <c r="CF246" s="72"/>
      <c r="CG246" s="72"/>
      <c r="CH246" s="72"/>
    </row>
    <row r="247" ht="15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  <c r="AR247" s="72"/>
      <c r="AS247" s="72"/>
      <c r="AT247" s="72"/>
      <c r="AU247" s="72"/>
      <c r="AV247" s="72"/>
      <c r="AW247" s="72"/>
      <c r="AX247" s="72"/>
      <c r="AY247" s="72"/>
      <c r="AZ247" s="72"/>
      <c r="BA247" s="72"/>
      <c r="BB247" s="72"/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  <c r="BM247" s="72"/>
      <c r="BN247" s="72"/>
      <c r="BO247" s="72"/>
      <c r="BP247" s="72"/>
      <c r="BQ247" s="72"/>
      <c r="BR247" s="72"/>
      <c r="BS247" s="72"/>
      <c r="BT247" s="72"/>
      <c r="BU247" s="72"/>
      <c r="BV247" s="72"/>
      <c r="BW247" s="72"/>
      <c r="BX247" s="72"/>
      <c r="BY247" s="72"/>
      <c r="BZ247" s="72"/>
      <c r="CA247" s="72"/>
      <c r="CB247" s="72"/>
      <c r="CC247" s="72"/>
      <c r="CD247" s="72"/>
      <c r="CE247" s="72"/>
      <c r="CF247" s="72"/>
      <c r="CG247" s="72"/>
      <c r="CH247" s="72"/>
    </row>
    <row r="248" ht="15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  <c r="AQ248" s="72"/>
      <c r="AR248" s="72"/>
      <c r="AS248" s="72"/>
      <c r="AT248" s="72"/>
      <c r="AU248" s="72"/>
      <c r="AV248" s="72"/>
      <c r="AW248" s="72"/>
      <c r="AX248" s="72"/>
      <c r="AY248" s="72"/>
      <c r="AZ248" s="72"/>
      <c r="BA248" s="72"/>
      <c r="BB248" s="72"/>
      <c r="BC248" s="72"/>
      <c r="BD248" s="72"/>
      <c r="BE248" s="72"/>
      <c r="BF248" s="72"/>
      <c r="BG248" s="72"/>
      <c r="BH248" s="72"/>
      <c r="BI248" s="72"/>
      <c r="BJ248" s="72"/>
      <c r="BK248" s="72"/>
      <c r="BL248" s="72"/>
      <c r="BM248" s="72"/>
      <c r="BN248" s="72"/>
      <c r="BO248" s="72"/>
      <c r="BP248" s="72"/>
      <c r="BQ248" s="72"/>
      <c r="BR248" s="72"/>
      <c r="BS248" s="72"/>
      <c r="BT248" s="72"/>
      <c r="BU248" s="72"/>
      <c r="BV248" s="72"/>
      <c r="BW248" s="72"/>
      <c r="BX248" s="72"/>
      <c r="BY248" s="72"/>
      <c r="BZ248" s="72"/>
      <c r="CA248" s="72"/>
      <c r="CB248" s="72"/>
      <c r="CC248" s="72"/>
      <c r="CD248" s="72"/>
      <c r="CE248" s="72"/>
      <c r="CF248" s="72"/>
      <c r="CG248" s="72"/>
      <c r="CH248" s="72"/>
    </row>
    <row r="249" ht="15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  <c r="AQ249" s="72"/>
      <c r="AR249" s="72"/>
      <c r="AS249" s="72"/>
      <c r="AT249" s="72"/>
      <c r="AU249" s="72"/>
      <c r="AV249" s="72"/>
      <c r="AW249" s="72"/>
      <c r="AX249" s="72"/>
      <c r="AY249" s="72"/>
      <c r="AZ249" s="72"/>
      <c r="BA249" s="72"/>
      <c r="BB249" s="72"/>
      <c r="BC249" s="72"/>
      <c r="BD249" s="72"/>
      <c r="BE249" s="72"/>
      <c r="BF249" s="72"/>
      <c r="BG249" s="72"/>
      <c r="BH249" s="72"/>
      <c r="BI249" s="72"/>
      <c r="BJ249" s="72"/>
      <c r="BK249" s="72"/>
      <c r="BL249" s="72"/>
      <c r="BM249" s="72"/>
      <c r="BN249" s="72"/>
      <c r="BO249" s="72"/>
      <c r="BP249" s="72"/>
      <c r="BQ249" s="72"/>
      <c r="BR249" s="72"/>
      <c r="BS249" s="72"/>
      <c r="BT249" s="72"/>
      <c r="BU249" s="72"/>
      <c r="BV249" s="72"/>
      <c r="BW249" s="72"/>
      <c r="BX249" s="72"/>
      <c r="BY249" s="72"/>
      <c r="BZ249" s="72"/>
      <c r="CA249" s="72"/>
      <c r="CB249" s="72"/>
      <c r="CC249" s="72"/>
      <c r="CD249" s="72"/>
      <c r="CE249" s="72"/>
      <c r="CF249" s="72"/>
      <c r="CG249" s="72"/>
      <c r="CH249" s="72"/>
    </row>
    <row r="250" ht="15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  <c r="AQ250" s="72"/>
      <c r="AR250" s="72"/>
      <c r="AS250" s="72"/>
      <c r="AT250" s="72"/>
      <c r="AU250" s="72"/>
      <c r="AV250" s="72"/>
      <c r="AW250" s="72"/>
      <c r="AX250" s="72"/>
      <c r="AY250" s="72"/>
      <c r="AZ250" s="72"/>
      <c r="BA250" s="72"/>
      <c r="BB250" s="72"/>
      <c r="BC250" s="72"/>
      <c r="BD250" s="72"/>
      <c r="BE250" s="72"/>
      <c r="BF250" s="72"/>
      <c r="BG250" s="72"/>
      <c r="BH250" s="72"/>
      <c r="BI250" s="72"/>
      <c r="BJ250" s="72"/>
      <c r="BK250" s="72"/>
      <c r="BL250" s="72"/>
      <c r="BM250" s="72"/>
      <c r="BN250" s="72"/>
      <c r="BO250" s="72"/>
      <c r="BP250" s="72"/>
      <c r="BQ250" s="72"/>
      <c r="BR250" s="72"/>
      <c r="BS250" s="72"/>
      <c r="BT250" s="72"/>
      <c r="BU250" s="72"/>
      <c r="BV250" s="72"/>
      <c r="BW250" s="72"/>
      <c r="BX250" s="72"/>
      <c r="BY250" s="72"/>
      <c r="BZ250" s="72"/>
      <c r="CA250" s="72"/>
      <c r="CB250" s="72"/>
      <c r="CC250" s="72"/>
      <c r="CD250" s="72"/>
      <c r="CE250" s="72"/>
      <c r="CF250" s="72"/>
      <c r="CG250" s="72"/>
      <c r="CH250" s="72"/>
    </row>
    <row r="251" ht="15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  <c r="AQ251" s="72"/>
      <c r="AR251" s="72"/>
      <c r="AS251" s="72"/>
      <c r="AT251" s="72"/>
      <c r="AU251" s="72"/>
      <c r="AV251" s="72"/>
      <c r="AW251" s="72"/>
      <c r="AX251" s="72"/>
      <c r="AY251" s="72"/>
      <c r="AZ251" s="72"/>
      <c r="BA251" s="72"/>
      <c r="BB251" s="72"/>
      <c r="BC251" s="72"/>
      <c r="BD251" s="72"/>
      <c r="BE251" s="72"/>
      <c r="BF251" s="72"/>
      <c r="BG251" s="72"/>
      <c r="BH251" s="72"/>
      <c r="BI251" s="72"/>
      <c r="BJ251" s="72"/>
      <c r="BK251" s="72"/>
      <c r="BL251" s="72"/>
      <c r="BM251" s="72"/>
      <c r="BN251" s="72"/>
      <c r="BO251" s="72"/>
      <c r="BP251" s="72"/>
      <c r="BQ251" s="72"/>
      <c r="BR251" s="72"/>
      <c r="BS251" s="72"/>
      <c r="BT251" s="72"/>
      <c r="BU251" s="72"/>
      <c r="BV251" s="72"/>
      <c r="BW251" s="72"/>
      <c r="BX251" s="72"/>
      <c r="BY251" s="72"/>
      <c r="BZ251" s="72"/>
      <c r="CA251" s="72"/>
      <c r="CB251" s="72"/>
      <c r="CC251" s="72"/>
      <c r="CD251" s="72"/>
      <c r="CE251" s="72"/>
      <c r="CF251" s="72"/>
      <c r="CG251" s="72"/>
      <c r="CH251" s="72"/>
    </row>
    <row r="252" ht="15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  <c r="AQ252" s="72"/>
      <c r="AR252" s="72"/>
      <c r="AS252" s="72"/>
      <c r="AT252" s="72"/>
      <c r="AU252" s="72"/>
      <c r="AV252" s="72"/>
      <c r="AW252" s="72"/>
      <c r="AX252" s="72"/>
      <c r="AY252" s="72"/>
      <c r="AZ252" s="72"/>
      <c r="BA252" s="72"/>
      <c r="BB252" s="72"/>
      <c r="BC252" s="72"/>
      <c r="BD252" s="72"/>
      <c r="BE252" s="72"/>
      <c r="BF252" s="72"/>
      <c r="BG252" s="72"/>
      <c r="BH252" s="72"/>
      <c r="BI252" s="72"/>
      <c r="BJ252" s="72"/>
      <c r="BK252" s="72"/>
      <c r="BL252" s="72"/>
      <c r="BM252" s="72"/>
      <c r="BN252" s="72"/>
      <c r="BO252" s="72"/>
      <c r="BP252" s="72"/>
      <c r="BQ252" s="72"/>
      <c r="BR252" s="72"/>
      <c r="BS252" s="72"/>
      <c r="BT252" s="72"/>
      <c r="BU252" s="72"/>
      <c r="BV252" s="72"/>
      <c r="BW252" s="72"/>
      <c r="BX252" s="72"/>
      <c r="BY252" s="72"/>
      <c r="BZ252" s="72"/>
      <c r="CA252" s="72"/>
      <c r="CB252" s="72"/>
      <c r="CC252" s="72"/>
      <c r="CD252" s="72"/>
      <c r="CE252" s="72"/>
      <c r="CF252" s="72"/>
      <c r="CG252" s="72"/>
      <c r="CH252" s="72"/>
    </row>
    <row r="253" ht="15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  <c r="AQ253" s="72"/>
      <c r="AR253" s="72"/>
      <c r="AS253" s="72"/>
      <c r="AT253" s="72"/>
      <c r="AU253" s="72"/>
      <c r="AV253" s="72"/>
      <c r="AW253" s="72"/>
      <c r="AX253" s="72"/>
      <c r="AY253" s="72"/>
      <c r="AZ253" s="72"/>
      <c r="BA253" s="72"/>
      <c r="BB253" s="72"/>
      <c r="BC253" s="72"/>
      <c r="BD253" s="72"/>
      <c r="BE253" s="72"/>
      <c r="BF253" s="72"/>
      <c r="BG253" s="72"/>
      <c r="BH253" s="72"/>
      <c r="BI253" s="72"/>
      <c r="BJ253" s="72"/>
      <c r="BK253" s="72"/>
      <c r="BL253" s="72"/>
      <c r="BM253" s="72"/>
      <c r="BN253" s="72"/>
      <c r="BO253" s="72"/>
      <c r="BP253" s="72"/>
      <c r="BQ253" s="72"/>
      <c r="BR253" s="72"/>
      <c r="BS253" s="72"/>
      <c r="BT253" s="72"/>
      <c r="BU253" s="72"/>
      <c r="BV253" s="72"/>
      <c r="BW253" s="72"/>
      <c r="BX253" s="72"/>
      <c r="BY253" s="72"/>
      <c r="BZ253" s="72"/>
      <c r="CA253" s="72"/>
      <c r="CB253" s="72"/>
      <c r="CC253" s="72"/>
      <c r="CD253" s="72"/>
      <c r="CE253" s="72"/>
      <c r="CF253" s="72"/>
      <c r="CG253" s="72"/>
      <c r="CH253" s="72"/>
    </row>
    <row r="254" ht="15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  <c r="AQ254" s="72"/>
      <c r="AR254" s="72"/>
      <c r="AS254" s="72"/>
      <c r="AT254" s="72"/>
      <c r="AU254" s="72"/>
      <c r="AV254" s="72"/>
      <c r="AW254" s="72"/>
      <c r="AX254" s="72"/>
      <c r="AY254" s="72"/>
      <c r="AZ254" s="72"/>
      <c r="BA254" s="72"/>
      <c r="BB254" s="72"/>
      <c r="BC254" s="72"/>
      <c r="BD254" s="72"/>
      <c r="BE254" s="72"/>
      <c r="BF254" s="72"/>
      <c r="BG254" s="72"/>
      <c r="BH254" s="72"/>
      <c r="BI254" s="72"/>
      <c r="BJ254" s="72"/>
      <c r="BK254" s="72"/>
      <c r="BL254" s="72"/>
      <c r="BM254" s="72"/>
      <c r="BN254" s="72"/>
      <c r="BO254" s="72"/>
      <c r="BP254" s="72"/>
      <c r="BQ254" s="72"/>
      <c r="BR254" s="72"/>
      <c r="BS254" s="72"/>
      <c r="BT254" s="72"/>
      <c r="BU254" s="72"/>
      <c r="BV254" s="72"/>
      <c r="BW254" s="72"/>
      <c r="BX254" s="72"/>
      <c r="BY254" s="72"/>
      <c r="BZ254" s="72"/>
      <c r="CA254" s="72"/>
      <c r="CB254" s="72"/>
      <c r="CC254" s="72"/>
      <c r="CD254" s="72"/>
      <c r="CE254" s="72"/>
      <c r="CF254" s="72"/>
      <c r="CG254" s="72"/>
      <c r="CH254" s="72"/>
    </row>
    <row r="255" ht="15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  <c r="AQ255" s="72"/>
      <c r="AR255" s="72"/>
      <c r="AS255" s="72"/>
      <c r="AT255" s="72"/>
      <c r="AU255" s="72"/>
      <c r="AV255" s="72"/>
      <c r="AW255" s="72"/>
      <c r="AX255" s="72"/>
      <c r="AY255" s="72"/>
      <c r="AZ255" s="72"/>
      <c r="BA255" s="72"/>
      <c r="BB255" s="72"/>
      <c r="BC255" s="72"/>
      <c r="BD255" s="72"/>
      <c r="BE255" s="72"/>
      <c r="BF255" s="72"/>
      <c r="BG255" s="72"/>
      <c r="BH255" s="72"/>
      <c r="BI255" s="72"/>
      <c r="BJ255" s="72"/>
      <c r="BK255" s="72"/>
      <c r="BL255" s="72"/>
      <c r="BM255" s="72"/>
      <c r="BN255" s="72"/>
      <c r="BO255" s="72"/>
      <c r="BP255" s="72"/>
      <c r="BQ255" s="72"/>
      <c r="BR255" s="72"/>
      <c r="BS255" s="72"/>
      <c r="BT255" s="72"/>
      <c r="BU255" s="72"/>
      <c r="BV255" s="72"/>
      <c r="BW255" s="72"/>
      <c r="BX255" s="72"/>
      <c r="BY255" s="72"/>
      <c r="BZ255" s="72"/>
      <c r="CA255" s="72"/>
      <c r="CB255" s="72"/>
      <c r="CC255" s="72"/>
      <c r="CD255" s="72"/>
      <c r="CE255" s="72"/>
      <c r="CF255" s="72"/>
      <c r="CG255" s="72"/>
      <c r="CH255" s="72"/>
    </row>
    <row r="256" ht="15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  <c r="AQ256" s="72"/>
      <c r="AR256" s="72"/>
      <c r="AS256" s="72"/>
      <c r="AT256" s="72"/>
      <c r="AU256" s="72"/>
      <c r="AV256" s="72"/>
      <c r="AW256" s="72"/>
      <c r="AX256" s="72"/>
      <c r="AY256" s="72"/>
      <c r="AZ256" s="72"/>
      <c r="BA256" s="72"/>
      <c r="BB256" s="72"/>
      <c r="BC256" s="72"/>
      <c r="BD256" s="72"/>
      <c r="BE256" s="72"/>
      <c r="BF256" s="72"/>
      <c r="BG256" s="72"/>
      <c r="BH256" s="72"/>
      <c r="BI256" s="72"/>
      <c r="BJ256" s="72"/>
      <c r="BK256" s="72"/>
      <c r="BL256" s="72"/>
      <c r="BM256" s="72"/>
      <c r="BN256" s="72"/>
      <c r="BO256" s="72"/>
      <c r="BP256" s="72"/>
      <c r="BQ256" s="72"/>
      <c r="BR256" s="72"/>
      <c r="BS256" s="72"/>
      <c r="BT256" s="72"/>
      <c r="BU256" s="72"/>
      <c r="BV256" s="72"/>
      <c r="BW256" s="72"/>
      <c r="BX256" s="72"/>
      <c r="BY256" s="72"/>
      <c r="BZ256" s="72"/>
      <c r="CA256" s="72"/>
      <c r="CB256" s="72"/>
      <c r="CC256" s="72"/>
      <c r="CD256" s="72"/>
      <c r="CE256" s="72"/>
      <c r="CF256" s="72"/>
      <c r="CG256" s="72"/>
      <c r="CH256" s="72"/>
    </row>
    <row r="257" ht="15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  <c r="AQ257" s="72"/>
      <c r="AR257" s="72"/>
      <c r="AS257" s="72"/>
      <c r="AT257" s="72"/>
      <c r="AU257" s="72"/>
      <c r="AV257" s="72"/>
      <c r="AW257" s="72"/>
      <c r="AX257" s="72"/>
      <c r="AY257" s="72"/>
      <c r="AZ257" s="72"/>
      <c r="BA257" s="72"/>
      <c r="BB257" s="72"/>
      <c r="BC257" s="72"/>
      <c r="BD257" s="72"/>
      <c r="BE257" s="72"/>
      <c r="BF257" s="72"/>
      <c r="BG257" s="72"/>
      <c r="BH257" s="72"/>
      <c r="BI257" s="72"/>
      <c r="BJ257" s="72"/>
      <c r="BK257" s="72"/>
      <c r="BL257" s="72"/>
      <c r="BM257" s="72"/>
      <c r="BN257" s="72"/>
      <c r="BO257" s="72"/>
      <c r="BP257" s="72"/>
      <c r="BQ257" s="72"/>
      <c r="BR257" s="72"/>
      <c r="BS257" s="72"/>
      <c r="BT257" s="72"/>
      <c r="BU257" s="72"/>
      <c r="BV257" s="72"/>
      <c r="BW257" s="72"/>
      <c r="BX257" s="72"/>
      <c r="BY257" s="72"/>
      <c r="BZ257" s="72"/>
      <c r="CA257" s="72"/>
      <c r="CB257" s="72"/>
      <c r="CC257" s="72"/>
      <c r="CD257" s="72"/>
      <c r="CE257" s="72"/>
      <c r="CF257" s="72"/>
      <c r="CG257" s="72"/>
      <c r="CH257" s="72"/>
    </row>
    <row r="258" ht="15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  <c r="AQ258" s="72"/>
      <c r="AR258" s="72"/>
      <c r="AS258" s="72"/>
      <c r="AT258" s="72"/>
      <c r="AU258" s="72"/>
      <c r="AV258" s="72"/>
      <c r="AW258" s="72"/>
      <c r="AX258" s="72"/>
      <c r="AY258" s="72"/>
      <c r="AZ258" s="72"/>
      <c r="BA258" s="72"/>
      <c r="BB258" s="72"/>
      <c r="BC258" s="72"/>
      <c r="BD258" s="72"/>
      <c r="BE258" s="72"/>
      <c r="BF258" s="72"/>
      <c r="BG258" s="72"/>
      <c r="BH258" s="72"/>
      <c r="BI258" s="72"/>
      <c r="BJ258" s="72"/>
      <c r="BK258" s="72"/>
      <c r="BL258" s="72"/>
      <c r="BM258" s="72"/>
      <c r="BN258" s="72"/>
      <c r="BO258" s="72"/>
      <c r="BP258" s="72"/>
      <c r="BQ258" s="72"/>
      <c r="BR258" s="72"/>
      <c r="BS258" s="72"/>
      <c r="BT258" s="72"/>
      <c r="BU258" s="72"/>
      <c r="BV258" s="72"/>
      <c r="BW258" s="72"/>
      <c r="BX258" s="72"/>
      <c r="BY258" s="72"/>
      <c r="BZ258" s="72"/>
      <c r="CA258" s="72"/>
      <c r="CB258" s="72"/>
      <c r="CC258" s="72"/>
      <c r="CD258" s="72"/>
      <c r="CE258" s="72"/>
      <c r="CF258" s="72"/>
      <c r="CG258" s="72"/>
      <c r="CH258" s="72"/>
    </row>
    <row r="259" ht="15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  <c r="AQ259" s="72"/>
      <c r="AR259" s="72"/>
      <c r="AS259" s="72"/>
      <c r="AT259" s="72"/>
      <c r="AU259" s="72"/>
      <c r="AV259" s="72"/>
      <c r="AW259" s="72"/>
      <c r="AX259" s="72"/>
      <c r="AY259" s="72"/>
      <c r="AZ259" s="72"/>
      <c r="BA259" s="72"/>
      <c r="BB259" s="72"/>
      <c r="BC259" s="72"/>
      <c r="BD259" s="72"/>
      <c r="BE259" s="72"/>
      <c r="BF259" s="72"/>
      <c r="BG259" s="72"/>
      <c r="BH259" s="72"/>
      <c r="BI259" s="72"/>
      <c r="BJ259" s="72"/>
      <c r="BK259" s="72"/>
      <c r="BL259" s="72"/>
      <c r="BM259" s="72"/>
      <c r="BN259" s="72"/>
      <c r="BO259" s="72"/>
      <c r="BP259" s="72"/>
      <c r="BQ259" s="72"/>
      <c r="BR259" s="72"/>
      <c r="BS259" s="72"/>
      <c r="BT259" s="72"/>
      <c r="BU259" s="72"/>
      <c r="BV259" s="72"/>
      <c r="BW259" s="72"/>
      <c r="BX259" s="72"/>
      <c r="BY259" s="72"/>
      <c r="BZ259" s="72"/>
      <c r="CA259" s="72"/>
      <c r="CB259" s="72"/>
      <c r="CC259" s="72"/>
      <c r="CD259" s="72"/>
      <c r="CE259" s="72"/>
      <c r="CF259" s="72"/>
      <c r="CG259" s="72"/>
      <c r="CH259" s="72"/>
    </row>
    <row r="260" ht="15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  <c r="AQ260" s="72"/>
      <c r="AR260" s="72"/>
      <c r="AS260" s="72"/>
      <c r="AT260" s="72"/>
      <c r="AU260" s="72"/>
      <c r="AV260" s="72"/>
      <c r="AW260" s="72"/>
      <c r="AX260" s="72"/>
      <c r="AY260" s="72"/>
      <c r="AZ260" s="72"/>
      <c r="BA260" s="72"/>
      <c r="BB260" s="72"/>
      <c r="BC260" s="72"/>
      <c r="BD260" s="72"/>
      <c r="BE260" s="72"/>
      <c r="BF260" s="72"/>
      <c r="BG260" s="72"/>
      <c r="BH260" s="72"/>
      <c r="BI260" s="72"/>
      <c r="BJ260" s="72"/>
      <c r="BK260" s="72"/>
      <c r="BL260" s="72"/>
      <c r="BM260" s="72"/>
      <c r="BN260" s="72"/>
      <c r="BO260" s="72"/>
      <c r="BP260" s="72"/>
      <c r="BQ260" s="72"/>
      <c r="BR260" s="72"/>
      <c r="BS260" s="72"/>
      <c r="BT260" s="72"/>
      <c r="BU260" s="72"/>
      <c r="BV260" s="72"/>
      <c r="BW260" s="72"/>
      <c r="BX260" s="72"/>
      <c r="BY260" s="72"/>
      <c r="BZ260" s="72"/>
      <c r="CA260" s="72"/>
      <c r="CB260" s="72"/>
      <c r="CC260" s="72"/>
      <c r="CD260" s="72"/>
      <c r="CE260" s="72"/>
      <c r="CF260" s="72"/>
      <c r="CG260" s="72"/>
      <c r="CH260" s="72"/>
    </row>
    <row r="261" ht="15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  <c r="AQ261" s="72"/>
      <c r="AR261" s="72"/>
      <c r="AS261" s="72"/>
      <c r="AT261" s="72"/>
      <c r="AU261" s="72"/>
      <c r="AV261" s="72"/>
      <c r="AW261" s="72"/>
      <c r="AX261" s="72"/>
      <c r="AY261" s="72"/>
      <c r="AZ261" s="72"/>
      <c r="BA261" s="72"/>
      <c r="BB261" s="72"/>
      <c r="BC261" s="72"/>
      <c r="BD261" s="72"/>
      <c r="BE261" s="72"/>
      <c r="BF261" s="72"/>
      <c r="BG261" s="72"/>
      <c r="BH261" s="72"/>
      <c r="BI261" s="72"/>
      <c r="BJ261" s="72"/>
      <c r="BK261" s="72"/>
      <c r="BL261" s="72"/>
      <c r="BM261" s="72"/>
      <c r="BN261" s="72"/>
      <c r="BO261" s="72"/>
      <c r="BP261" s="72"/>
      <c r="BQ261" s="72"/>
      <c r="BR261" s="72"/>
      <c r="BS261" s="72"/>
      <c r="BT261" s="72"/>
      <c r="BU261" s="72"/>
      <c r="BV261" s="72"/>
      <c r="BW261" s="72"/>
      <c r="BX261" s="72"/>
      <c r="BY261" s="72"/>
      <c r="BZ261" s="72"/>
      <c r="CA261" s="72"/>
      <c r="CB261" s="72"/>
      <c r="CC261" s="72"/>
      <c r="CD261" s="72"/>
      <c r="CE261" s="72"/>
      <c r="CF261" s="72"/>
      <c r="CG261" s="72"/>
      <c r="CH261" s="72"/>
    </row>
    <row r="262" ht="15.7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  <c r="AQ262" s="72"/>
      <c r="AR262" s="72"/>
      <c r="AS262" s="72"/>
      <c r="AT262" s="72"/>
      <c r="AU262" s="72"/>
      <c r="AV262" s="72"/>
      <c r="AW262" s="72"/>
      <c r="AX262" s="72"/>
      <c r="AY262" s="72"/>
      <c r="AZ262" s="72"/>
      <c r="BA262" s="72"/>
      <c r="BB262" s="72"/>
      <c r="BC262" s="72"/>
      <c r="BD262" s="72"/>
      <c r="BE262" s="72"/>
      <c r="BF262" s="72"/>
      <c r="BG262" s="72"/>
      <c r="BH262" s="72"/>
      <c r="BI262" s="72"/>
      <c r="BJ262" s="72"/>
      <c r="BK262" s="72"/>
      <c r="BL262" s="72"/>
      <c r="BM262" s="72"/>
      <c r="BN262" s="72"/>
      <c r="BO262" s="72"/>
      <c r="BP262" s="72"/>
      <c r="BQ262" s="72"/>
      <c r="BR262" s="72"/>
      <c r="BS262" s="72"/>
      <c r="BT262" s="72"/>
      <c r="BU262" s="72"/>
      <c r="BV262" s="72"/>
      <c r="BW262" s="72"/>
      <c r="BX262" s="72"/>
      <c r="BY262" s="72"/>
      <c r="BZ262" s="72"/>
      <c r="CA262" s="72"/>
      <c r="CB262" s="72"/>
      <c r="CC262" s="72"/>
      <c r="CD262" s="72"/>
      <c r="CE262" s="72"/>
      <c r="CF262" s="72"/>
      <c r="CG262" s="72"/>
      <c r="CH262" s="72"/>
    </row>
    <row r="263" ht="15.7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  <c r="AQ263" s="72"/>
      <c r="AR263" s="72"/>
      <c r="AS263" s="72"/>
      <c r="AT263" s="72"/>
      <c r="AU263" s="72"/>
      <c r="AV263" s="72"/>
      <c r="AW263" s="72"/>
      <c r="AX263" s="72"/>
      <c r="AY263" s="72"/>
      <c r="AZ263" s="72"/>
      <c r="BA263" s="72"/>
      <c r="BB263" s="72"/>
      <c r="BC263" s="72"/>
      <c r="BD263" s="72"/>
      <c r="BE263" s="72"/>
      <c r="BF263" s="72"/>
      <c r="BG263" s="72"/>
      <c r="BH263" s="72"/>
      <c r="BI263" s="72"/>
      <c r="BJ263" s="72"/>
      <c r="BK263" s="72"/>
      <c r="BL263" s="72"/>
      <c r="BM263" s="72"/>
      <c r="BN263" s="72"/>
      <c r="BO263" s="72"/>
      <c r="BP263" s="72"/>
      <c r="BQ263" s="72"/>
      <c r="BR263" s="72"/>
      <c r="BS263" s="72"/>
      <c r="BT263" s="72"/>
      <c r="BU263" s="72"/>
      <c r="BV263" s="72"/>
      <c r="BW263" s="72"/>
      <c r="BX263" s="72"/>
      <c r="BY263" s="72"/>
      <c r="BZ263" s="72"/>
      <c r="CA263" s="72"/>
      <c r="CB263" s="72"/>
      <c r="CC263" s="72"/>
      <c r="CD263" s="72"/>
      <c r="CE263" s="72"/>
      <c r="CF263" s="72"/>
      <c r="CG263" s="72"/>
      <c r="CH263" s="72"/>
    </row>
    <row r="264" ht="15.7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  <c r="AQ264" s="72"/>
      <c r="AR264" s="72"/>
      <c r="AS264" s="72"/>
      <c r="AT264" s="72"/>
      <c r="AU264" s="72"/>
      <c r="AV264" s="72"/>
      <c r="AW264" s="72"/>
      <c r="AX264" s="72"/>
      <c r="AY264" s="72"/>
      <c r="AZ264" s="72"/>
      <c r="BA264" s="72"/>
      <c r="BB264" s="72"/>
      <c r="BC264" s="72"/>
      <c r="BD264" s="72"/>
      <c r="BE264" s="72"/>
      <c r="BF264" s="72"/>
      <c r="BG264" s="72"/>
      <c r="BH264" s="72"/>
      <c r="BI264" s="72"/>
      <c r="BJ264" s="72"/>
      <c r="BK264" s="72"/>
      <c r="BL264" s="72"/>
      <c r="BM264" s="72"/>
      <c r="BN264" s="72"/>
      <c r="BO264" s="72"/>
      <c r="BP264" s="72"/>
      <c r="BQ264" s="72"/>
      <c r="BR264" s="72"/>
      <c r="BS264" s="72"/>
      <c r="BT264" s="72"/>
      <c r="BU264" s="72"/>
      <c r="BV264" s="72"/>
      <c r="BW264" s="72"/>
      <c r="BX264" s="72"/>
      <c r="BY264" s="72"/>
      <c r="BZ264" s="72"/>
      <c r="CA264" s="72"/>
      <c r="CB264" s="72"/>
      <c r="CC264" s="72"/>
      <c r="CD264" s="72"/>
      <c r="CE264" s="72"/>
      <c r="CF264" s="72"/>
      <c r="CG264" s="72"/>
      <c r="CH264" s="72"/>
    </row>
    <row r="265" ht="15.7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  <c r="AQ265" s="72"/>
      <c r="AR265" s="72"/>
      <c r="AS265" s="72"/>
      <c r="AT265" s="72"/>
      <c r="AU265" s="72"/>
      <c r="AV265" s="72"/>
      <c r="AW265" s="72"/>
      <c r="AX265" s="72"/>
      <c r="AY265" s="72"/>
      <c r="AZ265" s="72"/>
      <c r="BA265" s="72"/>
      <c r="BB265" s="72"/>
      <c r="BC265" s="72"/>
      <c r="BD265" s="72"/>
      <c r="BE265" s="72"/>
      <c r="BF265" s="72"/>
      <c r="BG265" s="72"/>
      <c r="BH265" s="72"/>
      <c r="BI265" s="72"/>
      <c r="BJ265" s="72"/>
      <c r="BK265" s="72"/>
      <c r="BL265" s="72"/>
      <c r="BM265" s="72"/>
      <c r="BN265" s="72"/>
      <c r="BO265" s="72"/>
      <c r="BP265" s="72"/>
      <c r="BQ265" s="72"/>
      <c r="BR265" s="72"/>
      <c r="BS265" s="72"/>
      <c r="BT265" s="72"/>
      <c r="BU265" s="72"/>
      <c r="BV265" s="72"/>
      <c r="BW265" s="72"/>
      <c r="BX265" s="72"/>
      <c r="BY265" s="72"/>
      <c r="BZ265" s="72"/>
      <c r="CA265" s="72"/>
      <c r="CB265" s="72"/>
      <c r="CC265" s="72"/>
      <c r="CD265" s="72"/>
      <c r="CE265" s="72"/>
      <c r="CF265" s="72"/>
      <c r="CG265" s="72"/>
      <c r="CH265" s="72"/>
    </row>
    <row r="266" ht="15.7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  <c r="AQ266" s="72"/>
      <c r="AR266" s="72"/>
      <c r="AS266" s="72"/>
      <c r="AT266" s="72"/>
      <c r="AU266" s="72"/>
      <c r="AV266" s="72"/>
      <c r="AW266" s="72"/>
      <c r="AX266" s="72"/>
      <c r="AY266" s="72"/>
      <c r="AZ266" s="72"/>
      <c r="BA266" s="72"/>
      <c r="BB266" s="72"/>
      <c r="BC266" s="72"/>
      <c r="BD266" s="72"/>
      <c r="BE266" s="72"/>
      <c r="BF266" s="72"/>
      <c r="BG266" s="72"/>
      <c r="BH266" s="72"/>
      <c r="BI266" s="72"/>
      <c r="BJ266" s="72"/>
      <c r="BK266" s="72"/>
      <c r="BL266" s="72"/>
      <c r="BM266" s="72"/>
      <c r="BN266" s="72"/>
      <c r="BO266" s="72"/>
      <c r="BP266" s="72"/>
      <c r="BQ266" s="72"/>
      <c r="BR266" s="72"/>
      <c r="BS266" s="72"/>
      <c r="BT266" s="72"/>
      <c r="BU266" s="72"/>
      <c r="BV266" s="72"/>
      <c r="BW266" s="72"/>
      <c r="BX266" s="72"/>
      <c r="BY266" s="72"/>
      <c r="BZ266" s="72"/>
      <c r="CA266" s="72"/>
      <c r="CB266" s="72"/>
      <c r="CC266" s="72"/>
      <c r="CD266" s="72"/>
      <c r="CE266" s="72"/>
      <c r="CF266" s="72"/>
      <c r="CG266" s="72"/>
      <c r="CH266" s="72"/>
    </row>
    <row r="267" ht="15.7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  <c r="AQ267" s="72"/>
      <c r="AR267" s="72"/>
      <c r="AS267" s="72"/>
      <c r="AT267" s="72"/>
      <c r="AU267" s="72"/>
      <c r="AV267" s="72"/>
      <c r="AW267" s="72"/>
      <c r="AX267" s="72"/>
      <c r="AY267" s="72"/>
      <c r="AZ267" s="72"/>
      <c r="BA267" s="72"/>
      <c r="BB267" s="72"/>
      <c r="BC267" s="72"/>
      <c r="BD267" s="72"/>
      <c r="BE267" s="72"/>
      <c r="BF267" s="72"/>
      <c r="BG267" s="72"/>
      <c r="BH267" s="72"/>
      <c r="BI267" s="72"/>
      <c r="BJ267" s="72"/>
      <c r="BK267" s="72"/>
      <c r="BL267" s="72"/>
      <c r="BM267" s="72"/>
      <c r="BN267" s="72"/>
      <c r="BO267" s="72"/>
      <c r="BP267" s="72"/>
      <c r="BQ267" s="72"/>
      <c r="BR267" s="72"/>
      <c r="BS267" s="72"/>
      <c r="BT267" s="72"/>
      <c r="BU267" s="72"/>
      <c r="BV267" s="72"/>
      <c r="BW267" s="72"/>
      <c r="BX267" s="72"/>
      <c r="BY267" s="72"/>
      <c r="BZ267" s="72"/>
      <c r="CA267" s="72"/>
      <c r="CB267" s="72"/>
      <c r="CC267" s="72"/>
      <c r="CD267" s="72"/>
      <c r="CE267" s="72"/>
      <c r="CF267" s="72"/>
      <c r="CG267" s="72"/>
      <c r="CH267" s="72"/>
    </row>
    <row r="268" ht="15.7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  <c r="AQ268" s="72"/>
      <c r="AR268" s="72"/>
      <c r="AS268" s="72"/>
      <c r="AT268" s="72"/>
      <c r="AU268" s="72"/>
      <c r="AV268" s="72"/>
      <c r="AW268" s="72"/>
      <c r="AX268" s="72"/>
      <c r="AY268" s="72"/>
      <c r="AZ268" s="72"/>
      <c r="BA268" s="72"/>
      <c r="BB268" s="72"/>
      <c r="BC268" s="72"/>
      <c r="BD268" s="72"/>
      <c r="BE268" s="72"/>
      <c r="BF268" s="72"/>
      <c r="BG268" s="72"/>
      <c r="BH268" s="72"/>
      <c r="BI268" s="72"/>
      <c r="BJ268" s="72"/>
      <c r="BK268" s="72"/>
      <c r="BL268" s="72"/>
      <c r="BM268" s="72"/>
      <c r="BN268" s="72"/>
      <c r="BO268" s="72"/>
      <c r="BP268" s="72"/>
      <c r="BQ268" s="72"/>
      <c r="BR268" s="72"/>
      <c r="BS268" s="72"/>
      <c r="BT268" s="72"/>
      <c r="BU268" s="72"/>
      <c r="BV268" s="72"/>
      <c r="BW268" s="72"/>
      <c r="BX268" s="72"/>
      <c r="BY268" s="72"/>
      <c r="BZ268" s="72"/>
      <c r="CA268" s="72"/>
      <c r="CB268" s="72"/>
      <c r="CC268" s="72"/>
      <c r="CD268" s="72"/>
      <c r="CE268" s="72"/>
      <c r="CF268" s="72"/>
      <c r="CG268" s="72"/>
      <c r="CH268" s="72"/>
    </row>
    <row r="269" ht="15.7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  <c r="AQ269" s="72"/>
      <c r="AR269" s="72"/>
      <c r="AS269" s="72"/>
      <c r="AT269" s="72"/>
      <c r="AU269" s="72"/>
      <c r="AV269" s="72"/>
      <c r="AW269" s="72"/>
      <c r="AX269" s="72"/>
      <c r="AY269" s="72"/>
      <c r="AZ269" s="72"/>
      <c r="BA269" s="72"/>
      <c r="BB269" s="72"/>
      <c r="BC269" s="72"/>
      <c r="BD269" s="72"/>
      <c r="BE269" s="72"/>
      <c r="BF269" s="72"/>
      <c r="BG269" s="72"/>
      <c r="BH269" s="72"/>
      <c r="BI269" s="72"/>
      <c r="BJ269" s="72"/>
      <c r="BK269" s="72"/>
      <c r="BL269" s="72"/>
      <c r="BM269" s="72"/>
      <c r="BN269" s="72"/>
      <c r="BO269" s="72"/>
      <c r="BP269" s="72"/>
      <c r="BQ269" s="72"/>
      <c r="BR269" s="72"/>
      <c r="BS269" s="72"/>
      <c r="BT269" s="72"/>
      <c r="BU269" s="72"/>
      <c r="BV269" s="72"/>
      <c r="BW269" s="72"/>
      <c r="BX269" s="72"/>
      <c r="BY269" s="72"/>
      <c r="BZ269" s="72"/>
      <c r="CA269" s="72"/>
      <c r="CB269" s="72"/>
      <c r="CC269" s="72"/>
      <c r="CD269" s="72"/>
      <c r="CE269" s="72"/>
      <c r="CF269" s="72"/>
      <c r="CG269" s="72"/>
      <c r="CH269" s="72"/>
    </row>
    <row r="270" ht="15.7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  <c r="AQ270" s="72"/>
      <c r="AR270" s="72"/>
      <c r="AS270" s="72"/>
      <c r="AT270" s="72"/>
      <c r="AU270" s="72"/>
      <c r="AV270" s="72"/>
      <c r="AW270" s="72"/>
      <c r="AX270" s="72"/>
      <c r="AY270" s="72"/>
      <c r="AZ270" s="72"/>
      <c r="BA270" s="72"/>
      <c r="BB270" s="72"/>
      <c r="BC270" s="72"/>
      <c r="BD270" s="72"/>
      <c r="BE270" s="72"/>
      <c r="BF270" s="72"/>
      <c r="BG270" s="72"/>
      <c r="BH270" s="72"/>
      <c r="BI270" s="72"/>
      <c r="BJ270" s="72"/>
      <c r="BK270" s="72"/>
      <c r="BL270" s="72"/>
      <c r="BM270" s="72"/>
      <c r="BN270" s="72"/>
      <c r="BO270" s="72"/>
      <c r="BP270" s="72"/>
      <c r="BQ270" s="72"/>
      <c r="BR270" s="72"/>
      <c r="BS270" s="72"/>
      <c r="BT270" s="72"/>
      <c r="BU270" s="72"/>
      <c r="BV270" s="72"/>
      <c r="BW270" s="72"/>
      <c r="BX270" s="72"/>
      <c r="BY270" s="72"/>
      <c r="BZ270" s="72"/>
      <c r="CA270" s="72"/>
      <c r="CB270" s="72"/>
      <c r="CC270" s="72"/>
      <c r="CD270" s="72"/>
      <c r="CE270" s="72"/>
      <c r="CF270" s="72"/>
      <c r="CG270" s="72"/>
      <c r="CH270" s="72"/>
    </row>
    <row r="271" ht="15.7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  <c r="AQ271" s="72"/>
      <c r="AR271" s="72"/>
      <c r="AS271" s="72"/>
      <c r="AT271" s="72"/>
      <c r="AU271" s="72"/>
      <c r="AV271" s="72"/>
      <c r="AW271" s="72"/>
      <c r="AX271" s="72"/>
      <c r="AY271" s="72"/>
      <c r="AZ271" s="72"/>
      <c r="BA271" s="72"/>
      <c r="BB271" s="72"/>
      <c r="BC271" s="72"/>
      <c r="BD271" s="72"/>
      <c r="BE271" s="72"/>
      <c r="BF271" s="72"/>
      <c r="BG271" s="72"/>
      <c r="BH271" s="72"/>
      <c r="BI271" s="72"/>
      <c r="BJ271" s="72"/>
      <c r="BK271" s="72"/>
      <c r="BL271" s="72"/>
      <c r="BM271" s="72"/>
      <c r="BN271" s="72"/>
      <c r="BO271" s="72"/>
      <c r="BP271" s="72"/>
      <c r="BQ271" s="72"/>
      <c r="BR271" s="72"/>
      <c r="BS271" s="72"/>
      <c r="BT271" s="72"/>
      <c r="BU271" s="72"/>
      <c r="BV271" s="72"/>
      <c r="BW271" s="72"/>
      <c r="BX271" s="72"/>
      <c r="BY271" s="72"/>
      <c r="BZ271" s="72"/>
      <c r="CA271" s="72"/>
      <c r="CB271" s="72"/>
      <c r="CC271" s="72"/>
      <c r="CD271" s="72"/>
      <c r="CE271" s="72"/>
      <c r="CF271" s="72"/>
      <c r="CG271" s="72"/>
      <c r="CH271" s="72"/>
    </row>
    <row r="272" ht="15.7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  <c r="AQ272" s="72"/>
      <c r="AR272" s="72"/>
      <c r="AS272" s="72"/>
      <c r="AT272" s="72"/>
      <c r="AU272" s="72"/>
      <c r="AV272" s="72"/>
      <c r="AW272" s="72"/>
      <c r="AX272" s="72"/>
      <c r="AY272" s="72"/>
      <c r="AZ272" s="72"/>
      <c r="BA272" s="72"/>
      <c r="BB272" s="72"/>
      <c r="BC272" s="72"/>
      <c r="BD272" s="72"/>
      <c r="BE272" s="72"/>
      <c r="BF272" s="72"/>
      <c r="BG272" s="72"/>
      <c r="BH272" s="72"/>
      <c r="BI272" s="72"/>
      <c r="BJ272" s="72"/>
      <c r="BK272" s="72"/>
      <c r="BL272" s="72"/>
      <c r="BM272" s="72"/>
      <c r="BN272" s="72"/>
      <c r="BO272" s="72"/>
      <c r="BP272" s="72"/>
      <c r="BQ272" s="72"/>
      <c r="BR272" s="72"/>
      <c r="BS272" s="72"/>
      <c r="BT272" s="72"/>
      <c r="BU272" s="72"/>
      <c r="BV272" s="72"/>
      <c r="BW272" s="72"/>
      <c r="BX272" s="72"/>
      <c r="BY272" s="72"/>
      <c r="BZ272" s="72"/>
      <c r="CA272" s="72"/>
      <c r="CB272" s="72"/>
      <c r="CC272" s="72"/>
      <c r="CD272" s="72"/>
      <c r="CE272" s="72"/>
      <c r="CF272" s="72"/>
      <c r="CG272" s="72"/>
      <c r="CH272" s="72"/>
    </row>
    <row r="273" ht="15.7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  <c r="AQ273" s="72"/>
      <c r="AR273" s="72"/>
      <c r="AS273" s="72"/>
      <c r="AT273" s="72"/>
      <c r="AU273" s="72"/>
      <c r="AV273" s="72"/>
      <c r="AW273" s="72"/>
      <c r="AX273" s="72"/>
      <c r="AY273" s="72"/>
      <c r="AZ273" s="72"/>
      <c r="BA273" s="72"/>
      <c r="BB273" s="72"/>
      <c r="BC273" s="72"/>
      <c r="BD273" s="72"/>
      <c r="BE273" s="72"/>
      <c r="BF273" s="72"/>
      <c r="BG273" s="72"/>
      <c r="BH273" s="72"/>
      <c r="BI273" s="72"/>
      <c r="BJ273" s="72"/>
      <c r="BK273" s="72"/>
      <c r="BL273" s="72"/>
      <c r="BM273" s="72"/>
      <c r="BN273" s="72"/>
      <c r="BO273" s="72"/>
      <c r="BP273" s="72"/>
      <c r="BQ273" s="72"/>
      <c r="BR273" s="72"/>
      <c r="BS273" s="72"/>
      <c r="BT273" s="72"/>
      <c r="BU273" s="72"/>
      <c r="BV273" s="72"/>
      <c r="BW273" s="72"/>
      <c r="BX273" s="72"/>
      <c r="BY273" s="72"/>
      <c r="BZ273" s="72"/>
      <c r="CA273" s="72"/>
      <c r="CB273" s="72"/>
      <c r="CC273" s="72"/>
      <c r="CD273" s="72"/>
      <c r="CE273" s="72"/>
      <c r="CF273" s="72"/>
      <c r="CG273" s="72"/>
      <c r="CH273" s="72"/>
    </row>
    <row r="274" ht="15.7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  <c r="AQ274" s="72"/>
      <c r="AR274" s="72"/>
      <c r="AS274" s="72"/>
      <c r="AT274" s="72"/>
      <c r="AU274" s="72"/>
      <c r="AV274" s="72"/>
      <c r="AW274" s="72"/>
      <c r="AX274" s="72"/>
      <c r="AY274" s="72"/>
      <c r="AZ274" s="72"/>
      <c r="BA274" s="72"/>
      <c r="BB274" s="72"/>
      <c r="BC274" s="72"/>
      <c r="BD274" s="72"/>
      <c r="BE274" s="72"/>
      <c r="BF274" s="72"/>
      <c r="BG274" s="72"/>
      <c r="BH274" s="72"/>
      <c r="BI274" s="72"/>
      <c r="BJ274" s="72"/>
      <c r="BK274" s="72"/>
      <c r="BL274" s="72"/>
      <c r="BM274" s="72"/>
      <c r="BN274" s="72"/>
      <c r="BO274" s="72"/>
      <c r="BP274" s="72"/>
      <c r="BQ274" s="72"/>
      <c r="BR274" s="72"/>
      <c r="BS274" s="72"/>
      <c r="BT274" s="72"/>
      <c r="BU274" s="72"/>
      <c r="BV274" s="72"/>
      <c r="BW274" s="72"/>
      <c r="BX274" s="72"/>
      <c r="BY274" s="72"/>
      <c r="BZ274" s="72"/>
      <c r="CA274" s="72"/>
      <c r="CB274" s="72"/>
      <c r="CC274" s="72"/>
      <c r="CD274" s="72"/>
      <c r="CE274" s="72"/>
      <c r="CF274" s="72"/>
      <c r="CG274" s="72"/>
      <c r="CH274" s="72"/>
    </row>
    <row r="275" ht="15.7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  <c r="AQ275" s="72"/>
      <c r="AR275" s="72"/>
      <c r="AS275" s="72"/>
      <c r="AT275" s="72"/>
      <c r="AU275" s="72"/>
      <c r="AV275" s="72"/>
      <c r="AW275" s="72"/>
      <c r="AX275" s="72"/>
      <c r="AY275" s="72"/>
      <c r="AZ275" s="72"/>
      <c r="BA275" s="72"/>
      <c r="BB275" s="72"/>
      <c r="BC275" s="72"/>
      <c r="BD275" s="72"/>
      <c r="BE275" s="72"/>
      <c r="BF275" s="72"/>
      <c r="BG275" s="72"/>
      <c r="BH275" s="72"/>
      <c r="BI275" s="72"/>
      <c r="BJ275" s="72"/>
      <c r="BK275" s="72"/>
      <c r="BL275" s="72"/>
      <c r="BM275" s="72"/>
      <c r="BN275" s="72"/>
      <c r="BO275" s="72"/>
      <c r="BP275" s="72"/>
      <c r="BQ275" s="72"/>
      <c r="BR275" s="72"/>
      <c r="BS275" s="72"/>
      <c r="BT275" s="72"/>
      <c r="BU275" s="72"/>
      <c r="BV275" s="72"/>
      <c r="BW275" s="72"/>
      <c r="BX275" s="72"/>
      <c r="BY275" s="72"/>
      <c r="BZ275" s="72"/>
      <c r="CA275" s="72"/>
      <c r="CB275" s="72"/>
      <c r="CC275" s="72"/>
      <c r="CD275" s="72"/>
      <c r="CE275" s="72"/>
      <c r="CF275" s="72"/>
      <c r="CG275" s="72"/>
      <c r="CH275" s="72"/>
    </row>
    <row r="276" ht="15.7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  <c r="AQ276" s="72"/>
      <c r="AR276" s="72"/>
      <c r="AS276" s="72"/>
      <c r="AT276" s="72"/>
      <c r="AU276" s="72"/>
      <c r="AV276" s="72"/>
      <c r="AW276" s="72"/>
      <c r="AX276" s="72"/>
      <c r="AY276" s="72"/>
      <c r="AZ276" s="72"/>
      <c r="BA276" s="72"/>
      <c r="BB276" s="72"/>
      <c r="BC276" s="72"/>
      <c r="BD276" s="72"/>
      <c r="BE276" s="72"/>
      <c r="BF276" s="72"/>
      <c r="BG276" s="72"/>
      <c r="BH276" s="72"/>
      <c r="BI276" s="72"/>
      <c r="BJ276" s="72"/>
      <c r="BK276" s="72"/>
      <c r="BL276" s="72"/>
      <c r="BM276" s="72"/>
      <c r="BN276" s="72"/>
      <c r="BO276" s="72"/>
      <c r="BP276" s="72"/>
      <c r="BQ276" s="72"/>
      <c r="BR276" s="72"/>
      <c r="BS276" s="72"/>
      <c r="BT276" s="72"/>
      <c r="BU276" s="72"/>
      <c r="BV276" s="72"/>
      <c r="BW276" s="72"/>
      <c r="BX276" s="72"/>
      <c r="BY276" s="72"/>
      <c r="BZ276" s="72"/>
      <c r="CA276" s="72"/>
      <c r="CB276" s="72"/>
      <c r="CC276" s="72"/>
      <c r="CD276" s="72"/>
      <c r="CE276" s="72"/>
      <c r="CF276" s="72"/>
      <c r="CG276" s="72"/>
      <c r="CH276" s="72"/>
    </row>
    <row r="277" ht="15.7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  <c r="AQ277" s="72"/>
      <c r="AR277" s="72"/>
      <c r="AS277" s="72"/>
      <c r="AT277" s="72"/>
      <c r="AU277" s="72"/>
      <c r="AV277" s="72"/>
      <c r="AW277" s="72"/>
      <c r="AX277" s="72"/>
      <c r="AY277" s="72"/>
      <c r="AZ277" s="72"/>
      <c r="BA277" s="72"/>
      <c r="BB277" s="72"/>
      <c r="BC277" s="72"/>
      <c r="BD277" s="72"/>
      <c r="BE277" s="72"/>
      <c r="BF277" s="72"/>
      <c r="BG277" s="72"/>
      <c r="BH277" s="72"/>
      <c r="BI277" s="72"/>
      <c r="BJ277" s="72"/>
      <c r="BK277" s="72"/>
      <c r="BL277" s="72"/>
      <c r="BM277" s="72"/>
      <c r="BN277" s="72"/>
      <c r="BO277" s="72"/>
      <c r="BP277" s="72"/>
      <c r="BQ277" s="72"/>
      <c r="BR277" s="72"/>
      <c r="BS277" s="72"/>
      <c r="BT277" s="72"/>
      <c r="BU277" s="72"/>
      <c r="BV277" s="72"/>
      <c r="BW277" s="72"/>
      <c r="BX277" s="72"/>
      <c r="BY277" s="72"/>
      <c r="BZ277" s="72"/>
      <c r="CA277" s="72"/>
      <c r="CB277" s="72"/>
      <c r="CC277" s="72"/>
      <c r="CD277" s="72"/>
      <c r="CE277" s="72"/>
      <c r="CF277" s="72"/>
      <c r="CG277" s="72"/>
      <c r="CH277" s="72"/>
    </row>
    <row r="278" ht="15.7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  <c r="AQ278" s="72"/>
      <c r="AR278" s="72"/>
      <c r="AS278" s="72"/>
      <c r="AT278" s="72"/>
      <c r="AU278" s="72"/>
      <c r="AV278" s="72"/>
      <c r="AW278" s="72"/>
      <c r="AX278" s="72"/>
      <c r="AY278" s="72"/>
      <c r="AZ278" s="72"/>
      <c r="BA278" s="72"/>
      <c r="BB278" s="72"/>
      <c r="BC278" s="72"/>
      <c r="BD278" s="72"/>
      <c r="BE278" s="72"/>
      <c r="BF278" s="72"/>
      <c r="BG278" s="72"/>
      <c r="BH278" s="72"/>
      <c r="BI278" s="72"/>
      <c r="BJ278" s="72"/>
      <c r="BK278" s="72"/>
      <c r="BL278" s="72"/>
      <c r="BM278" s="72"/>
      <c r="BN278" s="72"/>
      <c r="BO278" s="72"/>
      <c r="BP278" s="72"/>
      <c r="BQ278" s="72"/>
      <c r="BR278" s="72"/>
      <c r="BS278" s="72"/>
      <c r="BT278" s="72"/>
      <c r="BU278" s="72"/>
      <c r="BV278" s="72"/>
      <c r="BW278" s="72"/>
      <c r="BX278" s="72"/>
      <c r="BY278" s="72"/>
      <c r="BZ278" s="72"/>
      <c r="CA278" s="72"/>
      <c r="CB278" s="72"/>
      <c r="CC278" s="72"/>
      <c r="CD278" s="72"/>
      <c r="CE278" s="72"/>
      <c r="CF278" s="72"/>
      <c r="CG278" s="72"/>
      <c r="CH278" s="72"/>
    </row>
    <row r="279" ht="15.7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  <c r="AQ279" s="72"/>
      <c r="AR279" s="72"/>
      <c r="AS279" s="72"/>
      <c r="AT279" s="72"/>
      <c r="AU279" s="72"/>
      <c r="AV279" s="72"/>
      <c r="AW279" s="72"/>
      <c r="AX279" s="72"/>
      <c r="AY279" s="72"/>
      <c r="AZ279" s="72"/>
      <c r="BA279" s="72"/>
      <c r="BB279" s="72"/>
      <c r="BC279" s="72"/>
      <c r="BD279" s="72"/>
      <c r="BE279" s="72"/>
      <c r="BF279" s="72"/>
      <c r="BG279" s="72"/>
      <c r="BH279" s="72"/>
      <c r="BI279" s="72"/>
      <c r="BJ279" s="72"/>
      <c r="BK279" s="72"/>
      <c r="BL279" s="72"/>
      <c r="BM279" s="72"/>
      <c r="BN279" s="72"/>
      <c r="BO279" s="72"/>
      <c r="BP279" s="72"/>
      <c r="BQ279" s="72"/>
      <c r="BR279" s="72"/>
      <c r="BS279" s="72"/>
      <c r="BT279" s="72"/>
      <c r="BU279" s="72"/>
      <c r="BV279" s="72"/>
      <c r="BW279" s="72"/>
      <c r="BX279" s="72"/>
      <c r="BY279" s="72"/>
      <c r="BZ279" s="72"/>
      <c r="CA279" s="72"/>
      <c r="CB279" s="72"/>
      <c r="CC279" s="72"/>
      <c r="CD279" s="72"/>
      <c r="CE279" s="72"/>
      <c r="CF279" s="72"/>
      <c r="CG279" s="72"/>
      <c r="CH279" s="72"/>
    </row>
    <row r="280" ht="15.7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  <c r="AQ280" s="72"/>
      <c r="AR280" s="72"/>
      <c r="AS280" s="72"/>
      <c r="AT280" s="72"/>
      <c r="AU280" s="72"/>
      <c r="AV280" s="72"/>
      <c r="AW280" s="72"/>
      <c r="AX280" s="72"/>
      <c r="AY280" s="72"/>
      <c r="AZ280" s="72"/>
      <c r="BA280" s="72"/>
      <c r="BB280" s="72"/>
      <c r="BC280" s="72"/>
      <c r="BD280" s="72"/>
      <c r="BE280" s="72"/>
      <c r="BF280" s="72"/>
      <c r="BG280" s="72"/>
      <c r="BH280" s="72"/>
      <c r="BI280" s="72"/>
      <c r="BJ280" s="72"/>
      <c r="BK280" s="72"/>
      <c r="BL280" s="72"/>
      <c r="BM280" s="72"/>
      <c r="BN280" s="72"/>
      <c r="BO280" s="72"/>
      <c r="BP280" s="72"/>
      <c r="BQ280" s="72"/>
      <c r="BR280" s="72"/>
      <c r="BS280" s="72"/>
      <c r="BT280" s="72"/>
      <c r="BU280" s="72"/>
      <c r="BV280" s="72"/>
      <c r="BW280" s="72"/>
      <c r="BX280" s="72"/>
      <c r="BY280" s="72"/>
      <c r="BZ280" s="72"/>
      <c r="CA280" s="72"/>
      <c r="CB280" s="72"/>
      <c r="CC280" s="72"/>
      <c r="CD280" s="72"/>
      <c r="CE280" s="72"/>
      <c r="CF280" s="72"/>
      <c r="CG280" s="72"/>
      <c r="CH280" s="72"/>
    </row>
    <row r="281" ht="15.7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  <c r="AQ281" s="72"/>
      <c r="AR281" s="72"/>
      <c r="AS281" s="72"/>
      <c r="AT281" s="72"/>
      <c r="AU281" s="72"/>
      <c r="AV281" s="72"/>
      <c r="AW281" s="72"/>
      <c r="AX281" s="72"/>
      <c r="AY281" s="72"/>
      <c r="AZ281" s="72"/>
      <c r="BA281" s="72"/>
      <c r="BB281" s="72"/>
      <c r="BC281" s="72"/>
      <c r="BD281" s="72"/>
      <c r="BE281" s="72"/>
      <c r="BF281" s="72"/>
      <c r="BG281" s="72"/>
      <c r="BH281" s="72"/>
      <c r="BI281" s="72"/>
      <c r="BJ281" s="72"/>
      <c r="BK281" s="72"/>
      <c r="BL281" s="72"/>
      <c r="BM281" s="72"/>
      <c r="BN281" s="72"/>
      <c r="BO281" s="72"/>
      <c r="BP281" s="72"/>
      <c r="BQ281" s="72"/>
      <c r="BR281" s="72"/>
      <c r="BS281" s="72"/>
      <c r="BT281" s="72"/>
      <c r="BU281" s="72"/>
      <c r="BV281" s="72"/>
      <c r="BW281" s="72"/>
      <c r="BX281" s="72"/>
      <c r="BY281" s="72"/>
      <c r="BZ281" s="72"/>
      <c r="CA281" s="72"/>
      <c r="CB281" s="72"/>
      <c r="CC281" s="72"/>
      <c r="CD281" s="72"/>
      <c r="CE281" s="72"/>
      <c r="CF281" s="72"/>
      <c r="CG281" s="72"/>
      <c r="CH281" s="72"/>
    </row>
    <row r="282" ht="15.7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  <c r="AQ282" s="72"/>
      <c r="AR282" s="72"/>
      <c r="AS282" s="72"/>
      <c r="AT282" s="72"/>
      <c r="AU282" s="72"/>
      <c r="AV282" s="72"/>
      <c r="AW282" s="72"/>
      <c r="AX282" s="72"/>
      <c r="AY282" s="72"/>
      <c r="AZ282" s="72"/>
      <c r="BA282" s="72"/>
      <c r="BB282" s="72"/>
      <c r="BC282" s="72"/>
      <c r="BD282" s="72"/>
      <c r="BE282" s="72"/>
      <c r="BF282" s="72"/>
      <c r="BG282" s="72"/>
      <c r="BH282" s="72"/>
      <c r="BI282" s="72"/>
      <c r="BJ282" s="72"/>
      <c r="BK282" s="72"/>
      <c r="BL282" s="72"/>
      <c r="BM282" s="72"/>
      <c r="BN282" s="72"/>
      <c r="BO282" s="72"/>
      <c r="BP282" s="72"/>
      <c r="BQ282" s="72"/>
      <c r="BR282" s="72"/>
      <c r="BS282" s="72"/>
      <c r="BT282" s="72"/>
      <c r="BU282" s="72"/>
      <c r="BV282" s="72"/>
      <c r="BW282" s="72"/>
      <c r="BX282" s="72"/>
      <c r="BY282" s="72"/>
      <c r="BZ282" s="72"/>
      <c r="CA282" s="72"/>
      <c r="CB282" s="72"/>
      <c r="CC282" s="72"/>
      <c r="CD282" s="72"/>
      <c r="CE282" s="72"/>
      <c r="CF282" s="72"/>
      <c r="CG282" s="72"/>
      <c r="CH282" s="72"/>
    </row>
    <row r="283" ht="15.7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  <c r="AQ283" s="72"/>
      <c r="AR283" s="72"/>
      <c r="AS283" s="72"/>
      <c r="AT283" s="72"/>
      <c r="AU283" s="72"/>
      <c r="AV283" s="72"/>
      <c r="AW283" s="72"/>
      <c r="AX283" s="72"/>
      <c r="AY283" s="72"/>
      <c r="AZ283" s="72"/>
      <c r="BA283" s="72"/>
      <c r="BB283" s="72"/>
      <c r="BC283" s="72"/>
      <c r="BD283" s="72"/>
      <c r="BE283" s="72"/>
      <c r="BF283" s="72"/>
      <c r="BG283" s="72"/>
      <c r="BH283" s="72"/>
      <c r="BI283" s="72"/>
      <c r="BJ283" s="72"/>
      <c r="BK283" s="72"/>
      <c r="BL283" s="72"/>
      <c r="BM283" s="72"/>
      <c r="BN283" s="72"/>
      <c r="BO283" s="72"/>
      <c r="BP283" s="72"/>
      <c r="BQ283" s="72"/>
      <c r="BR283" s="72"/>
      <c r="BS283" s="72"/>
      <c r="BT283" s="72"/>
      <c r="BU283" s="72"/>
      <c r="BV283" s="72"/>
      <c r="BW283" s="72"/>
      <c r="BX283" s="72"/>
      <c r="BY283" s="72"/>
      <c r="BZ283" s="72"/>
      <c r="CA283" s="72"/>
      <c r="CB283" s="72"/>
      <c r="CC283" s="72"/>
      <c r="CD283" s="72"/>
      <c r="CE283" s="72"/>
      <c r="CF283" s="72"/>
      <c r="CG283" s="72"/>
      <c r="CH283" s="72"/>
    </row>
    <row r="284" ht="15.7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  <c r="AQ284" s="72"/>
      <c r="AR284" s="72"/>
      <c r="AS284" s="72"/>
      <c r="AT284" s="72"/>
      <c r="AU284" s="72"/>
      <c r="AV284" s="72"/>
      <c r="AW284" s="72"/>
      <c r="AX284" s="72"/>
      <c r="AY284" s="72"/>
      <c r="AZ284" s="72"/>
      <c r="BA284" s="72"/>
      <c r="BB284" s="72"/>
      <c r="BC284" s="72"/>
      <c r="BD284" s="72"/>
      <c r="BE284" s="72"/>
      <c r="BF284" s="72"/>
      <c r="BG284" s="72"/>
      <c r="BH284" s="72"/>
      <c r="BI284" s="72"/>
      <c r="BJ284" s="72"/>
      <c r="BK284" s="72"/>
      <c r="BL284" s="72"/>
      <c r="BM284" s="72"/>
      <c r="BN284" s="72"/>
      <c r="BO284" s="72"/>
      <c r="BP284" s="72"/>
      <c r="BQ284" s="72"/>
      <c r="BR284" s="72"/>
      <c r="BS284" s="72"/>
      <c r="BT284" s="72"/>
      <c r="BU284" s="72"/>
      <c r="BV284" s="72"/>
      <c r="BW284" s="72"/>
      <c r="BX284" s="72"/>
      <c r="BY284" s="72"/>
      <c r="BZ284" s="72"/>
      <c r="CA284" s="72"/>
      <c r="CB284" s="72"/>
      <c r="CC284" s="72"/>
      <c r="CD284" s="72"/>
      <c r="CE284" s="72"/>
      <c r="CF284" s="72"/>
      <c r="CG284" s="72"/>
      <c r="CH284" s="72"/>
    </row>
    <row r="285" ht="15.7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  <c r="AQ285" s="72"/>
      <c r="AR285" s="72"/>
      <c r="AS285" s="72"/>
      <c r="AT285" s="72"/>
      <c r="AU285" s="72"/>
      <c r="AV285" s="72"/>
      <c r="AW285" s="72"/>
      <c r="AX285" s="72"/>
      <c r="AY285" s="72"/>
      <c r="AZ285" s="72"/>
      <c r="BA285" s="72"/>
      <c r="BB285" s="72"/>
      <c r="BC285" s="72"/>
      <c r="BD285" s="72"/>
      <c r="BE285" s="72"/>
      <c r="BF285" s="72"/>
      <c r="BG285" s="72"/>
      <c r="BH285" s="72"/>
      <c r="BI285" s="72"/>
      <c r="BJ285" s="72"/>
      <c r="BK285" s="72"/>
      <c r="BL285" s="72"/>
      <c r="BM285" s="72"/>
      <c r="BN285" s="72"/>
      <c r="BO285" s="72"/>
      <c r="BP285" s="72"/>
      <c r="BQ285" s="72"/>
      <c r="BR285" s="72"/>
      <c r="BS285" s="72"/>
      <c r="BT285" s="72"/>
      <c r="BU285" s="72"/>
      <c r="BV285" s="72"/>
      <c r="BW285" s="72"/>
      <c r="BX285" s="72"/>
      <c r="BY285" s="72"/>
      <c r="BZ285" s="72"/>
      <c r="CA285" s="72"/>
      <c r="CB285" s="72"/>
      <c r="CC285" s="72"/>
      <c r="CD285" s="72"/>
      <c r="CE285" s="72"/>
      <c r="CF285" s="72"/>
      <c r="CG285" s="72"/>
      <c r="CH285" s="72"/>
    </row>
    <row r="286" ht="15.7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  <c r="AQ286" s="72"/>
      <c r="AR286" s="72"/>
      <c r="AS286" s="72"/>
      <c r="AT286" s="72"/>
      <c r="AU286" s="72"/>
      <c r="AV286" s="72"/>
      <c r="AW286" s="72"/>
      <c r="AX286" s="72"/>
      <c r="AY286" s="72"/>
      <c r="AZ286" s="72"/>
      <c r="BA286" s="72"/>
      <c r="BB286" s="72"/>
      <c r="BC286" s="72"/>
      <c r="BD286" s="72"/>
      <c r="BE286" s="72"/>
      <c r="BF286" s="72"/>
      <c r="BG286" s="72"/>
      <c r="BH286" s="72"/>
      <c r="BI286" s="72"/>
      <c r="BJ286" s="72"/>
      <c r="BK286" s="72"/>
      <c r="BL286" s="72"/>
      <c r="BM286" s="72"/>
      <c r="BN286" s="72"/>
      <c r="BO286" s="72"/>
      <c r="BP286" s="72"/>
      <c r="BQ286" s="72"/>
      <c r="BR286" s="72"/>
      <c r="BS286" s="72"/>
      <c r="BT286" s="72"/>
      <c r="BU286" s="72"/>
      <c r="BV286" s="72"/>
      <c r="BW286" s="72"/>
      <c r="BX286" s="72"/>
      <c r="BY286" s="72"/>
      <c r="BZ286" s="72"/>
      <c r="CA286" s="72"/>
      <c r="CB286" s="72"/>
      <c r="CC286" s="72"/>
      <c r="CD286" s="72"/>
      <c r="CE286" s="72"/>
      <c r="CF286" s="72"/>
      <c r="CG286" s="72"/>
      <c r="CH286" s="72"/>
    </row>
    <row r="287" ht="15.7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  <c r="AQ287" s="72"/>
      <c r="AR287" s="72"/>
      <c r="AS287" s="72"/>
      <c r="AT287" s="72"/>
      <c r="AU287" s="72"/>
      <c r="AV287" s="72"/>
      <c r="AW287" s="72"/>
      <c r="AX287" s="72"/>
      <c r="AY287" s="72"/>
      <c r="AZ287" s="72"/>
      <c r="BA287" s="72"/>
      <c r="BB287" s="72"/>
      <c r="BC287" s="72"/>
      <c r="BD287" s="72"/>
      <c r="BE287" s="72"/>
      <c r="BF287" s="72"/>
      <c r="BG287" s="72"/>
      <c r="BH287" s="72"/>
      <c r="BI287" s="72"/>
      <c r="BJ287" s="72"/>
      <c r="BK287" s="72"/>
      <c r="BL287" s="72"/>
      <c r="BM287" s="72"/>
      <c r="BN287" s="72"/>
      <c r="BO287" s="72"/>
      <c r="BP287" s="72"/>
      <c r="BQ287" s="72"/>
      <c r="BR287" s="72"/>
      <c r="BS287" s="72"/>
      <c r="BT287" s="72"/>
      <c r="BU287" s="72"/>
      <c r="BV287" s="72"/>
      <c r="BW287" s="72"/>
      <c r="BX287" s="72"/>
      <c r="BY287" s="72"/>
      <c r="BZ287" s="72"/>
      <c r="CA287" s="72"/>
      <c r="CB287" s="72"/>
      <c r="CC287" s="72"/>
      <c r="CD287" s="72"/>
      <c r="CE287" s="72"/>
      <c r="CF287" s="72"/>
      <c r="CG287" s="72"/>
      <c r="CH287" s="72"/>
    </row>
    <row r="288" ht="15.7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  <c r="AQ288" s="72"/>
      <c r="AR288" s="72"/>
      <c r="AS288" s="72"/>
      <c r="AT288" s="72"/>
      <c r="AU288" s="72"/>
      <c r="AV288" s="72"/>
      <c r="AW288" s="72"/>
      <c r="AX288" s="72"/>
      <c r="AY288" s="72"/>
      <c r="AZ288" s="72"/>
      <c r="BA288" s="72"/>
      <c r="BB288" s="72"/>
      <c r="BC288" s="72"/>
      <c r="BD288" s="72"/>
      <c r="BE288" s="72"/>
      <c r="BF288" s="72"/>
      <c r="BG288" s="72"/>
      <c r="BH288" s="72"/>
      <c r="BI288" s="72"/>
      <c r="BJ288" s="72"/>
      <c r="BK288" s="72"/>
      <c r="BL288" s="72"/>
      <c r="BM288" s="72"/>
      <c r="BN288" s="72"/>
      <c r="BO288" s="72"/>
      <c r="BP288" s="72"/>
      <c r="BQ288" s="72"/>
      <c r="BR288" s="72"/>
      <c r="BS288" s="72"/>
      <c r="BT288" s="72"/>
      <c r="BU288" s="72"/>
      <c r="BV288" s="72"/>
      <c r="BW288" s="72"/>
      <c r="BX288" s="72"/>
      <c r="BY288" s="72"/>
      <c r="BZ288" s="72"/>
      <c r="CA288" s="72"/>
      <c r="CB288" s="72"/>
      <c r="CC288" s="72"/>
      <c r="CD288" s="72"/>
      <c r="CE288" s="72"/>
      <c r="CF288" s="72"/>
      <c r="CG288" s="72"/>
      <c r="CH288" s="72"/>
    </row>
    <row r="289" ht="15.7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  <c r="AQ289" s="72"/>
      <c r="AR289" s="72"/>
      <c r="AS289" s="72"/>
      <c r="AT289" s="72"/>
      <c r="AU289" s="72"/>
      <c r="AV289" s="72"/>
      <c r="AW289" s="72"/>
      <c r="AX289" s="72"/>
      <c r="AY289" s="72"/>
      <c r="AZ289" s="72"/>
      <c r="BA289" s="72"/>
      <c r="BB289" s="72"/>
      <c r="BC289" s="72"/>
      <c r="BD289" s="72"/>
      <c r="BE289" s="72"/>
      <c r="BF289" s="72"/>
      <c r="BG289" s="72"/>
      <c r="BH289" s="72"/>
      <c r="BI289" s="72"/>
      <c r="BJ289" s="72"/>
      <c r="BK289" s="72"/>
      <c r="BL289" s="72"/>
      <c r="BM289" s="72"/>
      <c r="BN289" s="72"/>
      <c r="BO289" s="72"/>
      <c r="BP289" s="72"/>
      <c r="BQ289" s="72"/>
      <c r="BR289" s="72"/>
      <c r="BS289" s="72"/>
      <c r="BT289" s="72"/>
      <c r="BU289" s="72"/>
      <c r="BV289" s="72"/>
      <c r="BW289" s="72"/>
      <c r="BX289" s="72"/>
      <c r="BY289" s="72"/>
      <c r="BZ289" s="72"/>
      <c r="CA289" s="72"/>
      <c r="CB289" s="72"/>
      <c r="CC289" s="72"/>
      <c r="CD289" s="72"/>
      <c r="CE289" s="72"/>
      <c r="CF289" s="72"/>
      <c r="CG289" s="72"/>
      <c r="CH289" s="72"/>
    </row>
    <row r="290" ht="15.7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  <c r="AQ290" s="72"/>
      <c r="AR290" s="72"/>
      <c r="AS290" s="72"/>
      <c r="AT290" s="72"/>
      <c r="AU290" s="72"/>
      <c r="AV290" s="72"/>
      <c r="AW290" s="72"/>
      <c r="AX290" s="72"/>
      <c r="AY290" s="72"/>
      <c r="AZ290" s="72"/>
      <c r="BA290" s="72"/>
      <c r="BB290" s="72"/>
      <c r="BC290" s="72"/>
      <c r="BD290" s="72"/>
      <c r="BE290" s="72"/>
      <c r="BF290" s="72"/>
      <c r="BG290" s="72"/>
      <c r="BH290" s="72"/>
      <c r="BI290" s="72"/>
      <c r="BJ290" s="72"/>
      <c r="BK290" s="72"/>
      <c r="BL290" s="72"/>
      <c r="BM290" s="72"/>
      <c r="BN290" s="72"/>
      <c r="BO290" s="72"/>
      <c r="BP290" s="72"/>
      <c r="BQ290" s="72"/>
      <c r="BR290" s="72"/>
      <c r="BS290" s="72"/>
      <c r="BT290" s="72"/>
      <c r="BU290" s="72"/>
      <c r="BV290" s="72"/>
      <c r="BW290" s="72"/>
      <c r="BX290" s="72"/>
      <c r="BY290" s="72"/>
      <c r="BZ290" s="72"/>
      <c r="CA290" s="72"/>
      <c r="CB290" s="72"/>
      <c r="CC290" s="72"/>
      <c r="CD290" s="72"/>
      <c r="CE290" s="72"/>
      <c r="CF290" s="72"/>
      <c r="CG290" s="72"/>
      <c r="CH290" s="72"/>
    </row>
    <row r="291" ht="15.7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  <c r="AQ291" s="72"/>
      <c r="AR291" s="72"/>
      <c r="AS291" s="72"/>
      <c r="AT291" s="72"/>
      <c r="AU291" s="72"/>
      <c r="AV291" s="72"/>
      <c r="AW291" s="72"/>
      <c r="AX291" s="72"/>
      <c r="AY291" s="72"/>
      <c r="AZ291" s="72"/>
      <c r="BA291" s="72"/>
      <c r="BB291" s="72"/>
      <c r="BC291" s="72"/>
      <c r="BD291" s="72"/>
      <c r="BE291" s="72"/>
      <c r="BF291" s="72"/>
      <c r="BG291" s="72"/>
      <c r="BH291" s="72"/>
      <c r="BI291" s="72"/>
      <c r="BJ291" s="72"/>
      <c r="BK291" s="72"/>
      <c r="BL291" s="72"/>
      <c r="BM291" s="72"/>
      <c r="BN291" s="72"/>
      <c r="BO291" s="72"/>
      <c r="BP291" s="72"/>
      <c r="BQ291" s="72"/>
      <c r="BR291" s="72"/>
      <c r="BS291" s="72"/>
      <c r="BT291" s="72"/>
      <c r="BU291" s="72"/>
      <c r="BV291" s="72"/>
      <c r="BW291" s="72"/>
      <c r="BX291" s="72"/>
      <c r="BY291" s="72"/>
      <c r="BZ291" s="72"/>
      <c r="CA291" s="72"/>
      <c r="CB291" s="72"/>
      <c r="CC291" s="72"/>
      <c r="CD291" s="72"/>
      <c r="CE291" s="72"/>
      <c r="CF291" s="72"/>
      <c r="CG291" s="72"/>
      <c r="CH291" s="72"/>
    </row>
    <row r="292" ht="15.7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  <c r="AQ292" s="72"/>
      <c r="AR292" s="72"/>
      <c r="AS292" s="72"/>
      <c r="AT292" s="72"/>
      <c r="AU292" s="72"/>
      <c r="AV292" s="72"/>
      <c r="AW292" s="72"/>
      <c r="AX292" s="72"/>
      <c r="AY292" s="72"/>
      <c r="AZ292" s="72"/>
      <c r="BA292" s="72"/>
      <c r="BB292" s="72"/>
      <c r="BC292" s="72"/>
      <c r="BD292" s="72"/>
      <c r="BE292" s="72"/>
      <c r="BF292" s="72"/>
      <c r="BG292" s="72"/>
      <c r="BH292" s="72"/>
      <c r="BI292" s="72"/>
      <c r="BJ292" s="72"/>
      <c r="BK292" s="72"/>
      <c r="BL292" s="72"/>
      <c r="BM292" s="72"/>
      <c r="BN292" s="72"/>
      <c r="BO292" s="72"/>
      <c r="BP292" s="72"/>
      <c r="BQ292" s="72"/>
      <c r="BR292" s="72"/>
      <c r="BS292" s="72"/>
      <c r="BT292" s="72"/>
      <c r="BU292" s="72"/>
      <c r="BV292" s="72"/>
      <c r="BW292" s="72"/>
      <c r="BX292" s="72"/>
      <c r="BY292" s="72"/>
      <c r="BZ292" s="72"/>
      <c r="CA292" s="72"/>
      <c r="CB292" s="72"/>
      <c r="CC292" s="72"/>
      <c r="CD292" s="72"/>
      <c r="CE292" s="72"/>
      <c r="CF292" s="72"/>
      <c r="CG292" s="72"/>
      <c r="CH292" s="72"/>
    </row>
    <row r="293" ht="15.7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  <c r="AQ293" s="72"/>
      <c r="AR293" s="72"/>
      <c r="AS293" s="72"/>
      <c r="AT293" s="72"/>
      <c r="AU293" s="72"/>
      <c r="AV293" s="72"/>
      <c r="AW293" s="72"/>
      <c r="AX293" s="72"/>
      <c r="AY293" s="72"/>
      <c r="AZ293" s="72"/>
      <c r="BA293" s="72"/>
      <c r="BB293" s="72"/>
      <c r="BC293" s="72"/>
      <c r="BD293" s="72"/>
      <c r="BE293" s="72"/>
      <c r="BF293" s="72"/>
      <c r="BG293" s="72"/>
      <c r="BH293" s="72"/>
      <c r="BI293" s="72"/>
      <c r="BJ293" s="72"/>
      <c r="BK293" s="72"/>
      <c r="BL293" s="72"/>
      <c r="BM293" s="72"/>
      <c r="BN293" s="72"/>
      <c r="BO293" s="72"/>
      <c r="BP293" s="72"/>
      <c r="BQ293" s="72"/>
      <c r="BR293" s="72"/>
      <c r="BS293" s="72"/>
      <c r="BT293" s="72"/>
      <c r="BU293" s="72"/>
      <c r="BV293" s="72"/>
      <c r="BW293" s="72"/>
      <c r="BX293" s="72"/>
      <c r="BY293" s="72"/>
      <c r="BZ293" s="72"/>
      <c r="CA293" s="72"/>
      <c r="CB293" s="72"/>
      <c r="CC293" s="72"/>
      <c r="CD293" s="72"/>
      <c r="CE293" s="72"/>
      <c r="CF293" s="72"/>
      <c r="CG293" s="72"/>
      <c r="CH293" s="72"/>
    </row>
    <row r="294" ht="15.75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  <c r="AQ294" s="72"/>
      <c r="AR294" s="72"/>
      <c r="AS294" s="72"/>
      <c r="AT294" s="72"/>
      <c r="AU294" s="72"/>
      <c r="AV294" s="72"/>
      <c r="AW294" s="72"/>
      <c r="AX294" s="72"/>
      <c r="AY294" s="72"/>
      <c r="AZ294" s="72"/>
      <c r="BA294" s="72"/>
      <c r="BB294" s="72"/>
      <c r="BC294" s="72"/>
      <c r="BD294" s="72"/>
      <c r="BE294" s="72"/>
      <c r="BF294" s="72"/>
      <c r="BG294" s="72"/>
      <c r="BH294" s="72"/>
      <c r="BI294" s="72"/>
      <c r="BJ294" s="72"/>
      <c r="BK294" s="72"/>
      <c r="BL294" s="72"/>
      <c r="BM294" s="72"/>
      <c r="BN294" s="72"/>
      <c r="BO294" s="72"/>
      <c r="BP294" s="72"/>
      <c r="BQ294" s="72"/>
      <c r="BR294" s="72"/>
      <c r="BS294" s="72"/>
      <c r="BT294" s="72"/>
      <c r="BU294" s="72"/>
      <c r="BV294" s="72"/>
      <c r="BW294" s="72"/>
      <c r="BX294" s="72"/>
      <c r="BY294" s="72"/>
      <c r="BZ294" s="72"/>
      <c r="CA294" s="72"/>
      <c r="CB294" s="72"/>
      <c r="CC294" s="72"/>
      <c r="CD294" s="72"/>
      <c r="CE294" s="72"/>
      <c r="CF294" s="72"/>
      <c r="CG294" s="72"/>
      <c r="CH294" s="72"/>
    </row>
    <row r="295" ht="15.75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  <c r="AQ295" s="72"/>
      <c r="AR295" s="72"/>
      <c r="AS295" s="72"/>
      <c r="AT295" s="72"/>
      <c r="AU295" s="72"/>
      <c r="AV295" s="72"/>
      <c r="AW295" s="72"/>
      <c r="AX295" s="72"/>
      <c r="AY295" s="72"/>
      <c r="AZ295" s="72"/>
      <c r="BA295" s="72"/>
      <c r="BB295" s="72"/>
      <c r="BC295" s="72"/>
      <c r="BD295" s="72"/>
      <c r="BE295" s="72"/>
      <c r="BF295" s="72"/>
      <c r="BG295" s="72"/>
      <c r="BH295" s="72"/>
      <c r="BI295" s="72"/>
      <c r="BJ295" s="72"/>
      <c r="BK295" s="72"/>
      <c r="BL295" s="72"/>
      <c r="BM295" s="72"/>
      <c r="BN295" s="72"/>
      <c r="BO295" s="72"/>
      <c r="BP295" s="72"/>
      <c r="BQ295" s="72"/>
      <c r="BR295" s="72"/>
      <c r="BS295" s="72"/>
      <c r="BT295" s="72"/>
      <c r="BU295" s="72"/>
      <c r="BV295" s="72"/>
      <c r="BW295" s="72"/>
      <c r="BX295" s="72"/>
      <c r="BY295" s="72"/>
      <c r="BZ295" s="72"/>
      <c r="CA295" s="72"/>
      <c r="CB295" s="72"/>
      <c r="CC295" s="72"/>
      <c r="CD295" s="72"/>
      <c r="CE295" s="72"/>
      <c r="CF295" s="72"/>
      <c r="CG295" s="72"/>
      <c r="CH295" s="72"/>
    </row>
    <row r="296" ht="15.75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  <c r="AQ296" s="72"/>
      <c r="AR296" s="72"/>
      <c r="AS296" s="72"/>
      <c r="AT296" s="72"/>
      <c r="AU296" s="72"/>
      <c r="AV296" s="72"/>
      <c r="AW296" s="72"/>
      <c r="AX296" s="72"/>
      <c r="AY296" s="72"/>
      <c r="AZ296" s="72"/>
      <c r="BA296" s="72"/>
      <c r="BB296" s="72"/>
      <c r="BC296" s="72"/>
      <c r="BD296" s="72"/>
      <c r="BE296" s="72"/>
      <c r="BF296" s="72"/>
      <c r="BG296" s="72"/>
      <c r="BH296" s="72"/>
      <c r="BI296" s="72"/>
      <c r="BJ296" s="72"/>
      <c r="BK296" s="72"/>
      <c r="BL296" s="72"/>
      <c r="BM296" s="72"/>
      <c r="BN296" s="72"/>
      <c r="BO296" s="72"/>
      <c r="BP296" s="72"/>
      <c r="BQ296" s="72"/>
      <c r="BR296" s="72"/>
      <c r="BS296" s="72"/>
      <c r="BT296" s="72"/>
      <c r="BU296" s="72"/>
      <c r="BV296" s="72"/>
      <c r="BW296" s="72"/>
      <c r="BX296" s="72"/>
      <c r="BY296" s="72"/>
      <c r="BZ296" s="72"/>
      <c r="CA296" s="72"/>
      <c r="CB296" s="72"/>
      <c r="CC296" s="72"/>
      <c r="CD296" s="72"/>
      <c r="CE296" s="72"/>
      <c r="CF296" s="72"/>
      <c r="CG296" s="72"/>
      <c r="CH296" s="72"/>
    </row>
    <row r="297" ht="15.75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  <c r="AQ297" s="72"/>
      <c r="AR297" s="72"/>
      <c r="AS297" s="72"/>
      <c r="AT297" s="72"/>
      <c r="AU297" s="72"/>
      <c r="AV297" s="72"/>
      <c r="AW297" s="72"/>
      <c r="AX297" s="72"/>
      <c r="AY297" s="72"/>
      <c r="AZ297" s="72"/>
      <c r="BA297" s="72"/>
      <c r="BB297" s="72"/>
      <c r="BC297" s="72"/>
      <c r="BD297" s="72"/>
      <c r="BE297" s="72"/>
      <c r="BF297" s="72"/>
      <c r="BG297" s="72"/>
      <c r="BH297" s="72"/>
      <c r="BI297" s="72"/>
      <c r="BJ297" s="72"/>
      <c r="BK297" s="72"/>
      <c r="BL297" s="72"/>
      <c r="BM297" s="72"/>
      <c r="BN297" s="72"/>
      <c r="BO297" s="72"/>
      <c r="BP297" s="72"/>
      <c r="BQ297" s="72"/>
      <c r="BR297" s="72"/>
      <c r="BS297" s="72"/>
      <c r="BT297" s="72"/>
      <c r="BU297" s="72"/>
      <c r="BV297" s="72"/>
      <c r="BW297" s="72"/>
      <c r="BX297" s="72"/>
      <c r="BY297" s="72"/>
      <c r="BZ297" s="72"/>
      <c r="CA297" s="72"/>
      <c r="CB297" s="72"/>
      <c r="CC297" s="72"/>
      <c r="CD297" s="72"/>
      <c r="CE297" s="72"/>
      <c r="CF297" s="72"/>
      <c r="CG297" s="72"/>
      <c r="CH297" s="72"/>
    </row>
    <row r="298" ht="15.75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  <c r="AQ298" s="72"/>
      <c r="AR298" s="72"/>
      <c r="AS298" s="72"/>
      <c r="AT298" s="72"/>
      <c r="AU298" s="72"/>
      <c r="AV298" s="72"/>
      <c r="AW298" s="72"/>
      <c r="AX298" s="72"/>
      <c r="AY298" s="72"/>
      <c r="AZ298" s="72"/>
      <c r="BA298" s="72"/>
      <c r="BB298" s="72"/>
      <c r="BC298" s="72"/>
      <c r="BD298" s="72"/>
      <c r="BE298" s="72"/>
      <c r="BF298" s="72"/>
      <c r="BG298" s="72"/>
      <c r="BH298" s="72"/>
      <c r="BI298" s="72"/>
      <c r="BJ298" s="72"/>
      <c r="BK298" s="72"/>
      <c r="BL298" s="72"/>
      <c r="BM298" s="72"/>
      <c r="BN298" s="72"/>
      <c r="BO298" s="72"/>
      <c r="BP298" s="72"/>
      <c r="BQ298" s="72"/>
      <c r="BR298" s="72"/>
      <c r="BS298" s="72"/>
      <c r="BT298" s="72"/>
      <c r="BU298" s="72"/>
      <c r="BV298" s="72"/>
      <c r="BW298" s="72"/>
      <c r="BX298" s="72"/>
      <c r="BY298" s="72"/>
      <c r="BZ298" s="72"/>
      <c r="CA298" s="72"/>
      <c r="CB298" s="72"/>
      <c r="CC298" s="72"/>
      <c r="CD298" s="72"/>
      <c r="CE298" s="72"/>
      <c r="CF298" s="72"/>
      <c r="CG298" s="72"/>
      <c r="CH298" s="72"/>
    </row>
    <row r="299" ht="15.75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  <c r="AQ299" s="72"/>
      <c r="AR299" s="72"/>
      <c r="AS299" s="72"/>
      <c r="AT299" s="72"/>
      <c r="AU299" s="72"/>
      <c r="AV299" s="72"/>
      <c r="AW299" s="72"/>
      <c r="AX299" s="72"/>
      <c r="AY299" s="72"/>
      <c r="AZ299" s="72"/>
      <c r="BA299" s="72"/>
      <c r="BB299" s="72"/>
      <c r="BC299" s="72"/>
      <c r="BD299" s="72"/>
      <c r="BE299" s="72"/>
      <c r="BF299" s="72"/>
      <c r="BG299" s="72"/>
      <c r="BH299" s="72"/>
      <c r="BI299" s="72"/>
      <c r="BJ299" s="72"/>
      <c r="BK299" s="72"/>
      <c r="BL299" s="72"/>
      <c r="BM299" s="72"/>
      <c r="BN299" s="72"/>
      <c r="BO299" s="72"/>
      <c r="BP299" s="72"/>
      <c r="BQ299" s="72"/>
      <c r="BR299" s="72"/>
      <c r="BS299" s="72"/>
      <c r="BT299" s="72"/>
      <c r="BU299" s="72"/>
      <c r="BV299" s="72"/>
      <c r="BW299" s="72"/>
      <c r="BX299" s="72"/>
      <c r="BY299" s="72"/>
      <c r="BZ299" s="72"/>
      <c r="CA299" s="72"/>
      <c r="CB299" s="72"/>
      <c r="CC299" s="72"/>
      <c r="CD299" s="72"/>
      <c r="CE299" s="72"/>
      <c r="CF299" s="72"/>
      <c r="CG299" s="72"/>
      <c r="CH299" s="72"/>
    </row>
    <row r="300" ht="15.75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  <c r="AQ300" s="72"/>
      <c r="AR300" s="72"/>
      <c r="AS300" s="72"/>
      <c r="AT300" s="72"/>
      <c r="AU300" s="72"/>
      <c r="AV300" s="72"/>
      <c r="AW300" s="72"/>
      <c r="AX300" s="72"/>
      <c r="AY300" s="72"/>
      <c r="AZ300" s="72"/>
      <c r="BA300" s="72"/>
      <c r="BB300" s="72"/>
      <c r="BC300" s="72"/>
      <c r="BD300" s="72"/>
      <c r="BE300" s="72"/>
      <c r="BF300" s="72"/>
      <c r="BG300" s="72"/>
      <c r="BH300" s="72"/>
      <c r="BI300" s="72"/>
      <c r="BJ300" s="72"/>
      <c r="BK300" s="72"/>
      <c r="BL300" s="72"/>
      <c r="BM300" s="72"/>
      <c r="BN300" s="72"/>
      <c r="BO300" s="72"/>
      <c r="BP300" s="72"/>
      <c r="BQ300" s="72"/>
      <c r="BR300" s="72"/>
      <c r="BS300" s="72"/>
      <c r="BT300" s="72"/>
      <c r="BU300" s="72"/>
      <c r="BV300" s="72"/>
      <c r="BW300" s="72"/>
      <c r="BX300" s="72"/>
      <c r="BY300" s="72"/>
      <c r="BZ300" s="72"/>
      <c r="CA300" s="72"/>
      <c r="CB300" s="72"/>
      <c r="CC300" s="72"/>
      <c r="CD300" s="72"/>
      <c r="CE300" s="72"/>
      <c r="CF300" s="72"/>
      <c r="CG300" s="72"/>
      <c r="CH300" s="72"/>
    </row>
    <row r="301" ht="15.75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  <c r="AQ301" s="72"/>
      <c r="AR301" s="72"/>
      <c r="AS301" s="72"/>
      <c r="AT301" s="72"/>
      <c r="AU301" s="72"/>
      <c r="AV301" s="72"/>
      <c r="AW301" s="72"/>
      <c r="AX301" s="72"/>
      <c r="AY301" s="72"/>
      <c r="AZ301" s="72"/>
      <c r="BA301" s="72"/>
      <c r="BB301" s="72"/>
      <c r="BC301" s="72"/>
      <c r="BD301" s="72"/>
      <c r="BE301" s="72"/>
      <c r="BF301" s="72"/>
      <c r="BG301" s="72"/>
      <c r="BH301" s="72"/>
      <c r="BI301" s="72"/>
      <c r="BJ301" s="72"/>
      <c r="BK301" s="72"/>
      <c r="BL301" s="72"/>
      <c r="BM301" s="72"/>
      <c r="BN301" s="72"/>
      <c r="BO301" s="72"/>
      <c r="BP301" s="72"/>
      <c r="BQ301" s="72"/>
      <c r="BR301" s="72"/>
      <c r="BS301" s="72"/>
      <c r="BT301" s="72"/>
      <c r="BU301" s="72"/>
      <c r="BV301" s="72"/>
      <c r="BW301" s="72"/>
      <c r="BX301" s="72"/>
      <c r="BY301" s="72"/>
      <c r="BZ301" s="72"/>
      <c r="CA301" s="72"/>
      <c r="CB301" s="72"/>
      <c r="CC301" s="72"/>
      <c r="CD301" s="72"/>
      <c r="CE301" s="72"/>
      <c r="CF301" s="72"/>
      <c r="CG301" s="72"/>
      <c r="CH301" s="72"/>
    </row>
    <row r="302" ht="15.75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  <c r="AQ302" s="72"/>
      <c r="AR302" s="72"/>
      <c r="AS302" s="72"/>
      <c r="AT302" s="72"/>
      <c r="AU302" s="72"/>
      <c r="AV302" s="72"/>
      <c r="AW302" s="72"/>
      <c r="AX302" s="72"/>
      <c r="AY302" s="72"/>
      <c r="AZ302" s="72"/>
      <c r="BA302" s="72"/>
      <c r="BB302" s="72"/>
      <c r="BC302" s="72"/>
      <c r="BD302" s="72"/>
      <c r="BE302" s="72"/>
      <c r="BF302" s="72"/>
      <c r="BG302" s="72"/>
      <c r="BH302" s="72"/>
      <c r="BI302" s="72"/>
      <c r="BJ302" s="72"/>
      <c r="BK302" s="72"/>
      <c r="BL302" s="72"/>
      <c r="BM302" s="72"/>
      <c r="BN302" s="72"/>
      <c r="BO302" s="72"/>
      <c r="BP302" s="72"/>
      <c r="BQ302" s="72"/>
      <c r="BR302" s="72"/>
      <c r="BS302" s="72"/>
      <c r="BT302" s="72"/>
      <c r="BU302" s="72"/>
      <c r="BV302" s="72"/>
      <c r="BW302" s="72"/>
      <c r="BX302" s="72"/>
      <c r="BY302" s="72"/>
      <c r="BZ302" s="72"/>
      <c r="CA302" s="72"/>
      <c r="CB302" s="72"/>
      <c r="CC302" s="72"/>
      <c r="CD302" s="72"/>
      <c r="CE302" s="72"/>
      <c r="CF302" s="72"/>
      <c r="CG302" s="72"/>
      <c r="CH302" s="72"/>
    </row>
    <row r="303" ht="15.75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  <c r="AQ303" s="72"/>
      <c r="AR303" s="72"/>
      <c r="AS303" s="72"/>
      <c r="AT303" s="72"/>
      <c r="AU303" s="72"/>
      <c r="AV303" s="72"/>
      <c r="AW303" s="72"/>
      <c r="AX303" s="72"/>
      <c r="AY303" s="72"/>
      <c r="AZ303" s="72"/>
      <c r="BA303" s="72"/>
      <c r="BB303" s="72"/>
      <c r="BC303" s="72"/>
      <c r="BD303" s="72"/>
      <c r="BE303" s="72"/>
      <c r="BF303" s="72"/>
      <c r="BG303" s="72"/>
      <c r="BH303" s="72"/>
      <c r="BI303" s="72"/>
      <c r="BJ303" s="72"/>
      <c r="BK303" s="72"/>
      <c r="BL303" s="72"/>
      <c r="BM303" s="72"/>
      <c r="BN303" s="72"/>
      <c r="BO303" s="72"/>
      <c r="BP303" s="72"/>
      <c r="BQ303" s="72"/>
      <c r="BR303" s="72"/>
      <c r="BS303" s="72"/>
      <c r="BT303" s="72"/>
      <c r="BU303" s="72"/>
      <c r="BV303" s="72"/>
      <c r="BW303" s="72"/>
      <c r="BX303" s="72"/>
      <c r="BY303" s="72"/>
      <c r="BZ303" s="72"/>
      <c r="CA303" s="72"/>
      <c r="CB303" s="72"/>
      <c r="CC303" s="72"/>
      <c r="CD303" s="72"/>
      <c r="CE303" s="72"/>
      <c r="CF303" s="72"/>
      <c r="CG303" s="72"/>
      <c r="CH303" s="72"/>
    </row>
    <row r="304" ht="15.75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  <c r="AQ304" s="72"/>
      <c r="AR304" s="72"/>
      <c r="AS304" s="72"/>
      <c r="AT304" s="72"/>
      <c r="AU304" s="72"/>
      <c r="AV304" s="72"/>
      <c r="AW304" s="72"/>
      <c r="AX304" s="72"/>
      <c r="AY304" s="72"/>
      <c r="AZ304" s="72"/>
      <c r="BA304" s="72"/>
      <c r="BB304" s="72"/>
      <c r="BC304" s="72"/>
      <c r="BD304" s="72"/>
      <c r="BE304" s="72"/>
      <c r="BF304" s="72"/>
      <c r="BG304" s="72"/>
      <c r="BH304" s="72"/>
      <c r="BI304" s="72"/>
      <c r="BJ304" s="72"/>
      <c r="BK304" s="72"/>
      <c r="BL304" s="72"/>
      <c r="BM304" s="72"/>
      <c r="BN304" s="72"/>
      <c r="BO304" s="72"/>
      <c r="BP304" s="72"/>
      <c r="BQ304" s="72"/>
      <c r="BR304" s="72"/>
      <c r="BS304" s="72"/>
      <c r="BT304" s="72"/>
      <c r="BU304" s="72"/>
      <c r="BV304" s="72"/>
      <c r="BW304" s="72"/>
      <c r="BX304" s="72"/>
      <c r="BY304" s="72"/>
      <c r="BZ304" s="72"/>
      <c r="CA304" s="72"/>
      <c r="CB304" s="72"/>
      <c r="CC304" s="72"/>
      <c r="CD304" s="72"/>
      <c r="CE304" s="72"/>
      <c r="CF304" s="72"/>
      <c r="CG304" s="72"/>
      <c r="CH304" s="72"/>
    </row>
    <row r="305" ht="15.75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  <c r="AQ305" s="72"/>
      <c r="AR305" s="72"/>
      <c r="AS305" s="72"/>
      <c r="AT305" s="72"/>
      <c r="AU305" s="72"/>
      <c r="AV305" s="72"/>
      <c r="AW305" s="72"/>
      <c r="AX305" s="72"/>
      <c r="AY305" s="72"/>
      <c r="AZ305" s="72"/>
      <c r="BA305" s="72"/>
      <c r="BB305" s="72"/>
      <c r="BC305" s="72"/>
      <c r="BD305" s="72"/>
      <c r="BE305" s="72"/>
      <c r="BF305" s="72"/>
      <c r="BG305" s="72"/>
      <c r="BH305" s="72"/>
      <c r="BI305" s="72"/>
      <c r="BJ305" s="72"/>
      <c r="BK305" s="72"/>
      <c r="BL305" s="72"/>
      <c r="BM305" s="72"/>
      <c r="BN305" s="72"/>
      <c r="BO305" s="72"/>
      <c r="BP305" s="72"/>
      <c r="BQ305" s="72"/>
      <c r="BR305" s="72"/>
      <c r="BS305" s="72"/>
      <c r="BT305" s="72"/>
      <c r="BU305" s="72"/>
      <c r="BV305" s="72"/>
      <c r="BW305" s="72"/>
      <c r="BX305" s="72"/>
      <c r="BY305" s="72"/>
      <c r="BZ305" s="72"/>
      <c r="CA305" s="72"/>
      <c r="CB305" s="72"/>
      <c r="CC305" s="72"/>
      <c r="CD305" s="72"/>
      <c r="CE305" s="72"/>
      <c r="CF305" s="72"/>
      <c r="CG305" s="72"/>
      <c r="CH305" s="72"/>
    </row>
    <row r="306" ht="15.75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  <c r="AQ306" s="72"/>
      <c r="AR306" s="72"/>
      <c r="AS306" s="72"/>
      <c r="AT306" s="72"/>
      <c r="AU306" s="72"/>
      <c r="AV306" s="72"/>
      <c r="AW306" s="72"/>
      <c r="AX306" s="72"/>
      <c r="AY306" s="72"/>
      <c r="AZ306" s="72"/>
      <c r="BA306" s="72"/>
      <c r="BB306" s="72"/>
      <c r="BC306" s="72"/>
      <c r="BD306" s="72"/>
      <c r="BE306" s="72"/>
      <c r="BF306" s="72"/>
      <c r="BG306" s="72"/>
      <c r="BH306" s="72"/>
      <c r="BI306" s="72"/>
      <c r="BJ306" s="72"/>
      <c r="BK306" s="72"/>
      <c r="BL306" s="72"/>
      <c r="BM306" s="72"/>
      <c r="BN306" s="72"/>
      <c r="BO306" s="72"/>
      <c r="BP306" s="72"/>
      <c r="BQ306" s="72"/>
      <c r="BR306" s="72"/>
      <c r="BS306" s="72"/>
      <c r="BT306" s="72"/>
      <c r="BU306" s="72"/>
      <c r="BV306" s="72"/>
      <c r="BW306" s="72"/>
      <c r="BX306" s="72"/>
      <c r="BY306" s="72"/>
      <c r="BZ306" s="72"/>
      <c r="CA306" s="72"/>
      <c r="CB306" s="72"/>
      <c r="CC306" s="72"/>
      <c r="CD306" s="72"/>
      <c r="CE306" s="72"/>
      <c r="CF306" s="72"/>
      <c r="CG306" s="72"/>
      <c r="CH306" s="72"/>
    </row>
    <row r="307" ht="15.75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  <c r="AQ307" s="72"/>
      <c r="AR307" s="72"/>
      <c r="AS307" s="72"/>
      <c r="AT307" s="72"/>
      <c r="AU307" s="72"/>
      <c r="AV307" s="72"/>
      <c r="AW307" s="72"/>
      <c r="AX307" s="72"/>
      <c r="AY307" s="72"/>
      <c r="AZ307" s="72"/>
      <c r="BA307" s="72"/>
      <c r="BB307" s="72"/>
      <c r="BC307" s="72"/>
      <c r="BD307" s="72"/>
      <c r="BE307" s="72"/>
      <c r="BF307" s="72"/>
      <c r="BG307" s="72"/>
      <c r="BH307" s="72"/>
      <c r="BI307" s="72"/>
      <c r="BJ307" s="72"/>
      <c r="BK307" s="72"/>
      <c r="BL307" s="72"/>
      <c r="BM307" s="72"/>
      <c r="BN307" s="72"/>
      <c r="BO307" s="72"/>
      <c r="BP307" s="72"/>
      <c r="BQ307" s="72"/>
      <c r="BR307" s="72"/>
      <c r="BS307" s="72"/>
      <c r="BT307" s="72"/>
      <c r="BU307" s="72"/>
      <c r="BV307" s="72"/>
      <c r="BW307" s="72"/>
      <c r="BX307" s="72"/>
      <c r="BY307" s="72"/>
      <c r="BZ307" s="72"/>
      <c r="CA307" s="72"/>
      <c r="CB307" s="72"/>
      <c r="CC307" s="72"/>
      <c r="CD307" s="72"/>
      <c r="CE307" s="72"/>
      <c r="CF307" s="72"/>
      <c r="CG307" s="72"/>
      <c r="CH307" s="72"/>
    </row>
    <row r="308" ht="15.75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  <c r="AQ308" s="72"/>
      <c r="AR308" s="72"/>
      <c r="AS308" s="72"/>
      <c r="AT308" s="72"/>
      <c r="AU308" s="72"/>
      <c r="AV308" s="72"/>
      <c r="AW308" s="72"/>
      <c r="AX308" s="72"/>
      <c r="AY308" s="72"/>
      <c r="AZ308" s="72"/>
      <c r="BA308" s="72"/>
      <c r="BB308" s="72"/>
      <c r="BC308" s="72"/>
      <c r="BD308" s="72"/>
      <c r="BE308" s="72"/>
      <c r="BF308" s="72"/>
      <c r="BG308" s="72"/>
      <c r="BH308" s="72"/>
      <c r="BI308" s="72"/>
      <c r="BJ308" s="72"/>
      <c r="BK308" s="72"/>
      <c r="BL308" s="72"/>
      <c r="BM308" s="72"/>
      <c r="BN308" s="72"/>
      <c r="BO308" s="72"/>
      <c r="BP308" s="72"/>
      <c r="BQ308" s="72"/>
      <c r="BR308" s="72"/>
      <c r="BS308" s="72"/>
      <c r="BT308" s="72"/>
      <c r="BU308" s="72"/>
      <c r="BV308" s="72"/>
      <c r="BW308" s="72"/>
      <c r="BX308" s="72"/>
      <c r="BY308" s="72"/>
      <c r="BZ308" s="72"/>
      <c r="CA308" s="72"/>
      <c r="CB308" s="72"/>
      <c r="CC308" s="72"/>
      <c r="CD308" s="72"/>
      <c r="CE308" s="72"/>
      <c r="CF308" s="72"/>
      <c r="CG308" s="72"/>
      <c r="CH308" s="72"/>
    </row>
    <row r="309" ht="15.75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  <c r="AQ309" s="72"/>
      <c r="AR309" s="72"/>
      <c r="AS309" s="72"/>
      <c r="AT309" s="72"/>
      <c r="AU309" s="72"/>
      <c r="AV309" s="72"/>
      <c r="AW309" s="72"/>
      <c r="AX309" s="72"/>
      <c r="AY309" s="72"/>
      <c r="AZ309" s="72"/>
      <c r="BA309" s="72"/>
      <c r="BB309" s="72"/>
      <c r="BC309" s="72"/>
      <c r="BD309" s="72"/>
      <c r="BE309" s="72"/>
      <c r="BF309" s="72"/>
      <c r="BG309" s="72"/>
      <c r="BH309" s="72"/>
      <c r="BI309" s="72"/>
      <c r="BJ309" s="72"/>
      <c r="BK309" s="72"/>
      <c r="BL309" s="72"/>
      <c r="BM309" s="72"/>
      <c r="BN309" s="72"/>
      <c r="BO309" s="72"/>
      <c r="BP309" s="72"/>
      <c r="BQ309" s="72"/>
      <c r="BR309" s="72"/>
      <c r="BS309" s="72"/>
      <c r="BT309" s="72"/>
      <c r="BU309" s="72"/>
      <c r="BV309" s="72"/>
      <c r="BW309" s="72"/>
      <c r="BX309" s="72"/>
      <c r="BY309" s="72"/>
      <c r="BZ309" s="72"/>
      <c r="CA309" s="72"/>
      <c r="CB309" s="72"/>
      <c r="CC309" s="72"/>
      <c r="CD309" s="72"/>
      <c r="CE309" s="72"/>
      <c r="CF309" s="72"/>
      <c r="CG309" s="72"/>
      <c r="CH309" s="72"/>
    </row>
    <row r="310" ht="15.75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  <c r="AQ310" s="72"/>
      <c r="AR310" s="72"/>
      <c r="AS310" s="72"/>
      <c r="AT310" s="72"/>
      <c r="AU310" s="72"/>
      <c r="AV310" s="72"/>
      <c r="AW310" s="72"/>
      <c r="AX310" s="72"/>
      <c r="AY310" s="72"/>
      <c r="AZ310" s="72"/>
      <c r="BA310" s="72"/>
      <c r="BB310" s="72"/>
      <c r="BC310" s="72"/>
      <c r="BD310" s="72"/>
      <c r="BE310" s="72"/>
      <c r="BF310" s="72"/>
      <c r="BG310" s="72"/>
      <c r="BH310" s="72"/>
      <c r="BI310" s="72"/>
      <c r="BJ310" s="72"/>
      <c r="BK310" s="72"/>
      <c r="BL310" s="72"/>
      <c r="BM310" s="72"/>
      <c r="BN310" s="72"/>
      <c r="BO310" s="72"/>
      <c r="BP310" s="72"/>
      <c r="BQ310" s="72"/>
      <c r="BR310" s="72"/>
      <c r="BS310" s="72"/>
      <c r="BT310" s="72"/>
      <c r="BU310" s="72"/>
      <c r="BV310" s="72"/>
      <c r="BW310" s="72"/>
      <c r="BX310" s="72"/>
      <c r="BY310" s="72"/>
      <c r="BZ310" s="72"/>
      <c r="CA310" s="72"/>
      <c r="CB310" s="72"/>
      <c r="CC310" s="72"/>
      <c r="CD310" s="72"/>
      <c r="CE310" s="72"/>
      <c r="CF310" s="72"/>
      <c r="CG310" s="72"/>
      <c r="CH310" s="72"/>
    </row>
    <row r="311" ht="15.75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  <c r="AQ311" s="72"/>
      <c r="AR311" s="72"/>
      <c r="AS311" s="72"/>
      <c r="AT311" s="72"/>
      <c r="AU311" s="72"/>
      <c r="AV311" s="72"/>
      <c r="AW311" s="72"/>
      <c r="AX311" s="72"/>
      <c r="AY311" s="72"/>
      <c r="AZ311" s="72"/>
      <c r="BA311" s="72"/>
      <c r="BB311" s="72"/>
      <c r="BC311" s="72"/>
      <c r="BD311" s="72"/>
      <c r="BE311" s="72"/>
      <c r="BF311" s="72"/>
      <c r="BG311" s="72"/>
      <c r="BH311" s="72"/>
      <c r="BI311" s="72"/>
      <c r="BJ311" s="72"/>
      <c r="BK311" s="72"/>
      <c r="BL311" s="72"/>
      <c r="BM311" s="72"/>
      <c r="BN311" s="72"/>
      <c r="BO311" s="72"/>
      <c r="BP311" s="72"/>
      <c r="BQ311" s="72"/>
      <c r="BR311" s="72"/>
      <c r="BS311" s="72"/>
      <c r="BT311" s="72"/>
      <c r="BU311" s="72"/>
      <c r="BV311" s="72"/>
      <c r="BW311" s="72"/>
      <c r="BX311" s="72"/>
      <c r="BY311" s="72"/>
      <c r="BZ311" s="72"/>
      <c r="CA311" s="72"/>
      <c r="CB311" s="72"/>
      <c r="CC311" s="72"/>
      <c r="CD311" s="72"/>
      <c r="CE311" s="72"/>
      <c r="CF311" s="72"/>
      <c r="CG311" s="72"/>
      <c r="CH311" s="72"/>
    </row>
    <row r="312" ht="15.75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  <c r="AQ312" s="72"/>
      <c r="AR312" s="72"/>
      <c r="AS312" s="72"/>
      <c r="AT312" s="72"/>
      <c r="AU312" s="72"/>
      <c r="AV312" s="72"/>
      <c r="AW312" s="72"/>
      <c r="AX312" s="72"/>
      <c r="AY312" s="72"/>
      <c r="AZ312" s="72"/>
      <c r="BA312" s="72"/>
      <c r="BB312" s="72"/>
      <c r="BC312" s="72"/>
      <c r="BD312" s="72"/>
      <c r="BE312" s="72"/>
      <c r="BF312" s="72"/>
      <c r="BG312" s="72"/>
      <c r="BH312" s="72"/>
      <c r="BI312" s="72"/>
      <c r="BJ312" s="72"/>
      <c r="BK312" s="72"/>
      <c r="BL312" s="72"/>
      <c r="BM312" s="72"/>
      <c r="BN312" s="72"/>
      <c r="BO312" s="72"/>
      <c r="BP312" s="72"/>
      <c r="BQ312" s="72"/>
      <c r="BR312" s="72"/>
      <c r="BS312" s="72"/>
      <c r="BT312" s="72"/>
      <c r="BU312" s="72"/>
      <c r="BV312" s="72"/>
      <c r="BW312" s="72"/>
      <c r="BX312" s="72"/>
      <c r="BY312" s="72"/>
      <c r="BZ312" s="72"/>
      <c r="CA312" s="72"/>
      <c r="CB312" s="72"/>
      <c r="CC312" s="72"/>
      <c r="CD312" s="72"/>
      <c r="CE312" s="72"/>
      <c r="CF312" s="72"/>
      <c r="CG312" s="72"/>
      <c r="CH312" s="72"/>
    </row>
    <row r="313" ht="15.75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  <c r="AQ313" s="72"/>
      <c r="AR313" s="72"/>
      <c r="AS313" s="72"/>
      <c r="AT313" s="72"/>
      <c r="AU313" s="72"/>
      <c r="AV313" s="72"/>
      <c r="AW313" s="72"/>
      <c r="AX313" s="72"/>
      <c r="AY313" s="72"/>
      <c r="AZ313" s="72"/>
      <c r="BA313" s="72"/>
      <c r="BB313" s="72"/>
      <c r="BC313" s="72"/>
      <c r="BD313" s="72"/>
      <c r="BE313" s="72"/>
      <c r="BF313" s="72"/>
      <c r="BG313" s="72"/>
      <c r="BH313" s="72"/>
      <c r="BI313" s="72"/>
      <c r="BJ313" s="72"/>
      <c r="BK313" s="72"/>
      <c r="BL313" s="72"/>
      <c r="BM313" s="72"/>
      <c r="BN313" s="72"/>
      <c r="BO313" s="72"/>
      <c r="BP313" s="72"/>
      <c r="BQ313" s="72"/>
      <c r="BR313" s="72"/>
      <c r="BS313" s="72"/>
      <c r="BT313" s="72"/>
      <c r="BU313" s="72"/>
      <c r="BV313" s="72"/>
      <c r="BW313" s="72"/>
      <c r="BX313" s="72"/>
      <c r="BY313" s="72"/>
      <c r="BZ313" s="72"/>
      <c r="CA313" s="72"/>
      <c r="CB313" s="72"/>
      <c r="CC313" s="72"/>
      <c r="CD313" s="72"/>
      <c r="CE313" s="72"/>
      <c r="CF313" s="72"/>
      <c r="CG313" s="72"/>
      <c r="CH313" s="72"/>
    </row>
    <row r="314" ht="15.75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  <c r="AQ314" s="72"/>
      <c r="AR314" s="72"/>
      <c r="AS314" s="72"/>
      <c r="AT314" s="72"/>
      <c r="AU314" s="72"/>
      <c r="AV314" s="72"/>
      <c r="AW314" s="72"/>
      <c r="AX314" s="72"/>
      <c r="AY314" s="72"/>
      <c r="AZ314" s="72"/>
      <c r="BA314" s="72"/>
      <c r="BB314" s="72"/>
      <c r="BC314" s="72"/>
      <c r="BD314" s="72"/>
      <c r="BE314" s="72"/>
      <c r="BF314" s="72"/>
      <c r="BG314" s="72"/>
      <c r="BH314" s="72"/>
      <c r="BI314" s="72"/>
      <c r="BJ314" s="72"/>
      <c r="BK314" s="72"/>
      <c r="BL314" s="72"/>
      <c r="BM314" s="72"/>
      <c r="BN314" s="72"/>
      <c r="BO314" s="72"/>
      <c r="BP314" s="72"/>
      <c r="BQ314" s="72"/>
      <c r="BR314" s="72"/>
      <c r="BS314" s="72"/>
      <c r="BT314" s="72"/>
      <c r="BU314" s="72"/>
      <c r="BV314" s="72"/>
      <c r="BW314" s="72"/>
      <c r="BX314" s="72"/>
      <c r="BY314" s="72"/>
      <c r="BZ314" s="72"/>
      <c r="CA314" s="72"/>
      <c r="CB314" s="72"/>
      <c r="CC314" s="72"/>
      <c r="CD314" s="72"/>
      <c r="CE314" s="72"/>
      <c r="CF314" s="72"/>
      <c r="CG314" s="72"/>
      <c r="CH314" s="72"/>
    </row>
    <row r="315" ht="15.75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  <c r="AQ315" s="72"/>
      <c r="AR315" s="72"/>
      <c r="AS315" s="72"/>
      <c r="AT315" s="72"/>
      <c r="AU315" s="72"/>
      <c r="AV315" s="72"/>
      <c r="AW315" s="72"/>
      <c r="AX315" s="72"/>
      <c r="AY315" s="72"/>
      <c r="AZ315" s="72"/>
      <c r="BA315" s="72"/>
      <c r="BB315" s="72"/>
      <c r="BC315" s="72"/>
      <c r="BD315" s="72"/>
      <c r="BE315" s="72"/>
      <c r="BF315" s="72"/>
      <c r="BG315" s="72"/>
      <c r="BH315" s="72"/>
      <c r="BI315" s="72"/>
      <c r="BJ315" s="72"/>
      <c r="BK315" s="72"/>
      <c r="BL315" s="72"/>
      <c r="BM315" s="72"/>
      <c r="BN315" s="72"/>
      <c r="BO315" s="72"/>
      <c r="BP315" s="72"/>
      <c r="BQ315" s="72"/>
      <c r="BR315" s="72"/>
      <c r="BS315" s="72"/>
      <c r="BT315" s="72"/>
      <c r="BU315" s="72"/>
      <c r="BV315" s="72"/>
      <c r="BW315" s="72"/>
      <c r="BX315" s="72"/>
      <c r="BY315" s="72"/>
      <c r="BZ315" s="72"/>
      <c r="CA315" s="72"/>
      <c r="CB315" s="72"/>
      <c r="CC315" s="72"/>
      <c r="CD315" s="72"/>
      <c r="CE315" s="72"/>
      <c r="CF315" s="72"/>
      <c r="CG315" s="72"/>
      <c r="CH315" s="72"/>
    </row>
    <row r="316" ht="15.75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  <c r="AQ316" s="72"/>
      <c r="AR316" s="72"/>
      <c r="AS316" s="72"/>
      <c r="AT316" s="72"/>
      <c r="AU316" s="72"/>
      <c r="AV316" s="72"/>
      <c r="AW316" s="72"/>
      <c r="AX316" s="72"/>
      <c r="AY316" s="72"/>
      <c r="AZ316" s="72"/>
      <c r="BA316" s="72"/>
      <c r="BB316" s="72"/>
      <c r="BC316" s="72"/>
      <c r="BD316" s="72"/>
      <c r="BE316" s="72"/>
      <c r="BF316" s="72"/>
      <c r="BG316" s="72"/>
      <c r="BH316" s="72"/>
      <c r="BI316" s="72"/>
      <c r="BJ316" s="72"/>
      <c r="BK316" s="72"/>
      <c r="BL316" s="72"/>
      <c r="BM316" s="72"/>
      <c r="BN316" s="72"/>
      <c r="BO316" s="72"/>
      <c r="BP316" s="72"/>
      <c r="BQ316" s="72"/>
      <c r="BR316" s="72"/>
      <c r="BS316" s="72"/>
      <c r="BT316" s="72"/>
      <c r="BU316" s="72"/>
      <c r="BV316" s="72"/>
      <c r="BW316" s="72"/>
      <c r="BX316" s="72"/>
      <c r="BY316" s="72"/>
      <c r="BZ316" s="72"/>
      <c r="CA316" s="72"/>
      <c r="CB316" s="72"/>
      <c r="CC316" s="72"/>
      <c r="CD316" s="72"/>
      <c r="CE316" s="72"/>
      <c r="CF316" s="72"/>
      <c r="CG316" s="72"/>
      <c r="CH316" s="72"/>
    </row>
    <row r="317" ht="15.75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  <c r="AQ317" s="72"/>
      <c r="AR317" s="72"/>
      <c r="AS317" s="72"/>
      <c r="AT317" s="72"/>
      <c r="AU317" s="72"/>
      <c r="AV317" s="72"/>
      <c r="AW317" s="72"/>
      <c r="AX317" s="72"/>
      <c r="AY317" s="72"/>
      <c r="AZ317" s="72"/>
      <c r="BA317" s="72"/>
      <c r="BB317" s="72"/>
      <c r="BC317" s="72"/>
      <c r="BD317" s="72"/>
      <c r="BE317" s="72"/>
      <c r="BF317" s="72"/>
      <c r="BG317" s="72"/>
      <c r="BH317" s="72"/>
      <c r="BI317" s="72"/>
      <c r="BJ317" s="72"/>
      <c r="BK317" s="72"/>
      <c r="BL317" s="72"/>
      <c r="BM317" s="72"/>
      <c r="BN317" s="72"/>
      <c r="BO317" s="72"/>
      <c r="BP317" s="72"/>
      <c r="BQ317" s="72"/>
      <c r="BR317" s="72"/>
      <c r="BS317" s="72"/>
      <c r="BT317" s="72"/>
      <c r="BU317" s="72"/>
      <c r="BV317" s="72"/>
      <c r="BW317" s="72"/>
      <c r="BX317" s="72"/>
      <c r="BY317" s="72"/>
      <c r="BZ317" s="72"/>
      <c r="CA317" s="72"/>
      <c r="CB317" s="72"/>
      <c r="CC317" s="72"/>
      <c r="CD317" s="72"/>
      <c r="CE317" s="72"/>
      <c r="CF317" s="72"/>
      <c r="CG317" s="72"/>
      <c r="CH317" s="72"/>
    </row>
    <row r="318" ht="15.75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  <c r="AQ318" s="72"/>
      <c r="AR318" s="72"/>
      <c r="AS318" s="72"/>
      <c r="AT318" s="72"/>
      <c r="AU318" s="72"/>
      <c r="AV318" s="72"/>
      <c r="AW318" s="72"/>
      <c r="AX318" s="72"/>
      <c r="AY318" s="72"/>
      <c r="AZ318" s="72"/>
      <c r="BA318" s="72"/>
      <c r="BB318" s="72"/>
      <c r="BC318" s="72"/>
      <c r="BD318" s="72"/>
      <c r="BE318" s="72"/>
      <c r="BF318" s="72"/>
      <c r="BG318" s="72"/>
      <c r="BH318" s="72"/>
      <c r="BI318" s="72"/>
      <c r="BJ318" s="72"/>
      <c r="BK318" s="72"/>
      <c r="BL318" s="72"/>
      <c r="BM318" s="72"/>
      <c r="BN318" s="72"/>
      <c r="BO318" s="72"/>
      <c r="BP318" s="72"/>
      <c r="BQ318" s="72"/>
      <c r="BR318" s="72"/>
      <c r="BS318" s="72"/>
      <c r="BT318" s="72"/>
      <c r="BU318" s="72"/>
      <c r="BV318" s="72"/>
      <c r="BW318" s="72"/>
      <c r="BX318" s="72"/>
      <c r="BY318" s="72"/>
      <c r="BZ318" s="72"/>
      <c r="CA318" s="72"/>
      <c r="CB318" s="72"/>
      <c r="CC318" s="72"/>
      <c r="CD318" s="72"/>
      <c r="CE318" s="72"/>
      <c r="CF318" s="72"/>
      <c r="CG318" s="72"/>
      <c r="CH318" s="72"/>
    </row>
    <row r="319" ht="15.75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  <c r="AQ319" s="72"/>
      <c r="AR319" s="72"/>
      <c r="AS319" s="72"/>
      <c r="AT319" s="72"/>
      <c r="AU319" s="72"/>
      <c r="AV319" s="72"/>
      <c r="AW319" s="72"/>
      <c r="AX319" s="72"/>
      <c r="AY319" s="72"/>
      <c r="AZ319" s="72"/>
      <c r="BA319" s="72"/>
      <c r="BB319" s="72"/>
      <c r="BC319" s="72"/>
      <c r="BD319" s="72"/>
      <c r="BE319" s="72"/>
      <c r="BF319" s="72"/>
      <c r="BG319" s="72"/>
      <c r="BH319" s="72"/>
      <c r="BI319" s="72"/>
      <c r="BJ319" s="72"/>
      <c r="BK319" s="72"/>
      <c r="BL319" s="72"/>
      <c r="BM319" s="72"/>
      <c r="BN319" s="72"/>
      <c r="BO319" s="72"/>
      <c r="BP319" s="72"/>
      <c r="BQ319" s="72"/>
      <c r="BR319" s="72"/>
      <c r="BS319" s="72"/>
      <c r="BT319" s="72"/>
      <c r="BU319" s="72"/>
      <c r="BV319" s="72"/>
      <c r="BW319" s="72"/>
      <c r="BX319" s="72"/>
      <c r="BY319" s="72"/>
      <c r="BZ319" s="72"/>
      <c r="CA319" s="72"/>
      <c r="CB319" s="72"/>
      <c r="CC319" s="72"/>
      <c r="CD319" s="72"/>
      <c r="CE319" s="72"/>
      <c r="CF319" s="72"/>
      <c r="CG319" s="72"/>
      <c r="CH319" s="72"/>
    </row>
    <row r="320" ht="15.75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  <c r="AQ320" s="72"/>
      <c r="AR320" s="72"/>
      <c r="AS320" s="72"/>
      <c r="AT320" s="72"/>
      <c r="AU320" s="72"/>
      <c r="AV320" s="72"/>
      <c r="AW320" s="72"/>
      <c r="AX320" s="72"/>
      <c r="AY320" s="72"/>
      <c r="AZ320" s="72"/>
      <c r="BA320" s="72"/>
      <c r="BB320" s="72"/>
      <c r="BC320" s="72"/>
      <c r="BD320" s="72"/>
      <c r="BE320" s="72"/>
      <c r="BF320" s="72"/>
      <c r="BG320" s="72"/>
      <c r="BH320" s="72"/>
      <c r="BI320" s="72"/>
      <c r="BJ320" s="72"/>
      <c r="BK320" s="72"/>
      <c r="BL320" s="72"/>
      <c r="BM320" s="72"/>
      <c r="BN320" s="72"/>
      <c r="BO320" s="72"/>
      <c r="BP320" s="72"/>
      <c r="BQ320" s="72"/>
      <c r="BR320" s="72"/>
      <c r="BS320" s="72"/>
      <c r="BT320" s="72"/>
      <c r="BU320" s="72"/>
      <c r="BV320" s="72"/>
      <c r="BW320" s="72"/>
      <c r="BX320" s="72"/>
      <c r="BY320" s="72"/>
      <c r="BZ320" s="72"/>
      <c r="CA320" s="72"/>
      <c r="CB320" s="72"/>
      <c r="CC320" s="72"/>
      <c r="CD320" s="72"/>
      <c r="CE320" s="72"/>
      <c r="CF320" s="72"/>
      <c r="CG320" s="72"/>
      <c r="CH320" s="72"/>
    </row>
    <row r="321" ht="15.75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  <c r="AQ321" s="72"/>
      <c r="AR321" s="72"/>
      <c r="AS321" s="72"/>
      <c r="AT321" s="72"/>
      <c r="AU321" s="72"/>
      <c r="AV321" s="72"/>
      <c r="AW321" s="72"/>
      <c r="AX321" s="72"/>
      <c r="AY321" s="72"/>
      <c r="AZ321" s="72"/>
      <c r="BA321" s="72"/>
      <c r="BB321" s="72"/>
      <c r="BC321" s="72"/>
      <c r="BD321" s="72"/>
      <c r="BE321" s="72"/>
      <c r="BF321" s="72"/>
      <c r="BG321" s="72"/>
      <c r="BH321" s="72"/>
      <c r="BI321" s="72"/>
      <c r="BJ321" s="72"/>
      <c r="BK321" s="72"/>
      <c r="BL321" s="72"/>
      <c r="BM321" s="72"/>
      <c r="BN321" s="72"/>
      <c r="BO321" s="72"/>
      <c r="BP321" s="72"/>
      <c r="BQ321" s="72"/>
      <c r="BR321" s="72"/>
      <c r="BS321" s="72"/>
      <c r="BT321" s="72"/>
      <c r="BU321" s="72"/>
      <c r="BV321" s="72"/>
      <c r="BW321" s="72"/>
      <c r="BX321" s="72"/>
      <c r="BY321" s="72"/>
      <c r="BZ321" s="72"/>
      <c r="CA321" s="72"/>
      <c r="CB321" s="72"/>
      <c r="CC321" s="72"/>
      <c r="CD321" s="72"/>
      <c r="CE321" s="72"/>
      <c r="CF321" s="72"/>
      <c r="CG321" s="72"/>
      <c r="CH321" s="72"/>
    </row>
    <row r="322" ht="15.75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  <c r="AQ322" s="72"/>
      <c r="AR322" s="72"/>
      <c r="AS322" s="72"/>
      <c r="AT322" s="72"/>
      <c r="AU322" s="72"/>
      <c r="AV322" s="72"/>
      <c r="AW322" s="72"/>
      <c r="AX322" s="72"/>
      <c r="AY322" s="72"/>
      <c r="AZ322" s="72"/>
      <c r="BA322" s="72"/>
      <c r="BB322" s="72"/>
      <c r="BC322" s="72"/>
      <c r="BD322" s="72"/>
      <c r="BE322" s="72"/>
      <c r="BF322" s="72"/>
      <c r="BG322" s="72"/>
      <c r="BH322" s="72"/>
      <c r="BI322" s="72"/>
      <c r="BJ322" s="72"/>
      <c r="BK322" s="72"/>
      <c r="BL322" s="72"/>
      <c r="BM322" s="72"/>
      <c r="BN322" s="72"/>
      <c r="BO322" s="72"/>
      <c r="BP322" s="72"/>
      <c r="BQ322" s="72"/>
      <c r="BR322" s="72"/>
      <c r="BS322" s="72"/>
      <c r="BT322" s="72"/>
      <c r="BU322" s="72"/>
      <c r="BV322" s="72"/>
      <c r="BW322" s="72"/>
      <c r="BX322" s="72"/>
      <c r="BY322" s="72"/>
      <c r="BZ322" s="72"/>
      <c r="CA322" s="72"/>
      <c r="CB322" s="72"/>
      <c r="CC322" s="72"/>
      <c r="CD322" s="72"/>
      <c r="CE322" s="72"/>
      <c r="CF322" s="72"/>
      <c r="CG322" s="72"/>
      <c r="CH322" s="72"/>
    </row>
    <row r="323" ht="15.75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  <c r="AQ323" s="72"/>
      <c r="AR323" s="72"/>
      <c r="AS323" s="72"/>
      <c r="AT323" s="72"/>
      <c r="AU323" s="72"/>
      <c r="AV323" s="72"/>
      <c r="AW323" s="72"/>
      <c r="AX323" s="72"/>
      <c r="AY323" s="72"/>
      <c r="AZ323" s="72"/>
      <c r="BA323" s="72"/>
      <c r="BB323" s="72"/>
      <c r="BC323" s="72"/>
      <c r="BD323" s="72"/>
      <c r="BE323" s="72"/>
      <c r="BF323" s="72"/>
      <c r="BG323" s="72"/>
      <c r="BH323" s="72"/>
      <c r="BI323" s="72"/>
      <c r="BJ323" s="72"/>
      <c r="BK323" s="72"/>
      <c r="BL323" s="72"/>
      <c r="BM323" s="72"/>
      <c r="BN323" s="72"/>
      <c r="BO323" s="72"/>
      <c r="BP323" s="72"/>
      <c r="BQ323" s="72"/>
      <c r="BR323" s="72"/>
      <c r="BS323" s="72"/>
      <c r="BT323" s="72"/>
      <c r="BU323" s="72"/>
      <c r="BV323" s="72"/>
      <c r="BW323" s="72"/>
      <c r="BX323" s="72"/>
      <c r="BY323" s="72"/>
      <c r="BZ323" s="72"/>
      <c r="CA323" s="72"/>
      <c r="CB323" s="72"/>
      <c r="CC323" s="72"/>
      <c r="CD323" s="72"/>
      <c r="CE323" s="72"/>
      <c r="CF323" s="72"/>
      <c r="CG323" s="72"/>
      <c r="CH323" s="72"/>
    </row>
  </sheetData>
  <mergeCells count="15">
    <mergeCell ref="A49:CH49"/>
    <mergeCell ref="A50:CH50"/>
    <mergeCell ref="A51:CH51"/>
    <mergeCell ref="A79:CH79"/>
    <mergeCell ref="A80:CH80"/>
    <mergeCell ref="A81:CH81"/>
    <mergeCell ref="A105:CH105"/>
    <mergeCell ref="A106:CH106"/>
    <mergeCell ref="A1:CH1"/>
    <mergeCell ref="A2:CH2"/>
    <mergeCell ref="A5:CH5"/>
    <mergeCell ref="A7:CH7"/>
    <mergeCell ref="A8:CH8"/>
    <mergeCell ref="A24:CH24"/>
    <mergeCell ref="A25:CH25"/>
  </mergeCells>
  <conditionalFormatting sqref="I5:CD106">
    <cfRule type="cellIs" dxfId="0" priority="1" operator="equal">
      <formula>"Present"</formula>
    </cfRule>
  </conditionalFormatting>
  <conditionalFormatting sqref="I5:CD106">
    <cfRule type="cellIs" dxfId="1" priority="2" operator="equal">
      <formula>"Absent"</formula>
    </cfRule>
  </conditionalFormatting>
  <conditionalFormatting sqref="I5:CD106">
    <cfRule type="cellIs" dxfId="2" priority="3" operator="equal">
      <formula>"Leave"</formula>
    </cfRule>
  </conditionalFormatting>
  <conditionalFormatting sqref="I5:CD106">
    <cfRule type="cellIs" dxfId="3" priority="4" operator="equal">
      <formula>"Late"</formula>
    </cfRule>
  </conditionalFormatting>
  <conditionalFormatting sqref="I5:CD106">
    <cfRule type="cellIs" dxfId="4" priority="5" operator="equal">
      <formula>"Sat Off"</formula>
    </cfRule>
  </conditionalFormatting>
  <conditionalFormatting sqref="I5:CD106">
    <cfRule type="cellIs" dxfId="5" priority="6" operator="equal">
      <formula>"N/A"</formula>
    </cfRule>
  </conditionalFormatting>
  <conditionalFormatting sqref="I5:CD106">
    <cfRule type="cellIs" dxfId="6" priority="7" operator="equal">
      <formula>"Dropout"</formula>
    </cfRule>
  </conditionalFormatting>
  <conditionalFormatting sqref="I5:CD106">
    <cfRule type="cellIs" dxfId="7" priority="8" operator="equal">
      <formula>"OFF"</formula>
    </cfRule>
  </conditionalFormatting>
  <dataValidations>
    <dataValidation type="list" allowBlank="1" sqref="F6 F9:F23 F26:F48 F52:F78 F82:F104 F107:F156">
      <formula1>"✓,—"</formula1>
    </dataValidation>
    <dataValidation type="list" allowBlank="1" sqref="I6:CD6 I9:CD23 I26:CD48 I52:CD78 I82:CD104 I107:CD109 R110:CD123 I124:CD156">
      <formula1>"Present,Absent,Leave,Late,Sat Off,N/A,Dropout"</formula1>
    </dataValidation>
    <dataValidation type="list" allowBlank="1" sqref="I110:Q123">
      <formula1>"Present,Absent,Leave,Late,Sat Off,Dropout"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5C38"/>
    <pageSetUpPr/>
  </sheetPr>
  <sheetViews>
    <sheetView workbookViewId="0">
      <pane xSplit="8.0" ySplit="4.0" topLeftCell="I5" activePane="bottomRight" state="frozen"/>
      <selection activeCell="I1" sqref="I1" pane="topRight"/>
      <selection activeCell="A5" sqref="A5" pane="bottomLeft"/>
      <selection activeCell="I5" sqref="I5" pane="bottomRight"/>
    </sheetView>
  </sheetViews>
  <sheetFormatPr customHeight="1" defaultColWidth="14.43" defaultRowHeight="15.0"/>
  <cols>
    <col customWidth="1" min="1" max="1" width="5.0"/>
    <col customWidth="1" min="2" max="2" width="32.0"/>
    <col customWidth="1" min="3" max="3" width="18.0"/>
    <col customWidth="1" min="4" max="4" width="10.0"/>
    <col customWidth="1" min="5" max="5" width="13.0"/>
    <col customWidth="1" min="6" max="6" width="7.0"/>
    <col customWidth="1" min="7" max="7" width="5.0"/>
    <col customWidth="1" min="8" max="8" width="14.0"/>
    <col customWidth="1" min="9" max="82" width="13.0"/>
    <col customWidth="1" min="83" max="84" width="8.0"/>
    <col customWidth="1" min="85" max="85" width="7.0"/>
    <col customWidth="1" min="86" max="86" width="8.0"/>
  </cols>
  <sheetData>
    <row r="1" ht="27.75" customHeight="1">
      <c r="A1" s="4" t="s">
        <v>277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3"/>
    </row>
    <row r="2" ht="15.75" customHeight="1">
      <c r="A2" s="18" t="s">
        <v>278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3"/>
    </row>
    <row r="3" ht="15.75" customHeight="1">
      <c r="A3" s="5" t="s">
        <v>3</v>
      </c>
      <c r="B3" s="5" t="s">
        <v>6</v>
      </c>
      <c r="C3" s="5" t="s">
        <v>7</v>
      </c>
      <c r="D3" s="5" t="s">
        <v>39</v>
      </c>
      <c r="E3" s="5" t="s">
        <v>40</v>
      </c>
      <c r="F3" s="5" t="s">
        <v>11</v>
      </c>
      <c r="G3" s="5" t="s">
        <v>12</v>
      </c>
      <c r="H3" s="5" t="s">
        <v>41</v>
      </c>
      <c r="I3" s="5" t="s">
        <v>42</v>
      </c>
      <c r="J3" s="5" t="s">
        <v>43</v>
      </c>
      <c r="K3" s="5" t="s">
        <v>44</v>
      </c>
      <c r="L3" s="5" t="s">
        <v>45</v>
      </c>
      <c r="M3" s="5" t="s">
        <v>46</v>
      </c>
      <c r="N3" s="5" t="s">
        <v>47</v>
      </c>
      <c r="O3" s="5" t="s">
        <v>48</v>
      </c>
      <c r="P3" s="5" t="s">
        <v>49</v>
      </c>
      <c r="Q3" s="5" t="s">
        <v>50</v>
      </c>
      <c r="R3" s="5" t="s">
        <v>51</v>
      </c>
      <c r="S3" s="5" t="s">
        <v>52</v>
      </c>
      <c r="T3" s="5" t="s">
        <v>53</v>
      </c>
      <c r="U3" s="5" t="s">
        <v>54</v>
      </c>
      <c r="V3" s="5" t="s">
        <v>55</v>
      </c>
      <c r="W3" s="5" t="s">
        <v>56</v>
      </c>
      <c r="X3" s="5" t="s">
        <v>57</v>
      </c>
      <c r="Y3" s="5" t="s">
        <v>58</v>
      </c>
      <c r="Z3" s="5" t="s">
        <v>59</v>
      </c>
      <c r="AA3" s="5" t="s">
        <v>60</v>
      </c>
      <c r="AB3" s="5" t="s">
        <v>61</v>
      </c>
      <c r="AC3" s="5" t="s">
        <v>62</v>
      </c>
      <c r="AD3" s="5" t="s">
        <v>63</v>
      </c>
      <c r="AE3" s="5" t="s">
        <v>64</v>
      </c>
      <c r="AF3" s="5" t="s">
        <v>65</v>
      </c>
      <c r="AG3" s="5" t="s">
        <v>66</v>
      </c>
      <c r="AH3" s="5" t="s">
        <v>67</v>
      </c>
      <c r="AI3" s="5" t="s">
        <v>68</v>
      </c>
      <c r="AJ3" s="5" t="s">
        <v>69</v>
      </c>
      <c r="AK3" s="5" t="s">
        <v>70</v>
      </c>
      <c r="AL3" s="5" t="s">
        <v>71</v>
      </c>
      <c r="AM3" s="5" t="s">
        <v>72</v>
      </c>
      <c r="AN3" s="5" t="s">
        <v>73</v>
      </c>
      <c r="AO3" s="5" t="s">
        <v>75</v>
      </c>
      <c r="AP3" s="5" t="s">
        <v>77</v>
      </c>
      <c r="AQ3" s="5" t="s">
        <v>78</v>
      </c>
      <c r="AR3" s="5" t="s">
        <v>79</v>
      </c>
      <c r="AS3" s="5" t="s">
        <v>80</v>
      </c>
      <c r="AT3" s="5" t="s">
        <v>81</v>
      </c>
      <c r="AU3" s="5" t="s">
        <v>82</v>
      </c>
      <c r="AV3" s="5" t="s">
        <v>83</v>
      </c>
      <c r="AW3" s="5" t="s">
        <v>84</v>
      </c>
      <c r="AX3" s="5" t="s">
        <v>85</v>
      </c>
      <c r="AY3" s="5" t="s">
        <v>86</v>
      </c>
      <c r="AZ3" s="5" t="s">
        <v>87</v>
      </c>
      <c r="BA3" s="5" t="s">
        <v>88</v>
      </c>
      <c r="BB3" s="5" t="s">
        <v>89</v>
      </c>
      <c r="BC3" s="5" t="s">
        <v>90</v>
      </c>
      <c r="BD3" s="5" t="s">
        <v>91</v>
      </c>
      <c r="BE3" s="5" t="s">
        <v>92</v>
      </c>
      <c r="BF3" s="5" t="s">
        <v>93</v>
      </c>
      <c r="BG3" s="5" t="s">
        <v>94</v>
      </c>
      <c r="BH3" s="5" t="s">
        <v>95</v>
      </c>
      <c r="BI3" s="5" t="s">
        <v>96</v>
      </c>
      <c r="BJ3" s="5" t="s">
        <v>97</v>
      </c>
      <c r="BK3" s="5" t="s">
        <v>98</v>
      </c>
      <c r="BL3" s="5" t="s">
        <v>99</v>
      </c>
      <c r="BM3" s="5" t="s">
        <v>100</v>
      </c>
      <c r="BN3" s="5" t="s">
        <v>101</v>
      </c>
      <c r="BO3" s="5" t="s">
        <v>102</v>
      </c>
      <c r="BP3" s="5" t="s">
        <v>103</v>
      </c>
      <c r="BQ3" s="5" t="s">
        <v>104</v>
      </c>
      <c r="BR3" s="5" t="s">
        <v>105</v>
      </c>
      <c r="BS3" s="5" t="s">
        <v>106</v>
      </c>
      <c r="BT3" s="5" t="s">
        <v>107</v>
      </c>
      <c r="BU3" s="5" t="s">
        <v>108</v>
      </c>
      <c r="BV3" s="5" t="s">
        <v>109</v>
      </c>
      <c r="BW3" s="5" t="s">
        <v>110</v>
      </c>
      <c r="BX3" s="5" t="s">
        <v>111</v>
      </c>
      <c r="BY3" s="5" t="s">
        <v>112</v>
      </c>
      <c r="BZ3" s="5" t="s">
        <v>113</v>
      </c>
      <c r="CA3" s="5" t="s">
        <v>114</v>
      </c>
      <c r="CB3" s="5" t="s">
        <v>115</v>
      </c>
      <c r="CC3" s="5" t="s">
        <v>116</v>
      </c>
      <c r="CD3" s="5" t="s">
        <v>117</v>
      </c>
      <c r="CE3" s="5" t="s">
        <v>19</v>
      </c>
      <c r="CF3" s="5" t="s">
        <v>21</v>
      </c>
      <c r="CG3" s="5" t="s">
        <v>25</v>
      </c>
      <c r="CH3" s="5" t="s">
        <v>14</v>
      </c>
    </row>
    <row r="4" ht="15.75" customHeight="1">
      <c r="A4" s="38"/>
      <c r="B4" s="38"/>
      <c r="C4" s="38"/>
      <c r="D4" s="38"/>
      <c r="E4" s="38"/>
      <c r="F4" s="38"/>
      <c r="G4" s="38"/>
      <c r="H4" s="38"/>
      <c r="I4" s="39" t="s">
        <v>118</v>
      </c>
      <c r="J4" s="39" t="s">
        <v>119</v>
      </c>
      <c r="K4" s="39" t="s">
        <v>120</v>
      </c>
      <c r="L4" s="39" t="s">
        <v>121</v>
      </c>
      <c r="M4" s="39" t="s">
        <v>122</v>
      </c>
      <c r="N4" s="39" t="s">
        <v>123</v>
      </c>
      <c r="O4" s="39" t="s">
        <v>124</v>
      </c>
      <c r="P4" s="39" t="s">
        <v>125</v>
      </c>
      <c r="Q4" s="39" t="s">
        <v>126</v>
      </c>
      <c r="R4" s="39" t="s">
        <v>127</v>
      </c>
      <c r="S4" s="39" t="s">
        <v>128</v>
      </c>
      <c r="T4" s="39" t="s">
        <v>129</v>
      </c>
      <c r="U4" s="39" t="s">
        <v>130</v>
      </c>
      <c r="V4" s="39" t="s">
        <v>131</v>
      </c>
      <c r="W4" s="39" t="s">
        <v>132</v>
      </c>
      <c r="X4" s="39" t="s">
        <v>133</v>
      </c>
      <c r="Y4" s="39" t="s">
        <v>134</v>
      </c>
      <c r="Z4" s="39" t="s">
        <v>135</v>
      </c>
      <c r="AA4" s="39" t="s">
        <v>136</v>
      </c>
      <c r="AB4" s="39" t="s">
        <v>137</v>
      </c>
      <c r="AC4" s="39" t="s">
        <v>138</v>
      </c>
      <c r="AD4" s="39" t="s">
        <v>139</v>
      </c>
      <c r="AE4" s="39" t="s">
        <v>140</v>
      </c>
      <c r="AF4" s="39" t="s">
        <v>141</v>
      </c>
      <c r="AG4" s="39" t="s">
        <v>142</v>
      </c>
      <c r="AH4" s="39" t="s">
        <v>143</v>
      </c>
      <c r="AI4" s="39" t="s">
        <v>144</v>
      </c>
      <c r="AJ4" s="39" t="s">
        <v>145</v>
      </c>
      <c r="AK4" s="39" t="s">
        <v>146</v>
      </c>
      <c r="AL4" s="39" t="s">
        <v>147</v>
      </c>
      <c r="AM4" s="39" t="s">
        <v>148</v>
      </c>
      <c r="AN4" s="39" t="s">
        <v>149</v>
      </c>
      <c r="AO4" s="39" t="s">
        <v>150</v>
      </c>
      <c r="AP4" s="39" t="s">
        <v>151</v>
      </c>
      <c r="AQ4" s="39" t="s">
        <v>152</v>
      </c>
      <c r="AR4" s="39" t="s">
        <v>153</v>
      </c>
      <c r="AS4" s="39" t="s">
        <v>154</v>
      </c>
      <c r="AT4" s="39" t="s">
        <v>155</v>
      </c>
      <c r="AU4" s="39" t="s">
        <v>156</v>
      </c>
      <c r="AV4" s="39" t="s">
        <v>157</v>
      </c>
      <c r="AW4" s="39" t="s">
        <v>158</v>
      </c>
      <c r="AX4" s="39" t="s">
        <v>159</v>
      </c>
      <c r="AY4" s="39" t="s">
        <v>160</v>
      </c>
      <c r="AZ4" s="39" t="s">
        <v>161</v>
      </c>
      <c r="BA4" s="39" t="s">
        <v>162</v>
      </c>
      <c r="BB4" s="39" t="s">
        <v>163</v>
      </c>
      <c r="BC4" s="39" t="s">
        <v>164</v>
      </c>
      <c r="BD4" s="39" t="s">
        <v>165</v>
      </c>
      <c r="BE4" s="39" t="s">
        <v>166</v>
      </c>
      <c r="BF4" s="39" t="s">
        <v>167</v>
      </c>
      <c r="BG4" s="39" t="s">
        <v>168</v>
      </c>
      <c r="BH4" s="39" t="s">
        <v>169</v>
      </c>
      <c r="BI4" s="39" t="s">
        <v>170</v>
      </c>
      <c r="BJ4" s="39" t="s">
        <v>171</v>
      </c>
      <c r="BK4" s="39" t="s">
        <v>172</v>
      </c>
      <c r="BL4" s="39" t="s">
        <v>173</v>
      </c>
      <c r="BM4" s="39" t="s">
        <v>174</v>
      </c>
      <c r="BN4" s="39" t="s">
        <v>175</v>
      </c>
      <c r="BO4" s="39" t="s">
        <v>176</v>
      </c>
      <c r="BP4" s="39" t="s">
        <v>177</v>
      </c>
      <c r="BQ4" s="39" t="s">
        <v>178</v>
      </c>
      <c r="BR4" s="39" t="s">
        <v>179</v>
      </c>
      <c r="BS4" s="39" t="s">
        <v>180</v>
      </c>
      <c r="BT4" s="39" t="s">
        <v>181</v>
      </c>
      <c r="BU4" s="39" t="s">
        <v>182</v>
      </c>
      <c r="BV4" s="39" t="s">
        <v>183</v>
      </c>
      <c r="BW4" s="39" t="s">
        <v>184</v>
      </c>
      <c r="BX4" s="39" t="s">
        <v>185</v>
      </c>
      <c r="BY4" s="39" t="s">
        <v>186</v>
      </c>
      <c r="BZ4" s="39" t="s">
        <v>187</v>
      </c>
      <c r="CA4" s="39" t="s">
        <v>188</v>
      </c>
      <c r="CB4" s="39" t="s">
        <v>189</v>
      </c>
      <c r="CC4" s="39" t="s">
        <v>190</v>
      </c>
      <c r="CD4" s="39" t="s">
        <v>191</v>
      </c>
      <c r="CE4" s="38"/>
      <c r="CF4" s="38"/>
      <c r="CG4" s="38"/>
      <c r="CH4" s="38"/>
    </row>
    <row r="5" ht="18.0" customHeight="1">
      <c r="A5" s="11" t="s">
        <v>192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3"/>
    </row>
    <row r="6" ht="18.0" customHeight="1">
      <c r="A6" s="42">
        <v>1.0</v>
      </c>
      <c r="B6" s="43" t="s">
        <v>281</v>
      </c>
      <c r="C6" s="97" t="s">
        <v>282</v>
      </c>
      <c r="D6" s="45" t="str">
        <f>IF(C6&lt;&gt;"",HYPERLINK("tel:"&amp;SUBSTITUTE(SUBSTITUTE(C6," ",""),"+","+"),"📞 Call"),"")</f>
        <v>📞 Call</v>
      </c>
      <c r="E6" s="46" t="str">
        <f>IF(C6&lt;&gt;"",HYPERLINK("https://wa.me/"&amp;SUBSTITUTE(SUBSTITUTE(C6,"+","")," ",""),"💬 WhatsApp"),"")</f>
        <v>💬 WhatsApp</v>
      </c>
      <c r="F6" s="47"/>
      <c r="G6" s="47"/>
      <c r="H6" s="47" t="s">
        <v>195</v>
      </c>
      <c r="I6" s="48" t="s">
        <v>196</v>
      </c>
      <c r="J6" s="50" t="s">
        <v>37</v>
      </c>
      <c r="K6" s="49" t="s">
        <v>197</v>
      </c>
      <c r="L6" s="48" t="s">
        <v>196</v>
      </c>
      <c r="M6" s="48" t="s">
        <v>196</v>
      </c>
      <c r="N6" s="48" t="s">
        <v>196</v>
      </c>
      <c r="O6" s="48" t="s">
        <v>196</v>
      </c>
      <c r="P6" s="48" t="s">
        <v>196</v>
      </c>
      <c r="Q6" s="50" t="s">
        <v>37</v>
      </c>
      <c r="R6" s="48" t="s">
        <v>196</v>
      </c>
      <c r="S6" s="52" t="s">
        <v>196</v>
      </c>
      <c r="T6" s="98" t="s">
        <v>196</v>
      </c>
      <c r="U6" s="52" t="s">
        <v>198</v>
      </c>
      <c r="V6" s="53" t="s">
        <v>196</v>
      </c>
      <c r="W6" s="54" t="str">
        <f>IF('⚙ OFF Weekends'!$D$18="OFF","OFF","")</f>
        <v>OFF</v>
      </c>
      <c r="X6" s="53" t="s">
        <v>196</v>
      </c>
      <c r="Y6" s="52" t="s">
        <v>198</v>
      </c>
      <c r="Z6" s="53" t="s">
        <v>198</v>
      </c>
      <c r="AA6" s="52" t="s">
        <v>196</v>
      </c>
      <c r="AB6" s="53" t="s">
        <v>37</v>
      </c>
      <c r="AC6" s="54" t="str">
        <f>IF('⚙ OFF Weekends'!$D$24="OFF","OFF","")</f>
        <v/>
      </c>
      <c r="AD6" s="56" t="str">
        <f>IF('⚙ OFF Weekends'!$D$25="OFF","OFF","")</f>
        <v/>
      </c>
      <c r="AE6" s="54" t="str">
        <f>IF('⚙ OFF Weekends'!$D$26="OFF","OFF","")</f>
        <v/>
      </c>
      <c r="AF6" s="56" t="str">
        <f>IF('⚙ OFF Weekends'!$D$27="OFF","OFF","")</f>
        <v/>
      </c>
      <c r="AG6" s="54" t="str">
        <f>IF('⚙ OFF Weekends'!$D$28="OFF","OFF","")</f>
        <v/>
      </c>
      <c r="AH6" s="56" t="str">
        <f>IF('⚙ OFF Weekends'!$D$29="OFF","OFF","")</f>
        <v/>
      </c>
      <c r="AI6" s="54" t="str">
        <f>IF('⚙ OFF Weekends'!$D$30="OFF","OFF","")</f>
        <v/>
      </c>
      <c r="AJ6" s="56" t="str">
        <f>IF('⚙ OFF Weekends'!$D$31="OFF","OFF","")</f>
        <v/>
      </c>
      <c r="AK6" s="54" t="str">
        <f>IF('⚙ OFF Weekends'!$D$32="OFF","OFF","")</f>
        <v/>
      </c>
      <c r="AL6" s="56" t="str">
        <f>IF('⚙ OFF Weekends'!$D$33="OFF","OFF","")</f>
        <v/>
      </c>
      <c r="AM6" s="54" t="str">
        <f>IF('⚙ OFF Weekends'!$D$34="OFF","OFF","")</f>
        <v/>
      </c>
      <c r="AN6" s="56" t="str">
        <f>IF('⚙ OFF Weekends'!$D$35="OFF","OFF","")</f>
        <v/>
      </c>
      <c r="AO6" s="54" t="str">
        <f>IF('⚙ OFF Weekends'!$D$36="OFF","OFF","")</f>
        <v/>
      </c>
      <c r="AP6" s="56" t="str">
        <f>IF('⚙ OFF Weekends'!$D$37="OFF","OFF","")</f>
        <v/>
      </c>
      <c r="AQ6" s="54" t="str">
        <f>IF('⚙ OFF Weekends'!$D$38="OFF","OFF","")</f>
        <v/>
      </c>
      <c r="AR6" s="56" t="str">
        <f>IF('⚙ OFF Weekends'!$D$39="OFF","OFF","")</f>
        <v/>
      </c>
      <c r="AS6" s="54" t="str">
        <f>IF('⚙ OFF Weekends'!$D$40="OFF","OFF","")</f>
        <v/>
      </c>
      <c r="AT6" s="56" t="str">
        <f>IF('⚙ OFF Weekends'!$D$41="OFF","OFF","")</f>
        <v/>
      </c>
      <c r="AU6" s="54" t="str">
        <f>IF('⚙ OFF Weekends'!$D$42="OFF","OFF","")</f>
        <v/>
      </c>
      <c r="AV6" s="56" t="str">
        <f>IF('⚙ OFF Weekends'!$D$43="OFF","OFF","")</f>
        <v/>
      </c>
      <c r="AW6" s="54" t="str">
        <f>IF('⚙ OFF Weekends'!$D$44="OFF","OFF","")</f>
        <v/>
      </c>
      <c r="AX6" s="56" t="str">
        <f>IF('⚙ OFF Weekends'!$D$45="OFF","OFF","")</f>
        <v/>
      </c>
      <c r="AY6" s="54" t="str">
        <f>IF('⚙ OFF Weekends'!$D$46="OFF","OFF","")</f>
        <v/>
      </c>
      <c r="AZ6" s="56" t="str">
        <f>IF('⚙ OFF Weekends'!$D$47="OFF","OFF","")</f>
        <v/>
      </c>
      <c r="BA6" s="54" t="str">
        <f>IF('⚙ OFF Weekends'!$D$48="OFF","OFF","")</f>
        <v/>
      </c>
      <c r="BB6" s="56" t="str">
        <f>IF('⚙ OFF Weekends'!$D$49="OFF","OFF","")</f>
        <v/>
      </c>
      <c r="BC6" s="54" t="str">
        <f>IF('⚙ OFF Weekends'!$D$50="OFF","OFF","")</f>
        <v/>
      </c>
      <c r="BD6" s="56" t="str">
        <f>IF('⚙ OFF Weekends'!$D$51="OFF","OFF","")</f>
        <v/>
      </c>
      <c r="BE6" s="54" t="str">
        <f>IF('⚙ OFF Weekends'!$D$52="OFF","OFF","")</f>
        <v/>
      </c>
      <c r="BF6" s="56" t="str">
        <f>IF('⚙ OFF Weekends'!$D$53="OFF","OFF","")</f>
        <v/>
      </c>
      <c r="BG6" s="54" t="str">
        <f>IF('⚙ OFF Weekends'!$D$54="OFF","OFF","")</f>
        <v/>
      </c>
      <c r="BH6" s="56" t="str">
        <f>IF('⚙ OFF Weekends'!$D$55="OFF","OFF","")</f>
        <v/>
      </c>
      <c r="BI6" s="54" t="str">
        <f>IF('⚙ OFF Weekends'!$D$56="OFF","OFF","")</f>
        <v/>
      </c>
      <c r="BJ6" s="56" t="str">
        <f>IF('⚙ OFF Weekends'!$D$57="OFF","OFF","")</f>
        <v/>
      </c>
      <c r="BK6" s="54" t="str">
        <f>IF('⚙ OFF Weekends'!$D$58="OFF","OFF","")</f>
        <v/>
      </c>
      <c r="BL6" s="56" t="str">
        <f>IF('⚙ OFF Weekends'!$D$59="OFF","OFF","")</f>
        <v/>
      </c>
      <c r="BM6" s="54" t="str">
        <f>IF('⚙ OFF Weekends'!$D$60="OFF","OFF","")</f>
        <v/>
      </c>
      <c r="BN6" s="56" t="str">
        <f>IF('⚙ OFF Weekends'!$D$61="OFF","OFF","")</f>
        <v/>
      </c>
      <c r="BO6" s="54" t="str">
        <f>IF('⚙ OFF Weekends'!$D$62="OFF","OFF","")</f>
        <v/>
      </c>
      <c r="BP6" s="56" t="str">
        <f>IF('⚙ OFF Weekends'!$D$63="OFF","OFF","")</f>
        <v/>
      </c>
      <c r="BQ6" s="54" t="str">
        <f>IF('⚙ OFF Weekends'!$D$64="OFF","OFF","")</f>
        <v/>
      </c>
      <c r="BR6" s="56" t="str">
        <f>IF('⚙ OFF Weekends'!$D$65="OFF","OFF","")</f>
        <v/>
      </c>
      <c r="BS6" s="54" t="str">
        <f>IF('⚙ OFF Weekends'!$D$66="OFF","OFF","")</f>
        <v/>
      </c>
      <c r="BT6" s="56" t="str">
        <f>IF('⚙ OFF Weekends'!$D$67="OFF","OFF","")</f>
        <v/>
      </c>
      <c r="BU6" s="54" t="str">
        <f>IF('⚙ OFF Weekends'!$D$68="OFF","OFF","")</f>
        <v/>
      </c>
      <c r="BV6" s="56" t="str">
        <f>IF('⚙ OFF Weekends'!$D$69="OFF","OFF","")</f>
        <v/>
      </c>
      <c r="BW6" s="54" t="str">
        <f>IF('⚙ OFF Weekends'!$D$70="OFF","OFF","")</f>
        <v/>
      </c>
      <c r="BX6" s="56" t="str">
        <f>IF('⚙ OFF Weekends'!$D$71="OFF","OFF","")</f>
        <v/>
      </c>
      <c r="BY6" s="54" t="str">
        <f>IF('⚙ OFF Weekends'!$D$72="OFF","OFF","")</f>
        <v/>
      </c>
      <c r="BZ6" s="56" t="str">
        <f>IF('⚙ OFF Weekends'!$D$73="OFF","OFF","")</f>
        <v/>
      </c>
      <c r="CA6" s="54" t="str">
        <f>IF('⚙ OFF Weekends'!$D$74="OFF","OFF","")</f>
        <v/>
      </c>
      <c r="CB6" s="56" t="str">
        <f>IF('⚙ OFF Weekends'!$D$75="OFF","OFF","")</f>
        <v/>
      </c>
      <c r="CC6" s="54" t="str">
        <f>IF('⚙ OFF Weekends'!$D$76="OFF","OFF","")</f>
        <v/>
      </c>
      <c r="CD6" s="56" t="str">
        <f>IF('⚙ OFF Weekends'!$D$77="OFF","OFF","")</f>
        <v/>
      </c>
      <c r="CE6" s="42">
        <f>COUNTIF(I6:CD6,"Present")+COUNTIF(I6:CD6,"Late")</f>
        <v>15</v>
      </c>
      <c r="CF6" s="42">
        <f>COUNTIF(I6:CD6,"Absent")</f>
        <v>0</v>
      </c>
      <c r="CG6" s="42">
        <f>COUNTIF(I6:CD6,"Leave")</f>
        <v>3</v>
      </c>
      <c r="CH6" s="42" t="str">
        <f>IF(CE6+CF6=0,"0%",TEXT(CE6/(CE6+CF6),"0%"))</f>
        <v>100%</v>
      </c>
    </row>
    <row r="7" ht="6.0" customHeight="1">
      <c r="A7" s="67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3"/>
    </row>
    <row r="8" ht="18.0" customHeight="1">
      <c r="A8" s="9" t="s">
        <v>204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3"/>
    </row>
    <row r="9" ht="18.0" customHeight="1">
      <c r="A9" s="68">
        <v>1.0</v>
      </c>
      <c r="B9" s="25" t="s">
        <v>287</v>
      </c>
      <c r="C9" s="69"/>
      <c r="D9" s="70" t="str">
        <f t="shared" ref="D9:D18" si="1">IF(C9&lt;&gt;"",HYPERLINK("tel:"&amp;SUBSTITUTE(SUBSTITUTE(C9," ",""),"+","+"),"📞 Call"),"")</f>
        <v/>
      </c>
      <c r="E9" s="99" t="str">
        <f t="shared" ref="E9:E18" si="2">IF(C9&lt;&gt;"",HYPERLINK("https://wa.me/"&amp;SUBSTITUTE(SUBSTITUTE(C9,"+","")," ",""),"💬 WhatsApp"),"")</f>
        <v/>
      </c>
      <c r="F9" s="21"/>
      <c r="G9" s="21"/>
      <c r="H9" s="21" t="s">
        <v>268</v>
      </c>
      <c r="I9" s="48" t="s">
        <v>196</v>
      </c>
      <c r="J9" s="48" t="s">
        <v>196</v>
      </c>
      <c r="K9" s="49" t="s">
        <v>197</v>
      </c>
      <c r="L9" s="48" t="s">
        <v>196</v>
      </c>
      <c r="M9" s="50" t="s">
        <v>37</v>
      </c>
      <c r="N9" s="50" t="s">
        <v>37</v>
      </c>
      <c r="O9" s="50" t="s">
        <v>37</v>
      </c>
      <c r="P9" s="50" t="s">
        <v>37</v>
      </c>
      <c r="Q9" s="50" t="s">
        <v>37</v>
      </c>
      <c r="R9" s="50" t="s">
        <v>37</v>
      </c>
      <c r="S9" s="52" t="s">
        <v>37</v>
      </c>
      <c r="T9" s="98" t="s">
        <v>196</v>
      </c>
      <c r="U9" s="52" t="s">
        <v>37</v>
      </c>
      <c r="V9" s="53" t="s">
        <v>37</v>
      </c>
      <c r="W9" s="54" t="str">
        <f>IF('⚙ OFF Weekends'!$D$18="OFF","OFF","")</f>
        <v>OFF</v>
      </c>
      <c r="X9" s="53" t="s">
        <v>37</v>
      </c>
      <c r="Y9" s="54" t="str">
        <f>IF('⚙ OFF Weekends'!$D$20="OFF","OFF","")</f>
        <v/>
      </c>
      <c r="Z9" s="56" t="str">
        <f>IF('⚙ OFF Weekends'!$D$21="OFF","OFF","")</f>
        <v/>
      </c>
      <c r="AA9" s="52" t="s">
        <v>196</v>
      </c>
      <c r="AB9" s="53" t="s">
        <v>37</v>
      </c>
      <c r="AC9" s="54" t="str">
        <f>IF('⚙ OFF Weekends'!$D$24="OFF","OFF","")</f>
        <v/>
      </c>
      <c r="AD9" s="56" t="str">
        <f>IF('⚙ OFF Weekends'!$D$25="OFF","OFF","")</f>
        <v/>
      </c>
      <c r="AE9" s="54" t="str">
        <f>IF('⚙ OFF Weekends'!$D$26="OFF","OFF","")</f>
        <v/>
      </c>
      <c r="AF9" s="56" t="str">
        <f>IF('⚙ OFF Weekends'!$D$27="OFF","OFF","")</f>
        <v/>
      </c>
      <c r="AG9" s="54" t="str">
        <f>IF('⚙ OFF Weekends'!$D$28="OFF","OFF","")</f>
        <v/>
      </c>
      <c r="AH9" s="56" t="str">
        <f>IF('⚙ OFF Weekends'!$D$29="OFF","OFF","")</f>
        <v/>
      </c>
      <c r="AI9" s="54" t="str">
        <f>IF('⚙ OFF Weekends'!$D$30="OFF","OFF","")</f>
        <v/>
      </c>
      <c r="AJ9" s="56" t="str">
        <f>IF('⚙ OFF Weekends'!$D$31="OFF","OFF","")</f>
        <v/>
      </c>
      <c r="AK9" s="54" t="str">
        <f>IF('⚙ OFF Weekends'!$D$32="OFF","OFF","")</f>
        <v/>
      </c>
      <c r="AL9" s="56" t="str">
        <f>IF('⚙ OFF Weekends'!$D$33="OFF","OFF","")</f>
        <v/>
      </c>
      <c r="AM9" s="54" t="str">
        <f>IF('⚙ OFF Weekends'!$D$34="OFF","OFF","")</f>
        <v/>
      </c>
      <c r="AN9" s="56" t="str">
        <f>IF('⚙ OFF Weekends'!$D$35="OFF","OFF","")</f>
        <v/>
      </c>
      <c r="AO9" s="54" t="str">
        <f>IF('⚙ OFF Weekends'!$D$36="OFF","OFF","")</f>
        <v/>
      </c>
      <c r="AP9" s="56" t="str">
        <f>IF('⚙ OFF Weekends'!$D$37="OFF","OFF","")</f>
        <v/>
      </c>
      <c r="AQ9" s="54" t="str">
        <f>IF('⚙ OFF Weekends'!$D$38="OFF","OFF","")</f>
        <v/>
      </c>
      <c r="AR9" s="56" t="str">
        <f>IF('⚙ OFF Weekends'!$D$39="OFF","OFF","")</f>
        <v/>
      </c>
      <c r="AS9" s="54" t="str">
        <f>IF('⚙ OFF Weekends'!$D$40="OFF","OFF","")</f>
        <v/>
      </c>
      <c r="AT9" s="56" t="str">
        <f>IF('⚙ OFF Weekends'!$D$41="OFF","OFF","")</f>
        <v/>
      </c>
      <c r="AU9" s="54" t="str">
        <f>IF('⚙ OFF Weekends'!$D$42="OFF","OFF","")</f>
        <v/>
      </c>
      <c r="AV9" s="56" t="str">
        <f>IF('⚙ OFF Weekends'!$D$43="OFF","OFF","")</f>
        <v/>
      </c>
      <c r="AW9" s="54" t="str">
        <f>IF('⚙ OFF Weekends'!$D$44="OFF","OFF","")</f>
        <v/>
      </c>
      <c r="AX9" s="56" t="str">
        <f>IF('⚙ OFF Weekends'!$D$45="OFF","OFF","")</f>
        <v/>
      </c>
      <c r="AY9" s="54" t="str">
        <f>IF('⚙ OFF Weekends'!$D$46="OFF","OFF","")</f>
        <v/>
      </c>
      <c r="AZ9" s="56" t="str">
        <f>IF('⚙ OFF Weekends'!$D$47="OFF","OFF","")</f>
        <v/>
      </c>
      <c r="BA9" s="54" t="str">
        <f>IF('⚙ OFF Weekends'!$D$48="OFF","OFF","")</f>
        <v/>
      </c>
      <c r="BB9" s="56" t="str">
        <f>IF('⚙ OFF Weekends'!$D$49="OFF","OFF","")</f>
        <v/>
      </c>
      <c r="BC9" s="54" t="str">
        <f>IF('⚙ OFF Weekends'!$D$50="OFF","OFF","")</f>
        <v/>
      </c>
      <c r="BD9" s="56" t="str">
        <f>IF('⚙ OFF Weekends'!$D$51="OFF","OFF","")</f>
        <v/>
      </c>
      <c r="BE9" s="54" t="str">
        <f>IF('⚙ OFF Weekends'!$D$52="OFF","OFF","")</f>
        <v/>
      </c>
      <c r="BF9" s="56" t="str">
        <f>IF('⚙ OFF Weekends'!$D$53="OFF","OFF","")</f>
        <v/>
      </c>
      <c r="BG9" s="54" t="str">
        <f>IF('⚙ OFF Weekends'!$D$54="OFF","OFF","")</f>
        <v/>
      </c>
      <c r="BH9" s="56" t="str">
        <f>IF('⚙ OFF Weekends'!$D$55="OFF","OFF","")</f>
        <v/>
      </c>
      <c r="BI9" s="54" t="str">
        <f>IF('⚙ OFF Weekends'!$D$56="OFF","OFF","")</f>
        <v/>
      </c>
      <c r="BJ9" s="56" t="str">
        <f>IF('⚙ OFF Weekends'!$D$57="OFF","OFF","")</f>
        <v/>
      </c>
      <c r="BK9" s="54" t="str">
        <f>IF('⚙ OFF Weekends'!$D$58="OFF","OFF","")</f>
        <v/>
      </c>
      <c r="BL9" s="56" t="str">
        <f>IF('⚙ OFF Weekends'!$D$59="OFF","OFF","")</f>
        <v/>
      </c>
      <c r="BM9" s="54" t="str">
        <f>IF('⚙ OFF Weekends'!$D$60="OFF","OFF","")</f>
        <v/>
      </c>
      <c r="BN9" s="56" t="str">
        <f>IF('⚙ OFF Weekends'!$D$61="OFF","OFF","")</f>
        <v/>
      </c>
      <c r="BO9" s="54" t="str">
        <f>IF('⚙ OFF Weekends'!$D$62="OFF","OFF","")</f>
        <v/>
      </c>
      <c r="BP9" s="56" t="str">
        <f>IF('⚙ OFF Weekends'!$D$63="OFF","OFF","")</f>
        <v/>
      </c>
      <c r="BQ9" s="54" t="str">
        <f>IF('⚙ OFF Weekends'!$D$64="OFF","OFF","")</f>
        <v/>
      </c>
      <c r="BR9" s="56" t="str">
        <f>IF('⚙ OFF Weekends'!$D$65="OFF","OFF","")</f>
        <v/>
      </c>
      <c r="BS9" s="54" t="str">
        <f>IF('⚙ OFF Weekends'!$D$66="OFF","OFF","")</f>
        <v/>
      </c>
      <c r="BT9" s="56" t="str">
        <f>IF('⚙ OFF Weekends'!$D$67="OFF","OFF","")</f>
        <v/>
      </c>
      <c r="BU9" s="54" t="str">
        <f>IF('⚙ OFF Weekends'!$D$68="OFF","OFF","")</f>
        <v/>
      </c>
      <c r="BV9" s="56" t="str">
        <f>IF('⚙ OFF Weekends'!$D$69="OFF","OFF","")</f>
        <v/>
      </c>
      <c r="BW9" s="54" t="str">
        <f>IF('⚙ OFF Weekends'!$D$70="OFF","OFF","")</f>
        <v/>
      </c>
      <c r="BX9" s="56" t="str">
        <f>IF('⚙ OFF Weekends'!$D$71="OFF","OFF","")</f>
        <v/>
      </c>
      <c r="BY9" s="54" t="str">
        <f>IF('⚙ OFF Weekends'!$D$72="OFF","OFF","")</f>
        <v/>
      </c>
      <c r="BZ9" s="56" t="str">
        <f>IF('⚙ OFF Weekends'!$D$73="OFF","OFF","")</f>
        <v/>
      </c>
      <c r="CA9" s="54" t="str">
        <f>IF('⚙ OFF Weekends'!$D$74="OFF","OFF","")</f>
        <v/>
      </c>
      <c r="CB9" s="56" t="str">
        <f>IF('⚙ OFF Weekends'!$D$75="OFF","OFF","")</f>
        <v/>
      </c>
      <c r="CC9" s="54" t="str">
        <f>IF('⚙ OFF Weekends'!$D$76="OFF","OFF","")</f>
        <v/>
      </c>
      <c r="CD9" s="56" t="str">
        <f>IF('⚙ OFF Weekends'!$D$77="OFF","OFF","")</f>
        <v/>
      </c>
      <c r="CE9" s="68">
        <f t="shared" ref="CE9:CE18" si="3">COUNTIF(I9:CD9,"Present")+COUNTIF(I9:CD9,"Late")</f>
        <v>16</v>
      </c>
      <c r="CF9" s="68">
        <f t="shared" ref="CF9:CF18" si="4">COUNTIF(I9:CD9,"Absent")</f>
        <v>0</v>
      </c>
      <c r="CG9" s="68">
        <f t="shared" ref="CG9:CG18" si="5">COUNTIF(I9:CD9,"Leave")</f>
        <v>0</v>
      </c>
      <c r="CH9" s="68" t="str">
        <f t="shared" ref="CH9:CH18" si="6">IF(CE9+CF9=0,"0%",TEXT(CE9/(CE9+CF9),"0%"))</f>
        <v>100%</v>
      </c>
    </row>
    <row r="10" ht="18.0" customHeight="1">
      <c r="A10" s="73">
        <v>2.0</v>
      </c>
      <c r="B10" s="35" t="s">
        <v>292</v>
      </c>
      <c r="C10" s="74"/>
      <c r="D10" s="75" t="str">
        <f t="shared" si="1"/>
        <v/>
      </c>
      <c r="E10" s="80" t="str">
        <f t="shared" si="2"/>
        <v/>
      </c>
      <c r="F10" s="34"/>
      <c r="G10" s="34"/>
      <c r="H10" s="34" t="s">
        <v>268</v>
      </c>
      <c r="I10" s="48" t="s">
        <v>196</v>
      </c>
      <c r="J10" s="50" t="s">
        <v>37</v>
      </c>
      <c r="K10" s="49" t="s">
        <v>197</v>
      </c>
      <c r="L10" s="50" t="s">
        <v>37</v>
      </c>
      <c r="M10" s="77" t="s">
        <v>198</v>
      </c>
      <c r="N10" s="50" t="s">
        <v>37</v>
      </c>
      <c r="O10" s="50" t="s">
        <v>37</v>
      </c>
      <c r="P10" s="48" t="s">
        <v>196</v>
      </c>
      <c r="Q10" s="50" t="s">
        <v>37</v>
      </c>
      <c r="R10" s="50" t="s">
        <v>37</v>
      </c>
      <c r="S10" s="52" t="s">
        <v>37</v>
      </c>
      <c r="T10" s="98" t="s">
        <v>196</v>
      </c>
      <c r="U10" s="52" t="s">
        <v>196</v>
      </c>
      <c r="V10" s="53" t="s">
        <v>37</v>
      </c>
      <c r="W10" s="54" t="str">
        <f>IF('⚙ OFF Weekends'!$D$18="OFF","OFF","")</f>
        <v>OFF</v>
      </c>
      <c r="X10" s="53" t="s">
        <v>37</v>
      </c>
      <c r="Y10" s="54" t="str">
        <f>IF('⚙ OFF Weekends'!$D$20="OFF","OFF","")</f>
        <v/>
      </c>
      <c r="Z10" s="56" t="str">
        <f>IF('⚙ OFF Weekends'!$D$21="OFF","OFF","")</f>
        <v/>
      </c>
      <c r="AA10" s="52" t="s">
        <v>196</v>
      </c>
      <c r="AB10" s="53" t="s">
        <v>37</v>
      </c>
      <c r="AC10" s="54" t="str">
        <f>IF('⚙ OFF Weekends'!$D$24="OFF","OFF","")</f>
        <v/>
      </c>
      <c r="AD10" s="56" t="str">
        <f>IF('⚙ OFF Weekends'!$D$25="OFF","OFF","")</f>
        <v/>
      </c>
      <c r="AE10" s="54" t="str">
        <f>IF('⚙ OFF Weekends'!$D$26="OFF","OFF","")</f>
        <v/>
      </c>
      <c r="AF10" s="56" t="str">
        <f>IF('⚙ OFF Weekends'!$D$27="OFF","OFF","")</f>
        <v/>
      </c>
      <c r="AG10" s="54" t="str">
        <f>IF('⚙ OFF Weekends'!$D$28="OFF","OFF","")</f>
        <v/>
      </c>
      <c r="AH10" s="56" t="str">
        <f>IF('⚙ OFF Weekends'!$D$29="OFF","OFF","")</f>
        <v/>
      </c>
      <c r="AI10" s="54" t="str">
        <f>IF('⚙ OFF Weekends'!$D$30="OFF","OFF","")</f>
        <v/>
      </c>
      <c r="AJ10" s="56" t="str">
        <f>IF('⚙ OFF Weekends'!$D$31="OFF","OFF","")</f>
        <v/>
      </c>
      <c r="AK10" s="54" t="str">
        <f>IF('⚙ OFF Weekends'!$D$32="OFF","OFF","")</f>
        <v/>
      </c>
      <c r="AL10" s="56" t="str">
        <f>IF('⚙ OFF Weekends'!$D$33="OFF","OFF","")</f>
        <v/>
      </c>
      <c r="AM10" s="54" t="str">
        <f>IF('⚙ OFF Weekends'!$D$34="OFF","OFF","")</f>
        <v/>
      </c>
      <c r="AN10" s="56" t="str">
        <f>IF('⚙ OFF Weekends'!$D$35="OFF","OFF","")</f>
        <v/>
      </c>
      <c r="AO10" s="54" t="str">
        <f>IF('⚙ OFF Weekends'!$D$36="OFF","OFF","")</f>
        <v/>
      </c>
      <c r="AP10" s="56" t="str">
        <f>IF('⚙ OFF Weekends'!$D$37="OFF","OFF","")</f>
        <v/>
      </c>
      <c r="AQ10" s="54" t="str">
        <f>IF('⚙ OFF Weekends'!$D$38="OFF","OFF","")</f>
        <v/>
      </c>
      <c r="AR10" s="56" t="str">
        <f>IF('⚙ OFF Weekends'!$D$39="OFF","OFF","")</f>
        <v/>
      </c>
      <c r="AS10" s="54" t="str">
        <f>IF('⚙ OFF Weekends'!$D$40="OFF","OFF","")</f>
        <v/>
      </c>
      <c r="AT10" s="56" t="str">
        <f>IF('⚙ OFF Weekends'!$D$41="OFF","OFF","")</f>
        <v/>
      </c>
      <c r="AU10" s="54" t="str">
        <f>IF('⚙ OFF Weekends'!$D$42="OFF","OFF","")</f>
        <v/>
      </c>
      <c r="AV10" s="56" t="str">
        <f>IF('⚙ OFF Weekends'!$D$43="OFF","OFF","")</f>
        <v/>
      </c>
      <c r="AW10" s="54" t="str">
        <f>IF('⚙ OFF Weekends'!$D$44="OFF","OFF","")</f>
        <v/>
      </c>
      <c r="AX10" s="56" t="str">
        <f>IF('⚙ OFF Weekends'!$D$45="OFF","OFF","")</f>
        <v/>
      </c>
      <c r="AY10" s="54" t="str">
        <f>IF('⚙ OFF Weekends'!$D$46="OFF","OFF","")</f>
        <v/>
      </c>
      <c r="AZ10" s="56" t="str">
        <f>IF('⚙ OFF Weekends'!$D$47="OFF","OFF","")</f>
        <v/>
      </c>
      <c r="BA10" s="54" t="str">
        <f>IF('⚙ OFF Weekends'!$D$48="OFF","OFF","")</f>
        <v/>
      </c>
      <c r="BB10" s="56" t="str">
        <f>IF('⚙ OFF Weekends'!$D$49="OFF","OFF","")</f>
        <v/>
      </c>
      <c r="BC10" s="54" t="str">
        <f>IF('⚙ OFF Weekends'!$D$50="OFF","OFF","")</f>
        <v/>
      </c>
      <c r="BD10" s="56" t="str">
        <f>IF('⚙ OFF Weekends'!$D$51="OFF","OFF","")</f>
        <v/>
      </c>
      <c r="BE10" s="54" t="str">
        <f>IF('⚙ OFF Weekends'!$D$52="OFF","OFF","")</f>
        <v/>
      </c>
      <c r="BF10" s="56" t="str">
        <f>IF('⚙ OFF Weekends'!$D$53="OFF","OFF","")</f>
        <v/>
      </c>
      <c r="BG10" s="54" t="str">
        <f>IF('⚙ OFF Weekends'!$D$54="OFF","OFF","")</f>
        <v/>
      </c>
      <c r="BH10" s="56" t="str">
        <f>IF('⚙ OFF Weekends'!$D$55="OFF","OFF","")</f>
        <v/>
      </c>
      <c r="BI10" s="54" t="str">
        <f>IF('⚙ OFF Weekends'!$D$56="OFF","OFF","")</f>
        <v/>
      </c>
      <c r="BJ10" s="56" t="str">
        <f>IF('⚙ OFF Weekends'!$D$57="OFF","OFF","")</f>
        <v/>
      </c>
      <c r="BK10" s="54" t="str">
        <f>IF('⚙ OFF Weekends'!$D$58="OFF","OFF","")</f>
        <v/>
      </c>
      <c r="BL10" s="56" t="str">
        <f>IF('⚙ OFF Weekends'!$D$59="OFF","OFF","")</f>
        <v/>
      </c>
      <c r="BM10" s="54" t="str">
        <f>IF('⚙ OFF Weekends'!$D$60="OFF","OFF","")</f>
        <v/>
      </c>
      <c r="BN10" s="56" t="str">
        <f>IF('⚙ OFF Weekends'!$D$61="OFF","OFF","")</f>
        <v/>
      </c>
      <c r="BO10" s="54" t="str">
        <f>IF('⚙ OFF Weekends'!$D$62="OFF","OFF","")</f>
        <v/>
      </c>
      <c r="BP10" s="56" t="str">
        <f>IF('⚙ OFF Weekends'!$D$63="OFF","OFF","")</f>
        <v/>
      </c>
      <c r="BQ10" s="54" t="str">
        <f>IF('⚙ OFF Weekends'!$D$64="OFF","OFF","")</f>
        <v/>
      </c>
      <c r="BR10" s="56" t="str">
        <f>IF('⚙ OFF Weekends'!$D$65="OFF","OFF","")</f>
        <v/>
      </c>
      <c r="BS10" s="54" t="str">
        <f>IF('⚙ OFF Weekends'!$D$66="OFF","OFF","")</f>
        <v/>
      </c>
      <c r="BT10" s="56" t="str">
        <f>IF('⚙ OFF Weekends'!$D$67="OFF","OFF","")</f>
        <v/>
      </c>
      <c r="BU10" s="54" t="str">
        <f>IF('⚙ OFF Weekends'!$D$68="OFF","OFF","")</f>
        <v/>
      </c>
      <c r="BV10" s="56" t="str">
        <f>IF('⚙ OFF Weekends'!$D$69="OFF","OFF","")</f>
        <v/>
      </c>
      <c r="BW10" s="54" t="str">
        <f>IF('⚙ OFF Weekends'!$D$70="OFF","OFF","")</f>
        <v/>
      </c>
      <c r="BX10" s="56" t="str">
        <f>IF('⚙ OFF Weekends'!$D$71="OFF","OFF","")</f>
        <v/>
      </c>
      <c r="BY10" s="54" t="str">
        <f>IF('⚙ OFF Weekends'!$D$72="OFF","OFF","")</f>
        <v/>
      </c>
      <c r="BZ10" s="56" t="str">
        <f>IF('⚙ OFF Weekends'!$D$73="OFF","OFF","")</f>
        <v/>
      </c>
      <c r="CA10" s="54" t="str">
        <f>IF('⚙ OFF Weekends'!$D$74="OFF","OFF","")</f>
        <v/>
      </c>
      <c r="CB10" s="56" t="str">
        <f>IF('⚙ OFF Weekends'!$D$75="OFF","OFF","")</f>
        <v/>
      </c>
      <c r="CC10" s="54" t="str">
        <f>IF('⚙ OFF Weekends'!$D$76="OFF","OFF","")</f>
        <v/>
      </c>
      <c r="CD10" s="56" t="str">
        <f>IF('⚙ OFF Weekends'!$D$77="OFF","OFF","")</f>
        <v/>
      </c>
      <c r="CE10" s="73">
        <f t="shared" si="3"/>
        <v>15</v>
      </c>
      <c r="CF10" s="73">
        <f t="shared" si="4"/>
        <v>0</v>
      </c>
      <c r="CG10" s="73">
        <f t="shared" si="5"/>
        <v>1</v>
      </c>
      <c r="CH10" s="73" t="str">
        <f t="shared" si="6"/>
        <v>100%</v>
      </c>
    </row>
    <row r="11" ht="18.0" customHeight="1">
      <c r="A11" s="68">
        <v>3.0</v>
      </c>
      <c r="B11" s="25" t="s">
        <v>301</v>
      </c>
      <c r="C11" s="69"/>
      <c r="D11" s="70" t="str">
        <f t="shared" si="1"/>
        <v/>
      </c>
      <c r="E11" s="99" t="str">
        <f t="shared" si="2"/>
        <v/>
      </c>
      <c r="F11" s="21"/>
      <c r="G11" s="21"/>
      <c r="H11" s="21" t="s">
        <v>268</v>
      </c>
      <c r="I11" s="48" t="s">
        <v>196</v>
      </c>
      <c r="J11" s="48" t="s">
        <v>196</v>
      </c>
      <c r="K11" s="49" t="s">
        <v>197</v>
      </c>
      <c r="L11" s="50" t="s">
        <v>37</v>
      </c>
      <c r="M11" s="48" t="s">
        <v>196</v>
      </c>
      <c r="N11" s="50" t="s">
        <v>37</v>
      </c>
      <c r="O11" s="50" t="s">
        <v>37</v>
      </c>
      <c r="P11" s="50" t="s">
        <v>37</v>
      </c>
      <c r="Q11" s="48" t="s">
        <v>196</v>
      </c>
      <c r="R11" s="48" t="s">
        <v>196</v>
      </c>
      <c r="S11" s="52" t="s">
        <v>37</v>
      </c>
      <c r="T11" s="98" t="s">
        <v>196</v>
      </c>
      <c r="U11" s="52" t="s">
        <v>37</v>
      </c>
      <c r="V11" s="53" t="s">
        <v>37</v>
      </c>
      <c r="W11" s="54" t="str">
        <f>IF('⚙ OFF Weekends'!$D$18="OFF","OFF","")</f>
        <v>OFF</v>
      </c>
      <c r="X11" s="53" t="s">
        <v>37</v>
      </c>
      <c r="Y11" s="54" t="str">
        <f>IF('⚙ OFF Weekends'!$D$20="OFF","OFF","")</f>
        <v/>
      </c>
      <c r="Z11" s="56" t="str">
        <f>IF('⚙ OFF Weekends'!$D$21="OFF","OFF","")</f>
        <v/>
      </c>
      <c r="AA11" s="52" t="s">
        <v>196</v>
      </c>
      <c r="AB11" s="53" t="s">
        <v>37</v>
      </c>
      <c r="AC11" s="54" t="str">
        <f>IF('⚙ OFF Weekends'!$D$24="OFF","OFF","")</f>
        <v/>
      </c>
      <c r="AD11" s="56" t="str">
        <f>IF('⚙ OFF Weekends'!$D$25="OFF","OFF","")</f>
        <v/>
      </c>
      <c r="AE11" s="54" t="str">
        <f>IF('⚙ OFF Weekends'!$D$26="OFF","OFF","")</f>
        <v/>
      </c>
      <c r="AF11" s="56" t="str">
        <f>IF('⚙ OFF Weekends'!$D$27="OFF","OFF","")</f>
        <v/>
      </c>
      <c r="AG11" s="54" t="str">
        <f>IF('⚙ OFF Weekends'!$D$28="OFF","OFF","")</f>
        <v/>
      </c>
      <c r="AH11" s="56" t="str">
        <f>IF('⚙ OFF Weekends'!$D$29="OFF","OFF","")</f>
        <v/>
      </c>
      <c r="AI11" s="54" t="str">
        <f>IF('⚙ OFF Weekends'!$D$30="OFF","OFF","")</f>
        <v/>
      </c>
      <c r="AJ11" s="56" t="str">
        <f>IF('⚙ OFF Weekends'!$D$31="OFF","OFF","")</f>
        <v/>
      </c>
      <c r="AK11" s="54" t="str">
        <f>IF('⚙ OFF Weekends'!$D$32="OFF","OFF","")</f>
        <v/>
      </c>
      <c r="AL11" s="56" t="str">
        <f>IF('⚙ OFF Weekends'!$D$33="OFF","OFF","")</f>
        <v/>
      </c>
      <c r="AM11" s="54" t="str">
        <f>IF('⚙ OFF Weekends'!$D$34="OFF","OFF","")</f>
        <v/>
      </c>
      <c r="AN11" s="56" t="str">
        <f>IF('⚙ OFF Weekends'!$D$35="OFF","OFF","")</f>
        <v/>
      </c>
      <c r="AO11" s="54" t="str">
        <f>IF('⚙ OFF Weekends'!$D$36="OFF","OFF","")</f>
        <v/>
      </c>
      <c r="AP11" s="56" t="str">
        <f>IF('⚙ OFF Weekends'!$D$37="OFF","OFF","")</f>
        <v/>
      </c>
      <c r="AQ11" s="54" t="str">
        <f>IF('⚙ OFF Weekends'!$D$38="OFF","OFF","")</f>
        <v/>
      </c>
      <c r="AR11" s="56" t="str">
        <f>IF('⚙ OFF Weekends'!$D$39="OFF","OFF","")</f>
        <v/>
      </c>
      <c r="AS11" s="54" t="str">
        <f>IF('⚙ OFF Weekends'!$D$40="OFF","OFF","")</f>
        <v/>
      </c>
      <c r="AT11" s="56" t="str">
        <f>IF('⚙ OFF Weekends'!$D$41="OFF","OFF","")</f>
        <v/>
      </c>
      <c r="AU11" s="54" t="str">
        <f>IF('⚙ OFF Weekends'!$D$42="OFF","OFF","")</f>
        <v/>
      </c>
      <c r="AV11" s="56" t="str">
        <f>IF('⚙ OFF Weekends'!$D$43="OFF","OFF","")</f>
        <v/>
      </c>
      <c r="AW11" s="54" t="str">
        <f>IF('⚙ OFF Weekends'!$D$44="OFF","OFF","")</f>
        <v/>
      </c>
      <c r="AX11" s="56" t="str">
        <f>IF('⚙ OFF Weekends'!$D$45="OFF","OFF","")</f>
        <v/>
      </c>
      <c r="AY11" s="54" t="str">
        <f>IF('⚙ OFF Weekends'!$D$46="OFF","OFF","")</f>
        <v/>
      </c>
      <c r="AZ11" s="56" t="str">
        <f>IF('⚙ OFF Weekends'!$D$47="OFF","OFF","")</f>
        <v/>
      </c>
      <c r="BA11" s="54" t="str">
        <f>IF('⚙ OFF Weekends'!$D$48="OFF","OFF","")</f>
        <v/>
      </c>
      <c r="BB11" s="56" t="str">
        <f>IF('⚙ OFF Weekends'!$D$49="OFF","OFF","")</f>
        <v/>
      </c>
      <c r="BC11" s="54" t="str">
        <f>IF('⚙ OFF Weekends'!$D$50="OFF","OFF","")</f>
        <v/>
      </c>
      <c r="BD11" s="56" t="str">
        <f>IF('⚙ OFF Weekends'!$D$51="OFF","OFF","")</f>
        <v/>
      </c>
      <c r="BE11" s="54" t="str">
        <f>IF('⚙ OFF Weekends'!$D$52="OFF","OFF","")</f>
        <v/>
      </c>
      <c r="BF11" s="56" t="str">
        <f>IF('⚙ OFF Weekends'!$D$53="OFF","OFF","")</f>
        <v/>
      </c>
      <c r="BG11" s="54" t="str">
        <f>IF('⚙ OFF Weekends'!$D$54="OFF","OFF","")</f>
        <v/>
      </c>
      <c r="BH11" s="56" t="str">
        <f>IF('⚙ OFF Weekends'!$D$55="OFF","OFF","")</f>
        <v/>
      </c>
      <c r="BI11" s="54" t="str">
        <f>IF('⚙ OFF Weekends'!$D$56="OFF","OFF","")</f>
        <v/>
      </c>
      <c r="BJ11" s="56" t="str">
        <f>IF('⚙ OFF Weekends'!$D$57="OFF","OFF","")</f>
        <v/>
      </c>
      <c r="BK11" s="54" t="str">
        <f>IF('⚙ OFF Weekends'!$D$58="OFF","OFF","")</f>
        <v/>
      </c>
      <c r="BL11" s="56" t="str">
        <f>IF('⚙ OFF Weekends'!$D$59="OFF","OFF","")</f>
        <v/>
      </c>
      <c r="BM11" s="54" t="str">
        <f>IF('⚙ OFF Weekends'!$D$60="OFF","OFF","")</f>
        <v/>
      </c>
      <c r="BN11" s="56" t="str">
        <f>IF('⚙ OFF Weekends'!$D$61="OFF","OFF","")</f>
        <v/>
      </c>
      <c r="BO11" s="54" t="str">
        <f>IF('⚙ OFF Weekends'!$D$62="OFF","OFF","")</f>
        <v/>
      </c>
      <c r="BP11" s="56" t="str">
        <f>IF('⚙ OFF Weekends'!$D$63="OFF","OFF","")</f>
        <v/>
      </c>
      <c r="BQ11" s="54" t="str">
        <f>IF('⚙ OFF Weekends'!$D$64="OFF","OFF","")</f>
        <v/>
      </c>
      <c r="BR11" s="56" t="str">
        <f>IF('⚙ OFF Weekends'!$D$65="OFF","OFF","")</f>
        <v/>
      </c>
      <c r="BS11" s="54" t="str">
        <f>IF('⚙ OFF Weekends'!$D$66="OFF","OFF","")</f>
        <v/>
      </c>
      <c r="BT11" s="56" t="str">
        <f>IF('⚙ OFF Weekends'!$D$67="OFF","OFF","")</f>
        <v/>
      </c>
      <c r="BU11" s="54" t="str">
        <f>IF('⚙ OFF Weekends'!$D$68="OFF","OFF","")</f>
        <v/>
      </c>
      <c r="BV11" s="56" t="str">
        <f>IF('⚙ OFF Weekends'!$D$69="OFF","OFF","")</f>
        <v/>
      </c>
      <c r="BW11" s="54" t="str">
        <f>IF('⚙ OFF Weekends'!$D$70="OFF","OFF","")</f>
        <v/>
      </c>
      <c r="BX11" s="56" t="str">
        <f>IF('⚙ OFF Weekends'!$D$71="OFF","OFF","")</f>
        <v/>
      </c>
      <c r="BY11" s="54" t="str">
        <f>IF('⚙ OFF Weekends'!$D$72="OFF","OFF","")</f>
        <v/>
      </c>
      <c r="BZ11" s="56" t="str">
        <f>IF('⚙ OFF Weekends'!$D$73="OFF","OFF","")</f>
        <v/>
      </c>
      <c r="CA11" s="54" t="str">
        <f>IF('⚙ OFF Weekends'!$D$74="OFF","OFF","")</f>
        <v/>
      </c>
      <c r="CB11" s="56" t="str">
        <f>IF('⚙ OFF Weekends'!$D$75="OFF","OFF","")</f>
        <v/>
      </c>
      <c r="CC11" s="54" t="str">
        <f>IF('⚙ OFF Weekends'!$D$76="OFF","OFF","")</f>
        <v/>
      </c>
      <c r="CD11" s="56" t="str">
        <f>IF('⚙ OFF Weekends'!$D$77="OFF","OFF","")</f>
        <v/>
      </c>
      <c r="CE11" s="68">
        <f t="shared" si="3"/>
        <v>16</v>
      </c>
      <c r="CF11" s="68">
        <f t="shared" si="4"/>
        <v>0</v>
      </c>
      <c r="CG11" s="68">
        <f t="shared" si="5"/>
        <v>0</v>
      </c>
      <c r="CH11" s="68" t="str">
        <f t="shared" si="6"/>
        <v>100%</v>
      </c>
    </row>
    <row r="12" ht="18.0" customHeight="1">
      <c r="A12" s="73">
        <v>4.0</v>
      </c>
      <c r="B12" s="35" t="s">
        <v>305</v>
      </c>
      <c r="C12" s="74"/>
      <c r="D12" s="75" t="str">
        <f t="shared" si="1"/>
        <v/>
      </c>
      <c r="E12" s="80" t="str">
        <f t="shared" si="2"/>
        <v/>
      </c>
      <c r="F12" s="34"/>
      <c r="G12" s="34"/>
      <c r="H12" s="34" t="s">
        <v>268</v>
      </c>
      <c r="I12" s="54" t="str">
        <f>IF('⚙ OFF Weekends'!$D$4="OFF","OFF","")</f>
        <v/>
      </c>
      <c r="J12" s="56" t="str">
        <f>IF('⚙ OFF Weekends'!$D$5="OFF","OFF","")</f>
        <v/>
      </c>
      <c r="K12" s="49" t="s">
        <v>197</v>
      </c>
      <c r="L12" s="48" t="s">
        <v>196</v>
      </c>
      <c r="M12" s="50" t="s">
        <v>37</v>
      </c>
      <c r="N12" s="48" t="s">
        <v>196</v>
      </c>
      <c r="O12" s="50" t="s">
        <v>37</v>
      </c>
      <c r="P12" s="50" t="s">
        <v>37</v>
      </c>
      <c r="Q12" s="48" t="s">
        <v>196</v>
      </c>
      <c r="R12" s="48" t="s">
        <v>196</v>
      </c>
      <c r="S12" s="52" t="s">
        <v>196</v>
      </c>
      <c r="T12" s="98" t="s">
        <v>196</v>
      </c>
      <c r="U12" s="52" t="s">
        <v>37</v>
      </c>
      <c r="V12" s="53" t="s">
        <v>37</v>
      </c>
      <c r="W12" s="54" t="str">
        <f>IF('⚙ OFF Weekends'!$D$18="OFF","OFF","")</f>
        <v>OFF</v>
      </c>
      <c r="X12" s="53" t="s">
        <v>37</v>
      </c>
      <c r="Y12" s="54" t="str">
        <f>IF('⚙ OFF Weekends'!$D$20="OFF","OFF","")</f>
        <v/>
      </c>
      <c r="Z12" s="56" t="str">
        <f>IF('⚙ OFF Weekends'!$D$21="OFF","OFF","")</f>
        <v/>
      </c>
      <c r="AA12" s="52" t="s">
        <v>196</v>
      </c>
      <c r="AB12" s="53" t="s">
        <v>196</v>
      </c>
      <c r="AC12" s="54" t="str">
        <f>IF('⚙ OFF Weekends'!$D$24="OFF","OFF","")</f>
        <v/>
      </c>
      <c r="AD12" s="56" t="str">
        <f>IF('⚙ OFF Weekends'!$D$25="OFF","OFF","")</f>
        <v/>
      </c>
      <c r="AE12" s="54" t="str">
        <f>IF('⚙ OFF Weekends'!$D$26="OFF","OFF","")</f>
        <v/>
      </c>
      <c r="AF12" s="56" t="str">
        <f>IF('⚙ OFF Weekends'!$D$27="OFF","OFF","")</f>
        <v/>
      </c>
      <c r="AG12" s="54" t="str">
        <f>IF('⚙ OFF Weekends'!$D$28="OFF","OFF","")</f>
        <v/>
      </c>
      <c r="AH12" s="56" t="str">
        <f>IF('⚙ OFF Weekends'!$D$29="OFF","OFF","")</f>
        <v/>
      </c>
      <c r="AI12" s="54" t="str">
        <f>IF('⚙ OFF Weekends'!$D$30="OFF","OFF","")</f>
        <v/>
      </c>
      <c r="AJ12" s="56" t="str">
        <f>IF('⚙ OFF Weekends'!$D$31="OFF","OFF","")</f>
        <v/>
      </c>
      <c r="AK12" s="54" t="str">
        <f>IF('⚙ OFF Weekends'!$D$32="OFF","OFF","")</f>
        <v/>
      </c>
      <c r="AL12" s="56" t="str">
        <f>IF('⚙ OFF Weekends'!$D$33="OFF","OFF","")</f>
        <v/>
      </c>
      <c r="AM12" s="54" t="str">
        <f>IF('⚙ OFF Weekends'!$D$34="OFF","OFF","")</f>
        <v/>
      </c>
      <c r="AN12" s="56" t="str">
        <f>IF('⚙ OFF Weekends'!$D$35="OFF","OFF","")</f>
        <v/>
      </c>
      <c r="AO12" s="54" t="str">
        <f>IF('⚙ OFF Weekends'!$D$36="OFF","OFF","")</f>
        <v/>
      </c>
      <c r="AP12" s="56" t="str">
        <f>IF('⚙ OFF Weekends'!$D$37="OFF","OFF","")</f>
        <v/>
      </c>
      <c r="AQ12" s="54" t="str">
        <f>IF('⚙ OFF Weekends'!$D$38="OFF","OFF","")</f>
        <v/>
      </c>
      <c r="AR12" s="56" t="str">
        <f>IF('⚙ OFF Weekends'!$D$39="OFF","OFF","")</f>
        <v/>
      </c>
      <c r="AS12" s="54" t="str">
        <f>IF('⚙ OFF Weekends'!$D$40="OFF","OFF","")</f>
        <v/>
      </c>
      <c r="AT12" s="56" t="str">
        <f>IF('⚙ OFF Weekends'!$D$41="OFF","OFF","")</f>
        <v/>
      </c>
      <c r="AU12" s="54" t="str">
        <f>IF('⚙ OFF Weekends'!$D$42="OFF","OFF","")</f>
        <v/>
      </c>
      <c r="AV12" s="56" t="str">
        <f>IF('⚙ OFF Weekends'!$D$43="OFF","OFF","")</f>
        <v/>
      </c>
      <c r="AW12" s="54" t="str">
        <f>IF('⚙ OFF Weekends'!$D$44="OFF","OFF","")</f>
        <v/>
      </c>
      <c r="AX12" s="56" t="str">
        <f>IF('⚙ OFF Weekends'!$D$45="OFF","OFF","")</f>
        <v/>
      </c>
      <c r="AY12" s="54" t="str">
        <f>IF('⚙ OFF Weekends'!$D$46="OFF","OFF","")</f>
        <v/>
      </c>
      <c r="AZ12" s="56" t="str">
        <f>IF('⚙ OFF Weekends'!$D$47="OFF","OFF","")</f>
        <v/>
      </c>
      <c r="BA12" s="54" t="str">
        <f>IF('⚙ OFF Weekends'!$D$48="OFF","OFF","")</f>
        <v/>
      </c>
      <c r="BB12" s="56" t="str">
        <f>IF('⚙ OFF Weekends'!$D$49="OFF","OFF","")</f>
        <v/>
      </c>
      <c r="BC12" s="54" t="str">
        <f>IF('⚙ OFF Weekends'!$D$50="OFF","OFF","")</f>
        <v/>
      </c>
      <c r="BD12" s="56" t="str">
        <f>IF('⚙ OFF Weekends'!$D$51="OFF","OFF","")</f>
        <v/>
      </c>
      <c r="BE12" s="54" t="str">
        <f>IF('⚙ OFF Weekends'!$D$52="OFF","OFF","")</f>
        <v/>
      </c>
      <c r="BF12" s="56" t="str">
        <f>IF('⚙ OFF Weekends'!$D$53="OFF","OFF","")</f>
        <v/>
      </c>
      <c r="BG12" s="54" t="str">
        <f>IF('⚙ OFF Weekends'!$D$54="OFF","OFF","")</f>
        <v/>
      </c>
      <c r="BH12" s="56" t="str">
        <f>IF('⚙ OFF Weekends'!$D$55="OFF","OFF","")</f>
        <v/>
      </c>
      <c r="BI12" s="54" t="str">
        <f>IF('⚙ OFF Weekends'!$D$56="OFF","OFF","")</f>
        <v/>
      </c>
      <c r="BJ12" s="56" t="str">
        <f>IF('⚙ OFF Weekends'!$D$57="OFF","OFF","")</f>
        <v/>
      </c>
      <c r="BK12" s="54" t="str">
        <f>IF('⚙ OFF Weekends'!$D$58="OFF","OFF","")</f>
        <v/>
      </c>
      <c r="BL12" s="56" t="str">
        <f>IF('⚙ OFF Weekends'!$D$59="OFF","OFF","")</f>
        <v/>
      </c>
      <c r="BM12" s="54" t="str">
        <f>IF('⚙ OFF Weekends'!$D$60="OFF","OFF","")</f>
        <v/>
      </c>
      <c r="BN12" s="56" t="str">
        <f>IF('⚙ OFF Weekends'!$D$61="OFF","OFF","")</f>
        <v/>
      </c>
      <c r="BO12" s="54" t="str">
        <f>IF('⚙ OFF Weekends'!$D$62="OFF","OFF","")</f>
        <v/>
      </c>
      <c r="BP12" s="56" t="str">
        <f>IF('⚙ OFF Weekends'!$D$63="OFF","OFF","")</f>
        <v/>
      </c>
      <c r="BQ12" s="54" t="str">
        <f>IF('⚙ OFF Weekends'!$D$64="OFF","OFF","")</f>
        <v/>
      </c>
      <c r="BR12" s="56" t="str">
        <f>IF('⚙ OFF Weekends'!$D$65="OFF","OFF","")</f>
        <v/>
      </c>
      <c r="BS12" s="54" t="str">
        <f>IF('⚙ OFF Weekends'!$D$66="OFF","OFF","")</f>
        <v/>
      </c>
      <c r="BT12" s="56" t="str">
        <f>IF('⚙ OFF Weekends'!$D$67="OFF","OFF","")</f>
        <v/>
      </c>
      <c r="BU12" s="54" t="str">
        <f>IF('⚙ OFF Weekends'!$D$68="OFF","OFF","")</f>
        <v/>
      </c>
      <c r="BV12" s="56" t="str">
        <f>IF('⚙ OFF Weekends'!$D$69="OFF","OFF","")</f>
        <v/>
      </c>
      <c r="BW12" s="54" t="str">
        <f>IF('⚙ OFF Weekends'!$D$70="OFF","OFF","")</f>
        <v/>
      </c>
      <c r="BX12" s="56" t="str">
        <f>IF('⚙ OFF Weekends'!$D$71="OFF","OFF","")</f>
        <v/>
      </c>
      <c r="BY12" s="54" t="str">
        <f>IF('⚙ OFF Weekends'!$D$72="OFF","OFF","")</f>
        <v/>
      </c>
      <c r="BZ12" s="56" t="str">
        <f>IF('⚙ OFF Weekends'!$D$73="OFF","OFF","")</f>
        <v/>
      </c>
      <c r="CA12" s="54" t="str">
        <f>IF('⚙ OFF Weekends'!$D$74="OFF","OFF","")</f>
        <v/>
      </c>
      <c r="CB12" s="56" t="str">
        <f>IF('⚙ OFF Weekends'!$D$75="OFF","OFF","")</f>
        <v/>
      </c>
      <c r="CC12" s="54" t="str">
        <f>IF('⚙ OFF Weekends'!$D$76="OFF","OFF","")</f>
        <v/>
      </c>
      <c r="CD12" s="56" t="str">
        <f>IF('⚙ OFF Weekends'!$D$77="OFF","OFF","")</f>
        <v/>
      </c>
      <c r="CE12" s="73">
        <f t="shared" si="3"/>
        <v>14</v>
      </c>
      <c r="CF12" s="73">
        <f t="shared" si="4"/>
        <v>0</v>
      </c>
      <c r="CG12" s="73">
        <f t="shared" si="5"/>
        <v>0</v>
      </c>
      <c r="CH12" s="73" t="str">
        <f t="shared" si="6"/>
        <v>100%</v>
      </c>
    </row>
    <row r="13" ht="18.0" customHeight="1">
      <c r="A13" s="68">
        <v>5.0</v>
      </c>
      <c r="B13" s="25" t="s">
        <v>311</v>
      </c>
      <c r="C13" s="69"/>
      <c r="D13" s="70" t="str">
        <f t="shared" si="1"/>
        <v/>
      </c>
      <c r="E13" s="99" t="str">
        <f t="shared" si="2"/>
        <v/>
      </c>
      <c r="F13" s="21"/>
      <c r="G13" s="21"/>
      <c r="H13" s="21" t="s">
        <v>268</v>
      </c>
      <c r="I13" s="54" t="str">
        <f>IF('⚙ OFF Weekends'!$D$4="OFF","OFF","")</f>
        <v/>
      </c>
      <c r="J13" s="56" t="str">
        <f>IF('⚙ OFF Weekends'!$D$5="OFF","OFF","")</f>
        <v/>
      </c>
      <c r="K13" s="49" t="s">
        <v>197</v>
      </c>
      <c r="L13" s="48" t="s">
        <v>196</v>
      </c>
      <c r="M13" s="48" t="s">
        <v>196</v>
      </c>
      <c r="N13" s="48" t="s">
        <v>196</v>
      </c>
      <c r="O13" s="50" t="s">
        <v>37</v>
      </c>
      <c r="P13" s="50" t="s">
        <v>37</v>
      </c>
      <c r="Q13" s="50" t="s">
        <v>37</v>
      </c>
      <c r="R13" s="48" t="s">
        <v>196</v>
      </c>
      <c r="S13" s="52" t="s">
        <v>198</v>
      </c>
      <c r="T13" s="98" t="s">
        <v>196</v>
      </c>
      <c r="U13" s="52" t="s">
        <v>223</v>
      </c>
      <c r="V13" s="53" t="s">
        <v>37</v>
      </c>
      <c r="W13" s="54" t="str">
        <f>IF('⚙ OFF Weekends'!$D$18="OFF","OFF","")</f>
        <v>OFF</v>
      </c>
      <c r="X13" s="53" t="s">
        <v>37</v>
      </c>
      <c r="Y13" s="54" t="str">
        <f>IF('⚙ OFF Weekends'!$D$20="OFF","OFF","")</f>
        <v/>
      </c>
      <c r="Z13" s="56" t="str">
        <f>IF('⚙ OFF Weekends'!$D$21="OFF","OFF","")</f>
        <v/>
      </c>
      <c r="AA13" s="52" t="s">
        <v>296</v>
      </c>
      <c r="AB13" s="53" t="s">
        <v>296</v>
      </c>
      <c r="AC13" s="54" t="str">
        <f>IF('⚙ OFF Weekends'!$D$24="OFF","OFF","")</f>
        <v/>
      </c>
      <c r="AD13" s="56" t="str">
        <f>IF('⚙ OFF Weekends'!$D$25="OFF","OFF","")</f>
        <v/>
      </c>
      <c r="AE13" s="54" t="str">
        <f>IF('⚙ OFF Weekends'!$D$26="OFF","OFF","")</f>
        <v/>
      </c>
      <c r="AF13" s="56" t="str">
        <f>IF('⚙ OFF Weekends'!$D$27="OFF","OFF","")</f>
        <v/>
      </c>
      <c r="AG13" s="54" t="str">
        <f>IF('⚙ OFF Weekends'!$D$28="OFF","OFF","")</f>
        <v/>
      </c>
      <c r="AH13" s="56" t="str">
        <f>IF('⚙ OFF Weekends'!$D$29="OFF","OFF","")</f>
        <v/>
      </c>
      <c r="AI13" s="54" t="str">
        <f>IF('⚙ OFF Weekends'!$D$30="OFF","OFF","")</f>
        <v/>
      </c>
      <c r="AJ13" s="56" t="str">
        <f>IF('⚙ OFF Weekends'!$D$31="OFF","OFF","")</f>
        <v/>
      </c>
      <c r="AK13" s="54" t="str">
        <f>IF('⚙ OFF Weekends'!$D$32="OFF","OFF","")</f>
        <v/>
      </c>
      <c r="AL13" s="56" t="str">
        <f>IF('⚙ OFF Weekends'!$D$33="OFF","OFF","")</f>
        <v/>
      </c>
      <c r="AM13" s="54" t="str">
        <f>IF('⚙ OFF Weekends'!$D$34="OFF","OFF","")</f>
        <v/>
      </c>
      <c r="AN13" s="56" t="str">
        <f>IF('⚙ OFF Weekends'!$D$35="OFF","OFF","")</f>
        <v/>
      </c>
      <c r="AO13" s="54" t="str">
        <f>IF('⚙ OFF Weekends'!$D$36="OFF","OFF","")</f>
        <v/>
      </c>
      <c r="AP13" s="56" t="str">
        <f>IF('⚙ OFF Weekends'!$D$37="OFF","OFF","")</f>
        <v/>
      </c>
      <c r="AQ13" s="54" t="str">
        <f>IF('⚙ OFF Weekends'!$D$38="OFF","OFF","")</f>
        <v/>
      </c>
      <c r="AR13" s="56" t="str">
        <f>IF('⚙ OFF Weekends'!$D$39="OFF","OFF","")</f>
        <v/>
      </c>
      <c r="AS13" s="54" t="str">
        <f>IF('⚙ OFF Weekends'!$D$40="OFF","OFF","")</f>
        <v/>
      </c>
      <c r="AT13" s="56" t="str">
        <f>IF('⚙ OFF Weekends'!$D$41="OFF","OFF","")</f>
        <v/>
      </c>
      <c r="AU13" s="54" t="str">
        <f>IF('⚙ OFF Weekends'!$D$42="OFF","OFF","")</f>
        <v/>
      </c>
      <c r="AV13" s="56" t="str">
        <f>IF('⚙ OFF Weekends'!$D$43="OFF","OFF","")</f>
        <v/>
      </c>
      <c r="AW13" s="54" t="str">
        <f>IF('⚙ OFF Weekends'!$D$44="OFF","OFF","")</f>
        <v/>
      </c>
      <c r="AX13" s="56" t="str">
        <f>IF('⚙ OFF Weekends'!$D$45="OFF","OFF","")</f>
        <v/>
      </c>
      <c r="AY13" s="54" t="str">
        <f>IF('⚙ OFF Weekends'!$D$46="OFF","OFF","")</f>
        <v/>
      </c>
      <c r="AZ13" s="56" t="str">
        <f>IF('⚙ OFF Weekends'!$D$47="OFF","OFF","")</f>
        <v/>
      </c>
      <c r="BA13" s="54" t="str">
        <f>IF('⚙ OFF Weekends'!$D$48="OFF","OFF","")</f>
        <v/>
      </c>
      <c r="BB13" s="56" t="str">
        <f>IF('⚙ OFF Weekends'!$D$49="OFF","OFF","")</f>
        <v/>
      </c>
      <c r="BC13" s="54" t="str">
        <f>IF('⚙ OFF Weekends'!$D$50="OFF","OFF","")</f>
        <v/>
      </c>
      <c r="BD13" s="56" t="str">
        <f>IF('⚙ OFF Weekends'!$D$51="OFF","OFF","")</f>
        <v/>
      </c>
      <c r="BE13" s="54" t="str">
        <f>IF('⚙ OFF Weekends'!$D$52="OFF","OFF","")</f>
        <v/>
      </c>
      <c r="BF13" s="56" t="str">
        <f>IF('⚙ OFF Weekends'!$D$53="OFF","OFF","")</f>
        <v/>
      </c>
      <c r="BG13" s="54" t="str">
        <f>IF('⚙ OFF Weekends'!$D$54="OFF","OFF","")</f>
        <v/>
      </c>
      <c r="BH13" s="56" t="str">
        <f>IF('⚙ OFF Weekends'!$D$55="OFF","OFF","")</f>
        <v/>
      </c>
      <c r="BI13" s="54" t="str">
        <f>IF('⚙ OFF Weekends'!$D$56="OFF","OFF","")</f>
        <v/>
      </c>
      <c r="BJ13" s="56" t="str">
        <f>IF('⚙ OFF Weekends'!$D$57="OFF","OFF","")</f>
        <v/>
      </c>
      <c r="BK13" s="54" t="str">
        <f>IF('⚙ OFF Weekends'!$D$58="OFF","OFF","")</f>
        <v/>
      </c>
      <c r="BL13" s="56" t="str">
        <f>IF('⚙ OFF Weekends'!$D$59="OFF","OFF","")</f>
        <v/>
      </c>
      <c r="BM13" s="54" t="str">
        <f>IF('⚙ OFF Weekends'!$D$60="OFF","OFF","")</f>
        <v/>
      </c>
      <c r="BN13" s="56" t="str">
        <f>IF('⚙ OFF Weekends'!$D$61="OFF","OFF","")</f>
        <v/>
      </c>
      <c r="BO13" s="54" t="str">
        <f>IF('⚙ OFF Weekends'!$D$62="OFF","OFF","")</f>
        <v/>
      </c>
      <c r="BP13" s="56" t="str">
        <f>IF('⚙ OFF Weekends'!$D$63="OFF","OFF","")</f>
        <v/>
      </c>
      <c r="BQ13" s="54" t="str">
        <f>IF('⚙ OFF Weekends'!$D$64="OFF","OFF","")</f>
        <v/>
      </c>
      <c r="BR13" s="56" t="str">
        <f>IF('⚙ OFF Weekends'!$D$65="OFF","OFF","")</f>
        <v/>
      </c>
      <c r="BS13" s="54" t="str">
        <f>IF('⚙ OFF Weekends'!$D$66="OFF","OFF","")</f>
        <v/>
      </c>
      <c r="BT13" s="56" t="str">
        <f>IF('⚙ OFF Weekends'!$D$67="OFF","OFF","")</f>
        <v/>
      </c>
      <c r="BU13" s="54" t="str">
        <f>IF('⚙ OFF Weekends'!$D$68="OFF","OFF","")</f>
        <v/>
      </c>
      <c r="BV13" s="56" t="str">
        <f>IF('⚙ OFF Weekends'!$D$69="OFF","OFF","")</f>
        <v/>
      </c>
      <c r="BW13" s="54" t="str">
        <f>IF('⚙ OFF Weekends'!$D$70="OFF","OFF","")</f>
        <v/>
      </c>
      <c r="BX13" s="56" t="str">
        <f>IF('⚙ OFF Weekends'!$D$71="OFF","OFF","")</f>
        <v/>
      </c>
      <c r="BY13" s="54" t="str">
        <f>IF('⚙ OFF Weekends'!$D$72="OFF","OFF","")</f>
        <v/>
      </c>
      <c r="BZ13" s="56" t="str">
        <f>IF('⚙ OFF Weekends'!$D$73="OFF","OFF","")</f>
        <v/>
      </c>
      <c r="CA13" s="54" t="str">
        <f>IF('⚙ OFF Weekends'!$D$74="OFF","OFF","")</f>
        <v/>
      </c>
      <c r="CB13" s="56" t="str">
        <f>IF('⚙ OFF Weekends'!$D$75="OFF","OFF","")</f>
        <v/>
      </c>
      <c r="CC13" s="54" t="str">
        <f>IF('⚙ OFF Weekends'!$D$76="OFF","OFF","")</f>
        <v/>
      </c>
      <c r="CD13" s="56" t="str">
        <f>IF('⚙ OFF Weekends'!$D$77="OFF","OFF","")</f>
        <v/>
      </c>
      <c r="CE13" s="68">
        <f t="shared" si="3"/>
        <v>10</v>
      </c>
      <c r="CF13" s="68">
        <f t="shared" si="4"/>
        <v>1</v>
      </c>
      <c r="CG13" s="68">
        <f t="shared" si="5"/>
        <v>1</v>
      </c>
      <c r="CH13" s="68" t="str">
        <f t="shared" si="6"/>
        <v>91%</v>
      </c>
    </row>
    <row r="14" ht="18.0" customHeight="1">
      <c r="A14" s="73">
        <v>6.0</v>
      </c>
      <c r="B14" s="35" t="s">
        <v>316</v>
      </c>
      <c r="C14" s="74"/>
      <c r="D14" s="75" t="str">
        <f t="shared" si="1"/>
        <v/>
      </c>
      <c r="E14" s="80" t="str">
        <f t="shared" si="2"/>
        <v/>
      </c>
      <c r="F14" s="34"/>
      <c r="G14" s="34"/>
      <c r="H14" s="34" t="s">
        <v>268</v>
      </c>
      <c r="I14" s="54" t="str">
        <f>IF('⚙ OFF Weekends'!$D$4="OFF","OFF","")</f>
        <v/>
      </c>
      <c r="J14" s="56" t="str">
        <f>IF('⚙ OFF Weekends'!$D$5="OFF","OFF","")</f>
        <v/>
      </c>
      <c r="K14" s="49" t="s">
        <v>197</v>
      </c>
      <c r="L14" s="48" t="s">
        <v>196</v>
      </c>
      <c r="M14" s="48" t="s">
        <v>196</v>
      </c>
      <c r="N14" s="48" t="s">
        <v>196</v>
      </c>
      <c r="O14" s="50" t="s">
        <v>37</v>
      </c>
      <c r="P14" s="48" t="s">
        <v>196</v>
      </c>
      <c r="Q14" s="50" t="s">
        <v>37</v>
      </c>
      <c r="R14" s="48" t="s">
        <v>196</v>
      </c>
      <c r="S14" s="52" t="s">
        <v>196</v>
      </c>
      <c r="T14" s="98" t="s">
        <v>196</v>
      </c>
      <c r="U14" s="52" t="s">
        <v>37</v>
      </c>
      <c r="V14" s="53" t="s">
        <v>196</v>
      </c>
      <c r="W14" s="54" t="str">
        <f>IF('⚙ OFF Weekends'!$D$18="OFF","OFF","")</f>
        <v>OFF</v>
      </c>
      <c r="X14" s="53" t="s">
        <v>196</v>
      </c>
      <c r="Y14" s="54" t="str">
        <f>IF('⚙ OFF Weekends'!$D$20="OFF","OFF","")</f>
        <v/>
      </c>
      <c r="Z14" s="56" t="str">
        <f>IF('⚙ OFF Weekends'!$D$21="OFF","OFF","")</f>
        <v/>
      </c>
      <c r="AA14" s="52" t="s">
        <v>196</v>
      </c>
      <c r="AB14" s="53" t="s">
        <v>37</v>
      </c>
      <c r="AC14" s="54" t="str">
        <f>IF('⚙ OFF Weekends'!$D$24="OFF","OFF","")</f>
        <v/>
      </c>
      <c r="AD14" s="56" t="str">
        <f>IF('⚙ OFF Weekends'!$D$25="OFF","OFF","")</f>
        <v/>
      </c>
      <c r="AE14" s="54" t="str">
        <f>IF('⚙ OFF Weekends'!$D$26="OFF","OFF","")</f>
        <v/>
      </c>
      <c r="AF14" s="56" t="str">
        <f>IF('⚙ OFF Weekends'!$D$27="OFF","OFF","")</f>
        <v/>
      </c>
      <c r="AG14" s="54" t="str">
        <f>IF('⚙ OFF Weekends'!$D$28="OFF","OFF","")</f>
        <v/>
      </c>
      <c r="AH14" s="56" t="str">
        <f>IF('⚙ OFF Weekends'!$D$29="OFF","OFF","")</f>
        <v/>
      </c>
      <c r="AI14" s="54" t="str">
        <f>IF('⚙ OFF Weekends'!$D$30="OFF","OFF","")</f>
        <v/>
      </c>
      <c r="AJ14" s="56" t="str">
        <f>IF('⚙ OFF Weekends'!$D$31="OFF","OFF","")</f>
        <v/>
      </c>
      <c r="AK14" s="54" t="str">
        <f>IF('⚙ OFF Weekends'!$D$32="OFF","OFF","")</f>
        <v/>
      </c>
      <c r="AL14" s="56" t="str">
        <f>IF('⚙ OFF Weekends'!$D$33="OFF","OFF","")</f>
        <v/>
      </c>
      <c r="AM14" s="54" t="str">
        <f>IF('⚙ OFF Weekends'!$D$34="OFF","OFF","")</f>
        <v/>
      </c>
      <c r="AN14" s="56" t="str">
        <f>IF('⚙ OFF Weekends'!$D$35="OFF","OFF","")</f>
        <v/>
      </c>
      <c r="AO14" s="54" t="str">
        <f>IF('⚙ OFF Weekends'!$D$36="OFF","OFF","")</f>
        <v/>
      </c>
      <c r="AP14" s="56" t="str">
        <f>IF('⚙ OFF Weekends'!$D$37="OFF","OFF","")</f>
        <v/>
      </c>
      <c r="AQ14" s="54" t="str">
        <f>IF('⚙ OFF Weekends'!$D$38="OFF","OFF","")</f>
        <v/>
      </c>
      <c r="AR14" s="56" t="str">
        <f>IF('⚙ OFF Weekends'!$D$39="OFF","OFF","")</f>
        <v/>
      </c>
      <c r="AS14" s="54" t="str">
        <f>IF('⚙ OFF Weekends'!$D$40="OFF","OFF","")</f>
        <v/>
      </c>
      <c r="AT14" s="56" t="str">
        <f>IF('⚙ OFF Weekends'!$D$41="OFF","OFF","")</f>
        <v/>
      </c>
      <c r="AU14" s="54" t="str">
        <f>IF('⚙ OFF Weekends'!$D$42="OFF","OFF","")</f>
        <v/>
      </c>
      <c r="AV14" s="56" t="str">
        <f>IF('⚙ OFF Weekends'!$D$43="OFF","OFF","")</f>
        <v/>
      </c>
      <c r="AW14" s="54" t="str">
        <f>IF('⚙ OFF Weekends'!$D$44="OFF","OFF","")</f>
        <v/>
      </c>
      <c r="AX14" s="56" t="str">
        <f>IF('⚙ OFF Weekends'!$D$45="OFF","OFF","")</f>
        <v/>
      </c>
      <c r="AY14" s="54" t="str">
        <f>IF('⚙ OFF Weekends'!$D$46="OFF","OFF","")</f>
        <v/>
      </c>
      <c r="AZ14" s="56" t="str">
        <f>IF('⚙ OFF Weekends'!$D$47="OFF","OFF","")</f>
        <v/>
      </c>
      <c r="BA14" s="54" t="str">
        <f>IF('⚙ OFF Weekends'!$D$48="OFF","OFF","")</f>
        <v/>
      </c>
      <c r="BB14" s="56" t="str">
        <f>IF('⚙ OFF Weekends'!$D$49="OFF","OFF","")</f>
        <v/>
      </c>
      <c r="BC14" s="54" t="str">
        <f>IF('⚙ OFF Weekends'!$D$50="OFF","OFF","")</f>
        <v/>
      </c>
      <c r="BD14" s="56" t="str">
        <f>IF('⚙ OFF Weekends'!$D$51="OFF","OFF","")</f>
        <v/>
      </c>
      <c r="BE14" s="54" t="str">
        <f>IF('⚙ OFF Weekends'!$D$52="OFF","OFF","")</f>
        <v/>
      </c>
      <c r="BF14" s="56" t="str">
        <f>IF('⚙ OFF Weekends'!$D$53="OFF","OFF","")</f>
        <v/>
      </c>
      <c r="BG14" s="54" t="str">
        <f>IF('⚙ OFF Weekends'!$D$54="OFF","OFF","")</f>
        <v/>
      </c>
      <c r="BH14" s="56" t="str">
        <f>IF('⚙ OFF Weekends'!$D$55="OFF","OFF","")</f>
        <v/>
      </c>
      <c r="BI14" s="54" t="str">
        <f>IF('⚙ OFF Weekends'!$D$56="OFF","OFF","")</f>
        <v/>
      </c>
      <c r="BJ14" s="56" t="str">
        <f>IF('⚙ OFF Weekends'!$D$57="OFF","OFF","")</f>
        <v/>
      </c>
      <c r="BK14" s="54" t="str">
        <f>IF('⚙ OFF Weekends'!$D$58="OFF","OFF","")</f>
        <v/>
      </c>
      <c r="BL14" s="56" t="str">
        <f>IF('⚙ OFF Weekends'!$D$59="OFF","OFF","")</f>
        <v/>
      </c>
      <c r="BM14" s="54" t="str">
        <f>IF('⚙ OFF Weekends'!$D$60="OFF","OFF","")</f>
        <v/>
      </c>
      <c r="BN14" s="56" t="str">
        <f>IF('⚙ OFF Weekends'!$D$61="OFF","OFF","")</f>
        <v/>
      </c>
      <c r="BO14" s="54" t="str">
        <f>IF('⚙ OFF Weekends'!$D$62="OFF","OFF","")</f>
        <v/>
      </c>
      <c r="BP14" s="56" t="str">
        <f>IF('⚙ OFF Weekends'!$D$63="OFF","OFF","")</f>
        <v/>
      </c>
      <c r="BQ14" s="54" t="str">
        <f>IF('⚙ OFF Weekends'!$D$64="OFF","OFF","")</f>
        <v/>
      </c>
      <c r="BR14" s="56" t="str">
        <f>IF('⚙ OFF Weekends'!$D$65="OFF","OFF","")</f>
        <v/>
      </c>
      <c r="BS14" s="54" t="str">
        <f>IF('⚙ OFF Weekends'!$D$66="OFF","OFF","")</f>
        <v/>
      </c>
      <c r="BT14" s="56" t="str">
        <f>IF('⚙ OFF Weekends'!$D$67="OFF","OFF","")</f>
        <v/>
      </c>
      <c r="BU14" s="54" t="str">
        <f>IF('⚙ OFF Weekends'!$D$68="OFF","OFF","")</f>
        <v/>
      </c>
      <c r="BV14" s="56" t="str">
        <f>IF('⚙ OFF Weekends'!$D$69="OFF","OFF","")</f>
        <v/>
      </c>
      <c r="BW14" s="54" t="str">
        <f>IF('⚙ OFF Weekends'!$D$70="OFF","OFF","")</f>
        <v/>
      </c>
      <c r="BX14" s="56" t="str">
        <f>IF('⚙ OFF Weekends'!$D$71="OFF","OFF","")</f>
        <v/>
      </c>
      <c r="BY14" s="54" t="str">
        <f>IF('⚙ OFF Weekends'!$D$72="OFF","OFF","")</f>
        <v/>
      </c>
      <c r="BZ14" s="56" t="str">
        <f>IF('⚙ OFF Weekends'!$D$73="OFF","OFF","")</f>
        <v/>
      </c>
      <c r="CA14" s="54" t="str">
        <f>IF('⚙ OFF Weekends'!$D$74="OFF","OFF","")</f>
        <v/>
      </c>
      <c r="CB14" s="56" t="str">
        <f>IF('⚙ OFF Weekends'!$D$75="OFF","OFF","")</f>
        <v/>
      </c>
      <c r="CC14" s="54" t="str">
        <f>IF('⚙ OFF Weekends'!$D$76="OFF","OFF","")</f>
        <v/>
      </c>
      <c r="CD14" s="56" t="str">
        <f>IF('⚙ OFF Weekends'!$D$77="OFF","OFF","")</f>
        <v/>
      </c>
      <c r="CE14" s="73">
        <f t="shared" si="3"/>
        <v>14</v>
      </c>
      <c r="CF14" s="73">
        <f t="shared" si="4"/>
        <v>0</v>
      </c>
      <c r="CG14" s="73">
        <f t="shared" si="5"/>
        <v>0</v>
      </c>
      <c r="CH14" s="73" t="str">
        <f t="shared" si="6"/>
        <v>100%</v>
      </c>
    </row>
    <row r="15" ht="18.0" customHeight="1">
      <c r="A15" s="68">
        <v>7.0</v>
      </c>
      <c r="B15" s="25" t="s">
        <v>322</v>
      </c>
      <c r="C15" s="69"/>
      <c r="D15" s="70" t="str">
        <f t="shared" si="1"/>
        <v/>
      </c>
      <c r="E15" s="99" t="str">
        <f t="shared" si="2"/>
        <v/>
      </c>
      <c r="F15" s="21"/>
      <c r="G15" s="21"/>
      <c r="H15" s="21" t="s">
        <v>268</v>
      </c>
      <c r="I15" s="54" t="str">
        <f>IF('⚙ OFF Weekends'!$D$4="OFF","OFF","")</f>
        <v/>
      </c>
      <c r="J15" s="56" t="str">
        <f>IF('⚙ OFF Weekends'!$D$5="OFF","OFF","")</f>
        <v/>
      </c>
      <c r="K15" s="54" t="str">
        <f>IF('⚙ OFF Weekends'!$D$6="OFF","OFF","")</f>
        <v/>
      </c>
      <c r="L15" s="56" t="str">
        <f>IF('⚙ OFF Weekends'!$D$7="OFF","OFF","")</f>
        <v/>
      </c>
      <c r="M15" s="54" t="str">
        <f>IF('⚙ OFF Weekends'!$D$8="OFF","OFF","")</f>
        <v/>
      </c>
      <c r="N15" s="56" t="str">
        <f>IF('⚙ OFF Weekends'!$D$9="OFF","OFF","")</f>
        <v/>
      </c>
      <c r="O15" s="54" t="str">
        <f>IF('⚙ OFF Weekends'!$D$10="OFF","OFF","")</f>
        <v/>
      </c>
      <c r="P15" s="56" t="str">
        <f>IF('⚙ OFF Weekends'!$D$11="OFF","OFF","")</f>
        <v/>
      </c>
      <c r="Q15" s="48" t="s">
        <v>196</v>
      </c>
      <c r="R15" s="48" t="s">
        <v>196</v>
      </c>
      <c r="S15" s="52" t="s">
        <v>37</v>
      </c>
      <c r="T15" s="98" t="s">
        <v>196</v>
      </c>
      <c r="U15" s="52" t="s">
        <v>37</v>
      </c>
      <c r="V15" s="53" t="s">
        <v>196</v>
      </c>
      <c r="W15" s="54" t="str">
        <f>IF('⚙ OFF Weekends'!$D$18="OFF","OFF","")</f>
        <v>OFF</v>
      </c>
      <c r="X15" s="53" t="s">
        <v>196</v>
      </c>
      <c r="Y15" s="54" t="str">
        <f>IF('⚙ OFF Weekends'!$D$20="OFF","OFF","")</f>
        <v/>
      </c>
      <c r="Z15" s="56" t="str">
        <f>IF('⚙ OFF Weekends'!$D$21="OFF","OFF","")</f>
        <v/>
      </c>
      <c r="AA15" s="52" t="s">
        <v>37</v>
      </c>
      <c r="AB15" s="53" t="s">
        <v>196</v>
      </c>
      <c r="AC15" s="54" t="str">
        <f>IF('⚙ OFF Weekends'!$D$24="OFF","OFF","")</f>
        <v/>
      </c>
      <c r="AD15" s="56" t="str">
        <f>IF('⚙ OFF Weekends'!$D$25="OFF","OFF","")</f>
        <v/>
      </c>
      <c r="AE15" s="54" t="str">
        <f>IF('⚙ OFF Weekends'!$D$26="OFF","OFF","")</f>
        <v/>
      </c>
      <c r="AF15" s="56" t="str">
        <f>IF('⚙ OFF Weekends'!$D$27="OFF","OFF","")</f>
        <v/>
      </c>
      <c r="AG15" s="54" t="str">
        <f>IF('⚙ OFF Weekends'!$D$28="OFF","OFF","")</f>
        <v/>
      </c>
      <c r="AH15" s="56" t="str">
        <f>IF('⚙ OFF Weekends'!$D$29="OFF","OFF","")</f>
        <v/>
      </c>
      <c r="AI15" s="54" t="str">
        <f>IF('⚙ OFF Weekends'!$D$30="OFF","OFF","")</f>
        <v/>
      </c>
      <c r="AJ15" s="56" t="str">
        <f>IF('⚙ OFF Weekends'!$D$31="OFF","OFF","")</f>
        <v/>
      </c>
      <c r="AK15" s="54" t="str">
        <f>IF('⚙ OFF Weekends'!$D$32="OFF","OFF","")</f>
        <v/>
      </c>
      <c r="AL15" s="56" t="str">
        <f>IF('⚙ OFF Weekends'!$D$33="OFF","OFF","")</f>
        <v/>
      </c>
      <c r="AM15" s="54" t="str">
        <f>IF('⚙ OFF Weekends'!$D$34="OFF","OFF","")</f>
        <v/>
      </c>
      <c r="AN15" s="56" t="str">
        <f>IF('⚙ OFF Weekends'!$D$35="OFF","OFF","")</f>
        <v/>
      </c>
      <c r="AO15" s="54" t="str">
        <f>IF('⚙ OFF Weekends'!$D$36="OFF","OFF","")</f>
        <v/>
      </c>
      <c r="AP15" s="56" t="str">
        <f>IF('⚙ OFF Weekends'!$D$37="OFF","OFF","")</f>
        <v/>
      </c>
      <c r="AQ15" s="54" t="str">
        <f>IF('⚙ OFF Weekends'!$D$38="OFF","OFF","")</f>
        <v/>
      </c>
      <c r="AR15" s="56" t="str">
        <f>IF('⚙ OFF Weekends'!$D$39="OFF","OFF","")</f>
        <v/>
      </c>
      <c r="AS15" s="54" t="str">
        <f>IF('⚙ OFF Weekends'!$D$40="OFF","OFF","")</f>
        <v/>
      </c>
      <c r="AT15" s="56" t="str">
        <f>IF('⚙ OFF Weekends'!$D$41="OFF","OFF","")</f>
        <v/>
      </c>
      <c r="AU15" s="54" t="str">
        <f>IF('⚙ OFF Weekends'!$D$42="OFF","OFF","")</f>
        <v/>
      </c>
      <c r="AV15" s="56" t="str">
        <f>IF('⚙ OFF Weekends'!$D$43="OFF","OFF","")</f>
        <v/>
      </c>
      <c r="AW15" s="54" t="str">
        <f>IF('⚙ OFF Weekends'!$D$44="OFF","OFF","")</f>
        <v/>
      </c>
      <c r="AX15" s="56" t="str">
        <f>IF('⚙ OFF Weekends'!$D$45="OFF","OFF","")</f>
        <v/>
      </c>
      <c r="AY15" s="54" t="str">
        <f>IF('⚙ OFF Weekends'!$D$46="OFF","OFF","")</f>
        <v/>
      </c>
      <c r="AZ15" s="56" t="str">
        <f>IF('⚙ OFF Weekends'!$D$47="OFF","OFF","")</f>
        <v/>
      </c>
      <c r="BA15" s="54" t="str">
        <f>IF('⚙ OFF Weekends'!$D$48="OFF","OFF","")</f>
        <v/>
      </c>
      <c r="BB15" s="56" t="str">
        <f>IF('⚙ OFF Weekends'!$D$49="OFF","OFF","")</f>
        <v/>
      </c>
      <c r="BC15" s="54" t="str">
        <f>IF('⚙ OFF Weekends'!$D$50="OFF","OFF","")</f>
        <v/>
      </c>
      <c r="BD15" s="56" t="str">
        <f>IF('⚙ OFF Weekends'!$D$51="OFF","OFF","")</f>
        <v/>
      </c>
      <c r="BE15" s="54" t="str">
        <f>IF('⚙ OFF Weekends'!$D$52="OFF","OFF","")</f>
        <v/>
      </c>
      <c r="BF15" s="56" t="str">
        <f>IF('⚙ OFF Weekends'!$D$53="OFF","OFF","")</f>
        <v/>
      </c>
      <c r="BG15" s="54" t="str">
        <f>IF('⚙ OFF Weekends'!$D$54="OFF","OFF","")</f>
        <v/>
      </c>
      <c r="BH15" s="56" t="str">
        <f>IF('⚙ OFF Weekends'!$D$55="OFF","OFF","")</f>
        <v/>
      </c>
      <c r="BI15" s="54" t="str">
        <f>IF('⚙ OFF Weekends'!$D$56="OFF","OFF","")</f>
        <v/>
      </c>
      <c r="BJ15" s="56" t="str">
        <f>IF('⚙ OFF Weekends'!$D$57="OFF","OFF","")</f>
        <v/>
      </c>
      <c r="BK15" s="54" t="str">
        <f>IF('⚙ OFF Weekends'!$D$58="OFF","OFF","")</f>
        <v/>
      </c>
      <c r="BL15" s="56" t="str">
        <f>IF('⚙ OFF Weekends'!$D$59="OFF","OFF","")</f>
        <v/>
      </c>
      <c r="BM15" s="54" t="str">
        <f>IF('⚙ OFF Weekends'!$D$60="OFF","OFF","")</f>
        <v/>
      </c>
      <c r="BN15" s="56" t="str">
        <f>IF('⚙ OFF Weekends'!$D$61="OFF","OFF","")</f>
        <v/>
      </c>
      <c r="BO15" s="54" t="str">
        <f>IF('⚙ OFF Weekends'!$D$62="OFF","OFF","")</f>
        <v/>
      </c>
      <c r="BP15" s="56" t="str">
        <f>IF('⚙ OFF Weekends'!$D$63="OFF","OFF","")</f>
        <v/>
      </c>
      <c r="BQ15" s="54" t="str">
        <f>IF('⚙ OFF Weekends'!$D$64="OFF","OFF","")</f>
        <v/>
      </c>
      <c r="BR15" s="56" t="str">
        <f>IF('⚙ OFF Weekends'!$D$65="OFF","OFF","")</f>
        <v/>
      </c>
      <c r="BS15" s="54" t="str">
        <f>IF('⚙ OFF Weekends'!$D$66="OFF","OFF","")</f>
        <v/>
      </c>
      <c r="BT15" s="56" t="str">
        <f>IF('⚙ OFF Weekends'!$D$67="OFF","OFF","")</f>
        <v/>
      </c>
      <c r="BU15" s="54" t="str">
        <f>IF('⚙ OFF Weekends'!$D$68="OFF","OFF","")</f>
        <v/>
      </c>
      <c r="BV15" s="56" t="str">
        <f>IF('⚙ OFF Weekends'!$D$69="OFF","OFF","")</f>
        <v/>
      </c>
      <c r="BW15" s="54" t="str">
        <f>IF('⚙ OFF Weekends'!$D$70="OFF","OFF","")</f>
        <v/>
      </c>
      <c r="BX15" s="56" t="str">
        <f>IF('⚙ OFF Weekends'!$D$71="OFF","OFF","")</f>
        <v/>
      </c>
      <c r="BY15" s="54" t="str">
        <f>IF('⚙ OFF Weekends'!$D$72="OFF","OFF","")</f>
        <v/>
      </c>
      <c r="BZ15" s="56" t="str">
        <f>IF('⚙ OFF Weekends'!$D$73="OFF","OFF","")</f>
        <v/>
      </c>
      <c r="CA15" s="54" t="str">
        <f>IF('⚙ OFF Weekends'!$D$74="OFF","OFF","")</f>
        <v/>
      </c>
      <c r="CB15" s="56" t="str">
        <f>IF('⚙ OFF Weekends'!$D$75="OFF","OFF","")</f>
        <v/>
      </c>
      <c r="CC15" s="54" t="str">
        <f>IF('⚙ OFF Weekends'!$D$76="OFF","OFF","")</f>
        <v/>
      </c>
      <c r="CD15" s="56" t="str">
        <f>IF('⚙ OFF Weekends'!$D$77="OFF","OFF","")</f>
        <v/>
      </c>
      <c r="CE15" s="68">
        <f t="shared" si="3"/>
        <v>9</v>
      </c>
      <c r="CF15" s="68">
        <f t="shared" si="4"/>
        <v>0</v>
      </c>
      <c r="CG15" s="68">
        <f t="shared" si="5"/>
        <v>0</v>
      </c>
      <c r="CH15" s="68" t="str">
        <f t="shared" si="6"/>
        <v>100%</v>
      </c>
    </row>
    <row r="16" ht="18.0" customHeight="1">
      <c r="A16" s="84">
        <v>8.0</v>
      </c>
      <c r="B16" s="85" t="s">
        <v>327</v>
      </c>
      <c r="C16" s="89"/>
      <c r="D16" s="87" t="str">
        <f t="shared" si="1"/>
        <v/>
      </c>
      <c r="E16" s="93" t="str">
        <f t="shared" si="2"/>
        <v/>
      </c>
      <c r="F16" s="89"/>
      <c r="G16" s="89"/>
      <c r="H16" s="89"/>
      <c r="I16" s="90" t="str">
        <f>IF('⚙ OFF Weekends'!$D$4="OFF","OFF","")</f>
        <v/>
      </c>
      <c r="J16" s="90" t="str">
        <f>IF('⚙ OFF Weekends'!$D$5="OFF","OFF","")</f>
        <v/>
      </c>
      <c r="K16" s="90" t="str">
        <f>IF('⚙ OFF Weekends'!$D$6="OFF","OFF","")</f>
        <v/>
      </c>
      <c r="L16" s="90" t="str">
        <f>IF('⚙ OFF Weekends'!$D$7="OFF","OFF","")</f>
        <v/>
      </c>
      <c r="M16" s="90" t="str">
        <f>IF('⚙ OFF Weekends'!$D$8="OFF","OFF","")</f>
        <v/>
      </c>
      <c r="N16" s="90" t="str">
        <f>IF('⚙ OFF Weekends'!$D$9="OFF","OFF","")</f>
        <v/>
      </c>
      <c r="O16" s="90" t="str">
        <f>IF('⚙ OFF Weekends'!$D$10="OFF","OFF","")</f>
        <v/>
      </c>
      <c r="P16" s="90" t="str">
        <f>IF('⚙ OFF Weekends'!$D$11="OFF","OFF","")</f>
        <v/>
      </c>
      <c r="Q16" s="91" t="s">
        <v>196</v>
      </c>
      <c r="R16" s="91" t="s">
        <v>196</v>
      </c>
      <c r="S16" s="91" t="s">
        <v>196</v>
      </c>
      <c r="T16" s="91" t="s">
        <v>196</v>
      </c>
      <c r="U16" s="91" t="s">
        <v>223</v>
      </c>
      <c r="V16" s="91" t="s">
        <v>37</v>
      </c>
      <c r="W16" s="90" t="str">
        <f>IF('⚙ OFF Weekends'!$D$18="OFF","OFF","")</f>
        <v>OFF</v>
      </c>
      <c r="X16" s="91" t="s">
        <v>223</v>
      </c>
      <c r="Y16" s="90" t="str">
        <f>IF('⚙ OFF Weekends'!$D$20="OFF","OFF","")</f>
        <v/>
      </c>
      <c r="Z16" s="90" t="str">
        <f>IF('⚙ OFF Weekends'!$D$21="OFF","OFF","")</f>
        <v/>
      </c>
      <c r="AA16" s="91" t="s">
        <v>196</v>
      </c>
      <c r="AB16" s="91" t="s">
        <v>196</v>
      </c>
      <c r="AC16" s="90" t="str">
        <f>IF('⚙ OFF Weekends'!$D$24="OFF","OFF","")</f>
        <v/>
      </c>
      <c r="AD16" s="90" t="str">
        <f>IF('⚙ OFF Weekends'!$D$25="OFF","OFF","")</f>
        <v/>
      </c>
      <c r="AE16" s="90" t="str">
        <f>IF('⚙ OFF Weekends'!$D$26="OFF","OFF","")</f>
        <v/>
      </c>
      <c r="AF16" s="90" t="str">
        <f>IF('⚙ OFF Weekends'!$D$27="OFF","OFF","")</f>
        <v/>
      </c>
      <c r="AG16" s="90" t="str">
        <f>IF('⚙ OFF Weekends'!$D$28="OFF","OFF","")</f>
        <v/>
      </c>
      <c r="AH16" s="90" t="str">
        <f>IF('⚙ OFF Weekends'!$D$29="OFF","OFF","")</f>
        <v/>
      </c>
      <c r="AI16" s="90" t="str">
        <f>IF('⚙ OFF Weekends'!$D$30="OFF","OFF","")</f>
        <v/>
      </c>
      <c r="AJ16" s="90" t="str">
        <f>IF('⚙ OFF Weekends'!$D$31="OFF","OFF","")</f>
        <v/>
      </c>
      <c r="AK16" s="90" t="str">
        <f>IF('⚙ OFF Weekends'!$D$32="OFF","OFF","")</f>
        <v/>
      </c>
      <c r="AL16" s="90" t="str">
        <f>IF('⚙ OFF Weekends'!$D$33="OFF","OFF","")</f>
        <v/>
      </c>
      <c r="AM16" s="90" t="str">
        <f>IF('⚙ OFF Weekends'!$D$34="OFF","OFF","")</f>
        <v/>
      </c>
      <c r="AN16" s="90" t="str">
        <f>IF('⚙ OFF Weekends'!$D$35="OFF","OFF","")</f>
        <v/>
      </c>
      <c r="AO16" s="90" t="str">
        <f>IF('⚙ OFF Weekends'!$D$36="OFF","OFF","")</f>
        <v/>
      </c>
      <c r="AP16" s="90" t="str">
        <f>IF('⚙ OFF Weekends'!$D$37="OFF","OFF","")</f>
        <v/>
      </c>
      <c r="AQ16" s="90" t="str">
        <f>IF('⚙ OFF Weekends'!$D$38="OFF","OFF","")</f>
        <v/>
      </c>
      <c r="AR16" s="90" t="str">
        <f>IF('⚙ OFF Weekends'!$D$39="OFF","OFF","")</f>
        <v/>
      </c>
      <c r="AS16" s="90" t="str">
        <f>IF('⚙ OFF Weekends'!$D$40="OFF","OFF","")</f>
        <v/>
      </c>
      <c r="AT16" s="90" t="str">
        <f>IF('⚙ OFF Weekends'!$D$41="OFF","OFF","")</f>
        <v/>
      </c>
      <c r="AU16" s="90" t="str">
        <f>IF('⚙ OFF Weekends'!$D$42="OFF","OFF","")</f>
        <v/>
      </c>
      <c r="AV16" s="90" t="str">
        <f>IF('⚙ OFF Weekends'!$D$43="OFF","OFF","")</f>
        <v/>
      </c>
      <c r="AW16" s="90" t="str">
        <f>IF('⚙ OFF Weekends'!$D$44="OFF","OFF","")</f>
        <v/>
      </c>
      <c r="AX16" s="90" t="str">
        <f>IF('⚙ OFF Weekends'!$D$45="OFF","OFF","")</f>
        <v/>
      </c>
      <c r="AY16" s="90" t="str">
        <f>IF('⚙ OFF Weekends'!$D$46="OFF","OFF","")</f>
        <v/>
      </c>
      <c r="AZ16" s="90" t="str">
        <f>IF('⚙ OFF Weekends'!$D$47="OFF","OFF","")</f>
        <v/>
      </c>
      <c r="BA16" s="90" t="str">
        <f>IF('⚙ OFF Weekends'!$D$48="OFF","OFF","")</f>
        <v/>
      </c>
      <c r="BB16" s="90" t="str">
        <f>IF('⚙ OFF Weekends'!$D$49="OFF","OFF","")</f>
        <v/>
      </c>
      <c r="BC16" s="90" t="str">
        <f>IF('⚙ OFF Weekends'!$D$50="OFF","OFF","")</f>
        <v/>
      </c>
      <c r="BD16" s="90" t="str">
        <f>IF('⚙ OFF Weekends'!$D$51="OFF","OFF","")</f>
        <v/>
      </c>
      <c r="BE16" s="90" t="str">
        <f>IF('⚙ OFF Weekends'!$D$52="OFF","OFF","")</f>
        <v/>
      </c>
      <c r="BF16" s="90" t="str">
        <f>IF('⚙ OFF Weekends'!$D$53="OFF","OFF","")</f>
        <v/>
      </c>
      <c r="BG16" s="90" t="str">
        <f>IF('⚙ OFF Weekends'!$D$54="OFF","OFF","")</f>
        <v/>
      </c>
      <c r="BH16" s="90" t="str">
        <f>IF('⚙ OFF Weekends'!$D$55="OFF","OFF","")</f>
        <v/>
      </c>
      <c r="BI16" s="90" t="str">
        <f>IF('⚙ OFF Weekends'!$D$56="OFF","OFF","")</f>
        <v/>
      </c>
      <c r="BJ16" s="90" t="str">
        <f>IF('⚙ OFF Weekends'!$D$57="OFF","OFF","")</f>
        <v/>
      </c>
      <c r="BK16" s="90" t="str">
        <f>IF('⚙ OFF Weekends'!$D$58="OFF","OFF","")</f>
        <v/>
      </c>
      <c r="BL16" s="90" t="str">
        <f>IF('⚙ OFF Weekends'!$D$59="OFF","OFF","")</f>
        <v/>
      </c>
      <c r="BM16" s="90" t="str">
        <f>IF('⚙ OFF Weekends'!$D$60="OFF","OFF","")</f>
        <v/>
      </c>
      <c r="BN16" s="90" t="str">
        <f>IF('⚙ OFF Weekends'!$D$61="OFF","OFF","")</f>
        <v/>
      </c>
      <c r="BO16" s="90" t="str">
        <f>IF('⚙ OFF Weekends'!$D$62="OFF","OFF","")</f>
        <v/>
      </c>
      <c r="BP16" s="90" t="str">
        <f>IF('⚙ OFF Weekends'!$D$63="OFF","OFF","")</f>
        <v/>
      </c>
      <c r="BQ16" s="90" t="str">
        <f>IF('⚙ OFF Weekends'!$D$64="OFF","OFF","")</f>
        <v/>
      </c>
      <c r="BR16" s="90" t="str">
        <f>IF('⚙ OFF Weekends'!$D$65="OFF","OFF","")</f>
        <v/>
      </c>
      <c r="BS16" s="90" t="str">
        <f>IF('⚙ OFF Weekends'!$D$66="OFF","OFF","")</f>
        <v/>
      </c>
      <c r="BT16" s="90" t="str">
        <f>IF('⚙ OFF Weekends'!$D$67="OFF","OFF","")</f>
        <v/>
      </c>
      <c r="BU16" s="90" t="str">
        <f>IF('⚙ OFF Weekends'!$D$68="OFF","OFF","")</f>
        <v/>
      </c>
      <c r="BV16" s="90" t="str">
        <f>IF('⚙ OFF Weekends'!$D$69="OFF","OFF","")</f>
        <v/>
      </c>
      <c r="BW16" s="90" t="str">
        <f>IF('⚙ OFF Weekends'!$D$70="OFF","OFF","")</f>
        <v/>
      </c>
      <c r="BX16" s="90" t="str">
        <f>IF('⚙ OFF Weekends'!$D$71="OFF","OFF","")</f>
        <v/>
      </c>
      <c r="BY16" s="90" t="str">
        <f>IF('⚙ OFF Weekends'!$D$72="OFF","OFF","")</f>
        <v/>
      </c>
      <c r="BZ16" s="90" t="str">
        <f>IF('⚙ OFF Weekends'!$D$73="OFF","OFF","")</f>
        <v/>
      </c>
      <c r="CA16" s="90" t="str">
        <f>IF('⚙ OFF Weekends'!$D$74="OFF","OFF","")</f>
        <v/>
      </c>
      <c r="CB16" s="90" t="str">
        <f>IF('⚙ OFF Weekends'!$D$75="OFF","OFF","")</f>
        <v/>
      </c>
      <c r="CC16" s="90" t="str">
        <f>IF('⚙ OFF Weekends'!$D$76="OFF","OFF","")</f>
        <v/>
      </c>
      <c r="CD16" s="90" t="str">
        <f>IF('⚙ OFF Weekends'!$D$77="OFF","OFF","")</f>
        <v/>
      </c>
      <c r="CE16" s="92">
        <f t="shared" si="3"/>
        <v>7</v>
      </c>
      <c r="CF16" s="92">
        <f t="shared" si="4"/>
        <v>2</v>
      </c>
      <c r="CG16" s="92">
        <f t="shared" si="5"/>
        <v>0</v>
      </c>
      <c r="CH16" s="92" t="str">
        <f t="shared" si="6"/>
        <v>78%</v>
      </c>
    </row>
    <row r="17" ht="18.0" customHeight="1">
      <c r="A17" s="84">
        <v>9.0</v>
      </c>
      <c r="B17" s="85" t="s">
        <v>332</v>
      </c>
      <c r="C17" s="89"/>
      <c r="D17" s="87" t="str">
        <f t="shared" si="1"/>
        <v/>
      </c>
      <c r="E17" s="93" t="str">
        <f t="shared" si="2"/>
        <v/>
      </c>
      <c r="F17" s="89"/>
      <c r="G17" s="89"/>
      <c r="H17" s="89"/>
      <c r="I17" s="90" t="str">
        <f>IF('⚙ OFF Weekends'!$D$4="OFF","OFF","")</f>
        <v/>
      </c>
      <c r="J17" s="90" t="str">
        <f>IF('⚙ OFF Weekends'!$D$5="OFF","OFF","")</f>
        <v/>
      </c>
      <c r="K17" s="90" t="str">
        <f>IF('⚙ OFF Weekends'!$D$6="OFF","OFF","")</f>
        <v/>
      </c>
      <c r="L17" s="90" t="str">
        <f>IF('⚙ OFF Weekends'!$D$7="OFF","OFF","")</f>
        <v/>
      </c>
      <c r="M17" s="90" t="str">
        <f>IF('⚙ OFF Weekends'!$D$8="OFF","OFF","")</f>
        <v/>
      </c>
      <c r="N17" s="90" t="str">
        <f>IF('⚙ OFF Weekends'!$D$9="OFF","OFF","")</f>
        <v/>
      </c>
      <c r="O17" s="90" t="str">
        <f>IF('⚙ OFF Weekends'!$D$10="OFF","OFF","")</f>
        <v/>
      </c>
      <c r="P17" s="90" t="str">
        <f>IF('⚙ OFF Weekends'!$D$11="OFF","OFF","")</f>
        <v/>
      </c>
      <c r="Q17" s="91" t="s">
        <v>196</v>
      </c>
      <c r="R17" s="91" t="s">
        <v>37</v>
      </c>
      <c r="S17" s="91" t="s">
        <v>37</v>
      </c>
      <c r="T17" s="91" t="s">
        <v>196</v>
      </c>
      <c r="U17" s="91" t="s">
        <v>37</v>
      </c>
      <c r="V17" s="91" t="s">
        <v>223</v>
      </c>
      <c r="W17" s="90" t="str">
        <f>IF('⚙ OFF Weekends'!$D$18="OFF","OFF","")</f>
        <v>OFF</v>
      </c>
      <c r="X17" s="91" t="s">
        <v>223</v>
      </c>
      <c r="Y17" s="90" t="str">
        <f>IF('⚙ OFF Weekends'!$D$20="OFF","OFF","")</f>
        <v/>
      </c>
      <c r="Z17" s="90" t="str">
        <f>IF('⚙ OFF Weekends'!$D$21="OFF","OFF","")</f>
        <v/>
      </c>
      <c r="AA17" s="91" t="s">
        <v>223</v>
      </c>
      <c r="AB17" s="91" t="s">
        <v>223</v>
      </c>
      <c r="AC17" s="90" t="str">
        <f>IF('⚙ OFF Weekends'!$D$24="OFF","OFF","")</f>
        <v/>
      </c>
      <c r="AD17" s="90" t="str">
        <f>IF('⚙ OFF Weekends'!$D$25="OFF","OFF","")</f>
        <v/>
      </c>
      <c r="AE17" s="90" t="str">
        <f>IF('⚙ OFF Weekends'!$D$26="OFF","OFF","")</f>
        <v/>
      </c>
      <c r="AF17" s="90" t="str">
        <f>IF('⚙ OFF Weekends'!$D$27="OFF","OFF","")</f>
        <v/>
      </c>
      <c r="AG17" s="90" t="str">
        <f>IF('⚙ OFF Weekends'!$D$28="OFF","OFF","")</f>
        <v/>
      </c>
      <c r="AH17" s="90" t="str">
        <f>IF('⚙ OFF Weekends'!$D$29="OFF","OFF","")</f>
        <v/>
      </c>
      <c r="AI17" s="90" t="str">
        <f>IF('⚙ OFF Weekends'!$D$30="OFF","OFF","")</f>
        <v/>
      </c>
      <c r="AJ17" s="90" t="str">
        <f>IF('⚙ OFF Weekends'!$D$31="OFF","OFF","")</f>
        <v/>
      </c>
      <c r="AK17" s="90" t="str">
        <f>IF('⚙ OFF Weekends'!$D$32="OFF","OFF","")</f>
        <v/>
      </c>
      <c r="AL17" s="90" t="str">
        <f>IF('⚙ OFF Weekends'!$D$33="OFF","OFF","")</f>
        <v/>
      </c>
      <c r="AM17" s="90" t="str">
        <f>IF('⚙ OFF Weekends'!$D$34="OFF","OFF","")</f>
        <v/>
      </c>
      <c r="AN17" s="90" t="str">
        <f>IF('⚙ OFF Weekends'!$D$35="OFF","OFF","")</f>
        <v/>
      </c>
      <c r="AO17" s="90" t="str">
        <f>IF('⚙ OFF Weekends'!$D$36="OFF","OFF","")</f>
        <v/>
      </c>
      <c r="AP17" s="90" t="str">
        <f>IF('⚙ OFF Weekends'!$D$37="OFF","OFF","")</f>
        <v/>
      </c>
      <c r="AQ17" s="90" t="str">
        <f>IF('⚙ OFF Weekends'!$D$38="OFF","OFF","")</f>
        <v/>
      </c>
      <c r="AR17" s="90" t="str">
        <f>IF('⚙ OFF Weekends'!$D$39="OFF","OFF","")</f>
        <v/>
      </c>
      <c r="AS17" s="90" t="str">
        <f>IF('⚙ OFF Weekends'!$D$40="OFF","OFF","")</f>
        <v/>
      </c>
      <c r="AT17" s="90" t="str">
        <f>IF('⚙ OFF Weekends'!$D$41="OFF","OFF","")</f>
        <v/>
      </c>
      <c r="AU17" s="90" t="str">
        <f>IF('⚙ OFF Weekends'!$D$42="OFF","OFF","")</f>
        <v/>
      </c>
      <c r="AV17" s="90" t="str">
        <f>IF('⚙ OFF Weekends'!$D$43="OFF","OFF","")</f>
        <v/>
      </c>
      <c r="AW17" s="90" t="str">
        <f>IF('⚙ OFF Weekends'!$D$44="OFF","OFF","")</f>
        <v/>
      </c>
      <c r="AX17" s="90" t="str">
        <f>IF('⚙ OFF Weekends'!$D$45="OFF","OFF","")</f>
        <v/>
      </c>
      <c r="AY17" s="90" t="str">
        <f>IF('⚙ OFF Weekends'!$D$46="OFF","OFF","")</f>
        <v/>
      </c>
      <c r="AZ17" s="90" t="str">
        <f>IF('⚙ OFF Weekends'!$D$47="OFF","OFF","")</f>
        <v/>
      </c>
      <c r="BA17" s="90" t="str">
        <f>IF('⚙ OFF Weekends'!$D$48="OFF","OFF","")</f>
        <v/>
      </c>
      <c r="BB17" s="90" t="str">
        <f>IF('⚙ OFF Weekends'!$D$49="OFF","OFF","")</f>
        <v/>
      </c>
      <c r="BC17" s="90" t="str">
        <f>IF('⚙ OFF Weekends'!$D$50="OFF","OFF","")</f>
        <v/>
      </c>
      <c r="BD17" s="90" t="str">
        <f>IF('⚙ OFF Weekends'!$D$51="OFF","OFF","")</f>
        <v/>
      </c>
      <c r="BE17" s="90" t="str">
        <f>IF('⚙ OFF Weekends'!$D$52="OFF","OFF","")</f>
        <v/>
      </c>
      <c r="BF17" s="90" t="str">
        <f>IF('⚙ OFF Weekends'!$D$53="OFF","OFF","")</f>
        <v/>
      </c>
      <c r="BG17" s="90" t="str">
        <f>IF('⚙ OFF Weekends'!$D$54="OFF","OFF","")</f>
        <v/>
      </c>
      <c r="BH17" s="90" t="str">
        <f>IF('⚙ OFF Weekends'!$D$55="OFF","OFF","")</f>
        <v/>
      </c>
      <c r="BI17" s="90" t="str">
        <f>IF('⚙ OFF Weekends'!$D$56="OFF","OFF","")</f>
        <v/>
      </c>
      <c r="BJ17" s="90" t="str">
        <f>IF('⚙ OFF Weekends'!$D$57="OFF","OFF","")</f>
        <v/>
      </c>
      <c r="BK17" s="90" t="str">
        <f>IF('⚙ OFF Weekends'!$D$58="OFF","OFF","")</f>
        <v/>
      </c>
      <c r="BL17" s="90" t="str">
        <f>IF('⚙ OFF Weekends'!$D$59="OFF","OFF","")</f>
        <v/>
      </c>
      <c r="BM17" s="90" t="str">
        <f>IF('⚙ OFF Weekends'!$D$60="OFF","OFF","")</f>
        <v/>
      </c>
      <c r="BN17" s="90" t="str">
        <f>IF('⚙ OFF Weekends'!$D$61="OFF","OFF","")</f>
        <v/>
      </c>
      <c r="BO17" s="90" t="str">
        <f>IF('⚙ OFF Weekends'!$D$62="OFF","OFF","")</f>
        <v/>
      </c>
      <c r="BP17" s="90" t="str">
        <f>IF('⚙ OFF Weekends'!$D$63="OFF","OFF","")</f>
        <v/>
      </c>
      <c r="BQ17" s="90" t="str">
        <f>IF('⚙ OFF Weekends'!$D$64="OFF","OFF","")</f>
        <v/>
      </c>
      <c r="BR17" s="90" t="str">
        <f>IF('⚙ OFF Weekends'!$D$65="OFF","OFF","")</f>
        <v/>
      </c>
      <c r="BS17" s="90" t="str">
        <f>IF('⚙ OFF Weekends'!$D$66="OFF","OFF","")</f>
        <v/>
      </c>
      <c r="BT17" s="90" t="str">
        <f>IF('⚙ OFF Weekends'!$D$67="OFF","OFF","")</f>
        <v/>
      </c>
      <c r="BU17" s="90" t="str">
        <f>IF('⚙ OFF Weekends'!$D$68="OFF","OFF","")</f>
        <v/>
      </c>
      <c r="BV17" s="90" t="str">
        <f>IF('⚙ OFF Weekends'!$D$69="OFF","OFF","")</f>
        <v/>
      </c>
      <c r="BW17" s="90" t="str">
        <f>IF('⚙ OFF Weekends'!$D$70="OFF","OFF","")</f>
        <v/>
      </c>
      <c r="BX17" s="90" t="str">
        <f>IF('⚙ OFF Weekends'!$D$71="OFF","OFF","")</f>
        <v/>
      </c>
      <c r="BY17" s="90" t="str">
        <f>IF('⚙ OFF Weekends'!$D$72="OFF","OFF","")</f>
        <v/>
      </c>
      <c r="BZ17" s="90" t="str">
        <f>IF('⚙ OFF Weekends'!$D$73="OFF","OFF","")</f>
        <v/>
      </c>
      <c r="CA17" s="90" t="str">
        <f>IF('⚙ OFF Weekends'!$D$74="OFF","OFF","")</f>
        <v/>
      </c>
      <c r="CB17" s="90" t="str">
        <f>IF('⚙ OFF Weekends'!$D$75="OFF","OFF","")</f>
        <v/>
      </c>
      <c r="CC17" s="90" t="str">
        <f>IF('⚙ OFF Weekends'!$D$76="OFF","OFF","")</f>
        <v/>
      </c>
      <c r="CD17" s="90" t="str">
        <f>IF('⚙ OFF Weekends'!$D$77="OFF","OFF","")</f>
        <v/>
      </c>
      <c r="CE17" s="92">
        <f t="shared" si="3"/>
        <v>5</v>
      </c>
      <c r="CF17" s="92">
        <f t="shared" si="4"/>
        <v>4</v>
      </c>
      <c r="CG17" s="92">
        <f t="shared" si="5"/>
        <v>0</v>
      </c>
      <c r="CH17" s="92" t="str">
        <f t="shared" si="6"/>
        <v>56%</v>
      </c>
    </row>
    <row r="18" ht="18.0" customHeight="1">
      <c r="A18" s="84">
        <v>10.0</v>
      </c>
      <c r="B18" s="89"/>
      <c r="C18" s="89"/>
      <c r="D18" s="87" t="str">
        <f t="shared" si="1"/>
        <v/>
      </c>
      <c r="E18" s="93" t="str">
        <f t="shared" si="2"/>
        <v/>
      </c>
      <c r="F18" s="89"/>
      <c r="G18" s="89"/>
      <c r="H18" s="89"/>
      <c r="I18" s="90" t="str">
        <f>IF('⚙ OFF Weekends'!$D$4="OFF","OFF","")</f>
        <v/>
      </c>
      <c r="J18" s="90" t="str">
        <f>IF('⚙ OFF Weekends'!$D$5="OFF","OFF","")</f>
        <v/>
      </c>
      <c r="K18" s="90" t="str">
        <f>IF('⚙ OFF Weekends'!$D$6="OFF","OFF","")</f>
        <v/>
      </c>
      <c r="L18" s="90" t="str">
        <f>IF('⚙ OFF Weekends'!$D$7="OFF","OFF","")</f>
        <v/>
      </c>
      <c r="M18" s="90" t="str">
        <f>IF('⚙ OFF Weekends'!$D$8="OFF","OFF","")</f>
        <v/>
      </c>
      <c r="N18" s="90" t="str">
        <f>IF('⚙ OFF Weekends'!$D$9="OFF","OFF","")</f>
        <v/>
      </c>
      <c r="O18" s="90" t="str">
        <f>IF('⚙ OFF Weekends'!$D$10="OFF","OFF","")</f>
        <v/>
      </c>
      <c r="P18" s="90" t="str">
        <f>IF('⚙ OFF Weekends'!$D$11="OFF","OFF","")</f>
        <v/>
      </c>
      <c r="Q18" s="90" t="str">
        <f>IF('⚙ OFF Weekends'!$D$12="OFF","OFF","")</f>
        <v/>
      </c>
      <c r="R18" s="90" t="str">
        <f>IF('⚙ OFF Weekends'!$D$13="OFF","OFF","")</f>
        <v/>
      </c>
      <c r="S18" s="90" t="str">
        <f>IF('⚙ OFF Weekends'!$D$14="OFF","OFF","")</f>
        <v/>
      </c>
      <c r="T18" s="90" t="str">
        <f>IF('⚙ OFF Weekends'!$D$15="OFF","OFF","")</f>
        <v/>
      </c>
      <c r="U18" s="90" t="str">
        <f>IF('⚙ OFF Weekends'!$D$16="OFF","OFF","")</f>
        <v/>
      </c>
      <c r="V18" s="90" t="str">
        <f>IF('⚙ OFF Weekends'!$D$17="OFF","OFF","")</f>
        <v/>
      </c>
      <c r="W18" s="90" t="str">
        <f>IF('⚙ OFF Weekends'!$D$18="OFF","OFF","")</f>
        <v>OFF</v>
      </c>
      <c r="X18" s="90" t="str">
        <f>IF('⚙ OFF Weekends'!$D$19="OFF","OFF","")</f>
        <v/>
      </c>
      <c r="Y18" s="90" t="str">
        <f>IF('⚙ OFF Weekends'!$D$20="OFF","OFF","")</f>
        <v/>
      </c>
      <c r="Z18" s="90" t="str">
        <f>IF('⚙ OFF Weekends'!$D$21="OFF","OFF","")</f>
        <v/>
      </c>
      <c r="AA18" s="90" t="str">
        <f>IF('⚙ OFF Weekends'!$D$22="OFF","OFF","")</f>
        <v/>
      </c>
      <c r="AB18" s="90" t="str">
        <f>IF('⚙ OFF Weekends'!$D$23="OFF","OFF","")</f>
        <v/>
      </c>
      <c r="AC18" s="90" t="str">
        <f>IF('⚙ OFF Weekends'!$D$24="OFF","OFF","")</f>
        <v/>
      </c>
      <c r="AD18" s="90" t="str">
        <f>IF('⚙ OFF Weekends'!$D$25="OFF","OFF","")</f>
        <v/>
      </c>
      <c r="AE18" s="90" t="str">
        <f>IF('⚙ OFF Weekends'!$D$26="OFF","OFF","")</f>
        <v/>
      </c>
      <c r="AF18" s="90" t="str">
        <f>IF('⚙ OFF Weekends'!$D$27="OFF","OFF","")</f>
        <v/>
      </c>
      <c r="AG18" s="90" t="str">
        <f>IF('⚙ OFF Weekends'!$D$28="OFF","OFF","")</f>
        <v/>
      </c>
      <c r="AH18" s="90" t="str">
        <f>IF('⚙ OFF Weekends'!$D$29="OFF","OFF","")</f>
        <v/>
      </c>
      <c r="AI18" s="90" t="str">
        <f>IF('⚙ OFF Weekends'!$D$30="OFF","OFF","")</f>
        <v/>
      </c>
      <c r="AJ18" s="90" t="str">
        <f>IF('⚙ OFF Weekends'!$D$31="OFF","OFF","")</f>
        <v/>
      </c>
      <c r="AK18" s="90" t="str">
        <f>IF('⚙ OFF Weekends'!$D$32="OFF","OFF","")</f>
        <v/>
      </c>
      <c r="AL18" s="90" t="str">
        <f>IF('⚙ OFF Weekends'!$D$33="OFF","OFF","")</f>
        <v/>
      </c>
      <c r="AM18" s="90" t="str">
        <f>IF('⚙ OFF Weekends'!$D$34="OFF","OFF","")</f>
        <v/>
      </c>
      <c r="AN18" s="90" t="str">
        <f>IF('⚙ OFF Weekends'!$D$35="OFF","OFF","")</f>
        <v/>
      </c>
      <c r="AO18" s="90" t="str">
        <f>IF('⚙ OFF Weekends'!$D$36="OFF","OFF","")</f>
        <v/>
      </c>
      <c r="AP18" s="90" t="str">
        <f>IF('⚙ OFF Weekends'!$D$37="OFF","OFF","")</f>
        <v/>
      </c>
      <c r="AQ18" s="90" t="str">
        <f>IF('⚙ OFF Weekends'!$D$38="OFF","OFF","")</f>
        <v/>
      </c>
      <c r="AR18" s="90" t="str">
        <f>IF('⚙ OFF Weekends'!$D$39="OFF","OFF","")</f>
        <v/>
      </c>
      <c r="AS18" s="90" t="str">
        <f>IF('⚙ OFF Weekends'!$D$40="OFF","OFF","")</f>
        <v/>
      </c>
      <c r="AT18" s="90" t="str">
        <f>IF('⚙ OFF Weekends'!$D$41="OFF","OFF","")</f>
        <v/>
      </c>
      <c r="AU18" s="90" t="str">
        <f>IF('⚙ OFF Weekends'!$D$42="OFF","OFF","")</f>
        <v/>
      </c>
      <c r="AV18" s="90" t="str">
        <f>IF('⚙ OFF Weekends'!$D$43="OFF","OFF","")</f>
        <v/>
      </c>
      <c r="AW18" s="90" t="str">
        <f>IF('⚙ OFF Weekends'!$D$44="OFF","OFF","")</f>
        <v/>
      </c>
      <c r="AX18" s="90" t="str">
        <f>IF('⚙ OFF Weekends'!$D$45="OFF","OFF","")</f>
        <v/>
      </c>
      <c r="AY18" s="90" t="str">
        <f>IF('⚙ OFF Weekends'!$D$46="OFF","OFF","")</f>
        <v/>
      </c>
      <c r="AZ18" s="90" t="str">
        <f>IF('⚙ OFF Weekends'!$D$47="OFF","OFF","")</f>
        <v/>
      </c>
      <c r="BA18" s="90" t="str">
        <f>IF('⚙ OFF Weekends'!$D$48="OFF","OFF","")</f>
        <v/>
      </c>
      <c r="BB18" s="90" t="str">
        <f>IF('⚙ OFF Weekends'!$D$49="OFF","OFF","")</f>
        <v/>
      </c>
      <c r="BC18" s="90" t="str">
        <f>IF('⚙ OFF Weekends'!$D$50="OFF","OFF","")</f>
        <v/>
      </c>
      <c r="BD18" s="90" t="str">
        <f>IF('⚙ OFF Weekends'!$D$51="OFF","OFF","")</f>
        <v/>
      </c>
      <c r="BE18" s="90" t="str">
        <f>IF('⚙ OFF Weekends'!$D$52="OFF","OFF","")</f>
        <v/>
      </c>
      <c r="BF18" s="90" t="str">
        <f>IF('⚙ OFF Weekends'!$D$53="OFF","OFF","")</f>
        <v/>
      </c>
      <c r="BG18" s="90" t="str">
        <f>IF('⚙ OFF Weekends'!$D$54="OFF","OFF","")</f>
        <v/>
      </c>
      <c r="BH18" s="90" t="str">
        <f>IF('⚙ OFF Weekends'!$D$55="OFF","OFF","")</f>
        <v/>
      </c>
      <c r="BI18" s="90" t="str">
        <f>IF('⚙ OFF Weekends'!$D$56="OFF","OFF","")</f>
        <v/>
      </c>
      <c r="BJ18" s="90" t="str">
        <f>IF('⚙ OFF Weekends'!$D$57="OFF","OFF","")</f>
        <v/>
      </c>
      <c r="BK18" s="90" t="str">
        <f>IF('⚙ OFF Weekends'!$D$58="OFF","OFF","")</f>
        <v/>
      </c>
      <c r="BL18" s="90" t="str">
        <f>IF('⚙ OFF Weekends'!$D$59="OFF","OFF","")</f>
        <v/>
      </c>
      <c r="BM18" s="90" t="str">
        <f>IF('⚙ OFF Weekends'!$D$60="OFF","OFF","")</f>
        <v/>
      </c>
      <c r="BN18" s="90" t="str">
        <f>IF('⚙ OFF Weekends'!$D$61="OFF","OFF","")</f>
        <v/>
      </c>
      <c r="BO18" s="90" t="str">
        <f>IF('⚙ OFF Weekends'!$D$62="OFF","OFF","")</f>
        <v/>
      </c>
      <c r="BP18" s="90" t="str">
        <f>IF('⚙ OFF Weekends'!$D$63="OFF","OFF","")</f>
        <v/>
      </c>
      <c r="BQ18" s="90" t="str">
        <f>IF('⚙ OFF Weekends'!$D$64="OFF","OFF","")</f>
        <v/>
      </c>
      <c r="BR18" s="90" t="str">
        <f>IF('⚙ OFF Weekends'!$D$65="OFF","OFF","")</f>
        <v/>
      </c>
      <c r="BS18" s="90" t="str">
        <f>IF('⚙ OFF Weekends'!$D$66="OFF","OFF","")</f>
        <v/>
      </c>
      <c r="BT18" s="90" t="str">
        <f>IF('⚙ OFF Weekends'!$D$67="OFF","OFF","")</f>
        <v/>
      </c>
      <c r="BU18" s="90" t="str">
        <f>IF('⚙ OFF Weekends'!$D$68="OFF","OFF","")</f>
        <v/>
      </c>
      <c r="BV18" s="90" t="str">
        <f>IF('⚙ OFF Weekends'!$D$69="OFF","OFF","")</f>
        <v/>
      </c>
      <c r="BW18" s="90" t="str">
        <f>IF('⚙ OFF Weekends'!$D$70="OFF","OFF","")</f>
        <v/>
      </c>
      <c r="BX18" s="90" t="str">
        <f>IF('⚙ OFF Weekends'!$D$71="OFF","OFF","")</f>
        <v/>
      </c>
      <c r="BY18" s="90" t="str">
        <f>IF('⚙ OFF Weekends'!$D$72="OFF","OFF","")</f>
        <v/>
      </c>
      <c r="BZ18" s="90" t="str">
        <f>IF('⚙ OFF Weekends'!$D$73="OFF","OFF","")</f>
        <v/>
      </c>
      <c r="CA18" s="90" t="str">
        <f>IF('⚙ OFF Weekends'!$D$74="OFF","OFF","")</f>
        <v/>
      </c>
      <c r="CB18" s="90" t="str">
        <f>IF('⚙ OFF Weekends'!$D$75="OFF","OFF","")</f>
        <v/>
      </c>
      <c r="CC18" s="90" t="str">
        <f>IF('⚙ OFF Weekends'!$D$76="OFF","OFF","")</f>
        <v/>
      </c>
      <c r="CD18" s="90" t="str">
        <f>IF('⚙ OFF Weekends'!$D$77="OFF","OFF","")</f>
        <v/>
      </c>
      <c r="CE18" s="92">
        <f t="shared" si="3"/>
        <v>0</v>
      </c>
      <c r="CF18" s="92">
        <f t="shared" si="4"/>
        <v>0</v>
      </c>
      <c r="CG18" s="92">
        <f t="shared" si="5"/>
        <v>0</v>
      </c>
      <c r="CH18" s="92" t="str">
        <f t="shared" si="6"/>
        <v>0%</v>
      </c>
    </row>
    <row r="19" ht="6.0" customHeight="1">
      <c r="A19" s="67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3"/>
    </row>
    <row r="20" ht="19.5" customHeight="1">
      <c r="A20" s="8" t="s">
        <v>351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3"/>
    </row>
    <row r="21" ht="18.0" customHeight="1">
      <c r="A21" s="95">
        <v>1.0</v>
      </c>
      <c r="B21" s="12" t="s">
        <v>352</v>
      </c>
      <c r="C21" s="14" t="s">
        <v>353</v>
      </c>
      <c r="D21" s="17" t="str">
        <f t="shared" ref="D21:D38" si="7">IF(C21&lt;&gt;"",HYPERLINK("tel:"&amp;SUBSTITUTE(SUBSTITUTE(C21," ",""),"+","+"),"📞 Call"),"")</f>
        <v>📞 Call</v>
      </c>
      <c r="E21" s="19" t="str">
        <f t="shared" ref="E21:E38" si="8">IF(C21&lt;&gt;"",HYPERLINK("https://wa.me/"&amp;SUBSTITUTE(SUBSTITUTE(C21,"+","")," ",""),"💬 WhatsApp"),"")</f>
        <v>💬 WhatsApp</v>
      </c>
      <c r="F21" s="10"/>
      <c r="G21" s="10" t="s">
        <v>275</v>
      </c>
      <c r="H21" s="10"/>
      <c r="I21" s="48" t="s">
        <v>196</v>
      </c>
      <c r="J21" s="48" t="s">
        <v>196</v>
      </c>
      <c r="K21" s="49" t="s">
        <v>197</v>
      </c>
      <c r="L21" s="48" t="s">
        <v>196</v>
      </c>
      <c r="M21" s="48" t="s">
        <v>196</v>
      </c>
      <c r="N21" s="48" t="s">
        <v>196</v>
      </c>
      <c r="O21" s="79" t="s">
        <v>223</v>
      </c>
      <c r="P21" s="79" t="s">
        <v>223</v>
      </c>
      <c r="Q21" s="79" t="s">
        <v>223</v>
      </c>
      <c r="R21" s="79" t="s">
        <v>223</v>
      </c>
      <c r="S21" s="52" t="s">
        <v>223</v>
      </c>
      <c r="T21" s="98" t="s">
        <v>223</v>
      </c>
      <c r="U21" s="52" t="s">
        <v>223</v>
      </c>
      <c r="V21" s="53" t="s">
        <v>223</v>
      </c>
      <c r="W21" s="54" t="str">
        <f>IF('⚙ OFF Weekends'!$D$18="OFF","OFF","")</f>
        <v>OFF</v>
      </c>
      <c r="X21" s="53" t="s">
        <v>223</v>
      </c>
      <c r="Y21" s="52" t="s">
        <v>223</v>
      </c>
      <c r="Z21" s="53" t="s">
        <v>223</v>
      </c>
      <c r="AA21" s="52" t="s">
        <v>223</v>
      </c>
      <c r="AB21" s="53" t="s">
        <v>223</v>
      </c>
      <c r="AC21" s="54" t="str">
        <f>IF('⚙ OFF Weekends'!$D$24="OFF","OFF","")</f>
        <v/>
      </c>
      <c r="AD21" s="56" t="str">
        <f>IF('⚙ OFF Weekends'!$D$25="OFF","OFF","")</f>
        <v/>
      </c>
      <c r="AE21" s="54" t="str">
        <f>IF('⚙ OFF Weekends'!$D$26="OFF","OFF","")</f>
        <v/>
      </c>
      <c r="AF21" s="56" t="str">
        <f>IF('⚙ OFF Weekends'!$D$27="OFF","OFF","")</f>
        <v/>
      </c>
      <c r="AG21" s="54" t="str">
        <f>IF('⚙ OFF Weekends'!$D$28="OFF","OFF","")</f>
        <v/>
      </c>
      <c r="AH21" s="56" t="str">
        <f>IF('⚙ OFF Weekends'!$D$29="OFF","OFF","")</f>
        <v/>
      </c>
      <c r="AI21" s="54" t="str">
        <f>IF('⚙ OFF Weekends'!$D$30="OFF","OFF","")</f>
        <v/>
      </c>
      <c r="AJ21" s="56" t="str">
        <f>IF('⚙ OFF Weekends'!$D$31="OFF","OFF","")</f>
        <v/>
      </c>
      <c r="AK21" s="54" t="str">
        <f>IF('⚙ OFF Weekends'!$D$32="OFF","OFF","")</f>
        <v/>
      </c>
      <c r="AL21" s="56" t="str">
        <f>IF('⚙ OFF Weekends'!$D$33="OFF","OFF","")</f>
        <v/>
      </c>
      <c r="AM21" s="54" t="str">
        <f>IF('⚙ OFF Weekends'!$D$34="OFF","OFF","")</f>
        <v/>
      </c>
      <c r="AN21" s="56" t="str">
        <f>IF('⚙ OFF Weekends'!$D$35="OFF","OFF","")</f>
        <v/>
      </c>
      <c r="AO21" s="54" t="str">
        <f>IF('⚙ OFF Weekends'!$D$36="OFF","OFF","")</f>
        <v/>
      </c>
      <c r="AP21" s="56" t="str">
        <f>IF('⚙ OFF Weekends'!$D$37="OFF","OFF","")</f>
        <v/>
      </c>
      <c r="AQ21" s="54" t="str">
        <f>IF('⚙ OFF Weekends'!$D$38="OFF","OFF","")</f>
        <v/>
      </c>
      <c r="AR21" s="56" t="str">
        <f>IF('⚙ OFF Weekends'!$D$39="OFF","OFF","")</f>
        <v/>
      </c>
      <c r="AS21" s="54" t="str">
        <f>IF('⚙ OFF Weekends'!$D$40="OFF","OFF","")</f>
        <v/>
      </c>
      <c r="AT21" s="56" t="str">
        <f>IF('⚙ OFF Weekends'!$D$41="OFF","OFF","")</f>
        <v/>
      </c>
      <c r="AU21" s="54" t="str">
        <f>IF('⚙ OFF Weekends'!$D$42="OFF","OFF","")</f>
        <v/>
      </c>
      <c r="AV21" s="56" t="str">
        <f>IF('⚙ OFF Weekends'!$D$43="OFF","OFF","")</f>
        <v/>
      </c>
      <c r="AW21" s="54" t="str">
        <f>IF('⚙ OFF Weekends'!$D$44="OFF","OFF","")</f>
        <v/>
      </c>
      <c r="AX21" s="56" t="str">
        <f>IF('⚙ OFF Weekends'!$D$45="OFF","OFF","")</f>
        <v/>
      </c>
      <c r="AY21" s="54" t="str">
        <f>IF('⚙ OFF Weekends'!$D$46="OFF","OFF","")</f>
        <v/>
      </c>
      <c r="AZ21" s="56" t="str">
        <f>IF('⚙ OFF Weekends'!$D$47="OFF","OFF","")</f>
        <v/>
      </c>
      <c r="BA21" s="54" t="str">
        <f>IF('⚙ OFF Weekends'!$D$48="OFF","OFF","")</f>
        <v/>
      </c>
      <c r="BB21" s="56" t="str">
        <f>IF('⚙ OFF Weekends'!$D$49="OFF","OFF","")</f>
        <v/>
      </c>
      <c r="BC21" s="54" t="str">
        <f>IF('⚙ OFF Weekends'!$D$50="OFF","OFF","")</f>
        <v/>
      </c>
      <c r="BD21" s="56" t="str">
        <f>IF('⚙ OFF Weekends'!$D$51="OFF","OFF","")</f>
        <v/>
      </c>
      <c r="BE21" s="54" t="str">
        <f>IF('⚙ OFF Weekends'!$D$52="OFF","OFF","")</f>
        <v/>
      </c>
      <c r="BF21" s="56" t="str">
        <f>IF('⚙ OFF Weekends'!$D$53="OFF","OFF","")</f>
        <v/>
      </c>
      <c r="BG21" s="54" t="str">
        <f>IF('⚙ OFF Weekends'!$D$54="OFF","OFF","")</f>
        <v/>
      </c>
      <c r="BH21" s="56" t="str">
        <f>IF('⚙ OFF Weekends'!$D$55="OFF","OFF","")</f>
        <v/>
      </c>
      <c r="BI21" s="54" t="str">
        <f>IF('⚙ OFF Weekends'!$D$56="OFF","OFF","")</f>
        <v/>
      </c>
      <c r="BJ21" s="56" t="str">
        <f>IF('⚙ OFF Weekends'!$D$57="OFF","OFF","")</f>
        <v/>
      </c>
      <c r="BK21" s="54" t="str">
        <f>IF('⚙ OFF Weekends'!$D$58="OFF","OFF","")</f>
        <v/>
      </c>
      <c r="BL21" s="56" t="str">
        <f>IF('⚙ OFF Weekends'!$D$59="OFF","OFF","")</f>
        <v/>
      </c>
      <c r="BM21" s="54" t="str">
        <f>IF('⚙ OFF Weekends'!$D$60="OFF","OFF","")</f>
        <v/>
      </c>
      <c r="BN21" s="56" t="str">
        <f>IF('⚙ OFF Weekends'!$D$61="OFF","OFF","")</f>
        <v/>
      </c>
      <c r="BO21" s="54" t="str">
        <f>IF('⚙ OFF Weekends'!$D$62="OFF","OFF","")</f>
        <v/>
      </c>
      <c r="BP21" s="56" t="str">
        <f>IF('⚙ OFF Weekends'!$D$63="OFF","OFF","")</f>
        <v/>
      </c>
      <c r="BQ21" s="54" t="str">
        <f>IF('⚙ OFF Weekends'!$D$64="OFF","OFF","")</f>
        <v/>
      </c>
      <c r="BR21" s="56" t="str">
        <f>IF('⚙ OFF Weekends'!$D$65="OFF","OFF","")</f>
        <v/>
      </c>
      <c r="BS21" s="54" t="str">
        <f>IF('⚙ OFF Weekends'!$D$66="OFF","OFF","")</f>
        <v/>
      </c>
      <c r="BT21" s="56" t="str">
        <f>IF('⚙ OFF Weekends'!$D$67="OFF","OFF","")</f>
        <v/>
      </c>
      <c r="BU21" s="54" t="str">
        <f>IF('⚙ OFF Weekends'!$D$68="OFF","OFF","")</f>
        <v/>
      </c>
      <c r="BV21" s="56" t="str">
        <f>IF('⚙ OFF Weekends'!$D$69="OFF","OFF","")</f>
        <v/>
      </c>
      <c r="BW21" s="54" t="str">
        <f>IF('⚙ OFF Weekends'!$D$70="OFF","OFF","")</f>
        <v/>
      </c>
      <c r="BX21" s="56" t="str">
        <f>IF('⚙ OFF Weekends'!$D$71="OFF","OFF","")</f>
        <v/>
      </c>
      <c r="BY21" s="54" t="str">
        <f>IF('⚙ OFF Weekends'!$D$72="OFF","OFF","")</f>
        <v/>
      </c>
      <c r="BZ21" s="56" t="str">
        <f>IF('⚙ OFF Weekends'!$D$73="OFF","OFF","")</f>
        <v/>
      </c>
      <c r="CA21" s="54" t="str">
        <f>IF('⚙ OFF Weekends'!$D$74="OFF","OFF","")</f>
        <v/>
      </c>
      <c r="CB21" s="56" t="str">
        <f>IF('⚙ OFF Weekends'!$D$75="OFF","OFF","")</f>
        <v/>
      </c>
      <c r="CC21" s="54" t="str">
        <f>IF('⚙ OFF Weekends'!$D$76="OFF","OFF","")</f>
        <v/>
      </c>
      <c r="CD21" s="56" t="str">
        <f>IF('⚙ OFF Weekends'!$D$77="OFF","OFF","")</f>
        <v/>
      </c>
      <c r="CE21" s="95">
        <f t="shared" ref="CE21:CE38" si="9">COUNTIF(I21:CD21,"Present")+COUNTIF(I21:CD21,"Late")</f>
        <v>5</v>
      </c>
      <c r="CF21" s="95">
        <f t="shared" ref="CF21:CF38" si="10">COUNTIF(I21:CD21,"Absent")</f>
        <v>13</v>
      </c>
      <c r="CG21" s="95">
        <f t="shared" ref="CG21:CG38" si="11">COUNTIF(I21:CD21,"Leave")</f>
        <v>0</v>
      </c>
      <c r="CH21" s="95" t="str">
        <f t="shared" ref="CH21:CH38" si="12">IF(CE21+CF21=0,"0%",TEXT(CE21/(CE21+CF21),"0%"))</f>
        <v>28%</v>
      </c>
    </row>
    <row r="22" ht="18.0" customHeight="1">
      <c r="A22" s="96">
        <v>2.0</v>
      </c>
      <c r="B22" s="22" t="s">
        <v>357</v>
      </c>
      <c r="C22" s="23"/>
      <c r="D22" s="24" t="str">
        <f t="shared" si="7"/>
        <v/>
      </c>
      <c r="E22" s="26" t="str">
        <f t="shared" si="8"/>
        <v/>
      </c>
      <c r="F22" s="20"/>
      <c r="G22" s="20" t="s">
        <v>275</v>
      </c>
      <c r="H22" s="20"/>
      <c r="I22" s="79" t="s">
        <v>223</v>
      </c>
      <c r="J22" s="48" t="s">
        <v>196</v>
      </c>
      <c r="K22" s="49" t="s">
        <v>197</v>
      </c>
      <c r="L22" s="50" t="s">
        <v>37</v>
      </c>
      <c r="M22" s="100" t="s">
        <v>290</v>
      </c>
      <c r="N22" s="48" t="s">
        <v>196</v>
      </c>
      <c r="O22" s="77" t="s">
        <v>198</v>
      </c>
      <c r="P22" s="48" t="s">
        <v>196</v>
      </c>
      <c r="Q22" s="100" t="s">
        <v>290</v>
      </c>
      <c r="R22" s="48" t="s">
        <v>196</v>
      </c>
      <c r="S22" s="52" t="s">
        <v>198</v>
      </c>
      <c r="T22" s="98" t="s">
        <v>223</v>
      </c>
      <c r="U22" s="52" t="s">
        <v>223</v>
      </c>
      <c r="V22" s="53" t="s">
        <v>196</v>
      </c>
      <c r="W22" s="54" t="str">
        <f>IF('⚙ OFF Weekends'!$D$18="OFF","OFF","")</f>
        <v>OFF</v>
      </c>
      <c r="X22" s="53" t="s">
        <v>196</v>
      </c>
      <c r="Y22" s="52" t="s">
        <v>290</v>
      </c>
      <c r="Z22" s="53" t="s">
        <v>223</v>
      </c>
      <c r="AA22" s="52" t="s">
        <v>223</v>
      </c>
      <c r="AB22" s="53" t="s">
        <v>196</v>
      </c>
      <c r="AC22" s="54" t="str">
        <f>IF('⚙ OFF Weekends'!$D$24="OFF","OFF","")</f>
        <v/>
      </c>
      <c r="AD22" s="56" t="str">
        <f>IF('⚙ OFF Weekends'!$D$25="OFF","OFF","")</f>
        <v/>
      </c>
      <c r="AE22" s="54" t="str">
        <f>IF('⚙ OFF Weekends'!$D$26="OFF","OFF","")</f>
        <v/>
      </c>
      <c r="AF22" s="56" t="str">
        <f>IF('⚙ OFF Weekends'!$D$27="OFF","OFF","")</f>
        <v/>
      </c>
      <c r="AG22" s="54" t="str">
        <f>IF('⚙ OFF Weekends'!$D$28="OFF","OFF","")</f>
        <v/>
      </c>
      <c r="AH22" s="56" t="str">
        <f>IF('⚙ OFF Weekends'!$D$29="OFF","OFF","")</f>
        <v/>
      </c>
      <c r="AI22" s="54" t="str">
        <f>IF('⚙ OFF Weekends'!$D$30="OFF","OFF","")</f>
        <v/>
      </c>
      <c r="AJ22" s="56" t="str">
        <f>IF('⚙ OFF Weekends'!$D$31="OFF","OFF","")</f>
        <v/>
      </c>
      <c r="AK22" s="54" t="str">
        <f>IF('⚙ OFF Weekends'!$D$32="OFF","OFF","")</f>
        <v/>
      </c>
      <c r="AL22" s="56" t="str">
        <f>IF('⚙ OFF Weekends'!$D$33="OFF","OFF","")</f>
        <v/>
      </c>
      <c r="AM22" s="54" t="str">
        <f>IF('⚙ OFF Weekends'!$D$34="OFF","OFF","")</f>
        <v/>
      </c>
      <c r="AN22" s="56" t="str">
        <f>IF('⚙ OFF Weekends'!$D$35="OFF","OFF","")</f>
        <v/>
      </c>
      <c r="AO22" s="54" t="str">
        <f>IF('⚙ OFF Weekends'!$D$36="OFF","OFF","")</f>
        <v/>
      </c>
      <c r="AP22" s="56" t="str">
        <f>IF('⚙ OFF Weekends'!$D$37="OFF","OFF","")</f>
        <v/>
      </c>
      <c r="AQ22" s="54" t="str">
        <f>IF('⚙ OFF Weekends'!$D$38="OFF","OFF","")</f>
        <v/>
      </c>
      <c r="AR22" s="56" t="str">
        <f>IF('⚙ OFF Weekends'!$D$39="OFF","OFF","")</f>
        <v/>
      </c>
      <c r="AS22" s="54" t="str">
        <f>IF('⚙ OFF Weekends'!$D$40="OFF","OFF","")</f>
        <v/>
      </c>
      <c r="AT22" s="56" t="str">
        <f>IF('⚙ OFF Weekends'!$D$41="OFF","OFF","")</f>
        <v/>
      </c>
      <c r="AU22" s="54" t="str">
        <f>IF('⚙ OFF Weekends'!$D$42="OFF","OFF","")</f>
        <v/>
      </c>
      <c r="AV22" s="56" t="str">
        <f>IF('⚙ OFF Weekends'!$D$43="OFF","OFF","")</f>
        <v/>
      </c>
      <c r="AW22" s="54" t="str">
        <f>IF('⚙ OFF Weekends'!$D$44="OFF","OFF","")</f>
        <v/>
      </c>
      <c r="AX22" s="56" t="str">
        <f>IF('⚙ OFF Weekends'!$D$45="OFF","OFF","")</f>
        <v/>
      </c>
      <c r="AY22" s="54" t="str">
        <f>IF('⚙ OFF Weekends'!$D$46="OFF","OFF","")</f>
        <v/>
      </c>
      <c r="AZ22" s="56" t="str">
        <f>IF('⚙ OFF Weekends'!$D$47="OFF","OFF","")</f>
        <v/>
      </c>
      <c r="BA22" s="54" t="str">
        <f>IF('⚙ OFF Weekends'!$D$48="OFF","OFF","")</f>
        <v/>
      </c>
      <c r="BB22" s="56" t="str">
        <f>IF('⚙ OFF Weekends'!$D$49="OFF","OFF","")</f>
        <v/>
      </c>
      <c r="BC22" s="54" t="str">
        <f>IF('⚙ OFF Weekends'!$D$50="OFF","OFF","")</f>
        <v/>
      </c>
      <c r="BD22" s="56" t="str">
        <f>IF('⚙ OFF Weekends'!$D$51="OFF","OFF","")</f>
        <v/>
      </c>
      <c r="BE22" s="54" t="str">
        <f>IF('⚙ OFF Weekends'!$D$52="OFF","OFF","")</f>
        <v/>
      </c>
      <c r="BF22" s="56" t="str">
        <f>IF('⚙ OFF Weekends'!$D$53="OFF","OFF","")</f>
        <v/>
      </c>
      <c r="BG22" s="54" t="str">
        <f>IF('⚙ OFF Weekends'!$D$54="OFF","OFF","")</f>
        <v/>
      </c>
      <c r="BH22" s="56" t="str">
        <f>IF('⚙ OFF Weekends'!$D$55="OFF","OFF","")</f>
        <v/>
      </c>
      <c r="BI22" s="54" t="str">
        <f>IF('⚙ OFF Weekends'!$D$56="OFF","OFF","")</f>
        <v/>
      </c>
      <c r="BJ22" s="56" t="str">
        <f>IF('⚙ OFF Weekends'!$D$57="OFF","OFF","")</f>
        <v/>
      </c>
      <c r="BK22" s="54" t="str">
        <f>IF('⚙ OFF Weekends'!$D$58="OFF","OFF","")</f>
        <v/>
      </c>
      <c r="BL22" s="56" t="str">
        <f>IF('⚙ OFF Weekends'!$D$59="OFF","OFF","")</f>
        <v/>
      </c>
      <c r="BM22" s="54" t="str">
        <f>IF('⚙ OFF Weekends'!$D$60="OFF","OFF","")</f>
        <v/>
      </c>
      <c r="BN22" s="56" t="str">
        <f>IF('⚙ OFF Weekends'!$D$61="OFF","OFF","")</f>
        <v/>
      </c>
      <c r="BO22" s="54" t="str">
        <f>IF('⚙ OFF Weekends'!$D$62="OFF","OFF","")</f>
        <v/>
      </c>
      <c r="BP22" s="56" t="str">
        <f>IF('⚙ OFF Weekends'!$D$63="OFF","OFF","")</f>
        <v/>
      </c>
      <c r="BQ22" s="54" t="str">
        <f>IF('⚙ OFF Weekends'!$D$64="OFF","OFF","")</f>
        <v/>
      </c>
      <c r="BR22" s="56" t="str">
        <f>IF('⚙ OFF Weekends'!$D$65="OFF","OFF","")</f>
        <v/>
      </c>
      <c r="BS22" s="54" t="str">
        <f>IF('⚙ OFF Weekends'!$D$66="OFF","OFF","")</f>
        <v/>
      </c>
      <c r="BT22" s="56" t="str">
        <f>IF('⚙ OFF Weekends'!$D$67="OFF","OFF","")</f>
        <v/>
      </c>
      <c r="BU22" s="54" t="str">
        <f>IF('⚙ OFF Weekends'!$D$68="OFF","OFF","")</f>
        <v/>
      </c>
      <c r="BV22" s="56" t="str">
        <f>IF('⚙ OFF Weekends'!$D$69="OFF","OFF","")</f>
        <v/>
      </c>
      <c r="BW22" s="54" t="str">
        <f>IF('⚙ OFF Weekends'!$D$70="OFF","OFF","")</f>
        <v/>
      </c>
      <c r="BX22" s="56" t="str">
        <f>IF('⚙ OFF Weekends'!$D$71="OFF","OFF","")</f>
        <v/>
      </c>
      <c r="BY22" s="54" t="str">
        <f>IF('⚙ OFF Weekends'!$D$72="OFF","OFF","")</f>
        <v/>
      </c>
      <c r="BZ22" s="56" t="str">
        <f>IF('⚙ OFF Weekends'!$D$73="OFF","OFF","")</f>
        <v/>
      </c>
      <c r="CA22" s="54" t="str">
        <f>IF('⚙ OFF Weekends'!$D$74="OFF","OFF","")</f>
        <v/>
      </c>
      <c r="CB22" s="56" t="str">
        <f>IF('⚙ OFF Weekends'!$D$75="OFF","OFF","")</f>
        <v/>
      </c>
      <c r="CC22" s="54" t="str">
        <f>IF('⚙ OFF Weekends'!$D$76="OFF","OFF","")</f>
        <v/>
      </c>
      <c r="CD22" s="56" t="str">
        <f>IF('⚙ OFF Weekends'!$D$77="OFF","OFF","")</f>
        <v/>
      </c>
      <c r="CE22" s="96">
        <f t="shared" si="9"/>
        <v>8</v>
      </c>
      <c r="CF22" s="96">
        <f t="shared" si="10"/>
        <v>5</v>
      </c>
      <c r="CG22" s="96">
        <f t="shared" si="11"/>
        <v>2</v>
      </c>
      <c r="CH22" s="96" t="str">
        <f t="shared" si="12"/>
        <v>62%</v>
      </c>
    </row>
    <row r="23" ht="18.0" customHeight="1">
      <c r="A23" s="95">
        <v>3.0</v>
      </c>
      <c r="B23" s="12" t="s">
        <v>362</v>
      </c>
      <c r="C23" s="14" t="s">
        <v>363</v>
      </c>
      <c r="D23" s="17" t="str">
        <f t="shared" si="7"/>
        <v>📞 Call</v>
      </c>
      <c r="E23" s="19" t="str">
        <f t="shared" si="8"/>
        <v>💬 WhatsApp</v>
      </c>
      <c r="F23" s="10"/>
      <c r="G23" s="10" t="s">
        <v>294</v>
      </c>
      <c r="H23" s="10" t="s">
        <v>299</v>
      </c>
      <c r="I23" s="79" t="s">
        <v>223</v>
      </c>
      <c r="J23" s="79" t="s">
        <v>223</v>
      </c>
      <c r="K23" s="49" t="s">
        <v>197</v>
      </c>
      <c r="L23" s="50" t="s">
        <v>37</v>
      </c>
      <c r="M23" s="50" t="s">
        <v>37</v>
      </c>
      <c r="N23" s="48" t="s">
        <v>196</v>
      </c>
      <c r="O23" s="48" t="s">
        <v>196</v>
      </c>
      <c r="P23" s="48" t="s">
        <v>196</v>
      </c>
      <c r="Q23" s="77" t="s">
        <v>198</v>
      </c>
      <c r="R23" s="77" t="s">
        <v>198</v>
      </c>
      <c r="S23" s="52" t="s">
        <v>223</v>
      </c>
      <c r="T23" s="98" t="s">
        <v>196</v>
      </c>
      <c r="U23" s="52" t="s">
        <v>37</v>
      </c>
      <c r="V23" s="53" t="s">
        <v>196</v>
      </c>
      <c r="W23" s="54" t="str">
        <f>IF('⚙ OFF Weekends'!$D$18="OFF","OFF","")</f>
        <v>OFF</v>
      </c>
      <c r="X23" s="53" t="s">
        <v>196</v>
      </c>
      <c r="Y23" s="52" t="s">
        <v>223</v>
      </c>
      <c r="Z23" s="53" t="s">
        <v>223</v>
      </c>
      <c r="AA23" s="52" t="s">
        <v>196</v>
      </c>
      <c r="AB23" s="53" t="s">
        <v>37</v>
      </c>
      <c r="AC23" s="54" t="str">
        <f>IF('⚙ OFF Weekends'!$D$24="OFF","OFF","")</f>
        <v/>
      </c>
      <c r="AD23" s="56" t="str">
        <f>IF('⚙ OFF Weekends'!$D$25="OFF","OFF","")</f>
        <v/>
      </c>
      <c r="AE23" s="54" t="str">
        <f>IF('⚙ OFF Weekends'!$D$26="OFF","OFF","")</f>
        <v/>
      </c>
      <c r="AF23" s="56" t="str">
        <f>IF('⚙ OFF Weekends'!$D$27="OFF","OFF","")</f>
        <v/>
      </c>
      <c r="AG23" s="54" t="str">
        <f>IF('⚙ OFF Weekends'!$D$28="OFF","OFF","")</f>
        <v/>
      </c>
      <c r="AH23" s="56" t="str">
        <f>IF('⚙ OFF Weekends'!$D$29="OFF","OFF","")</f>
        <v/>
      </c>
      <c r="AI23" s="54" t="str">
        <f>IF('⚙ OFF Weekends'!$D$30="OFF","OFF","")</f>
        <v/>
      </c>
      <c r="AJ23" s="56" t="str">
        <f>IF('⚙ OFF Weekends'!$D$31="OFF","OFF","")</f>
        <v/>
      </c>
      <c r="AK23" s="54" t="str">
        <f>IF('⚙ OFF Weekends'!$D$32="OFF","OFF","")</f>
        <v/>
      </c>
      <c r="AL23" s="56" t="str">
        <f>IF('⚙ OFF Weekends'!$D$33="OFF","OFF","")</f>
        <v/>
      </c>
      <c r="AM23" s="54" t="str">
        <f>IF('⚙ OFF Weekends'!$D$34="OFF","OFF","")</f>
        <v/>
      </c>
      <c r="AN23" s="56" t="str">
        <f>IF('⚙ OFF Weekends'!$D$35="OFF","OFF","")</f>
        <v/>
      </c>
      <c r="AO23" s="54" t="str">
        <f>IF('⚙ OFF Weekends'!$D$36="OFF","OFF","")</f>
        <v/>
      </c>
      <c r="AP23" s="56" t="str">
        <f>IF('⚙ OFF Weekends'!$D$37="OFF","OFF","")</f>
        <v/>
      </c>
      <c r="AQ23" s="54" t="str">
        <f>IF('⚙ OFF Weekends'!$D$38="OFF","OFF","")</f>
        <v/>
      </c>
      <c r="AR23" s="56" t="str">
        <f>IF('⚙ OFF Weekends'!$D$39="OFF","OFF","")</f>
        <v/>
      </c>
      <c r="AS23" s="54" t="str">
        <f>IF('⚙ OFF Weekends'!$D$40="OFF","OFF","")</f>
        <v/>
      </c>
      <c r="AT23" s="56" t="str">
        <f>IF('⚙ OFF Weekends'!$D$41="OFF","OFF","")</f>
        <v/>
      </c>
      <c r="AU23" s="54" t="str">
        <f>IF('⚙ OFF Weekends'!$D$42="OFF","OFF","")</f>
        <v/>
      </c>
      <c r="AV23" s="56" t="str">
        <f>IF('⚙ OFF Weekends'!$D$43="OFF","OFF","")</f>
        <v/>
      </c>
      <c r="AW23" s="54" t="str">
        <f>IF('⚙ OFF Weekends'!$D$44="OFF","OFF","")</f>
        <v/>
      </c>
      <c r="AX23" s="56" t="str">
        <f>IF('⚙ OFF Weekends'!$D$45="OFF","OFF","")</f>
        <v/>
      </c>
      <c r="AY23" s="54" t="str">
        <f>IF('⚙ OFF Weekends'!$D$46="OFF","OFF","")</f>
        <v/>
      </c>
      <c r="AZ23" s="56" t="str">
        <f>IF('⚙ OFF Weekends'!$D$47="OFF","OFF","")</f>
        <v/>
      </c>
      <c r="BA23" s="54" t="str">
        <f>IF('⚙ OFF Weekends'!$D$48="OFF","OFF","")</f>
        <v/>
      </c>
      <c r="BB23" s="56" t="str">
        <f>IF('⚙ OFF Weekends'!$D$49="OFF","OFF","")</f>
        <v/>
      </c>
      <c r="BC23" s="54" t="str">
        <f>IF('⚙ OFF Weekends'!$D$50="OFF","OFF","")</f>
        <v/>
      </c>
      <c r="BD23" s="56" t="str">
        <f>IF('⚙ OFF Weekends'!$D$51="OFF","OFF","")</f>
        <v/>
      </c>
      <c r="BE23" s="54" t="str">
        <f>IF('⚙ OFF Weekends'!$D$52="OFF","OFF","")</f>
        <v/>
      </c>
      <c r="BF23" s="56" t="str">
        <f>IF('⚙ OFF Weekends'!$D$53="OFF","OFF","")</f>
        <v/>
      </c>
      <c r="BG23" s="54" t="str">
        <f>IF('⚙ OFF Weekends'!$D$54="OFF","OFF","")</f>
        <v/>
      </c>
      <c r="BH23" s="56" t="str">
        <f>IF('⚙ OFF Weekends'!$D$55="OFF","OFF","")</f>
        <v/>
      </c>
      <c r="BI23" s="54" t="str">
        <f>IF('⚙ OFF Weekends'!$D$56="OFF","OFF","")</f>
        <v/>
      </c>
      <c r="BJ23" s="56" t="str">
        <f>IF('⚙ OFF Weekends'!$D$57="OFF","OFF","")</f>
        <v/>
      </c>
      <c r="BK23" s="54" t="str">
        <f>IF('⚙ OFF Weekends'!$D$58="OFF","OFF","")</f>
        <v/>
      </c>
      <c r="BL23" s="56" t="str">
        <f>IF('⚙ OFF Weekends'!$D$59="OFF","OFF","")</f>
        <v/>
      </c>
      <c r="BM23" s="54" t="str">
        <f>IF('⚙ OFF Weekends'!$D$60="OFF","OFF","")</f>
        <v/>
      </c>
      <c r="BN23" s="56" t="str">
        <f>IF('⚙ OFF Weekends'!$D$61="OFF","OFF","")</f>
        <v/>
      </c>
      <c r="BO23" s="54" t="str">
        <f>IF('⚙ OFF Weekends'!$D$62="OFF","OFF","")</f>
        <v/>
      </c>
      <c r="BP23" s="56" t="str">
        <f>IF('⚙ OFF Weekends'!$D$63="OFF","OFF","")</f>
        <v/>
      </c>
      <c r="BQ23" s="54" t="str">
        <f>IF('⚙ OFF Weekends'!$D$64="OFF","OFF","")</f>
        <v/>
      </c>
      <c r="BR23" s="56" t="str">
        <f>IF('⚙ OFF Weekends'!$D$65="OFF","OFF","")</f>
        <v/>
      </c>
      <c r="BS23" s="54" t="str">
        <f>IF('⚙ OFF Weekends'!$D$66="OFF","OFF","")</f>
        <v/>
      </c>
      <c r="BT23" s="56" t="str">
        <f>IF('⚙ OFF Weekends'!$D$67="OFF","OFF","")</f>
        <v/>
      </c>
      <c r="BU23" s="54" t="str">
        <f>IF('⚙ OFF Weekends'!$D$68="OFF","OFF","")</f>
        <v/>
      </c>
      <c r="BV23" s="56" t="str">
        <f>IF('⚙ OFF Weekends'!$D$69="OFF","OFF","")</f>
        <v/>
      </c>
      <c r="BW23" s="54" t="str">
        <f>IF('⚙ OFF Weekends'!$D$70="OFF","OFF","")</f>
        <v/>
      </c>
      <c r="BX23" s="56" t="str">
        <f>IF('⚙ OFF Weekends'!$D$71="OFF","OFF","")</f>
        <v/>
      </c>
      <c r="BY23" s="54" t="str">
        <f>IF('⚙ OFF Weekends'!$D$72="OFF","OFF","")</f>
        <v/>
      </c>
      <c r="BZ23" s="56" t="str">
        <f>IF('⚙ OFF Weekends'!$D$73="OFF","OFF","")</f>
        <v/>
      </c>
      <c r="CA23" s="54" t="str">
        <f>IF('⚙ OFF Weekends'!$D$74="OFF","OFF","")</f>
        <v/>
      </c>
      <c r="CB23" s="56" t="str">
        <f>IF('⚙ OFF Weekends'!$D$75="OFF","OFF","")</f>
        <v/>
      </c>
      <c r="CC23" s="54" t="str">
        <f>IF('⚙ OFF Weekends'!$D$76="OFF","OFF","")</f>
        <v/>
      </c>
      <c r="CD23" s="56" t="str">
        <f>IF('⚙ OFF Weekends'!$D$77="OFF","OFF","")</f>
        <v/>
      </c>
      <c r="CE23" s="95">
        <f t="shared" si="9"/>
        <v>11</v>
      </c>
      <c r="CF23" s="95">
        <f t="shared" si="10"/>
        <v>5</v>
      </c>
      <c r="CG23" s="95">
        <f t="shared" si="11"/>
        <v>2</v>
      </c>
      <c r="CH23" s="95" t="str">
        <f t="shared" si="12"/>
        <v>69%</v>
      </c>
    </row>
    <row r="24" ht="18.0" customHeight="1">
      <c r="A24" s="96">
        <v>4.0</v>
      </c>
      <c r="B24" s="22" t="s">
        <v>366</v>
      </c>
      <c r="C24" s="23"/>
      <c r="D24" s="24" t="str">
        <f t="shared" si="7"/>
        <v/>
      </c>
      <c r="E24" s="26" t="str">
        <f t="shared" si="8"/>
        <v/>
      </c>
      <c r="F24" s="20"/>
      <c r="G24" s="20" t="s">
        <v>294</v>
      </c>
      <c r="H24" s="20"/>
      <c r="I24" s="79" t="s">
        <v>223</v>
      </c>
      <c r="J24" s="79" t="s">
        <v>223</v>
      </c>
      <c r="K24" s="49" t="s">
        <v>197</v>
      </c>
      <c r="L24" s="50" t="s">
        <v>37</v>
      </c>
      <c r="M24" s="79" t="s">
        <v>223</v>
      </c>
      <c r="N24" s="79" t="s">
        <v>223</v>
      </c>
      <c r="O24" s="48" t="s">
        <v>196</v>
      </c>
      <c r="P24" s="50" t="s">
        <v>37</v>
      </c>
      <c r="Q24" s="50" t="s">
        <v>37</v>
      </c>
      <c r="R24" s="79" t="s">
        <v>223</v>
      </c>
      <c r="S24" s="52" t="s">
        <v>223</v>
      </c>
      <c r="T24" s="98" t="s">
        <v>223</v>
      </c>
      <c r="U24" s="52" t="s">
        <v>223</v>
      </c>
      <c r="V24" s="53" t="s">
        <v>223</v>
      </c>
      <c r="W24" s="54" t="str">
        <f>IF('⚙ OFF Weekends'!$D$18="OFF","OFF","")</f>
        <v>OFF</v>
      </c>
      <c r="X24" s="53" t="s">
        <v>198</v>
      </c>
      <c r="Y24" s="52" t="s">
        <v>198</v>
      </c>
      <c r="Z24" s="53" t="s">
        <v>198</v>
      </c>
      <c r="AA24" s="52" t="s">
        <v>198</v>
      </c>
      <c r="AB24" s="53" t="s">
        <v>198</v>
      </c>
      <c r="AC24" s="52" t="s">
        <v>198</v>
      </c>
      <c r="AD24" s="53" t="s">
        <v>198</v>
      </c>
      <c r="AE24" s="52" t="s">
        <v>198</v>
      </c>
      <c r="AF24" s="53" t="s">
        <v>198</v>
      </c>
      <c r="AG24" s="52" t="s">
        <v>198</v>
      </c>
      <c r="AH24" s="53" t="s">
        <v>198</v>
      </c>
      <c r="AI24" s="52" t="s">
        <v>198</v>
      </c>
      <c r="AJ24" s="53" t="s">
        <v>198</v>
      </c>
      <c r="AK24" s="52" t="s">
        <v>198</v>
      </c>
      <c r="AL24" s="53" t="s">
        <v>198</v>
      </c>
      <c r="AM24" s="54" t="str">
        <f>IF('⚙ OFF Weekends'!$D$34="OFF","OFF","")</f>
        <v/>
      </c>
      <c r="AN24" s="56" t="str">
        <f>IF('⚙ OFF Weekends'!$D$35="OFF","OFF","")</f>
        <v/>
      </c>
      <c r="AO24" s="54" t="str">
        <f>IF('⚙ OFF Weekends'!$D$36="OFF","OFF","")</f>
        <v/>
      </c>
      <c r="AP24" s="56" t="str">
        <f>IF('⚙ OFF Weekends'!$D$37="OFF","OFF","")</f>
        <v/>
      </c>
      <c r="AQ24" s="54" t="str">
        <f>IF('⚙ OFF Weekends'!$D$38="OFF","OFF","")</f>
        <v/>
      </c>
      <c r="AR24" s="56" t="str">
        <f>IF('⚙ OFF Weekends'!$D$39="OFF","OFF","")</f>
        <v/>
      </c>
      <c r="AS24" s="54" t="str">
        <f>IF('⚙ OFF Weekends'!$D$40="OFF","OFF","")</f>
        <v/>
      </c>
      <c r="AT24" s="56" t="str">
        <f>IF('⚙ OFF Weekends'!$D$41="OFF","OFF","")</f>
        <v/>
      </c>
      <c r="AU24" s="54" t="str">
        <f>IF('⚙ OFF Weekends'!$D$42="OFF","OFF","")</f>
        <v/>
      </c>
      <c r="AV24" s="56" t="str">
        <f>IF('⚙ OFF Weekends'!$D$43="OFF","OFF","")</f>
        <v/>
      </c>
      <c r="AW24" s="54" t="str">
        <f>IF('⚙ OFF Weekends'!$D$44="OFF","OFF","")</f>
        <v/>
      </c>
      <c r="AX24" s="56" t="str">
        <f>IF('⚙ OFF Weekends'!$D$45="OFF","OFF","")</f>
        <v/>
      </c>
      <c r="AY24" s="54" t="str">
        <f>IF('⚙ OFF Weekends'!$D$46="OFF","OFF","")</f>
        <v/>
      </c>
      <c r="AZ24" s="56" t="str">
        <f>IF('⚙ OFF Weekends'!$D$47="OFF","OFF","")</f>
        <v/>
      </c>
      <c r="BA24" s="54" t="str">
        <f>IF('⚙ OFF Weekends'!$D$48="OFF","OFF","")</f>
        <v/>
      </c>
      <c r="BB24" s="56" t="str">
        <f>IF('⚙ OFF Weekends'!$D$49="OFF","OFF","")</f>
        <v/>
      </c>
      <c r="BC24" s="54" t="str">
        <f>IF('⚙ OFF Weekends'!$D$50="OFF","OFF","")</f>
        <v/>
      </c>
      <c r="BD24" s="56" t="str">
        <f>IF('⚙ OFF Weekends'!$D$51="OFF","OFF","")</f>
        <v/>
      </c>
      <c r="BE24" s="54" t="str">
        <f>IF('⚙ OFF Weekends'!$D$52="OFF","OFF","")</f>
        <v/>
      </c>
      <c r="BF24" s="56" t="str">
        <f>IF('⚙ OFF Weekends'!$D$53="OFF","OFF","")</f>
        <v/>
      </c>
      <c r="BG24" s="54" t="str">
        <f>IF('⚙ OFF Weekends'!$D$54="OFF","OFF","")</f>
        <v/>
      </c>
      <c r="BH24" s="56" t="str">
        <f>IF('⚙ OFF Weekends'!$D$55="OFF","OFF","")</f>
        <v/>
      </c>
      <c r="BI24" s="54" t="str">
        <f>IF('⚙ OFF Weekends'!$D$56="OFF","OFF","")</f>
        <v/>
      </c>
      <c r="BJ24" s="56" t="str">
        <f>IF('⚙ OFF Weekends'!$D$57="OFF","OFF","")</f>
        <v/>
      </c>
      <c r="BK24" s="54" t="str">
        <f>IF('⚙ OFF Weekends'!$D$58="OFF","OFF","")</f>
        <v/>
      </c>
      <c r="BL24" s="56" t="str">
        <f>IF('⚙ OFF Weekends'!$D$59="OFF","OFF","")</f>
        <v/>
      </c>
      <c r="BM24" s="54" t="str">
        <f>IF('⚙ OFF Weekends'!$D$60="OFF","OFF","")</f>
        <v/>
      </c>
      <c r="BN24" s="56" t="str">
        <f>IF('⚙ OFF Weekends'!$D$61="OFF","OFF","")</f>
        <v/>
      </c>
      <c r="BO24" s="54" t="str">
        <f>IF('⚙ OFF Weekends'!$D$62="OFF","OFF","")</f>
        <v/>
      </c>
      <c r="BP24" s="56" t="str">
        <f>IF('⚙ OFF Weekends'!$D$63="OFF","OFF","")</f>
        <v/>
      </c>
      <c r="BQ24" s="54" t="str">
        <f>IF('⚙ OFF Weekends'!$D$64="OFF","OFF","")</f>
        <v/>
      </c>
      <c r="BR24" s="56" t="str">
        <f>IF('⚙ OFF Weekends'!$D$65="OFF","OFF","")</f>
        <v/>
      </c>
      <c r="BS24" s="54" t="str">
        <f>IF('⚙ OFF Weekends'!$D$66="OFF","OFF","")</f>
        <v/>
      </c>
      <c r="BT24" s="56" t="str">
        <f>IF('⚙ OFF Weekends'!$D$67="OFF","OFF","")</f>
        <v/>
      </c>
      <c r="BU24" s="54" t="str">
        <f>IF('⚙ OFF Weekends'!$D$68="OFF","OFF","")</f>
        <v/>
      </c>
      <c r="BV24" s="56" t="str">
        <f>IF('⚙ OFF Weekends'!$D$69="OFF","OFF","")</f>
        <v/>
      </c>
      <c r="BW24" s="54" t="str">
        <f>IF('⚙ OFF Weekends'!$D$70="OFF","OFF","")</f>
        <v/>
      </c>
      <c r="BX24" s="56" t="str">
        <f>IF('⚙ OFF Weekends'!$D$71="OFF","OFF","")</f>
        <v/>
      </c>
      <c r="BY24" s="54" t="str">
        <f>IF('⚙ OFF Weekends'!$D$72="OFF","OFF","")</f>
        <v/>
      </c>
      <c r="BZ24" s="56" t="str">
        <f>IF('⚙ OFF Weekends'!$D$73="OFF","OFF","")</f>
        <v/>
      </c>
      <c r="CA24" s="54" t="str">
        <f>IF('⚙ OFF Weekends'!$D$74="OFF","OFF","")</f>
        <v/>
      </c>
      <c r="CB24" s="56" t="str">
        <f>IF('⚙ OFF Weekends'!$D$75="OFF","OFF","")</f>
        <v/>
      </c>
      <c r="CC24" s="54" t="str">
        <f>IF('⚙ OFF Weekends'!$D$76="OFF","OFF","")</f>
        <v/>
      </c>
      <c r="CD24" s="56" t="str">
        <f>IF('⚙ OFF Weekends'!$D$77="OFF","OFF","")</f>
        <v/>
      </c>
      <c r="CE24" s="96">
        <f t="shared" si="9"/>
        <v>4</v>
      </c>
      <c r="CF24" s="96">
        <f t="shared" si="10"/>
        <v>9</v>
      </c>
      <c r="CG24" s="96">
        <f t="shared" si="11"/>
        <v>15</v>
      </c>
      <c r="CH24" s="96" t="str">
        <f t="shared" si="12"/>
        <v>31%</v>
      </c>
    </row>
    <row r="25" ht="18.0" customHeight="1">
      <c r="A25" s="95">
        <v>5.0</v>
      </c>
      <c r="B25" s="12" t="s">
        <v>369</v>
      </c>
      <c r="C25" s="14"/>
      <c r="D25" s="17" t="str">
        <f t="shared" si="7"/>
        <v/>
      </c>
      <c r="E25" s="28" t="str">
        <f t="shared" si="8"/>
        <v/>
      </c>
      <c r="F25" s="10"/>
      <c r="G25" s="10" t="s">
        <v>294</v>
      </c>
      <c r="H25" s="10"/>
      <c r="I25" s="48" t="s">
        <v>196</v>
      </c>
      <c r="J25" s="48" t="s">
        <v>196</v>
      </c>
      <c r="K25" s="49" t="s">
        <v>197</v>
      </c>
      <c r="L25" s="48" t="s">
        <v>196</v>
      </c>
      <c r="M25" s="50" t="s">
        <v>37</v>
      </c>
      <c r="N25" s="48" t="s">
        <v>196</v>
      </c>
      <c r="O25" s="50" t="s">
        <v>37</v>
      </c>
      <c r="P25" s="50" t="s">
        <v>37</v>
      </c>
      <c r="Q25" s="50" t="s">
        <v>37</v>
      </c>
      <c r="R25" s="48" t="s">
        <v>196</v>
      </c>
      <c r="S25" s="52" t="s">
        <v>196</v>
      </c>
      <c r="T25" s="98" t="s">
        <v>196</v>
      </c>
      <c r="U25" s="52" t="s">
        <v>37</v>
      </c>
      <c r="V25" s="53" t="s">
        <v>196</v>
      </c>
      <c r="W25" s="54" t="str">
        <f>IF('⚙ OFF Weekends'!$D$18="OFF","OFF","")</f>
        <v>OFF</v>
      </c>
      <c r="X25" s="53" t="s">
        <v>196</v>
      </c>
      <c r="Y25" s="52" t="s">
        <v>196</v>
      </c>
      <c r="Z25" s="53" t="s">
        <v>196</v>
      </c>
      <c r="AA25" s="52" t="s">
        <v>196</v>
      </c>
      <c r="AB25" s="53" t="s">
        <v>196</v>
      </c>
      <c r="AC25" s="54" t="str">
        <f>IF('⚙ OFF Weekends'!$D$24="OFF","OFF","")</f>
        <v/>
      </c>
      <c r="AD25" s="56" t="str">
        <f>IF('⚙ OFF Weekends'!$D$25="OFF","OFF","")</f>
        <v/>
      </c>
      <c r="AE25" s="54" t="str">
        <f>IF('⚙ OFF Weekends'!$D$26="OFF","OFF","")</f>
        <v/>
      </c>
      <c r="AF25" s="56" t="str">
        <f>IF('⚙ OFF Weekends'!$D$27="OFF","OFF","")</f>
        <v/>
      </c>
      <c r="AG25" s="54" t="str">
        <f>IF('⚙ OFF Weekends'!$D$28="OFF","OFF","")</f>
        <v/>
      </c>
      <c r="AH25" s="56" t="str">
        <f>IF('⚙ OFF Weekends'!$D$29="OFF","OFF","")</f>
        <v/>
      </c>
      <c r="AI25" s="54" t="str">
        <f>IF('⚙ OFF Weekends'!$D$30="OFF","OFF","")</f>
        <v/>
      </c>
      <c r="AJ25" s="56" t="str">
        <f>IF('⚙ OFF Weekends'!$D$31="OFF","OFF","")</f>
        <v/>
      </c>
      <c r="AK25" s="54" t="str">
        <f>IF('⚙ OFF Weekends'!$D$32="OFF","OFF","")</f>
        <v/>
      </c>
      <c r="AL25" s="56" t="str">
        <f>IF('⚙ OFF Weekends'!$D$33="OFF","OFF","")</f>
        <v/>
      </c>
      <c r="AM25" s="54" t="str">
        <f>IF('⚙ OFF Weekends'!$D$34="OFF","OFF","")</f>
        <v/>
      </c>
      <c r="AN25" s="56" t="str">
        <f>IF('⚙ OFF Weekends'!$D$35="OFF","OFF","")</f>
        <v/>
      </c>
      <c r="AO25" s="54" t="str">
        <f>IF('⚙ OFF Weekends'!$D$36="OFF","OFF","")</f>
        <v/>
      </c>
      <c r="AP25" s="56" t="str">
        <f>IF('⚙ OFF Weekends'!$D$37="OFF","OFF","")</f>
        <v/>
      </c>
      <c r="AQ25" s="54" t="str">
        <f>IF('⚙ OFF Weekends'!$D$38="OFF","OFF","")</f>
        <v/>
      </c>
      <c r="AR25" s="56" t="str">
        <f>IF('⚙ OFF Weekends'!$D$39="OFF","OFF","")</f>
        <v/>
      </c>
      <c r="AS25" s="54" t="str">
        <f>IF('⚙ OFF Weekends'!$D$40="OFF","OFF","")</f>
        <v/>
      </c>
      <c r="AT25" s="56" t="str">
        <f>IF('⚙ OFF Weekends'!$D$41="OFF","OFF","")</f>
        <v/>
      </c>
      <c r="AU25" s="54" t="str">
        <f>IF('⚙ OFF Weekends'!$D$42="OFF","OFF","")</f>
        <v/>
      </c>
      <c r="AV25" s="56" t="str">
        <f>IF('⚙ OFF Weekends'!$D$43="OFF","OFF","")</f>
        <v/>
      </c>
      <c r="AW25" s="54" t="str">
        <f>IF('⚙ OFF Weekends'!$D$44="OFF","OFF","")</f>
        <v/>
      </c>
      <c r="AX25" s="56" t="str">
        <f>IF('⚙ OFF Weekends'!$D$45="OFF","OFF","")</f>
        <v/>
      </c>
      <c r="AY25" s="54" t="str">
        <f>IF('⚙ OFF Weekends'!$D$46="OFF","OFF","")</f>
        <v/>
      </c>
      <c r="AZ25" s="56" t="str">
        <f>IF('⚙ OFF Weekends'!$D$47="OFF","OFF","")</f>
        <v/>
      </c>
      <c r="BA25" s="54" t="str">
        <f>IF('⚙ OFF Weekends'!$D$48="OFF","OFF","")</f>
        <v/>
      </c>
      <c r="BB25" s="56" t="str">
        <f>IF('⚙ OFF Weekends'!$D$49="OFF","OFF","")</f>
        <v/>
      </c>
      <c r="BC25" s="54" t="str">
        <f>IF('⚙ OFF Weekends'!$D$50="OFF","OFF","")</f>
        <v/>
      </c>
      <c r="BD25" s="56" t="str">
        <f>IF('⚙ OFF Weekends'!$D$51="OFF","OFF","")</f>
        <v/>
      </c>
      <c r="BE25" s="54" t="str">
        <f>IF('⚙ OFF Weekends'!$D$52="OFF","OFF","")</f>
        <v/>
      </c>
      <c r="BF25" s="56" t="str">
        <f>IF('⚙ OFF Weekends'!$D$53="OFF","OFF","")</f>
        <v/>
      </c>
      <c r="BG25" s="54" t="str">
        <f>IF('⚙ OFF Weekends'!$D$54="OFF","OFF","")</f>
        <v/>
      </c>
      <c r="BH25" s="56" t="str">
        <f>IF('⚙ OFF Weekends'!$D$55="OFF","OFF","")</f>
        <v/>
      </c>
      <c r="BI25" s="54" t="str">
        <f>IF('⚙ OFF Weekends'!$D$56="OFF","OFF","")</f>
        <v/>
      </c>
      <c r="BJ25" s="56" t="str">
        <f>IF('⚙ OFF Weekends'!$D$57="OFF","OFF","")</f>
        <v/>
      </c>
      <c r="BK25" s="54" t="str">
        <f>IF('⚙ OFF Weekends'!$D$58="OFF","OFF","")</f>
        <v/>
      </c>
      <c r="BL25" s="56" t="str">
        <f>IF('⚙ OFF Weekends'!$D$59="OFF","OFF","")</f>
        <v/>
      </c>
      <c r="BM25" s="54" t="str">
        <f>IF('⚙ OFF Weekends'!$D$60="OFF","OFF","")</f>
        <v/>
      </c>
      <c r="BN25" s="56" t="str">
        <f>IF('⚙ OFF Weekends'!$D$61="OFF","OFF","")</f>
        <v/>
      </c>
      <c r="BO25" s="54" t="str">
        <f>IF('⚙ OFF Weekends'!$D$62="OFF","OFF","")</f>
        <v/>
      </c>
      <c r="BP25" s="56" t="str">
        <f>IF('⚙ OFF Weekends'!$D$63="OFF","OFF","")</f>
        <v/>
      </c>
      <c r="BQ25" s="54" t="str">
        <f>IF('⚙ OFF Weekends'!$D$64="OFF","OFF","")</f>
        <v/>
      </c>
      <c r="BR25" s="56" t="str">
        <f>IF('⚙ OFF Weekends'!$D$65="OFF","OFF","")</f>
        <v/>
      </c>
      <c r="BS25" s="54" t="str">
        <f>IF('⚙ OFF Weekends'!$D$66="OFF","OFF","")</f>
        <v/>
      </c>
      <c r="BT25" s="56" t="str">
        <f>IF('⚙ OFF Weekends'!$D$67="OFF","OFF","")</f>
        <v/>
      </c>
      <c r="BU25" s="54" t="str">
        <f>IF('⚙ OFF Weekends'!$D$68="OFF","OFF","")</f>
        <v/>
      </c>
      <c r="BV25" s="56" t="str">
        <f>IF('⚙ OFF Weekends'!$D$69="OFF","OFF","")</f>
        <v/>
      </c>
      <c r="BW25" s="54" t="str">
        <f>IF('⚙ OFF Weekends'!$D$70="OFF","OFF","")</f>
        <v/>
      </c>
      <c r="BX25" s="56" t="str">
        <f>IF('⚙ OFF Weekends'!$D$71="OFF","OFF","")</f>
        <v/>
      </c>
      <c r="BY25" s="54" t="str">
        <f>IF('⚙ OFF Weekends'!$D$72="OFF","OFF","")</f>
        <v/>
      </c>
      <c r="BZ25" s="56" t="str">
        <f>IF('⚙ OFF Weekends'!$D$73="OFF","OFF","")</f>
        <v/>
      </c>
      <c r="CA25" s="54" t="str">
        <f>IF('⚙ OFF Weekends'!$D$74="OFF","OFF","")</f>
        <v/>
      </c>
      <c r="CB25" s="56" t="str">
        <f>IF('⚙ OFF Weekends'!$D$75="OFF","OFF","")</f>
        <v/>
      </c>
      <c r="CC25" s="54" t="str">
        <f>IF('⚙ OFF Weekends'!$D$76="OFF","OFF","")</f>
        <v/>
      </c>
      <c r="CD25" s="56" t="str">
        <f>IF('⚙ OFF Weekends'!$D$77="OFF","OFF","")</f>
        <v/>
      </c>
      <c r="CE25" s="95">
        <f t="shared" si="9"/>
        <v>18</v>
      </c>
      <c r="CF25" s="95">
        <f t="shared" si="10"/>
        <v>0</v>
      </c>
      <c r="CG25" s="95">
        <f t="shared" si="11"/>
        <v>0</v>
      </c>
      <c r="CH25" s="95" t="str">
        <f t="shared" si="12"/>
        <v>100%</v>
      </c>
    </row>
    <row r="26" ht="18.0" customHeight="1">
      <c r="A26" s="96">
        <v>6.0</v>
      </c>
      <c r="B26" s="22" t="s">
        <v>372</v>
      </c>
      <c r="C26" s="23"/>
      <c r="D26" s="24" t="str">
        <f t="shared" si="7"/>
        <v/>
      </c>
      <c r="E26" s="26" t="str">
        <f t="shared" si="8"/>
        <v/>
      </c>
      <c r="F26" s="20"/>
      <c r="G26" s="20" t="s">
        <v>294</v>
      </c>
      <c r="H26" s="20"/>
      <c r="I26" s="48" t="s">
        <v>196</v>
      </c>
      <c r="J26" s="48" t="s">
        <v>196</v>
      </c>
      <c r="K26" s="49" t="s">
        <v>197</v>
      </c>
      <c r="L26" s="79" t="s">
        <v>223</v>
      </c>
      <c r="M26" s="50" t="s">
        <v>37</v>
      </c>
      <c r="N26" s="48" t="s">
        <v>196</v>
      </c>
      <c r="O26" s="79" t="s">
        <v>223</v>
      </c>
      <c r="P26" s="79" t="s">
        <v>223</v>
      </c>
      <c r="Q26" s="79" t="s">
        <v>223</v>
      </c>
      <c r="R26" s="50" t="s">
        <v>37</v>
      </c>
      <c r="S26" s="52" t="s">
        <v>223</v>
      </c>
      <c r="T26" s="98" t="s">
        <v>196</v>
      </c>
      <c r="U26" s="52" t="s">
        <v>196</v>
      </c>
      <c r="V26" s="53" t="s">
        <v>223</v>
      </c>
      <c r="W26" s="54" t="str">
        <f>IF('⚙ OFF Weekends'!$D$18="OFF","OFF","")</f>
        <v>OFF</v>
      </c>
      <c r="X26" s="53" t="s">
        <v>37</v>
      </c>
      <c r="Y26" s="52" t="s">
        <v>223</v>
      </c>
      <c r="Z26" s="53" t="s">
        <v>37</v>
      </c>
      <c r="AA26" s="52" t="s">
        <v>196</v>
      </c>
      <c r="AB26" s="53" t="s">
        <v>223</v>
      </c>
      <c r="AC26" s="54" t="str">
        <f>IF('⚙ OFF Weekends'!$D$24="OFF","OFF","")</f>
        <v/>
      </c>
      <c r="AD26" s="56" t="str">
        <f>IF('⚙ OFF Weekends'!$D$25="OFF","OFF","")</f>
        <v/>
      </c>
      <c r="AE26" s="54" t="str">
        <f>IF('⚙ OFF Weekends'!$D$26="OFF","OFF","")</f>
        <v/>
      </c>
      <c r="AF26" s="56" t="str">
        <f>IF('⚙ OFF Weekends'!$D$27="OFF","OFF","")</f>
        <v/>
      </c>
      <c r="AG26" s="54" t="str">
        <f>IF('⚙ OFF Weekends'!$D$28="OFF","OFF","")</f>
        <v/>
      </c>
      <c r="AH26" s="56" t="str">
        <f>IF('⚙ OFF Weekends'!$D$29="OFF","OFF","")</f>
        <v/>
      </c>
      <c r="AI26" s="54" t="str">
        <f>IF('⚙ OFF Weekends'!$D$30="OFF","OFF","")</f>
        <v/>
      </c>
      <c r="AJ26" s="56" t="str">
        <f>IF('⚙ OFF Weekends'!$D$31="OFF","OFF","")</f>
        <v/>
      </c>
      <c r="AK26" s="54" t="str">
        <f>IF('⚙ OFF Weekends'!$D$32="OFF","OFF","")</f>
        <v/>
      </c>
      <c r="AL26" s="56" t="str">
        <f>IF('⚙ OFF Weekends'!$D$33="OFF","OFF","")</f>
        <v/>
      </c>
      <c r="AM26" s="54" t="str">
        <f>IF('⚙ OFF Weekends'!$D$34="OFF","OFF","")</f>
        <v/>
      </c>
      <c r="AN26" s="56" t="str">
        <f>IF('⚙ OFF Weekends'!$D$35="OFF","OFF","")</f>
        <v/>
      </c>
      <c r="AO26" s="54" t="str">
        <f>IF('⚙ OFF Weekends'!$D$36="OFF","OFF","")</f>
        <v/>
      </c>
      <c r="AP26" s="56" t="str">
        <f>IF('⚙ OFF Weekends'!$D$37="OFF","OFF","")</f>
        <v/>
      </c>
      <c r="AQ26" s="54" t="str">
        <f>IF('⚙ OFF Weekends'!$D$38="OFF","OFF","")</f>
        <v/>
      </c>
      <c r="AR26" s="56" t="str">
        <f>IF('⚙ OFF Weekends'!$D$39="OFF","OFF","")</f>
        <v/>
      </c>
      <c r="AS26" s="54" t="str">
        <f>IF('⚙ OFF Weekends'!$D$40="OFF","OFF","")</f>
        <v/>
      </c>
      <c r="AT26" s="56" t="str">
        <f>IF('⚙ OFF Weekends'!$D$41="OFF","OFF","")</f>
        <v/>
      </c>
      <c r="AU26" s="54" t="str">
        <f>IF('⚙ OFF Weekends'!$D$42="OFF","OFF","")</f>
        <v/>
      </c>
      <c r="AV26" s="56" t="str">
        <f>IF('⚙ OFF Weekends'!$D$43="OFF","OFF","")</f>
        <v/>
      </c>
      <c r="AW26" s="54" t="str">
        <f>IF('⚙ OFF Weekends'!$D$44="OFF","OFF","")</f>
        <v/>
      </c>
      <c r="AX26" s="56" t="str">
        <f>IF('⚙ OFF Weekends'!$D$45="OFF","OFF","")</f>
        <v/>
      </c>
      <c r="AY26" s="54" t="str">
        <f>IF('⚙ OFF Weekends'!$D$46="OFF","OFF","")</f>
        <v/>
      </c>
      <c r="AZ26" s="56" t="str">
        <f>IF('⚙ OFF Weekends'!$D$47="OFF","OFF","")</f>
        <v/>
      </c>
      <c r="BA26" s="54" t="str">
        <f>IF('⚙ OFF Weekends'!$D$48="OFF","OFF","")</f>
        <v/>
      </c>
      <c r="BB26" s="56" t="str">
        <f>IF('⚙ OFF Weekends'!$D$49="OFF","OFF","")</f>
        <v/>
      </c>
      <c r="BC26" s="54" t="str">
        <f>IF('⚙ OFF Weekends'!$D$50="OFF","OFF","")</f>
        <v/>
      </c>
      <c r="BD26" s="56" t="str">
        <f>IF('⚙ OFF Weekends'!$D$51="OFF","OFF","")</f>
        <v/>
      </c>
      <c r="BE26" s="54" t="str">
        <f>IF('⚙ OFF Weekends'!$D$52="OFF","OFF","")</f>
        <v/>
      </c>
      <c r="BF26" s="56" t="str">
        <f>IF('⚙ OFF Weekends'!$D$53="OFF","OFF","")</f>
        <v/>
      </c>
      <c r="BG26" s="54" t="str">
        <f>IF('⚙ OFF Weekends'!$D$54="OFF","OFF","")</f>
        <v/>
      </c>
      <c r="BH26" s="56" t="str">
        <f>IF('⚙ OFF Weekends'!$D$55="OFF","OFF","")</f>
        <v/>
      </c>
      <c r="BI26" s="54" t="str">
        <f>IF('⚙ OFF Weekends'!$D$56="OFF","OFF","")</f>
        <v/>
      </c>
      <c r="BJ26" s="56" t="str">
        <f>IF('⚙ OFF Weekends'!$D$57="OFF","OFF","")</f>
        <v/>
      </c>
      <c r="BK26" s="54" t="str">
        <f>IF('⚙ OFF Weekends'!$D$58="OFF","OFF","")</f>
        <v/>
      </c>
      <c r="BL26" s="56" t="str">
        <f>IF('⚙ OFF Weekends'!$D$59="OFF","OFF","")</f>
        <v/>
      </c>
      <c r="BM26" s="54" t="str">
        <f>IF('⚙ OFF Weekends'!$D$60="OFF","OFF","")</f>
        <v/>
      </c>
      <c r="BN26" s="56" t="str">
        <f>IF('⚙ OFF Weekends'!$D$61="OFF","OFF","")</f>
        <v/>
      </c>
      <c r="BO26" s="54" t="str">
        <f>IF('⚙ OFF Weekends'!$D$62="OFF","OFF","")</f>
        <v/>
      </c>
      <c r="BP26" s="56" t="str">
        <f>IF('⚙ OFF Weekends'!$D$63="OFF","OFF","")</f>
        <v/>
      </c>
      <c r="BQ26" s="54" t="str">
        <f>IF('⚙ OFF Weekends'!$D$64="OFF","OFF","")</f>
        <v/>
      </c>
      <c r="BR26" s="56" t="str">
        <f>IF('⚙ OFF Weekends'!$D$65="OFF","OFF","")</f>
        <v/>
      </c>
      <c r="BS26" s="54" t="str">
        <f>IF('⚙ OFF Weekends'!$D$66="OFF","OFF","")</f>
        <v/>
      </c>
      <c r="BT26" s="56" t="str">
        <f>IF('⚙ OFF Weekends'!$D$67="OFF","OFF","")</f>
        <v/>
      </c>
      <c r="BU26" s="54" t="str">
        <f>IF('⚙ OFF Weekends'!$D$68="OFF","OFF","")</f>
        <v/>
      </c>
      <c r="BV26" s="56" t="str">
        <f>IF('⚙ OFF Weekends'!$D$69="OFF","OFF","")</f>
        <v/>
      </c>
      <c r="BW26" s="54" t="str">
        <f>IF('⚙ OFF Weekends'!$D$70="OFF","OFF","")</f>
        <v/>
      </c>
      <c r="BX26" s="56" t="str">
        <f>IF('⚙ OFF Weekends'!$D$71="OFF","OFF","")</f>
        <v/>
      </c>
      <c r="BY26" s="54" t="str">
        <f>IF('⚙ OFF Weekends'!$D$72="OFF","OFF","")</f>
        <v/>
      </c>
      <c r="BZ26" s="56" t="str">
        <f>IF('⚙ OFF Weekends'!$D$73="OFF","OFF","")</f>
        <v/>
      </c>
      <c r="CA26" s="54" t="str">
        <f>IF('⚙ OFF Weekends'!$D$74="OFF","OFF","")</f>
        <v/>
      </c>
      <c r="CB26" s="56" t="str">
        <f>IF('⚙ OFF Weekends'!$D$75="OFF","OFF","")</f>
        <v/>
      </c>
      <c r="CC26" s="54" t="str">
        <f>IF('⚙ OFF Weekends'!$D$76="OFF","OFF","")</f>
        <v/>
      </c>
      <c r="CD26" s="56" t="str">
        <f>IF('⚙ OFF Weekends'!$D$77="OFF","OFF","")</f>
        <v/>
      </c>
      <c r="CE26" s="96">
        <f t="shared" si="9"/>
        <v>10</v>
      </c>
      <c r="CF26" s="96">
        <f t="shared" si="10"/>
        <v>8</v>
      </c>
      <c r="CG26" s="96">
        <f t="shared" si="11"/>
        <v>0</v>
      </c>
      <c r="CH26" s="96" t="str">
        <f t="shared" si="12"/>
        <v>56%</v>
      </c>
    </row>
    <row r="27" ht="18.0" customHeight="1">
      <c r="A27" s="95">
        <v>7.0</v>
      </c>
      <c r="B27" s="12" t="s">
        <v>382</v>
      </c>
      <c r="C27" s="14"/>
      <c r="D27" s="17" t="str">
        <f t="shared" si="7"/>
        <v/>
      </c>
      <c r="E27" s="28" t="str">
        <f t="shared" si="8"/>
        <v/>
      </c>
      <c r="F27" s="10"/>
      <c r="G27" s="10" t="s">
        <v>294</v>
      </c>
      <c r="H27" s="10" t="s">
        <v>295</v>
      </c>
      <c r="I27" s="48" t="s">
        <v>196</v>
      </c>
      <c r="J27" s="48" t="s">
        <v>196</v>
      </c>
      <c r="K27" s="49" t="s">
        <v>197</v>
      </c>
      <c r="L27" s="77" t="s">
        <v>198</v>
      </c>
      <c r="M27" s="77" t="s">
        <v>198</v>
      </c>
      <c r="N27" s="77" t="s">
        <v>198</v>
      </c>
      <c r="O27" s="77" t="s">
        <v>198</v>
      </c>
      <c r="P27" s="77" t="s">
        <v>198</v>
      </c>
      <c r="Q27" s="77" t="s">
        <v>198</v>
      </c>
      <c r="R27" s="77" t="s">
        <v>198</v>
      </c>
      <c r="S27" s="52" t="s">
        <v>223</v>
      </c>
      <c r="T27" s="98" t="s">
        <v>196</v>
      </c>
      <c r="U27" s="52" t="s">
        <v>196</v>
      </c>
      <c r="V27" s="53" t="s">
        <v>37</v>
      </c>
      <c r="W27" s="54" t="str">
        <f>IF('⚙ OFF Weekends'!$D$18="OFF","OFF","")</f>
        <v>OFF</v>
      </c>
      <c r="X27" s="53" t="s">
        <v>223</v>
      </c>
      <c r="Y27" s="52" t="s">
        <v>196</v>
      </c>
      <c r="Z27" s="53" t="s">
        <v>37</v>
      </c>
      <c r="AA27" s="52" t="s">
        <v>223</v>
      </c>
      <c r="AB27" s="53" t="s">
        <v>223</v>
      </c>
      <c r="AC27" s="54" t="str">
        <f>IF('⚙ OFF Weekends'!$D$24="OFF","OFF","")</f>
        <v/>
      </c>
      <c r="AD27" s="56" t="str">
        <f>IF('⚙ OFF Weekends'!$D$25="OFF","OFF","")</f>
        <v/>
      </c>
      <c r="AE27" s="54" t="str">
        <f>IF('⚙ OFF Weekends'!$D$26="OFF","OFF","")</f>
        <v/>
      </c>
      <c r="AF27" s="56" t="str">
        <f>IF('⚙ OFF Weekends'!$D$27="OFF","OFF","")</f>
        <v/>
      </c>
      <c r="AG27" s="54" t="str">
        <f>IF('⚙ OFF Weekends'!$D$28="OFF","OFF","")</f>
        <v/>
      </c>
      <c r="AH27" s="56" t="str">
        <f>IF('⚙ OFF Weekends'!$D$29="OFF","OFF","")</f>
        <v/>
      </c>
      <c r="AI27" s="54" t="str">
        <f>IF('⚙ OFF Weekends'!$D$30="OFF","OFF","")</f>
        <v/>
      </c>
      <c r="AJ27" s="56" t="str">
        <f>IF('⚙ OFF Weekends'!$D$31="OFF","OFF","")</f>
        <v/>
      </c>
      <c r="AK27" s="54" t="str">
        <f>IF('⚙ OFF Weekends'!$D$32="OFF","OFF","")</f>
        <v/>
      </c>
      <c r="AL27" s="56" t="str">
        <f>IF('⚙ OFF Weekends'!$D$33="OFF","OFF","")</f>
        <v/>
      </c>
      <c r="AM27" s="54" t="str">
        <f>IF('⚙ OFF Weekends'!$D$34="OFF","OFF","")</f>
        <v/>
      </c>
      <c r="AN27" s="56" t="str">
        <f>IF('⚙ OFF Weekends'!$D$35="OFF","OFF","")</f>
        <v/>
      </c>
      <c r="AO27" s="54" t="str">
        <f>IF('⚙ OFF Weekends'!$D$36="OFF","OFF","")</f>
        <v/>
      </c>
      <c r="AP27" s="56" t="str">
        <f>IF('⚙ OFF Weekends'!$D$37="OFF","OFF","")</f>
        <v/>
      </c>
      <c r="AQ27" s="54" t="str">
        <f>IF('⚙ OFF Weekends'!$D$38="OFF","OFF","")</f>
        <v/>
      </c>
      <c r="AR27" s="56" t="str">
        <f>IF('⚙ OFF Weekends'!$D$39="OFF","OFF","")</f>
        <v/>
      </c>
      <c r="AS27" s="54" t="str">
        <f>IF('⚙ OFF Weekends'!$D$40="OFF","OFF","")</f>
        <v/>
      </c>
      <c r="AT27" s="56" t="str">
        <f>IF('⚙ OFF Weekends'!$D$41="OFF","OFF","")</f>
        <v/>
      </c>
      <c r="AU27" s="54" t="str">
        <f>IF('⚙ OFF Weekends'!$D$42="OFF","OFF","")</f>
        <v/>
      </c>
      <c r="AV27" s="56" t="str">
        <f>IF('⚙ OFF Weekends'!$D$43="OFF","OFF","")</f>
        <v/>
      </c>
      <c r="AW27" s="54" t="str">
        <f>IF('⚙ OFF Weekends'!$D$44="OFF","OFF","")</f>
        <v/>
      </c>
      <c r="AX27" s="56" t="str">
        <f>IF('⚙ OFF Weekends'!$D$45="OFF","OFF","")</f>
        <v/>
      </c>
      <c r="AY27" s="54" t="str">
        <f>IF('⚙ OFF Weekends'!$D$46="OFF","OFF","")</f>
        <v/>
      </c>
      <c r="AZ27" s="56" t="str">
        <f>IF('⚙ OFF Weekends'!$D$47="OFF","OFF","")</f>
        <v/>
      </c>
      <c r="BA27" s="54" t="str">
        <f>IF('⚙ OFF Weekends'!$D$48="OFF","OFF","")</f>
        <v/>
      </c>
      <c r="BB27" s="56" t="str">
        <f>IF('⚙ OFF Weekends'!$D$49="OFF","OFF","")</f>
        <v/>
      </c>
      <c r="BC27" s="54" t="str">
        <f>IF('⚙ OFF Weekends'!$D$50="OFF","OFF","")</f>
        <v/>
      </c>
      <c r="BD27" s="56" t="str">
        <f>IF('⚙ OFF Weekends'!$D$51="OFF","OFF","")</f>
        <v/>
      </c>
      <c r="BE27" s="54" t="str">
        <f>IF('⚙ OFF Weekends'!$D$52="OFF","OFF","")</f>
        <v/>
      </c>
      <c r="BF27" s="56" t="str">
        <f>IF('⚙ OFF Weekends'!$D$53="OFF","OFF","")</f>
        <v/>
      </c>
      <c r="BG27" s="54" t="str">
        <f>IF('⚙ OFF Weekends'!$D$54="OFF","OFF","")</f>
        <v/>
      </c>
      <c r="BH27" s="56" t="str">
        <f>IF('⚙ OFF Weekends'!$D$55="OFF","OFF","")</f>
        <v/>
      </c>
      <c r="BI27" s="54" t="str">
        <f>IF('⚙ OFF Weekends'!$D$56="OFF","OFF","")</f>
        <v/>
      </c>
      <c r="BJ27" s="56" t="str">
        <f>IF('⚙ OFF Weekends'!$D$57="OFF","OFF","")</f>
        <v/>
      </c>
      <c r="BK27" s="54" t="str">
        <f>IF('⚙ OFF Weekends'!$D$58="OFF","OFF","")</f>
        <v/>
      </c>
      <c r="BL27" s="56" t="str">
        <f>IF('⚙ OFF Weekends'!$D$59="OFF","OFF","")</f>
        <v/>
      </c>
      <c r="BM27" s="54" t="str">
        <f>IF('⚙ OFF Weekends'!$D$60="OFF","OFF","")</f>
        <v/>
      </c>
      <c r="BN27" s="56" t="str">
        <f>IF('⚙ OFF Weekends'!$D$61="OFF","OFF","")</f>
        <v/>
      </c>
      <c r="BO27" s="54" t="str">
        <f>IF('⚙ OFF Weekends'!$D$62="OFF","OFF","")</f>
        <v/>
      </c>
      <c r="BP27" s="56" t="str">
        <f>IF('⚙ OFF Weekends'!$D$63="OFF","OFF","")</f>
        <v/>
      </c>
      <c r="BQ27" s="54" t="str">
        <f>IF('⚙ OFF Weekends'!$D$64="OFF","OFF","")</f>
        <v/>
      </c>
      <c r="BR27" s="56" t="str">
        <f>IF('⚙ OFF Weekends'!$D$65="OFF","OFF","")</f>
        <v/>
      </c>
      <c r="BS27" s="54" t="str">
        <f>IF('⚙ OFF Weekends'!$D$66="OFF","OFF","")</f>
        <v/>
      </c>
      <c r="BT27" s="56" t="str">
        <f>IF('⚙ OFF Weekends'!$D$67="OFF","OFF","")</f>
        <v/>
      </c>
      <c r="BU27" s="54" t="str">
        <f>IF('⚙ OFF Weekends'!$D$68="OFF","OFF","")</f>
        <v/>
      </c>
      <c r="BV27" s="56" t="str">
        <f>IF('⚙ OFF Weekends'!$D$69="OFF","OFF","")</f>
        <v/>
      </c>
      <c r="BW27" s="54" t="str">
        <f>IF('⚙ OFF Weekends'!$D$70="OFF","OFF","")</f>
        <v/>
      </c>
      <c r="BX27" s="56" t="str">
        <f>IF('⚙ OFF Weekends'!$D$71="OFF","OFF","")</f>
        <v/>
      </c>
      <c r="BY27" s="54" t="str">
        <f>IF('⚙ OFF Weekends'!$D$72="OFF","OFF","")</f>
        <v/>
      </c>
      <c r="BZ27" s="56" t="str">
        <f>IF('⚙ OFF Weekends'!$D$73="OFF","OFF","")</f>
        <v/>
      </c>
      <c r="CA27" s="54" t="str">
        <f>IF('⚙ OFF Weekends'!$D$74="OFF","OFF","")</f>
        <v/>
      </c>
      <c r="CB27" s="56" t="str">
        <f>IF('⚙ OFF Weekends'!$D$75="OFF","OFF","")</f>
        <v/>
      </c>
      <c r="CC27" s="54" t="str">
        <f>IF('⚙ OFF Weekends'!$D$76="OFF","OFF","")</f>
        <v/>
      </c>
      <c r="CD27" s="56" t="str">
        <f>IF('⚙ OFF Weekends'!$D$77="OFF","OFF","")</f>
        <v/>
      </c>
      <c r="CE27" s="95">
        <f t="shared" si="9"/>
        <v>7</v>
      </c>
      <c r="CF27" s="95">
        <f t="shared" si="10"/>
        <v>4</v>
      </c>
      <c r="CG27" s="95">
        <f t="shared" si="11"/>
        <v>7</v>
      </c>
      <c r="CH27" s="95" t="str">
        <f t="shared" si="12"/>
        <v>64%</v>
      </c>
    </row>
    <row r="28" ht="18.0" customHeight="1">
      <c r="A28" s="96">
        <v>8.0</v>
      </c>
      <c r="B28" s="22" t="s">
        <v>391</v>
      </c>
      <c r="C28" s="23" t="s">
        <v>392</v>
      </c>
      <c r="D28" s="24" t="str">
        <f t="shared" si="7"/>
        <v>📞 Call</v>
      </c>
      <c r="E28" s="41" t="str">
        <f t="shared" si="8"/>
        <v>💬 WhatsApp</v>
      </c>
      <c r="F28" s="20"/>
      <c r="G28" s="20" t="s">
        <v>381</v>
      </c>
      <c r="H28" s="20"/>
      <c r="I28" s="48" t="s">
        <v>196</v>
      </c>
      <c r="J28" s="79" t="s">
        <v>223</v>
      </c>
      <c r="K28" s="49" t="s">
        <v>197</v>
      </c>
      <c r="L28" s="79" t="s">
        <v>223</v>
      </c>
      <c r="M28" s="79" t="s">
        <v>223</v>
      </c>
      <c r="N28" s="79" t="s">
        <v>223</v>
      </c>
      <c r="O28" s="77" t="s">
        <v>198</v>
      </c>
      <c r="P28" s="79" t="s">
        <v>223</v>
      </c>
      <c r="Q28" s="79" t="s">
        <v>223</v>
      </c>
      <c r="R28" s="79" t="s">
        <v>223</v>
      </c>
      <c r="S28" s="52" t="s">
        <v>223</v>
      </c>
      <c r="T28" s="98" t="s">
        <v>196</v>
      </c>
      <c r="U28" s="52" t="s">
        <v>223</v>
      </c>
      <c r="V28" s="53" t="s">
        <v>223</v>
      </c>
      <c r="W28" s="54" t="str">
        <f>IF('⚙ OFF Weekends'!$D$18="OFF","OFF","")</f>
        <v>OFF</v>
      </c>
      <c r="X28" s="53" t="s">
        <v>223</v>
      </c>
      <c r="Y28" s="52" t="s">
        <v>223</v>
      </c>
      <c r="Z28" s="53" t="s">
        <v>223</v>
      </c>
      <c r="AA28" s="52" t="s">
        <v>223</v>
      </c>
      <c r="AB28" s="53" t="s">
        <v>223</v>
      </c>
      <c r="AC28" s="54" t="str">
        <f>IF('⚙ OFF Weekends'!$D$24="OFF","OFF","")</f>
        <v/>
      </c>
      <c r="AD28" s="56" t="str">
        <f>IF('⚙ OFF Weekends'!$D$25="OFF","OFF","")</f>
        <v/>
      </c>
      <c r="AE28" s="54" t="str">
        <f>IF('⚙ OFF Weekends'!$D$26="OFF","OFF","")</f>
        <v/>
      </c>
      <c r="AF28" s="56" t="str">
        <f>IF('⚙ OFF Weekends'!$D$27="OFF","OFF","")</f>
        <v/>
      </c>
      <c r="AG28" s="54" t="str">
        <f>IF('⚙ OFF Weekends'!$D$28="OFF","OFF","")</f>
        <v/>
      </c>
      <c r="AH28" s="56" t="str">
        <f>IF('⚙ OFF Weekends'!$D$29="OFF","OFF","")</f>
        <v/>
      </c>
      <c r="AI28" s="54" t="str">
        <f>IF('⚙ OFF Weekends'!$D$30="OFF","OFF","")</f>
        <v/>
      </c>
      <c r="AJ28" s="56" t="str">
        <f>IF('⚙ OFF Weekends'!$D$31="OFF","OFF","")</f>
        <v/>
      </c>
      <c r="AK28" s="54" t="str">
        <f>IF('⚙ OFF Weekends'!$D$32="OFF","OFF","")</f>
        <v/>
      </c>
      <c r="AL28" s="56" t="str">
        <f>IF('⚙ OFF Weekends'!$D$33="OFF","OFF","")</f>
        <v/>
      </c>
      <c r="AM28" s="54" t="str">
        <f>IF('⚙ OFF Weekends'!$D$34="OFF","OFF","")</f>
        <v/>
      </c>
      <c r="AN28" s="56" t="str">
        <f>IF('⚙ OFF Weekends'!$D$35="OFF","OFF","")</f>
        <v/>
      </c>
      <c r="AO28" s="54" t="str">
        <f>IF('⚙ OFF Weekends'!$D$36="OFF","OFF","")</f>
        <v/>
      </c>
      <c r="AP28" s="56" t="str">
        <f>IF('⚙ OFF Weekends'!$D$37="OFF","OFF","")</f>
        <v/>
      </c>
      <c r="AQ28" s="54" t="str">
        <f>IF('⚙ OFF Weekends'!$D$38="OFF","OFF","")</f>
        <v/>
      </c>
      <c r="AR28" s="56" t="str">
        <f>IF('⚙ OFF Weekends'!$D$39="OFF","OFF","")</f>
        <v/>
      </c>
      <c r="AS28" s="54" t="str">
        <f>IF('⚙ OFF Weekends'!$D$40="OFF","OFF","")</f>
        <v/>
      </c>
      <c r="AT28" s="56" t="str">
        <f>IF('⚙ OFF Weekends'!$D$41="OFF","OFF","")</f>
        <v/>
      </c>
      <c r="AU28" s="54" t="str">
        <f>IF('⚙ OFF Weekends'!$D$42="OFF","OFF","")</f>
        <v/>
      </c>
      <c r="AV28" s="56" t="str">
        <f>IF('⚙ OFF Weekends'!$D$43="OFF","OFF","")</f>
        <v/>
      </c>
      <c r="AW28" s="54" t="str">
        <f>IF('⚙ OFF Weekends'!$D$44="OFF","OFF","")</f>
        <v/>
      </c>
      <c r="AX28" s="56" t="str">
        <f>IF('⚙ OFF Weekends'!$D$45="OFF","OFF","")</f>
        <v/>
      </c>
      <c r="AY28" s="54" t="str">
        <f>IF('⚙ OFF Weekends'!$D$46="OFF","OFF","")</f>
        <v/>
      </c>
      <c r="AZ28" s="56" t="str">
        <f>IF('⚙ OFF Weekends'!$D$47="OFF","OFF","")</f>
        <v/>
      </c>
      <c r="BA28" s="54" t="str">
        <f>IF('⚙ OFF Weekends'!$D$48="OFF","OFF","")</f>
        <v/>
      </c>
      <c r="BB28" s="56" t="str">
        <f>IF('⚙ OFF Weekends'!$D$49="OFF","OFF","")</f>
        <v/>
      </c>
      <c r="BC28" s="54" t="str">
        <f>IF('⚙ OFF Weekends'!$D$50="OFF","OFF","")</f>
        <v/>
      </c>
      <c r="BD28" s="56" t="str">
        <f>IF('⚙ OFF Weekends'!$D$51="OFF","OFF","")</f>
        <v/>
      </c>
      <c r="BE28" s="54" t="str">
        <f>IF('⚙ OFF Weekends'!$D$52="OFF","OFF","")</f>
        <v/>
      </c>
      <c r="BF28" s="56" t="str">
        <f>IF('⚙ OFF Weekends'!$D$53="OFF","OFF","")</f>
        <v/>
      </c>
      <c r="BG28" s="54" t="str">
        <f>IF('⚙ OFF Weekends'!$D$54="OFF","OFF","")</f>
        <v/>
      </c>
      <c r="BH28" s="56" t="str">
        <f>IF('⚙ OFF Weekends'!$D$55="OFF","OFF","")</f>
        <v/>
      </c>
      <c r="BI28" s="54" t="str">
        <f>IF('⚙ OFF Weekends'!$D$56="OFF","OFF","")</f>
        <v/>
      </c>
      <c r="BJ28" s="56" t="str">
        <f>IF('⚙ OFF Weekends'!$D$57="OFF","OFF","")</f>
        <v/>
      </c>
      <c r="BK28" s="54" t="str">
        <f>IF('⚙ OFF Weekends'!$D$58="OFF","OFF","")</f>
        <v/>
      </c>
      <c r="BL28" s="56" t="str">
        <f>IF('⚙ OFF Weekends'!$D$59="OFF","OFF","")</f>
        <v/>
      </c>
      <c r="BM28" s="54" t="str">
        <f>IF('⚙ OFF Weekends'!$D$60="OFF","OFF","")</f>
        <v/>
      </c>
      <c r="BN28" s="56" t="str">
        <f>IF('⚙ OFF Weekends'!$D$61="OFF","OFF","")</f>
        <v/>
      </c>
      <c r="BO28" s="54" t="str">
        <f>IF('⚙ OFF Weekends'!$D$62="OFF","OFF","")</f>
        <v/>
      </c>
      <c r="BP28" s="56" t="str">
        <f>IF('⚙ OFF Weekends'!$D$63="OFF","OFF","")</f>
        <v/>
      </c>
      <c r="BQ28" s="54" t="str">
        <f>IF('⚙ OFF Weekends'!$D$64="OFF","OFF","")</f>
        <v/>
      </c>
      <c r="BR28" s="56" t="str">
        <f>IF('⚙ OFF Weekends'!$D$65="OFF","OFF","")</f>
        <v/>
      </c>
      <c r="BS28" s="54" t="str">
        <f>IF('⚙ OFF Weekends'!$D$66="OFF","OFF","")</f>
        <v/>
      </c>
      <c r="BT28" s="56" t="str">
        <f>IF('⚙ OFF Weekends'!$D$67="OFF","OFF","")</f>
        <v/>
      </c>
      <c r="BU28" s="54" t="str">
        <f>IF('⚙ OFF Weekends'!$D$68="OFF","OFF","")</f>
        <v/>
      </c>
      <c r="BV28" s="56" t="str">
        <f>IF('⚙ OFF Weekends'!$D$69="OFF","OFF","")</f>
        <v/>
      </c>
      <c r="BW28" s="54" t="str">
        <f>IF('⚙ OFF Weekends'!$D$70="OFF","OFF","")</f>
        <v/>
      </c>
      <c r="BX28" s="56" t="str">
        <f>IF('⚙ OFF Weekends'!$D$71="OFF","OFF","")</f>
        <v/>
      </c>
      <c r="BY28" s="54" t="str">
        <f>IF('⚙ OFF Weekends'!$D$72="OFF","OFF","")</f>
        <v/>
      </c>
      <c r="BZ28" s="56" t="str">
        <f>IF('⚙ OFF Weekends'!$D$73="OFF","OFF","")</f>
        <v/>
      </c>
      <c r="CA28" s="54" t="str">
        <f>IF('⚙ OFF Weekends'!$D$74="OFF","OFF","")</f>
        <v/>
      </c>
      <c r="CB28" s="56" t="str">
        <f>IF('⚙ OFF Weekends'!$D$75="OFF","OFF","")</f>
        <v/>
      </c>
      <c r="CC28" s="54" t="str">
        <f>IF('⚙ OFF Weekends'!$D$76="OFF","OFF","")</f>
        <v/>
      </c>
      <c r="CD28" s="56" t="str">
        <f>IF('⚙ OFF Weekends'!$D$77="OFF","OFF","")</f>
        <v/>
      </c>
      <c r="CE28" s="96">
        <f t="shared" si="9"/>
        <v>2</v>
      </c>
      <c r="CF28" s="96">
        <f t="shared" si="10"/>
        <v>15</v>
      </c>
      <c r="CG28" s="96">
        <f t="shared" si="11"/>
        <v>1</v>
      </c>
      <c r="CH28" s="96" t="str">
        <f t="shared" si="12"/>
        <v>12%</v>
      </c>
    </row>
    <row r="29" ht="18.0" customHeight="1">
      <c r="A29" s="95">
        <v>9.0</v>
      </c>
      <c r="B29" s="12" t="s">
        <v>403</v>
      </c>
      <c r="C29" s="14"/>
      <c r="D29" s="17" t="str">
        <f t="shared" si="7"/>
        <v/>
      </c>
      <c r="E29" s="28" t="str">
        <f t="shared" si="8"/>
        <v/>
      </c>
      <c r="F29" s="10"/>
      <c r="G29" s="10" t="s">
        <v>381</v>
      </c>
      <c r="H29" s="10"/>
      <c r="I29" s="79" t="s">
        <v>223</v>
      </c>
      <c r="J29" s="79" t="s">
        <v>223</v>
      </c>
      <c r="K29" s="49" t="s">
        <v>197</v>
      </c>
      <c r="L29" s="79" t="s">
        <v>223</v>
      </c>
      <c r="M29" s="79" t="s">
        <v>223</v>
      </c>
      <c r="N29" s="48" t="s">
        <v>196</v>
      </c>
      <c r="O29" s="77" t="s">
        <v>198</v>
      </c>
      <c r="P29" s="50" t="s">
        <v>37</v>
      </c>
      <c r="Q29" s="100" t="s">
        <v>290</v>
      </c>
      <c r="R29" s="50" t="s">
        <v>37</v>
      </c>
      <c r="S29" s="52" t="s">
        <v>290</v>
      </c>
      <c r="T29" s="98" t="s">
        <v>196</v>
      </c>
      <c r="U29" s="52" t="s">
        <v>290</v>
      </c>
      <c r="V29" s="53" t="s">
        <v>37</v>
      </c>
      <c r="W29" s="54" t="str">
        <f>IF('⚙ OFF Weekends'!$D$18="OFF","OFF","")</f>
        <v>OFF</v>
      </c>
      <c r="X29" s="53" t="s">
        <v>37</v>
      </c>
      <c r="Y29" s="52" t="s">
        <v>290</v>
      </c>
      <c r="Z29" s="53" t="s">
        <v>37</v>
      </c>
      <c r="AA29" s="52" t="s">
        <v>290</v>
      </c>
      <c r="AB29" s="53" t="s">
        <v>37</v>
      </c>
      <c r="AC29" s="54" t="str">
        <f>IF('⚙ OFF Weekends'!$D$24="OFF","OFF","")</f>
        <v/>
      </c>
      <c r="AD29" s="56" t="str">
        <f>IF('⚙ OFF Weekends'!$D$25="OFF","OFF","")</f>
        <v/>
      </c>
      <c r="AE29" s="54" t="str">
        <f>IF('⚙ OFF Weekends'!$D$26="OFF","OFF","")</f>
        <v/>
      </c>
      <c r="AF29" s="56" t="str">
        <f>IF('⚙ OFF Weekends'!$D$27="OFF","OFF","")</f>
        <v/>
      </c>
      <c r="AG29" s="54" t="str">
        <f>IF('⚙ OFF Weekends'!$D$28="OFF","OFF","")</f>
        <v/>
      </c>
      <c r="AH29" s="56" t="str">
        <f>IF('⚙ OFF Weekends'!$D$29="OFF","OFF","")</f>
        <v/>
      </c>
      <c r="AI29" s="54" t="str">
        <f>IF('⚙ OFF Weekends'!$D$30="OFF","OFF","")</f>
        <v/>
      </c>
      <c r="AJ29" s="56" t="str">
        <f>IF('⚙ OFF Weekends'!$D$31="OFF","OFF","")</f>
        <v/>
      </c>
      <c r="AK29" s="54" t="str">
        <f>IF('⚙ OFF Weekends'!$D$32="OFF","OFF","")</f>
        <v/>
      </c>
      <c r="AL29" s="56" t="str">
        <f>IF('⚙ OFF Weekends'!$D$33="OFF","OFF","")</f>
        <v/>
      </c>
      <c r="AM29" s="54" t="str">
        <f>IF('⚙ OFF Weekends'!$D$34="OFF","OFF","")</f>
        <v/>
      </c>
      <c r="AN29" s="56" t="str">
        <f>IF('⚙ OFF Weekends'!$D$35="OFF","OFF","")</f>
        <v/>
      </c>
      <c r="AO29" s="54" t="str">
        <f>IF('⚙ OFF Weekends'!$D$36="OFF","OFF","")</f>
        <v/>
      </c>
      <c r="AP29" s="56" t="str">
        <f>IF('⚙ OFF Weekends'!$D$37="OFF","OFF","")</f>
        <v/>
      </c>
      <c r="AQ29" s="54" t="str">
        <f>IF('⚙ OFF Weekends'!$D$38="OFF","OFF","")</f>
        <v/>
      </c>
      <c r="AR29" s="56" t="str">
        <f>IF('⚙ OFF Weekends'!$D$39="OFF","OFF","")</f>
        <v/>
      </c>
      <c r="AS29" s="54" t="str">
        <f>IF('⚙ OFF Weekends'!$D$40="OFF","OFF","")</f>
        <v/>
      </c>
      <c r="AT29" s="56" t="str">
        <f>IF('⚙ OFF Weekends'!$D$41="OFF","OFF","")</f>
        <v/>
      </c>
      <c r="AU29" s="54" t="str">
        <f>IF('⚙ OFF Weekends'!$D$42="OFF","OFF","")</f>
        <v/>
      </c>
      <c r="AV29" s="56" t="str">
        <f>IF('⚙ OFF Weekends'!$D$43="OFF","OFF","")</f>
        <v/>
      </c>
      <c r="AW29" s="54" t="str">
        <f>IF('⚙ OFF Weekends'!$D$44="OFF","OFF","")</f>
        <v/>
      </c>
      <c r="AX29" s="56" t="str">
        <f>IF('⚙ OFF Weekends'!$D$45="OFF","OFF","")</f>
        <v/>
      </c>
      <c r="AY29" s="54" t="str">
        <f>IF('⚙ OFF Weekends'!$D$46="OFF","OFF","")</f>
        <v/>
      </c>
      <c r="AZ29" s="56" t="str">
        <f>IF('⚙ OFF Weekends'!$D$47="OFF","OFF","")</f>
        <v/>
      </c>
      <c r="BA29" s="54" t="str">
        <f>IF('⚙ OFF Weekends'!$D$48="OFF","OFF","")</f>
        <v/>
      </c>
      <c r="BB29" s="56" t="str">
        <f>IF('⚙ OFF Weekends'!$D$49="OFF","OFF","")</f>
        <v/>
      </c>
      <c r="BC29" s="54" t="str">
        <f>IF('⚙ OFF Weekends'!$D$50="OFF","OFF","")</f>
        <v/>
      </c>
      <c r="BD29" s="56" t="str">
        <f>IF('⚙ OFF Weekends'!$D$51="OFF","OFF","")</f>
        <v/>
      </c>
      <c r="BE29" s="54" t="str">
        <f>IF('⚙ OFF Weekends'!$D$52="OFF","OFF","")</f>
        <v/>
      </c>
      <c r="BF29" s="56" t="str">
        <f>IF('⚙ OFF Weekends'!$D$53="OFF","OFF","")</f>
        <v/>
      </c>
      <c r="BG29" s="54" t="str">
        <f>IF('⚙ OFF Weekends'!$D$54="OFF","OFF","")</f>
        <v/>
      </c>
      <c r="BH29" s="56" t="str">
        <f>IF('⚙ OFF Weekends'!$D$55="OFF","OFF","")</f>
        <v/>
      </c>
      <c r="BI29" s="54" t="str">
        <f>IF('⚙ OFF Weekends'!$D$56="OFF","OFF","")</f>
        <v/>
      </c>
      <c r="BJ29" s="56" t="str">
        <f>IF('⚙ OFF Weekends'!$D$57="OFF","OFF","")</f>
        <v/>
      </c>
      <c r="BK29" s="54" t="str">
        <f>IF('⚙ OFF Weekends'!$D$58="OFF","OFF","")</f>
        <v/>
      </c>
      <c r="BL29" s="56" t="str">
        <f>IF('⚙ OFF Weekends'!$D$59="OFF","OFF","")</f>
        <v/>
      </c>
      <c r="BM29" s="54" t="str">
        <f>IF('⚙ OFF Weekends'!$D$60="OFF","OFF","")</f>
        <v/>
      </c>
      <c r="BN29" s="56" t="str">
        <f>IF('⚙ OFF Weekends'!$D$61="OFF","OFF","")</f>
        <v/>
      </c>
      <c r="BO29" s="54" t="str">
        <f>IF('⚙ OFF Weekends'!$D$62="OFF","OFF","")</f>
        <v/>
      </c>
      <c r="BP29" s="56" t="str">
        <f>IF('⚙ OFF Weekends'!$D$63="OFF","OFF","")</f>
        <v/>
      </c>
      <c r="BQ29" s="54" t="str">
        <f>IF('⚙ OFF Weekends'!$D$64="OFF","OFF","")</f>
        <v/>
      </c>
      <c r="BR29" s="56" t="str">
        <f>IF('⚙ OFF Weekends'!$D$65="OFF","OFF","")</f>
        <v/>
      </c>
      <c r="BS29" s="54" t="str">
        <f>IF('⚙ OFF Weekends'!$D$66="OFF","OFF","")</f>
        <v/>
      </c>
      <c r="BT29" s="56" t="str">
        <f>IF('⚙ OFF Weekends'!$D$67="OFF","OFF","")</f>
        <v/>
      </c>
      <c r="BU29" s="54" t="str">
        <f>IF('⚙ OFF Weekends'!$D$68="OFF","OFF","")</f>
        <v/>
      </c>
      <c r="BV29" s="56" t="str">
        <f>IF('⚙ OFF Weekends'!$D$69="OFF","OFF","")</f>
        <v/>
      </c>
      <c r="BW29" s="54" t="str">
        <f>IF('⚙ OFF Weekends'!$D$70="OFF","OFF","")</f>
        <v/>
      </c>
      <c r="BX29" s="56" t="str">
        <f>IF('⚙ OFF Weekends'!$D$71="OFF","OFF","")</f>
        <v/>
      </c>
      <c r="BY29" s="54" t="str">
        <f>IF('⚙ OFF Weekends'!$D$72="OFF","OFF","")</f>
        <v/>
      </c>
      <c r="BZ29" s="56" t="str">
        <f>IF('⚙ OFF Weekends'!$D$73="OFF","OFF","")</f>
        <v/>
      </c>
      <c r="CA29" s="54" t="str">
        <f>IF('⚙ OFF Weekends'!$D$74="OFF","OFF","")</f>
        <v/>
      </c>
      <c r="CB29" s="56" t="str">
        <f>IF('⚙ OFF Weekends'!$D$75="OFF","OFF","")</f>
        <v/>
      </c>
      <c r="CC29" s="54" t="str">
        <f>IF('⚙ OFF Weekends'!$D$76="OFF","OFF","")</f>
        <v/>
      </c>
      <c r="CD29" s="56" t="str">
        <f>IF('⚙ OFF Weekends'!$D$77="OFF","OFF","")</f>
        <v/>
      </c>
      <c r="CE29" s="95">
        <f t="shared" si="9"/>
        <v>8</v>
      </c>
      <c r="CF29" s="95">
        <f t="shared" si="10"/>
        <v>4</v>
      </c>
      <c r="CG29" s="95">
        <f t="shared" si="11"/>
        <v>1</v>
      </c>
      <c r="CH29" s="95" t="str">
        <f t="shared" si="12"/>
        <v>67%</v>
      </c>
    </row>
    <row r="30" ht="18.0" customHeight="1">
      <c r="A30" s="96">
        <v>10.0</v>
      </c>
      <c r="B30" s="22" t="s">
        <v>410</v>
      </c>
      <c r="C30" s="23"/>
      <c r="D30" s="24" t="str">
        <f t="shared" si="7"/>
        <v/>
      </c>
      <c r="E30" s="26" t="str">
        <f t="shared" si="8"/>
        <v/>
      </c>
      <c r="F30" s="20"/>
      <c r="G30" s="20" t="s">
        <v>381</v>
      </c>
      <c r="H30" s="20"/>
      <c r="I30" s="79" t="s">
        <v>223</v>
      </c>
      <c r="J30" s="79" t="s">
        <v>223</v>
      </c>
      <c r="K30" s="49" t="s">
        <v>197</v>
      </c>
      <c r="L30" s="48" t="s">
        <v>196</v>
      </c>
      <c r="M30" s="79" t="s">
        <v>223</v>
      </c>
      <c r="N30" s="79" t="s">
        <v>223</v>
      </c>
      <c r="O30" s="77" t="s">
        <v>198</v>
      </c>
      <c r="P30" s="50" t="s">
        <v>37</v>
      </c>
      <c r="Q30" s="79" t="s">
        <v>223</v>
      </c>
      <c r="R30" s="48" t="s">
        <v>196</v>
      </c>
      <c r="S30" s="52" t="s">
        <v>223</v>
      </c>
      <c r="T30" s="98" t="s">
        <v>196</v>
      </c>
      <c r="U30" s="52" t="s">
        <v>223</v>
      </c>
      <c r="V30" s="53" t="s">
        <v>223</v>
      </c>
      <c r="W30" s="54" t="str">
        <f>IF('⚙ OFF Weekends'!$D$18="OFF","OFF","")</f>
        <v>OFF</v>
      </c>
      <c r="X30" s="53" t="s">
        <v>198</v>
      </c>
      <c r="Y30" s="52" t="s">
        <v>196</v>
      </c>
      <c r="Z30" s="53" t="s">
        <v>223</v>
      </c>
      <c r="AA30" s="52" t="s">
        <v>223</v>
      </c>
      <c r="AB30" s="53" t="s">
        <v>223</v>
      </c>
      <c r="AC30" s="54" t="str">
        <f>IF('⚙ OFF Weekends'!$D$24="OFF","OFF","")</f>
        <v/>
      </c>
      <c r="AD30" s="56" t="str">
        <f>IF('⚙ OFF Weekends'!$D$25="OFF","OFF","")</f>
        <v/>
      </c>
      <c r="AE30" s="54" t="str">
        <f>IF('⚙ OFF Weekends'!$D$26="OFF","OFF","")</f>
        <v/>
      </c>
      <c r="AF30" s="56" t="str">
        <f>IF('⚙ OFF Weekends'!$D$27="OFF","OFF","")</f>
        <v/>
      </c>
      <c r="AG30" s="54" t="str">
        <f>IF('⚙ OFF Weekends'!$D$28="OFF","OFF","")</f>
        <v/>
      </c>
      <c r="AH30" s="56" t="str">
        <f>IF('⚙ OFF Weekends'!$D$29="OFF","OFF","")</f>
        <v/>
      </c>
      <c r="AI30" s="54" t="str">
        <f>IF('⚙ OFF Weekends'!$D$30="OFF","OFF","")</f>
        <v/>
      </c>
      <c r="AJ30" s="56" t="str">
        <f>IF('⚙ OFF Weekends'!$D$31="OFF","OFF","")</f>
        <v/>
      </c>
      <c r="AK30" s="54" t="str">
        <f>IF('⚙ OFF Weekends'!$D$32="OFF","OFF","")</f>
        <v/>
      </c>
      <c r="AL30" s="56" t="str">
        <f>IF('⚙ OFF Weekends'!$D$33="OFF","OFF","")</f>
        <v/>
      </c>
      <c r="AM30" s="54" t="str">
        <f>IF('⚙ OFF Weekends'!$D$34="OFF","OFF","")</f>
        <v/>
      </c>
      <c r="AN30" s="56" t="str">
        <f>IF('⚙ OFF Weekends'!$D$35="OFF","OFF","")</f>
        <v/>
      </c>
      <c r="AO30" s="54" t="str">
        <f>IF('⚙ OFF Weekends'!$D$36="OFF","OFF","")</f>
        <v/>
      </c>
      <c r="AP30" s="56" t="str">
        <f>IF('⚙ OFF Weekends'!$D$37="OFF","OFF","")</f>
        <v/>
      </c>
      <c r="AQ30" s="54" t="str">
        <f>IF('⚙ OFF Weekends'!$D$38="OFF","OFF","")</f>
        <v/>
      </c>
      <c r="AR30" s="56" t="str">
        <f>IF('⚙ OFF Weekends'!$D$39="OFF","OFF","")</f>
        <v/>
      </c>
      <c r="AS30" s="54" t="str">
        <f>IF('⚙ OFF Weekends'!$D$40="OFF","OFF","")</f>
        <v/>
      </c>
      <c r="AT30" s="56" t="str">
        <f>IF('⚙ OFF Weekends'!$D$41="OFF","OFF","")</f>
        <v/>
      </c>
      <c r="AU30" s="54" t="str">
        <f>IF('⚙ OFF Weekends'!$D$42="OFF","OFF","")</f>
        <v/>
      </c>
      <c r="AV30" s="56" t="str">
        <f>IF('⚙ OFF Weekends'!$D$43="OFF","OFF","")</f>
        <v/>
      </c>
      <c r="AW30" s="54" t="str">
        <f>IF('⚙ OFF Weekends'!$D$44="OFF","OFF","")</f>
        <v/>
      </c>
      <c r="AX30" s="56" t="str">
        <f>IF('⚙ OFF Weekends'!$D$45="OFF","OFF","")</f>
        <v/>
      </c>
      <c r="AY30" s="54" t="str">
        <f>IF('⚙ OFF Weekends'!$D$46="OFF","OFF","")</f>
        <v/>
      </c>
      <c r="AZ30" s="56" t="str">
        <f>IF('⚙ OFF Weekends'!$D$47="OFF","OFF","")</f>
        <v/>
      </c>
      <c r="BA30" s="54" t="str">
        <f>IF('⚙ OFF Weekends'!$D$48="OFF","OFF","")</f>
        <v/>
      </c>
      <c r="BB30" s="56" t="str">
        <f>IF('⚙ OFF Weekends'!$D$49="OFF","OFF","")</f>
        <v/>
      </c>
      <c r="BC30" s="54" t="str">
        <f>IF('⚙ OFF Weekends'!$D$50="OFF","OFF","")</f>
        <v/>
      </c>
      <c r="BD30" s="56" t="str">
        <f>IF('⚙ OFF Weekends'!$D$51="OFF","OFF","")</f>
        <v/>
      </c>
      <c r="BE30" s="54" t="str">
        <f>IF('⚙ OFF Weekends'!$D$52="OFF","OFF","")</f>
        <v/>
      </c>
      <c r="BF30" s="56" t="str">
        <f>IF('⚙ OFF Weekends'!$D$53="OFF","OFF","")</f>
        <v/>
      </c>
      <c r="BG30" s="54" t="str">
        <f>IF('⚙ OFF Weekends'!$D$54="OFF","OFF","")</f>
        <v/>
      </c>
      <c r="BH30" s="56" t="str">
        <f>IF('⚙ OFF Weekends'!$D$55="OFF","OFF","")</f>
        <v/>
      </c>
      <c r="BI30" s="54" t="str">
        <f>IF('⚙ OFF Weekends'!$D$56="OFF","OFF","")</f>
        <v/>
      </c>
      <c r="BJ30" s="56" t="str">
        <f>IF('⚙ OFF Weekends'!$D$57="OFF","OFF","")</f>
        <v/>
      </c>
      <c r="BK30" s="54" t="str">
        <f>IF('⚙ OFF Weekends'!$D$58="OFF","OFF","")</f>
        <v/>
      </c>
      <c r="BL30" s="56" t="str">
        <f>IF('⚙ OFF Weekends'!$D$59="OFF","OFF","")</f>
        <v/>
      </c>
      <c r="BM30" s="54" t="str">
        <f>IF('⚙ OFF Weekends'!$D$60="OFF","OFF","")</f>
        <v/>
      </c>
      <c r="BN30" s="56" t="str">
        <f>IF('⚙ OFF Weekends'!$D$61="OFF","OFF","")</f>
        <v/>
      </c>
      <c r="BO30" s="54" t="str">
        <f>IF('⚙ OFF Weekends'!$D$62="OFF","OFF","")</f>
        <v/>
      </c>
      <c r="BP30" s="56" t="str">
        <f>IF('⚙ OFF Weekends'!$D$63="OFF","OFF","")</f>
        <v/>
      </c>
      <c r="BQ30" s="54" t="str">
        <f>IF('⚙ OFF Weekends'!$D$64="OFF","OFF","")</f>
        <v/>
      </c>
      <c r="BR30" s="56" t="str">
        <f>IF('⚙ OFF Weekends'!$D$65="OFF","OFF","")</f>
        <v/>
      </c>
      <c r="BS30" s="54" t="str">
        <f>IF('⚙ OFF Weekends'!$D$66="OFF","OFF","")</f>
        <v/>
      </c>
      <c r="BT30" s="56" t="str">
        <f>IF('⚙ OFF Weekends'!$D$67="OFF","OFF","")</f>
        <v/>
      </c>
      <c r="BU30" s="54" t="str">
        <f>IF('⚙ OFF Weekends'!$D$68="OFF","OFF","")</f>
        <v/>
      </c>
      <c r="BV30" s="56" t="str">
        <f>IF('⚙ OFF Weekends'!$D$69="OFF","OFF","")</f>
        <v/>
      </c>
      <c r="BW30" s="54" t="str">
        <f>IF('⚙ OFF Weekends'!$D$70="OFF","OFF","")</f>
        <v/>
      </c>
      <c r="BX30" s="56" t="str">
        <f>IF('⚙ OFF Weekends'!$D$71="OFF","OFF","")</f>
        <v/>
      </c>
      <c r="BY30" s="54" t="str">
        <f>IF('⚙ OFF Weekends'!$D$72="OFF","OFF","")</f>
        <v/>
      </c>
      <c r="BZ30" s="56" t="str">
        <f>IF('⚙ OFF Weekends'!$D$73="OFF","OFF","")</f>
        <v/>
      </c>
      <c r="CA30" s="54" t="str">
        <f>IF('⚙ OFF Weekends'!$D$74="OFF","OFF","")</f>
        <v/>
      </c>
      <c r="CB30" s="56" t="str">
        <f>IF('⚙ OFF Weekends'!$D$75="OFF","OFF","")</f>
        <v/>
      </c>
      <c r="CC30" s="54" t="str">
        <f>IF('⚙ OFF Weekends'!$D$76="OFF","OFF","")</f>
        <v/>
      </c>
      <c r="CD30" s="56" t="str">
        <f>IF('⚙ OFF Weekends'!$D$77="OFF","OFF","")</f>
        <v/>
      </c>
      <c r="CE30" s="96">
        <f t="shared" si="9"/>
        <v>5</v>
      </c>
      <c r="CF30" s="96">
        <f t="shared" si="10"/>
        <v>11</v>
      </c>
      <c r="CG30" s="96">
        <f t="shared" si="11"/>
        <v>2</v>
      </c>
      <c r="CH30" s="96" t="str">
        <f t="shared" si="12"/>
        <v>31%</v>
      </c>
    </row>
    <row r="31" ht="18.0" customHeight="1">
      <c r="A31" s="95">
        <v>11.0</v>
      </c>
      <c r="B31" s="12" t="s">
        <v>417</v>
      </c>
      <c r="C31" s="14"/>
      <c r="D31" s="17" t="str">
        <f t="shared" si="7"/>
        <v/>
      </c>
      <c r="E31" s="28" t="str">
        <f t="shared" si="8"/>
        <v/>
      </c>
      <c r="F31" s="10"/>
      <c r="G31" s="10"/>
      <c r="H31" s="10"/>
      <c r="I31" s="54" t="str">
        <f>IF('⚙ OFF Weekends'!$D$4="OFF","OFF","")</f>
        <v/>
      </c>
      <c r="J31" s="56" t="str">
        <f>IF('⚙ OFF Weekends'!$D$5="OFF","OFF","")</f>
        <v/>
      </c>
      <c r="K31" s="49" t="s">
        <v>197</v>
      </c>
      <c r="L31" s="48" t="s">
        <v>196</v>
      </c>
      <c r="M31" s="48" t="s">
        <v>196</v>
      </c>
      <c r="N31" s="48" t="s">
        <v>196</v>
      </c>
      <c r="O31" s="79" t="s">
        <v>223</v>
      </c>
      <c r="P31" s="79" t="s">
        <v>223</v>
      </c>
      <c r="Q31" s="79" t="s">
        <v>223</v>
      </c>
      <c r="R31" s="79" t="s">
        <v>223</v>
      </c>
      <c r="S31" s="52" t="s">
        <v>223</v>
      </c>
      <c r="T31" s="98" t="s">
        <v>223</v>
      </c>
      <c r="U31" s="52" t="s">
        <v>223</v>
      </c>
      <c r="V31" s="53" t="s">
        <v>223</v>
      </c>
      <c r="W31" s="54" t="str">
        <f>IF('⚙ OFF Weekends'!$D$18="OFF","OFF","")</f>
        <v>OFF</v>
      </c>
      <c r="X31" s="53" t="s">
        <v>296</v>
      </c>
      <c r="Y31" s="52" t="s">
        <v>296</v>
      </c>
      <c r="Z31" s="53" t="s">
        <v>223</v>
      </c>
      <c r="AA31" s="52" t="s">
        <v>296</v>
      </c>
      <c r="AB31" s="53" t="s">
        <v>296</v>
      </c>
      <c r="AC31" s="54" t="str">
        <f>IF('⚙ OFF Weekends'!$D$24="OFF","OFF","")</f>
        <v/>
      </c>
      <c r="AD31" s="56" t="str">
        <f>IF('⚙ OFF Weekends'!$D$25="OFF","OFF","")</f>
        <v/>
      </c>
      <c r="AE31" s="54" t="str">
        <f>IF('⚙ OFF Weekends'!$D$26="OFF","OFF","")</f>
        <v/>
      </c>
      <c r="AF31" s="56" t="str">
        <f>IF('⚙ OFF Weekends'!$D$27="OFF","OFF","")</f>
        <v/>
      </c>
      <c r="AG31" s="54" t="str">
        <f>IF('⚙ OFF Weekends'!$D$28="OFF","OFF","")</f>
        <v/>
      </c>
      <c r="AH31" s="56" t="str">
        <f>IF('⚙ OFF Weekends'!$D$29="OFF","OFF","")</f>
        <v/>
      </c>
      <c r="AI31" s="54" t="str">
        <f>IF('⚙ OFF Weekends'!$D$30="OFF","OFF","")</f>
        <v/>
      </c>
      <c r="AJ31" s="56" t="str">
        <f>IF('⚙ OFF Weekends'!$D$31="OFF","OFF","")</f>
        <v/>
      </c>
      <c r="AK31" s="54" t="str">
        <f>IF('⚙ OFF Weekends'!$D$32="OFF","OFF","")</f>
        <v/>
      </c>
      <c r="AL31" s="56" t="str">
        <f>IF('⚙ OFF Weekends'!$D$33="OFF","OFF","")</f>
        <v/>
      </c>
      <c r="AM31" s="54" t="str">
        <f>IF('⚙ OFF Weekends'!$D$34="OFF","OFF","")</f>
        <v/>
      </c>
      <c r="AN31" s="56" t="str">
        <f>IF('⚙ OFF Weekends'!$D$35="OFF","OFF","")</f>
        <v/>
      </c>
      <c r="AO31" s="54" t="str">
        <f>IF('⚙ OFF Weekends'!$D$36="OFF","OFF","")</f>
        <v/>
      </c>
      <c r="AP31" s="56" t="str">
        <f>IF('⚙ OFF Weekends'!$D$37="OFF","OFF","")</f>
        <v/>
      </c>
      <c r="AQ31" s="54" t="str">
        <f>IF('⚙ OFF Weekends'!$D$38="OFF","OFF","")</f>
        <v/>
      </c>
      <c r="AR31" s="56" t="str">
        <f>IF('⚙ OFF Weekends'!$D$39="OFF","OFF","")</f>
        <v/>
      </c>
      <c r="AS31" s="54" t="str">
        <f>IF('⚙ OFF Weekends'!$D$40="OFF","OFF","")</f>
        <v/>
      </c>
      <c r="AT31" s="56" t="str">
        <f>IF('⚙ OFF Weekends'!$D$41="OFF","OFF","")</f>
        <v/>
      </c>
      <c r="AU31" s="54" t="str">
        <f>IF('⚙ OFF Weekends'!$D$42="OFF","OFF","")</f>
        <v/>
      </c>
      <c r="AV31" s="56" t="str">
        <f>IF('⚙ OFF Weekends'!$D$43="OFF","OFF","")</f>
        <v/>
      </c>
      <c r="AW31" s="54" t="str">
        <f>IF('⚙ OFF Weekends'!$D$44="OFF","OFF","")</f>
        <v/>
      </c>
      <c r="AX31" s="56" t="str">
        <f>IF('⚙ OFF Weekends'!$D$45="OFF","OFF","")</f>
        <v/>
      </c>
      <c r="AY31" s="54" t="str">
        <f>IF('⚙ OFF Weekends'!$D$46="OFF","OFF","")</f>
        <v/>
      </c>
      <c r="AZ31" s="56" t="str">
        <f>IF('⚙ OFF Weekends'!$D$47="OFF","OFF","")</f>
        <v/>
      </c>
      <c r="BA31" s="54" t="str">
        <f>IF('⚙ OFF Weekends'!$D$48="OFF","OFF","")</f>
        <v/>
      </c>
      <c r="BB31" s="56" t="str">
        <f>IF('⚙ OFF Weekends'!$D$49="OFF","OFF","")</f>
        <v/>
      </c>
      <c r="BC31" s="54" t="str">
        <f>IF('⚙ OFF Weekends'!$D$50="OFF","OFF","")</f>
        <v/>
      </c>
      <c r="BD31" s="56" t="str">
        <f>IF('⚙ OFF Weekends'!$D$51="OFF","OFF","")</f>
        <v/>
      </c>
      <c r="BE31" s="54" t="str">
        <f>IF('⚙ OFF Weekends'!$D$52="OFF","OFF","")</f>
        <v/>
      </c>
      <c r="BF31" s="56" t="str">
        <f>IF('⚙ OFF Weekends'!$D$53="OFF","OFF","")</f>
        <v/>
      </c>
      <c r="BG31" s="54" t="str">
        <f>IF('⚙ OFF Weekends'!$D$54="OFF","OFF","")</f>
        <v/>
      </c>
      <c r="BH31" s="56" t="str">
        <f>IF('⚙ OFF Weekends'!$D$55="OFF","OFF","")</f>
        <v/>
      </c>
      <c r="BI31" s="54" t="str">
        <f>IF('⚙ OFF Weekends'!$D$56="OFF","OFF","")</f>
        <v/>
      </c>
      <c r="BJ31" s="56" t="str">
        <f>IF('⚙ OFF Weekends'!$D$57="OFF","OFF","")</f>
        <v/>
      </c>
      <c r="BK31" s="54" t="str">
        <f>IF('⚙ OFF Weekends'!$D$58="OFF","OFF","")</f>
        <v/>
      </c>
      <c r="BL31" s="56" t="str">
        <f>IF('⚙ OFF Weekends'!$D$59="OFF","OFF","")</f>
        <v/>
      </c>
      <c r="BM31" s="54" t="str">
        <f>IF('⚙ OFF Weekends'!$D$60="OFF","OFF","")</f>
        <v/>
      </c>
      <c r="BN31" s="56" t="str">
        <f>IF('⚙ OFF Weekends'!$D$61="OFF","OFF","")</f>
        <v/>
      </c>
      <c r="BO31" s="54" t="str">
        <f>IF('⚙ OFF Weekends'!$D$62="OFF","OFF","")</f>
        <v/>
      </c>
      <c r="BP31" s="56" t="str">
        <f>IF('⚙ OFF Weekends'!$D$63="OFF","OFF","")</f>
        <v/>
      </c>
      <c r="BQ31" s="54" t="str">
        <f>IF('⚙ OFF Weekends'!$D$64="OFF","OFF","")</f>
        <v/>
      </c>
      <c r="BR31" s="56" t="str">
        <f>IF('⚙ OFF Weekends'!$D$65="OFF","OFF","")</f>
        <v/>
      </c>
      <c r="BS31" s="54" t="str">
        <f>IF('⚙ OFF Weekends'!$D$66="OFF","OFF","")</f>
        <v/>
      </c>
      <c r="BT31" s="56" t="str">
        <f>IF('⚙ OFF Weekends'!$D$67="OFF","OFF","")</f>
        <v/>
      </c>
      <c r="BU31" s="54" t="str">
        <f>IF('⚙ OFF Weekends'!$D$68="OFF","OFF","")</f>
        <v/>
      </c>
      <c r="BV31" s="56" t="str">
        <f>IF('⚙ OFF Weekends'!$D$69="OFF","OFF","")</f>
        <v/>
      </c>
      <c r="BW31" s="54" t="str">
        <f>IF('⚙ OFF Weekends'!$D$70="OFF","OFF","")</f>
        <v/>
      </c>
      <c r="BX31" s="56" t="str">
        <f>IF('⚙ OFF Weekends'!$D$71="OFF","OFF","")</f>
        <v/>
      </c>
      <c r="BY31" s="54" t="str">
        <f>IF('⚙ OFF Weekends'!$D$72="OFF","OFF","")</f>
        <v/>
      </c>
      <c r="BZ31" s="56" t="str">
        <f>IF('⚙ OFF Weekends'!$D$73="OFF","OFF","")</f>
        <v/>
      </c>
      <c r="CA31" s="54" t="str">
        <f>IF('⚙ OFF Weekends'!$D$74="OFF","OFF","")</f>
        <v/>
      </c>
      <c r="CB31" s="56" t="str">
        <f>IF('⚙ OFF Weekends'!$D$75="OFF","OFF","")</f>
        <v/>
      </c>
      <c r="CC31" s="54" t="str">
        <f>IF('⚙ OFF Weekends'!$D$76="OFF","OFF","")</f>
        <v/>
      </c>
      <c r="CD31" s="56" t="str">
        <f>IF('⚙ OFF Weekends'!$D$77="OFF","OFF","")</f>
        <v/>
      </c>
      <c r="CE31" s="95">
        <f t="shared" si="9"/>
        <v>3</v>
      </c>
      <c r="CF31" s="95">
        <f t="shared" si="10"/>
        <v>9</v>
      </c>
      <c r="CG31" s="95">
        <f t="shared" si="11"/>
        <v>0</v>
      </c>
      <c r="CH31" s="95" t="str">
        <f t="shared" si="12"/>
        <v>25%</v>
      </c>
    </row>
    <row r="32" ht="18.0" customHeight="1">
      <c r="A32" s="96">
        <v>12.0</v>
      </c>
      <c r="B32" s="22" t="s">
        <v>427</v>
      </c>
      <c r="C32" s="23"/>
      <c r="D32" s="24" t="str">
        <f t="shared" si="7"/>
        <v/>
      </c>
      <c r="E32" s="26" t="str">
        <f t="shared" si="8"/>
        <v/>
      </c>
      <c r="F32" s="20"/>
      <c r="G32" s="20"/>
      <c r="H32" s="20"/>
      <c r="I32" s="54" t="str">
        <f>IF('⚙ OFF Weekends'!$D$4="OFF","OFF","")</f>
        <v/>
      </c>
      <c r="J32" s="56" t="str">
        <f>IF('⚙ OFF Weekends'!$D$5="OFF","OFF","")</f>
        <v/>
      </c>
      <c r="K32" s="49" t="s">
        <v>197</v>
      </c>
      <c r="L32" s="56" t="str">
        <f>IF('⚙ OFF Weekends'!$D$7="OFF","OFF","")</f>
        <v/>
      </c>
      <c r="M32" s="54" t="str">
        <f>IF('⚙ OFF Weekends'!$D$8="OFF","OFF","")</f>
        <v/>
      </c>
      <c r="N32" s="56" t="str">
        <f>IF('⚙ OFF Weekends'!$D$9="OFF","OFF","")</f>
        <v/>
      </c>
      <c r="O32" s="50" t="s">
        <v>37</v>
      </c>
      <c r="P32" s="50" t="s">
        <v>37</v>
      </c>
      <c r="Q32" s="48" t="s">
        <v>196</v>
      </c>
      <c r="R32" s="48" t="s">
        <v>196</v>
      </c>
      <c r="S32" s="52" t="s">
        <v>37</v>
      </c>
      <c r="T32" s="98" t="s">
        <v>196</v>
      </c>
      <c r="U32" s="52" t="s">
        <v>223</v>
      </c>
      <c r="V32" s="53" t="s">
        <v>223</v>
      </c>
      <c r="W32" s="54" t="str">
        <f>IF('⚙ OFF Weekends'!$D$18="OFF","OFF","")</f>
        <v>OFF</v>
      </c>
      <c r="X32" s="53" t="s">
        <v>223</v>
      </c>
      <c r="Y32" s="52" t="s">
        <v>37</v>
      </c>
      <c r="Z32" s="53" t="s">
        <v>37</v>
      </c>
      <c r="AA32" s="52" t="s">
        <v>223</v>
      </c>
      <c r="AB32" s="53" t="s">
        <v>37</v>
      </c>
      <c r="AC32" s="54" t="str">
        <f>IF('⚙ OFF Weekends'!$D$24="OFF","OFF","")</f>
        <v/>
      </c>
      <c r="AD32" s="56" t="str">
        <f>IF('⚙ OFF Weekends'!$D$25="OFF","OFF","")</f>
        <v/>
      </c>
      <c r="AE32" s="54" t="str">
        <f>IF('⚙ OFF Weekends'!$D$26="OFF","OFF","")</f>
        <v/>
      </c>
      <c r="AF32" s="56" t="str">
        <f>IF('⚙ OFF Weekends'!$D$27="OFF","OFF","")</f>
        <v/>
      </c>
      <c r="AG32" s="54" t="str">
        <f>IF('⚙ OFF Weekends'!$D$28="OFF","OFF","")</f>
        <v/>
      </c>
      <c r="AH32" s="56" t="str">
        <f>IF('⚙ OFF Weekends'!$D$29="OFF","OFF","")</f>
        <v/>
      </c>
      <c r="AI32" s="54" t="str">
        <f>IF('⚙ OFF Weekends'!$D$30="OFF","OFF","")</f>
        <v/>
      </c>
      <c r="AJ32" s="56" t="str">
        <f>IF('⚙ OFF Weekends'!$D$31="OFF","OFF","")</f>
        <v/>
      </c>
      <c r="AK32" s="54" t="str">
        <f>IF('⚙ OFF Weekends'!$D$32="OFF","OFF","")</f>
        <v/>
      </c>
      <c r="AL32" s="56" t="str">
        <f>IF('⚙ OFF Weekends'!$D$33="OFF","OFF","")</f>
        <v/>
      </c>
      <c r="AM32" s="54" t="str">
        <f>IF('⚙ OFF Weekends'!$D$34="OFF","OFF","")</f>
        <v/>
      </c>
      <c r="AN32" s="56" t="str">
        <f>IF('⚙ OFF Weekends'!$D$35="OFF","OFF","")</f>
        <v/>
      </c>
      <c r="AO32" s="54" t="str">
        <f>IF('⚙ OFF Weekends'!$D$36="OFF","OFF","")</f>
        <v/>
      </c>
      <c r="AP32" s="56" t="str">
        <f>IF('⚙ OFF Weekends'!$D$37="OFF","OFF","")</f>
        <v/>
      </c>
      <c r="AQ32" s="54" t="str">
        <f>IF('⚙ OFF Weekends'!$D$38="OFF","OFF","")</f>
        <v/>
      </c>
      <c r="AR32" s="56" t="str">
        <f>IF('⚙ OFF Weekends'!$D$39="OFF","OFF","")</f>
        <v/>
      </c>
      <c r="AS32" s="54" t="str">
        <f>IF('⚙ OFF Weekends'!$D$40="OFF","OFF","")</f>
        <v/>
      </c>
      <c r="AT32" s="56" t="str">
        <f>IF('⚙ OFF Weekends'!$D$41="OFF","OFF","")</f>
        <v/>
      </c>
      <c r="AU32" s="54" t="str">
        <f>IF('⚙ OFF Weekends'!$D$42="OFF","OFF","")</f>
        <v/>
      </c>
      <c r="AV32" s="56" t="str">
        <f>IF('⚙ OFF Weekends'!$D$43="OFF","OFF","")</f>
        <v/>
      </c>
      <c r="AW32" s="54" t="str">
        <f>IF('⚙ OFF Weekends'!$D$44="OFF","OFF","")</f>
        <v/>
      </c>
      <c r="AX32" s="56" t="str">
        <f>IF('⚙ OFF Weekends'!$D$45="OFF","OFF","")</f>
        <v/>
      </c>
      <c r="AY32" s="54" t="str">
        <f>IF('⚙ OFF Weekends'!$D$46="OFF","OFF","")</f>
        <v/>
      </c>
      <c r="AZ32" s="56" t="str">
        <f>IF('⚙ OFF Weekends'!$D$47="OFF","OFF","")</f>
        <v/>
      </c>
      <c r="BA32" s="54" t="str">
        <f>IF('⚙ OFF Weekends'!$D$48="OFF","OFF","")</f>
        <v/>
      </c>
      <c r="BB32" s="56" t="str">
        <f>IF('⚙ OFF Weekends'!$D$49="OFF","OFF","")</f>
        <v/>
      </c>
      <c r="BC32" s="54" t="str">
        <f>IF('⚙ OFF Weekends'!$D$50="OFF","OFF","")</f>
        <v/>
      </c>
      <c r="BD32" s="56" t="str">
        <f>IF('⚙ OFF Weekends'!$D$51="OFF","OFF","")</f>
        <v/>
      </c>
      <c r="BE32" s="54" t="str">
        <f>IF('⚙ OFF Weekends'!$D$52="OFF","OFF","")</f>
        <v/>
      </c>
      <c r="BF32" s="56" t="str">
        <f>IF('⚙ OFF Weekends'!$D$53="OFF","OFF","")</f>
        <v/>
      </c>
      <c r="BG32" s="54" t="str">
        <f>IF('⚙ OFF Weekends'!$D$54="OFF","OFF","")</f>
        <v/>
      </c>
      <c r="BH32" s="56" t="str">
        <f>IF('⚙ OFF Weekends'!$D$55="OFF","OFF","")</f>
        <v/>
      </c>
      <c r="BI32" s="54" t="str">
        <f>IF('⚙ OFF Weekends'!$D$56="OFF","OFF","")</f>
        <v/>
      </c>
      <c r="BJ32" s="56" t="str">
        <f>IF('⚙ OFF Weekends'!$D$57="OFF","OFF","")</f>
        <v/>
      </c>
      <c r="BK32" s="54" t="str">
        <f>IF('⚙ OFF Weekends'!$D$58="OFF","OFF","")</f>
        <v/>
      </c>
      <c r="BL32" s="56" t="str">
        <f>IF('⚙ OFF Weekends'!$D$59="OFF","OFF","")</f>
        <v/>
      </c>
      <c r="BM32" s="54" t="str">
        <f>IF('⚙ OFF Weekends'!$D$60="OFF","OFF","")</f>
        <v/>
      </c>
      <c r="BN32" s="56" t="str">
        <f>IF('⚙ OFF Weekends'!$D$61="OFF","OFF","")</f>
        <v/>
      </c>
      <c r="BO32" s="54" t="str">
        <f>IF('⚙ OFF Weekends'!$D$62="OFF","OFF","")</f>
        <v/>
      </c>
      <c r="BP32" s="56" t="str">
        <f>IF('⚙ OFF Weekends'!$D$63="OFF","OFF","")</f>
        <v/>
      </c>
      <c r="BQ32" s="54" t="str">
        <f>IF('⚙ OFF Weekends'!$D$64="OFF","OFF","")</f>
        <v/>
      </c>
      <c r="BR32" s="56" t="str">
        <f>IF('⚙ OFF Weekends'!$D$65="OFF","OFF","")</f>
        <v/>
      </c>
      <c r="BS32" s="54" t="str">
        <f>IF('⚙ OFF Weekends'!$D$66="OFF","OFF","")</f>
        <v/>
      </c>
      <c r="BT32" s="56" t="str">
        <f>IF('⚙ OFF Weekends'!$D$67="OFF","OFF","")</f>
        <v/>
      </c>
      <c r="BU32" s="54" t="str">
        <f>IF('⚙ OFF Weekends'!$D$68="OFF","OFF","")</f>
        <v/>
      </c>
      <c r="BV32" s="56" t="str">
        <f>IF('⚙ OFF Weekends'!$D$69="OFF","OFF","")</f>
        <v/>
      </c>
      <c r="BW32" s="54" t="str">
        <f>IF('⚙ OFF Weekends'!$D$70="OFF","OFF","")</f>
        <v/>
      </c>
      <c r="BX32" s="56" t="str">
        <f>IF('⚙ OFF Weekends'!$D$71="OFF","OFF","")</f>
        <v/>
      </c>
      <c r="BY32" s="54" t="str">
        <f>IF('⚙ OFF Weekends'!$D$72="OFF","OFF","")</f>
        <v/>
      </c>
      <c r="BZ32" s="56" t="str">
        <f>IF('⚙ OFF Weekends'!$D$73="OFF","OFF","")</f>
        <v/>
      </c>
      <c r="CA32" s="54" t="str">
        <f>IF('⚙ OFF Weekends'!$D$74="OFF","OFF","")</f>
        <v/>
      </c>
      <c r="CB32" s="56" t="str">
        <f>IF('⚙ OFF Weekends'!$D$75="OFF","OFF","")</f>
        <v/>
      </c>
      <c r="CC32" s="54" t="str">
        <f>IF('⚙ OFF Weekends'!$D$76="OFF","OFF","")</f>
        <v/>
      </c>
      <c r="CD32" s="56" t="str">
        <f>IF('⚙ OFF Weekends'!$D$77="OFF","OFF","")</f>
        <v/>
      </c>
      <c r="CE32" s="96">
        <f t="shared" si="9"/>
        <v>9</v>
      </c>
      <c r="CF32" s="96">
        <f t="shared" si="10"/>
        <v>4</v>
      </c>
      <c r="CG32" s="96">
        <f t="shared" si="11"/>
        <v>0</v>
      </c>
      <c r="CH32" s="96" t="str">
        <f t="shared" si="12"/>
        <v>69%</v>
      </c>
    </row>
    <row r="33" ht="18.0" customHeight="1">
      <c r="A33" s="95">
        <v>13.0</v>
      </c>
      <c r="B33" s="12" t="s">
        <v>438</v>
      </c>
      <c r="C33" s="14" t="s">
        <v>439</v>
      </c>
      <c r="D33" s="17" t="str">
        <f t="shared" si="7"/>
        <v>📞 Call</v>
      </c>
      <c r="E33" s="19" t="str">
        <f t="shared" si="8"/>
        <v>💬 WhatsApp</v>
      </c>
      <c r="F33" s="10"/>
      <c r="G33" s="10"/>
      <c r="H33" s="10"/>
      <c r="I33" s="54" t="str">
        <f>IF('⚙ OFF Weekends'!$D$4="OFF","OFF","")</f>
        <v/>
      </c>
      <c r="J33" s="56" t="str">
        <f>IF('⚙ OFF Weekends'!$D$5="OFF","OFF","")</f>
        <v/>
      </c>
      <c r="K33" s="49" t="s">
        <v>197</v>
      </c>
      <c r="L33" s="56" t="str">
        <f>IF('⚙ OFF Weekends'!$D$7="OFF","OFF","")</f>
        <v/>
      </c>
      <c r="M33" s="54" t="str">
        <f>IF('⚙ OFF Weekends'!$D$8="OFF","OFF","")</f>
        <v/>
      </c>
      <c r="N33" s="56" t="str">
        <f>IF('⚙ OFF Weekends'!$D$9="OFF","OFF","")</f>
        <v/>
      </c>
      <c r="O33" s="48" t="s">
        <v>196</v>
      </c>
      <c r="P33" s="79" t="s">
        <v>223</v>
      </c>
      <c r="Q33" s="79" t="s">
        <v>223</v>
      </c>
      <c r="R33" s="79" t="s">
        <v>223</v>
      </c>
      <c r="S33" s="52" t="s">
        <v>223</v>
      </c>
      <c r="T33" s="98" t="s">
        <v>223</v>
      </c>
      <c r="U33" s="52" t="s">
        <v>223</v>
      </c>
      <c r="V33" s="53" t="s">
        <v>223</v>
      </c>
      <c r="W33" s="54" t="str">
        <f>IF('⚙ OFF Weekends'!$D$18="OFF","OFF","")</f>
        <v>OFF</v>
      </c>
      <c r="X33" s="53" t="s">
        <v>223</v>
      </c>
      <c r="Y33" s="52" t="s">
        <v>223</v>
      </c>
      <c r="Z33" s="53" t="s">
        <v>223</v>
      </c>
      <c r="AA33" s="52" t="s">
        <v>223</v>
      </c>
      <c r="AB33" s="53" t="s">
        <v>223</v>
      </c>
      <c r="AC33" s="54" t="str">
        <f>IF('⚙ OFF Weekends'!$D$24="OFF","OFF","")</f>
        <v/>
      </c>
      <c r="AD33" s="56" t="str">
        <f>IF('⚙ OFF Weekends'!$D$25="OFF","OFF","")</f>
        <v/>
      </c>
      <c r="AE33" s="54" t="str">
        <f>IF('⚙ OFF Weekends'!$D$26="OFF","OFF","")</f>
        <v/>
      </c>
      <c r="AF33" s="56" t="str">
        <f>IF('⚙ OFF Weekends'!$D$27="OFF","OFF","")</f>
        <v/>
      </c>
      <c r="AG33" s="54" t="str">
        <f>IF('⚙ OFF Weekends'!$D$28="OFF","OFF","")</f>
        <v/>
      </c>
      <c r="AH33" s="56" t="str">
        <f>IF('⚙ OFF Weekends'!$D$29="OFF","OFF","")</f>
        <v/>
      </c>
      <c r="AI33" s="54" t="str">
        <f>IF('⚙ OFF Weekends'!$D$30="OFF","OFF","")</f>
        <v/>
      </c>
      <c r="AJ33" s="56" t="str">
        <f>IF('⚙ OFF Weekends'!$D$31="OFF","OFF","")</f>
        <v/>
      </c>
      <c r="AK33" s="54" t="str">
        <f>IF('⚙ OFF Weekends'!$D$32="OFF","OFF","")</f>
        <v/>
      </c>
      <c r="AL33" s="56" t="str">
        <f>IF('⚙ OFF Weekends'!$D$33="OFF","OFF","")</f>
        <v/>
      </c>
      <c r="AM33" s="54" t="str">
        <f>IF('⚙ OFF Weekends'!$D$34="OFF","OFF","")</f>
        <v/>
      </c>
      <c r="AN33" s="56" t="str">
        <f>IF('⚙ OFF Weekends'!$D$35="OFF","OFF","")</f>
        <v/>
      </c>
      <c r="AO33" s="54" t="str">
        <f>IF('⚙ OFF Weekends'!$D$36="OFF","OFF","")</f>
        <v/>
      </c>
      <c r="AP33" s="56" t="str">
        <f>IF('⚙ OFF Weekends'!$D$37="OFF","OFF","")</f>
        <v/>
      </c>
      <c r="AQ33" s="54" t="str">
        <f>IF('⚙ OFF Weekends'!$D$38="OFF","OFF","")</f>
        <v/>
      </c>
      <c r="AR33" s="56" t="str">
        <f>IF('⚙ OFF Weekends'!$D$39="OFF","OFF","")</f>
        <v/>
      </c>
      <c r="AS33" s="54" t="str">
        <f>IF('⚙ OFF Weekends'!$D$40="OFF","OFF","")</f>
        <v/>
      </c>
      <c r="AT33" s="56" t="str">
        <f>IF('⚙ OFF Weekends'!$D$41="OFF","OFF","")</f>
        <v/>
      </c>
      <c r="AU33" s="54" t="str">
        <f>IF('⚙ OFF Weekends'!$D$42="OFF","OFF","")</f>
        <v/>
      </c>
      <c r="AV33" s="56" t="str">
        <f>IF('⚙ OFF Weekends'!$D$43="OFF","OFF","")</f>
        <v/>
      </c>
      <c r="AW33" s="54" t="str">
        <f>IF('⚙ OFF Weekends'!$D$44="OFF","OFF","")</f>
        <v/>
      </c>
      <c r="AX33" s="56" t="str">
        <f>IF('⚙ OFF Weekends'!$D$45="OFF","OFF","")</f>
        <v/>
      </c>
      <c r="AY33" s="54" t="str">
        <f>IF('⚙ OFF Weekends'!$D$46="OFF","OFF","")</f>
        <v/>
      </c>
      <c r="AZ33" s="56" t="str">
        <f>IF('⚙ OFF Weekends'!$D$47="OFF","OFF","")</f>
        <v/>
      </c>
      <c r="BA33" s="54" t="str">
        <f>IF('⚙ OFF Weekends'!$D$48="OFF","OFF","")</f>
        <v/>
      </c>
      <c r="BB33" s="56" t="str">
        <f>IF('⚙ OFF Weekends'!$D$49="OFF","OFF","")</f>
        <v/>
      </c>
      <c r="BC33" s="54" t="str">
        <f>IF('⚙ OFF Weekends'!$D$50="OFF","OFF","")</f>
        <v/>
      </c>
      <c r="BD33" s="56" t="str">
        <f>IF('⚙ OFF Weekends'!$D$51="OFF","OFF","")</f>
        <v/>
      </c>
      <c r="BE33" s="54" t="str">
        <f>IF('⚙ OFF Weekends'!$D$52="OFF","OFF","")</f>
        <v/>
      </c>
      <c r="BF33" s="56" t="str">
        <f>IF('⚙ OFF Weekends'!$D$53="OFF","OFF","")</f>
        <v/>
      </c>
      <c r="BG33" s="54" t="str">
        <f>IF('⚙ OFF Weekends'!$D$54="OFF","OFF","")</f>
        <v/>
      </c>
      <c r="BH33" s="56" t="str">
        <f>IF('⚙ OFF Weekends'!$D$55="OFF","OFF","")</f>
        <v/>
      </c>
      <c r="BI33" s="54" t="str">
        <f>IF('⚙ OFF Weekends'!$D$56="OFF","OFF","")</f>
        <v/>
      </c>
      <c r="BJ33" s="56" t="str">
        <f>IF('⚙ OFF Weekends'!$D$57="OFF","OFF","")</f>
        <v/>
      </c>
      <c r="BK33" s="54" t="str">
        <f>IF('⚙ OFF Weekends'!$D$58="OFF","OFF","")</f>
        <v/>
      </c>
      <c r="BL33" s="56" t="str">
        <f>IF('⚙ OFF Weekends'!$D$59="OFF","OFF","")</f>
        <v/>
      </c>
      <c r="BM33" s="54" t="str">
        <f>IF('⚙ OFF Weekends'!$D$60="OFF","OFF","")</f>
        <v/>
      </c>
      <c r="BN33" s="56" t="str">
        <f>IF('⚙ OFF Weekends'!$D$61="OFF","OFF","")</f>
        <v/>
      </c>
      <c r="BO33" s="54" t="str">
        <f>IF('⚙ OFF Weekends'!$D$62="OFF","OFF","")</f>
        <v/>
      </c>
      <c r="BP33" s="56" t="str">
        <f>IF('⚙ OFF Weekends'!$D$63="OFF","OFF","")</f>
        <v/>
      </c>
      <c r="BQ33" s="54" t="str">
        <f>IF('⚙ OFF Weekends'!$D$64="OFF","OFF","")</f>
        <v/>
      </c>
      <c r="BR33" s="56" t="str">
        <f>IF('⚙ OFF Weekends'!$D$65="OFF","OFF","")</f>
        <v/>
      </c>
      <c r="BS33" s="54" t="str">
        <f>IF('⚙ OFF Weekends'!$D$66="OFF","OFF","")</f>
        <v/>
      </c>
      <c r="BT33" s="56" t="str">
        <f>IF('⚙ OFF Weekends'!$D$67="OFF","OFF","")</f>
        <v/>
      </c>
      <c r="BU33" s="54" t="str">
        <f>IF('⚙ OFF Weekends'!$D$68="OFF","OFF","")</f>
        <v/>
      </c>
      <c r="BV33" s="56" t="str">
        <f>IF('⚙ OFF Weekends'!$D$69="OFF","OFF","")</f>
        <v/>
      </c>
      <c r="BW33" s="54" t="str">
        <f>IF('⚙ OFF Weekends'!$D$70="OFF","OFF","")</f>
        <v/>
      </c>
      <c r="BX33" s="56" t="str">
        <f>IF('⚙ OFF Weekends'!$D$71="OFF","OFF","")</f>
        <v/>
      </c>
      <c r="BY33" s="54" t="str">
        <f>IF('⚙ OFF Weekends'!$D$72="OFF","OFF","")</f>
        <v/>
      </c>
      <c r="BZ33" s="56" t="str">
        <f>IF('⚙ OFF Weekends'!$D$73="OFF","OFF","")</f>
        <v/>
      </c>
      <c r="CA33" s="54" t="str">
        <f>IF('⚙ OFF Weekends'!$D$74="OFF","OFF","")</f>
        <v/>
      </c>
      <c r="CB33" s="56" t="str">
        <f>IF('⚙ OFF Weekends'!$D$75="OFF","OFF","")</f>
        <v/>
      </c>
      <c r="CC33" s="54" t="str">
        <f>IF('⚙ OFF Weekends'!$D$76="OFF","OFF","")</f>
        <v/>
      </c>
      <c r="CD33" s="56" t="str">
        <f>IF('⚙ OFF Weekends'!$D$77="OFF","OFF","")</f>
        <v/>
      </c>
      <c r="CE33" s="95">
        <f t="shared" si="9"/>
        <v>1</v>
      </c>
      <c r="CF33" s="95">
        <f t="shared" si="10"/>
        <v>12</v>
      </c>
      <c r="CG33" s="95">
        <f t="shared" si="11"/>
        <v>0</v>
      </c>
      <c r="CH33" s="95" t="str">
        <f t="shared" si="12"/>
        <v>8%</v>
      </c>
    </row>
    <row r="34" ht="18.0" customHeight="1">
      <c r="A34" s="107">
        <v>14.0</v>
      </c>
      <c r="B34" s="108"/>
      <c r="C34" s="108"/>
      <c r="D34" s="109" t="str">
        <f t="shared" si="7"/>
        <v/>
      </c>
      <c r="E34" s="110" t="str">
        <f t="shared" si="8"/>
        <v/>
      </c>
      <c r="F34" s="108"/>
      <c r="G34" s="108"/>
      <c r="H34" s="108"/>
      <c r="I34" s="111" t="str">
        <f>IF('⚙ OFF Weekends'!$D$4="OFF","OFF","")</f>
        <v/>
      </c>
      <c r="J34" s="111" t="str">
        <f>IF('⚙ OFF Weekends'!$D$5="OFF","OFF","")</f>
        <v/>
      </c>
      <c r="K34" s="111" t="str">
        <f>IF('⚙ OFF Weekends'!$D$6="OFF","OFF","")</f>
        <v/>
      </c>
      <c r="L34" s="111" t="str">
        <f>IF('⚙ OFF Weekends'!$D$7="OFF","OFF","")</f>
        <v/>
      </c>
      <c r="M34" s="111" t="str">
        <f>IF('⚙ OFF Weekends'!$D$8="OFF","OFF","")</f>
        <v/>
      </c>
      <c r="N34" s="111" t="str">
        <f>IF('⚙ OFF Weekends'!$D$9="OFF","OFF","")</f>
        <v/>
      </c>
      <c r="O34" s="111" t="str">
        <f>IF('⚙ OFF Weekends'!$D$10="OFF","OFF","")</f>
        <v/>
      </c>
      <c r="P34" s="111" t="str">
        <f>IF('⚙ OFF Weekends'!$D$11="OFF","OFF","")</f>
        <v/>
      </c>
      <c r="Q34" s="111" t="str">
        <f>IF('⚙ OFF Weekends'!$D$12="OFF","OFF","")</f>
        <v/>
      </c>
      <c r="R34" s="111" t="str">
        <f>IF('⚙ OFF Weekends'!$D$13="OFF","OFF","")</f>
        <v/>
      </c>
      <c r="S34" s="111" t="str">
        <f>IF('⚙ OFF Weekends'!$D$14="OFF","OFF","")</f>
        <v/>
      </c>
      <c r="T34" s="111" t="str">
        <f>IF('⚙ OFF Weekends'!$D$15="OFF","OFF","")</f>
        <v/>
      </c>
      <c r="U34" s="111" t="str">
        <f>IF('⚙ OFF Weekends'!$D$16="OFF","OFF","")</f>
        <v/>
      </c>
      <c r="V34" s="111" t="str">
        <f>IF('⚙ OFF Weekends'!$D$17="OFF","OFF","")</f>
        <v/>
      </c>
      <c r="W34" s="111" t="str">
        <f>IF('⚙ OFF Weekends'!$D$18="OFF","OFF","")</f>
        <v>OFF</v>
      </c>
      <c r="X34" s="111" t="str">
        <f>IF('⚙ OFF Weekends'!$D$19="OFF","OFF","")</f>
        <v/>
      </c>
      <c r="Y34" s="111" t="str">
        <f>IF('⚙ OFF Weekends'!$D$20="OFF","OFF","")</f>
        <v/>
      </c>
      <c r="Z34" s="111" t="str">
        <f>IF('⚙ OFF Weekends'!$D$21="OFF","OFF","")</f>
        <v/>
      </c>
      <c r="AA34" s="111" t="str">
        <f>IF('⚙ OFF Weekends'!$D$22="OFF","OFF","")</f>
        <v/>
      </c>
      <c r="AB34" s="111" t="str">
        <f>IF('⚙ OFF Weekends'!$D$23="OFF","OFF","")</f>
        <v/>
      </c>
      <c r="AC34" s="111" t="str">
        <f>IF('⚙ OFF Weekends'!$D$24="OFF","OFF","")</f>
        <v/>
      </c>
      <c r="AD34" s="111" t="str">
        <f>IF('⚙ OFF Weekends'!$D$25="OFF","OFF","")</f>
        <v/>
      </c>
      <c r="AE34" s="111" t="str">
        <f>IF('⚙ OFF Weekends'!$D$26="OFF","OFF","")</f>
        <v/>
      </c>
      <c r="AF34" s="111" t="str">
        <f>IF('⚙ OFF Weekends'!$D$27="OFF","OFF","")</f>
        <v/>
      </c>
      <c r="AG34" s="111" t="str">
        <f>IF('⚙ OFF Weekends'!$D$28="OFF","OFF","")</f>
        <v/>
      </c>
      <c r="AH34" s="111" t="str">
        <f>IF('⚙ OFF Weekends'!$D$29="OFF","OFF","")</f>
        <v/>
      </c>
      <c r="AI34" s="111" t="str">
        <f>IF('⚙ OFF Weekends'!$D$30="OFF","OFF","")</f>
        <v/>
      </c>
      <c r="AJ34" s="111" t="str">
        <f>IF('⚙ OFF Weekends'!$D$31="OFF","OFF","")</f>
        <v/>
      </c>
      <c r="AK34" s="111" t="str">
        <f>IF('⚙ OFF Weekends'!$D$32="OFF","OFF","")</f>
        <v/>
      </c>
      <c r="AL34" s="111" t="str">
        <f>IF('⚙ OFF Weekends'!$D$33="OFF","OFF","")</f>
        <v/>
      </c>
      <c r="AM34" s="111" t="str">
        <f>IF('⚙ OFF Weekends'!$D$34="OFF","OFF","")</f>
        <v/>
      </c>
      <c r="AN34" s="111" t="str">
        <f>IF('⚙ OFF Weekends'!$D$35="OFF","OFF","")</f>
        <v/>
      </c>
      <c r="AO34" s="111" t="str">
        <f>IF('⚙ OFF Weekends'!$D$36="OFF","OFF","")</f>
        <v/>
      </c>
      <c r="AP34" s="111" t="str">
        <f>IF('⚙ OFF Weekends'!$D$37="OFF","OFF","")</f>
        <v/>
      </c>
      <c r="AQ34" s="111" t="str">
        <f>IF('⚙ OFF Weekends'!$D$38="OFF","OFF","")</f>
        <v/>
      </c>
      <c r="AR34" s="111" t="str">
        <f>IF('⚙ OFF Weekends'!$D$39="OFF","OFF","")</f>
        <v/>
      </c>
      <c r="AS34" s="111" t="str">
        <f>IF('⚙ OFF Weekends'!$D$40="OFF","OFF","")</f>
        <v/>
      </c>
      <c r="AT34" s="111" t="str">
        <f>IF('⚙ OFF Weekends'!$D$41="OFF","OFF","")</f>
        <v/>
      </c>
      <c r="AU34" s="111" t="str">
        <f>IF('⚙ OFF Weekends'!$D$42="OFF","OFF","")</f>
        <v/>
      </c>
      <c r="AV34" s="111" t="str">
        <f>IF('⚙ OFF Weekends'!$D$43="OFF","OFF","")</f>
        <v/>
      </c>
      <c r="AW34" s="111" t="str">
        <f>IF('⚙ OFF Weekends'!$D$44="OFF","OFF","")</f>
        <v/>
      </c>
      <c r="AX34" s="111" t="str">
        <f>IF('⚙ OFF Weekends'!$D$45="OFF","OFF","")</f>
        <v/>
      </c>
      <c r="AY34" s="111" t="str">
        <f>IF('⚙ OFF Weekends'!$D$46="OFF","OFF","")</f>
        <v/>
      </c>
      <c r="AZ34" s="111" t="str">
        <f>IF('⚙ OFF Weekends'!$D$47="OFF","OFF","")</f>
        <v/>
      </c>
      <c r="BA34" s="111" t="str">
        <f>IF('⚙ OFF Weekends'!$D$48="OFF","OFF","")</f>
        <v/>
      </c>
      <c r="BB34" s="111" t="str">
        <f>IF('⚙ OFF Weekends'!$D$49="OFF","OFF","")</f>
        <v/>
      </c>
      <c r="BC34" s="111" t="str">
        <f>IF('⚙ OFF Weekends'!$D$50="OFF","OFF","")</f>
        <v/>
      </c>
      <c r="BD34" s="111" t="str">
        <f>IF('⚙ OFF Weekends'!$D$51="OFF","OFF","")</f>
        <v/>
      </c>
      <c r="BE34" s="111" t="str">
        <f>IF('⚙ OFF Weekends'!$D$52="OFF","OFF","")</f>
        <v/>
      </c>
      <c r="BF34" s="111" t="str">
        <f>IF('⚙ OFF Weekends'!$D$53="OFF","OFF","")</f>
        <v/>
      </c>
      <c r="BG34" s="111" t="str">
        <f>IF('⚙ OFF Weekends'!$D$54="OFF","OFF","")</f>
        <v/>
      </c>
      <c r="BH34" s="111" t="str">
        <f>IF('⚙ OFF Weekends'!$D$55="OFF","OFF","")</f>
        <v/>
      </c>
      <c r="BI34" s="111" t="str">
        <f>IF('⚙ OFF Weekends'!$D$56="OFF","OFF","")</f>
        <v/>
      </c>
      <c r="BJ34" s="111" t="str">
        <f>IF('⚙ OFF Weekends'!$D$57="OFF","OFF","")</f>
        <v/>
      </c>
      <c r="BK34" s="111" t="str">
        <f>IF('⚙ OFF Weekends'!$D$58="OFF","OFF","")</f>
        <v/>
      </c>
      <c r="BL34" s="111" t="str">
        <f>IF('⚙ OFF Weekends'!$D$59="OFF","OFF","")</f>
        <v/>
      </c>
      <c r="BM34" s="111" t="str">
        <f>IF('⚙ OFF Weekends'!$D$60="OFF","OFF","")</f>
        <v/>
      </c>
      <c r="BN34" s="111" t="str">
        <f>IF('⚙ OFF Weekends'!$D$61="OFF","OFF","")</f>
        <v/>
      </c>
      <c r="BO34" s="111" t="str">
        <f>IF('⚙ OFF Weekends'!$D$62="OFF","OFF","")</f>
        <v/>
      </c>
      <c r="BP34" s="111" t="str">
        <f>IF('⚙ OFF Weekends'!$D$63="OFF","OFF","")</f>
        <v/>
      </c>
      <c r="BQ34" s="111" t="str">
        <f>IF('⚙ OFF Weekends'!$D$64="OFF","OFF","")</f>
        <v/>
      </c>
      <c r="BR34" s="111" t="str">
        <f>IF('⚙ OFF Weekends'!$D$65="OFF","OFF","")</f>
        <v/>
      </c>
      <c r="BS34" s="111" t="str">
        <f>IF('⚙ OFF Weekends'!$D$66="OFF","OFF","")</f>
        <v/>
      </c>
      <c r="BT34" s="111" t="str">
        <f>IF('⚙ OFF Weekends'!$D$67="OFF","OFF","")</f>
        <v/>
      </c>
      <c r="BU34" s="111" t="str">
        <f>IF('⚙ OFF Weekends'!$D$68="OFF","OFF","")</f>
        <v/>
      </c>
      <c r="BV34" s="111" t="str">
        <f>IF('⚙ OFF Weekends'!$D$69="OFF","OFF","")</f>
        <v/>
      </c>
      <c r="BW34" s="111" t="str">
        <f>IF('⚙ OFF Weekends'!$D$70="OFF","OFF","")</f>
        <v/>
      </c>
      <c r="BX34" s="111" t="str">
        <f>IF('⚙ OFF Weekends'!$D$71="OFF","OFF","")</f>
        <v/>
      </c>
      <c r="BY34" s="111" t="str">
        <f>IF('⚙ OFF Weekends'!$D$72="OFF","OFF","")</f>
        <v/>
      </c>
      <c r="BZ34" s="111" t="str">
        <f>IF('⚙ OFF Weekends'!$D$73="OFF","OFF","")</f>
        <v/>
      </c>
      <c r="CA34" s="111" t="str">
        <f>IF('⚙ OFF Weekends'!$D$74="OFF","OFF","")</f>
        <v/>
      </c>
      <c r="CB34" s="111" t="str">
        <f>IF('⚙ OFF Weekends'!$D$75="OFF","OFF","")</f>
        <v/>
      </c>
      <c r="CC34" s="111" t="str">
        <f>IF('⚙ OFF Weekends'!$D$76="OFF","OFF","")</f>
        <v/>
      </c>
      <c r="CD34" s="111" t="str">
        <f>IF('⚙ OFF Weekends'!$D$77="OFF","OFF","")</f>
        <v/>
      </c>
      <c r="CE34" s="112">
        <f t="shared" si="9"/>
        <v>0</v>
      </c>
      <c r="CF34" s="112">
        <f t="shared" si="10"/>
        <v>0</v>
      </c>
      <c r="CG34" s="112">
        <f t="shared" si="11"/>
        <v>0</v>
      </c>
      <c r="CH34" s="112" t="str">
        <f t="shared" si="12"/>
        <v>0%</v>
      </c>
    </row>
    <row r="35" ht="18.0" customHeight="1">
      <c r="A35" s="107">
        <v>15.0</v>
      </c>
      <c r="B35" s="108"/>
      <c r="C35" s="108"/>
      <c r="D35" s="109" t="str">
        <f t="shared" si="7"/>
        <v/>
      </c>
      <c r="E35" s="110" t="str">
        <f t="shared" si="8"/>
        <v/>
      </c>
      <c r="F35" s="108"/>
      <c r="G35" s="108"/>
      <c r="H35" s="108"/>
      <c r="I35" s="111" t="str">
        <f>IF('⚙ OFF Weekends'!$D$4="OFF","OFF","")</f>
        <v/>
      </c>
      <c r="J35" s="111" t="str">
        <f>IF('⚙ OFF Weekends'!$D$5="OFF","OFF","")</f>
        <v/>
      </c>
      <c r="K35" s="111" t="str">
        <f>IF('⚙ OFF Weekends'!$D$6="OFF","OFF","")</f>
        <v/>
      </c>
      <c r="L35" s="111" t="str">
        <f>IF('⚙ OFF Weekends'!$D$7="OFF","OFF","")</f>
        <v/>
      </c>
      <c r="M35" s="111" t="str">
        <f>IF('⚙ OFF Weekends'!$D$8="OFF","OFF","")</f>
        <v/>
      </c>
      <c r="N35" s="111" t="str">
        <f>IF('⚙ OFF Weekends'!$D$9="OFF","OFF","")</f>
        <v/>
      </c>
      <c r="O35" s="111" t="str">
        <f>IF('⚙ OFF Weekends'!$D$10="OFF","OFF","")</f>
        <v/>
      </c>
      <c r="P35" s="111" t="str">
        <f>IF('⚙ OFF Weekends'!$D$11="OFF","OFF","")</f>
        <v/>
      </c>
      <c r="Q35" s="111" t="str">
        <f>IF('⚙ OFF Weekends'!$D$12="OFF","OFF","")</f>
        <v/>
      </c>
      <c r="R35" s="111" t="str">
        <f>IF('⚙ OFF Weekends'!$D$13="OFF","OFF","")</f>
        <v/>
      </c>
      <c r="S35" s="111" t="str">
        <f>IF('⚙ OFF Weekends'!$D$14="OFF","OFF","")</f>
        <v/>
      </c>
      <c r="T35" s="111" t="str">
        <f>IF('⚙ OFF Weekends'!$D$15="OFF","OFF","")</f>
        <v/>
      </c>
      <c r="U35" s="111" t="str">
        <f>IF('⚙ OFF Weekends'!$D$16="OFF","OFF","")</f>
        <v/>
      </c>
      <c r="V35" s="111" t="str">
        <f>IF('⚙ OFF Weekends'!$D$17="OFF","OFF","")</f>
        <v/>
      </c>
      <c r="W35" s="111" t="str">
        <f>IF('⚙ OFF Weekends'!$D$18="OFF","OFF","")</f>
        <v>OFF</v>
      </c>
      <c r="X35" s="111" t="str">
        <f>IF('⚙ OFF Weekends'!$D$19="OFF","OFF","")</f>
        <v/>
      </c>
      <c r="Y35" s="111" t="str">
        <f>IF('⚙ OFF Weekends'!$D$20="OFF","OFF","")</f>
        <v/>
      </c>
      <c r="Z35" s="111" t="str">
        <f>IF('⚙ OFF Weekends'!$D$21="OFF","OFF","")</f>
        <v/>
      </c>
      <c r="AA35" s="111" t="str">
        <f>IF('⚙ OFF Weekends'!$D$22="OFF","OFF","")</f>
        <v/>
      </c>
      <c r="AB35" s="111" t="str">
        <f>IF('⚙ OFF Weekends'!$D$23="OFF","OFF","")</f>
        <v/>
      </c>
      <c r="AC35" s="111" t="str">
        <f>IF('⚙ OFF Weekends'!$D$24="OFF","OFF","")</f>
        <v/>
      </c>
      <c r="AD35" s="111" t="str">
        <f>IF('⚙ OFF Weekends'!$D$25="OFF","OFF","")</f>
        <v/>
      </c>
      <c r="AE35" s="111" t="str">
        <f>IF('⚙ OFF Weekends'!$D$26="OFF","OFF","")</f>
        <v/>
      </c>
      <c r="AF35" s="111" t="str">
        <f>IF('⚙ OFF Weekends'!$D$27="OFF","OFF","")</f>
        <v/>
      </c>
      <c r="AG35" s="111" t="str">
        <f>IF('⚙ OFF Weekends'!$D$28="OFF","OFF","")</f>
        <v/>
      </c>
      <c r="AH35" s="111" t="str">
        <f>IF('⚙ OFF Weekends'!$D$29="OFF","OFF","")</f>
        <v/>
      </c>
      <c r="AI35" s="111" t="str">
        <f>IF('⚙ OFF Weekends'!$D$30="OFF","OFF","")</f>
        <v/>
      </c>
      <c r="AJ35" s="111" t="str">
        <f>IF('⚙ OFF Weekends'!$D$31="OFF","OFF","")</f>
        <v/>
      </c>
      <c r="AK35" s="111" t="str">
        <f>IF('⚙ OFF Weekends'!$D$32="OFF","OFF","")</f>
        <v/>
      </c>
      <c r="AL35" s="111" t="str">
        <f>IF('⚙ OFF Weekends'!$D$33="OFF","OFF","")</f>
        <v/>
      </c>
      <c r="AM35" s="111" t="str">
        <f>IF('⚙ OFF Weekends'!$D$34="OFF","OFF","")</f>
        <v/>
      </c>
      <c r="AN35" s="111" t="str">
        <f>IF('⚙ OFF Weekends'!$D$35="OFF","OFF","")</f>
        <v/>
      </c>
      <c r="AO35" s="111" t="str">
        <f>IF('⚙ OFF Weekends'!$D$36="OFF","OFF","")</f>
        <v/>
      </c>
      <c r="AP35" s="111" t="str">
        <f>IF('⚙ OFF Weekends'!$D$37="OFF","OFF","")</f>
        <v/>
      </c>
      <c r="AQ35" s="111" t="str">
        <f>IF('⚙ OFF Weekends'!$D$38="OFF","OFF","")</f>
        <v/>
      </c>
      <c r="AR35" s="111" t="str">
        <f>IF('⚙ OFF Weekends'!$D$39="OFF","OFF","")</f>
        <v/>
      </c>
      <c r="AS35" s="111" t="str">
        <f>IF('⚙ OFF Weekends'!$D$40="OFF","OFF","")</f>
        <v/>
      </c>
      <c r="AT35" s="111" t="str">
        <f>IF('⚙ OFF Weekends'!$D$41="OFF","OFF","")</f>
        <v/>
      </c>
      <c r="AU35" s="111" t="str">
        <f>IF('⚙ OFF Weekends'!$D$42="OFF","OFF","")</f>
        <v/>
      </c>
      <c r="AV35" s="111" t="str">
        <f>IF('⚙ OFF Weekends'!$D$43="OFF","OFF","")</f>
        <v/>
      </c>
      <c r="AW35" s="111" t="str">
        <f>IF('⚙ OFF Weekends'!$D$44="OFF","OFF","")</f>
        <v/>
      </c>
      <c r="AX35" s="111" t="str">
        <f>IF('⚙ OFF Weekends'!$D$45="OFF","OFF","")</f>
        <v/>
      </c>
      <c r="AY35" s="111" t="str">
        <f>IF('⚙ OFF Weekends'!$D$46="OFF","OFF","")</f>
        <v/>
      </c>
      <c r="AZ35" s="111" t="str">
        <f>IF('⚙ OFF Weekends'!$D$47="OFF","OFF","")</f>
        <v/>
      </c>
      <c r="BA35" s="111" t="str">
        <f>IF('⚙ OFF Weekends'!$D$48="OFF","OFF","")</f>
        <v/>
      </c>
      <c r="BB35" s="111" t="str">
        <f>IF('⚙ OFF Weekends'!$D$49="OFF","OFF","")</f>
        <v/>
      </c>
      <c r="BC35" s="111" t="str">
        <f>IF('⚙ OFF Weekends'!$D$50="OFF","OFF","")</f>
        <v/>
      </c>
      <c r="BD35" s="111" t="str">
        <f>IF('⚙ OFF Weekends'!$D$51="OFF","OFF","")</f>
        <v/>
      </c>
      <c r="BE35" s="111" t="str">
        <f>IF('⚙ OFF Weekends'!$D$52="OFF","OFF","")</f>
        <v/>
      </c>
      <c r="BF35" s="111" t="str">
        <f>IF('⚙ OFF Weekends'!$D$53="OFF","OFF","")</f>
        <v/>
      </c>
      <c r="BG35" s="111" t="str">
        <f>IF('⚙ OFF Weekends'!$D$54="OFF","OFF","")</f>
        <v/>
      </c>
      <c r="BH35" s="111" t="str">
        <f>IF('⚙ OFF Weekends'!$D$55="OFF","OFF","")</f>
        <v/>
      </c>
      <c r="BI35" s="111" t="str">
        <f>IF('⚙ OFF Weekends'!$D$56="OFF","OFF","")</f>
        <v/>
      </c>
      <c r="BJ35" s="111" t="str">
        <f>IF('⚙ OFF Weekends'!$D$57="OFF","OFF","")</f>
        <v/>
      </c>
      <c r="BK35" s="111" t="str">
        <f>IF('⚙ OFF Weekends'!$D$58="OFF","OFF","")</f>
        <v/>
      </c>
      <c r="BL35" s="111" t="str">
        <f>IF('⚙ OFF Weekends'!$D$59="OFF","OFF","")</f>
        <v/>
      </c>
      <c r="BM35" s="111" t="str">
        <f>IF('⚙ OFF Weekends'!$D$60="OFF","OFF","")</f>
        <v/>
      </c>
      <c r="BN35" s="111" t="str">
        <f>IF('⚙ OFF Weekends'!$D$61="OFF","OFF","")</f>
        <v/>
      </c>
      <c r="BO35" s="111" t="str">
        <f>IF('⚙ OFF Weekends'!$D$62="OFF","OFF","")</f>
        <v/>
      </c>
      <c r="BP35" s="111" t="str">
        <f>IF('⚙ OFF Weekends'!$D$63="OFF","OFF","")</f>
        <v/>
      </c>
      <c r="BQ35" s="111" t="str">
        <f>IF('⚙ OFF Weekends'!$D$64="OFF","OFF","")</f>
        <v/>
      </c>
      <c r="BR35" s="111" t="str">
        <f>IF('⚙ OFF Weekends'!$D$65="OFF","OFF","")</f>
        <v/>
      </c>
      <c r="BS35" s="111" t="str">
        <f>IF('⚙ OFF Weekends'!$D$66="OFF","OFF","")</f>
        <v/>
      </c>
      <c r="BT35" s="111" t="str">
        <f>IF('⚙ OFF Weekends'!$D$67="OFF","OFF","")</f>
        <v/>
      </c>
      <c r="BU35" s="111" t="str">
        <f>IF('⚙ OFF Weekends'!$D$68="OFF","OFF","")</f>
        <v/>
      </c>
      <c r="BV35" s="111" t="str">
        <f>IF('⚙ OFF Weekends'!$D$69="OFF","OFF","")</f>
        <v/>
      </c>
      <c r="BW35" s="111" t="str">
        <f>IF('⚙ OFF Weekends'!$D$70="OFF","OFF","")</f>
        <v/>
      </c>
      <c r="BX35" s="111" t="str">
        <f>IF('⚙ OFF Weekends'!$D$71="OFF","OFF","")</f>
        <v/>
      </c>
      <c r="BY35" s="111" t="str">
        <f>IF('⚙ OFF Weekends'!$D$72="OFF","OFF","")</f>
        <v/>
      </c>
      <c r="BZ35" s="111" t="str">
        <f>IF('⚙ OFF Weekends'!$D$73="OFF","OFF","")</f>
        <v/>
      </c>
      <c r="CA35" s="111" t="str">
        <f>IF('⚙ OFF Weekends'!$D$74="OFF","OFF","")</f>
        <v/>
      </c>
      <c r="CB35" s="111" t="str">
        <f>IF('⚙ OFF Weekends'!$D$75="OFF","OFF","")</f>
        <v/>
      </c>
      <c r="CC35" s="111" t="str">
        <f>IF('⚙ OFF Weekends'!$D$76="OFF","OFF","")</f>
        <v/>
      </c>
      <c r="CD35" s="111" t="str">
        <f>IF('⚙ OFF Weekends'!$D$77="OFF","OFF","")</f>
        <v/>
      </c>
      <c r="CE35" s="112">
        <f t="shared" si="9"/>
        <v>0</v>
      </c>
      <c r="CF35" s="112">
        <f t="shared" si="10"/>
        <v>0</v>
      </c>
      <c r="CG35" s="112">
        <f t="shared" si="11"/>
        <v>0</v>
      </c>
      <c r="CH35" s="112" t="str">
        <f t="shared" si="12"/>
        <v>0%</v>
      </c>
    </row>
    <row r="36" ht="18.0" customHeight="1">
      <c r="A36" s="107">
        <v>16.0</v>
      </c>
      <c r="B36" s="108"/>
      <c r="C36" s="108"/>
      <c r="D36" s="109" t="str">
        <f t="shared" si="7"/>
        <v/>
      </c>
      <c r="E36" s="110" t="str">
        <f t="shared" si="8"/>
        <v/>
      </c>
      <c r="F36" s="108"/>
      <c r="G36" s="108"/>
      <c r="H36" s="108"/>
      <c r="I36" s="111" t="str">
        <f>IF('⚙ OFF Weekends'!$D$4="OFF","OFF","")</f>
        <v/>
      </c>
      <c r="J36" s="111" t="str">
        <f>IF('⚙ OFF Weekends'!$D$5="OFF","OFF","")</f>
        <v/>
      </c>
      <c r="K36" s="111" t="str">
        <f>IF('⚙ OFF Weekends'!$D$6="OFF","OFF","")</f>
        <v/>
      </c>
      <c r="L36" s="111" t="str">
        <f>IF('⚙ OFF Weekends'!$D$7="OFF","OFF","")</f>
        <v/>
      </c>
      <c r="M36" s="111" t="str">
        <f>IF('⚙ OFF Weekends'!$D$8="OFF","OFF","")</f>
        <v/>
      </c>
      <c r="N36" s="111" t="str">
        <f>IF('⚙ OFF Weekends'!$D$9="OFF","OFF","")</f>
        <v/>
      </c>
      <c r="O36" s="111" t="str">
        <f>IF('⚙ OFF Weekends'!$D$10="OFF","OFF","")</f>
        <v/>
      </c>
      <c r="P36" s="111" t="str">
        <f>IF('⚙ OFF Weekends'!$D$11="OFF","OFF","")</f>
        <v/>
      </c>
      <c r="Q36" s="111" t="str">
        <f>IF('⚙ OFF Weekends'!$D$12="OFF","OFF","")</f>
        <v/>
      </c>
      <c r="R36" s="111" t="str">
        <f>IF('⚙ OFF Weekends'!$D$13="OFF","OFF","")</f>
        <v/>
      </c>
      <c r="S36" s="111" t="str">
        <f>IF('⚙ OFF Weekends'!$D$14="OFF","OFF","")</f>
        <v/>
      </c>
      <c r="T36" s="111" t="str">
        <f>IF('⚙ OFF Weekends'!$D$15="OFF","OFF","")</f>
        <v/>
      </c>
      <c r="U36" s="111" t="str">
        <f>IF('⚙ OFF Weekends'!$D$16="OFF","OFF","")</f>
        <v/>
      </c>
      <c r="V36" s="111" t="str">
        <f>IF('⚙ OFF Weekends'!$D$17="OFF","OFF","")</f>
        <v/>
      </c>
      <c r="W36" s="111" t="str">
        <f>IF('⚙ OFF Weekends'!$D$18="OFF","OFF","")</f>
        <v>OFF</v>
      </c>
      <c r="X36" s="111" t="str">
        <f>IF('⚙ OFF Weekends'!$D$19="OFF","OFF","")</f>
        <v/>
      </c>
      <c r="Y36" s="111" t="str">
        <f>IF('⚙ OFF Weekends'!$D$20="OFF","OFF","")</f>
        <v/>
      </c>
      <c r="Z36" s="111" t="str">
        <f>IF('⚙ OFF Weekends'!$D$21="OFF","OFF","")</f>
        <v/>
      </c>
      <c r="AA36" s="111" t="str">
        <f>IF('⚙ OFF Weekends'!$D$22="OFF","OFF","")</f>
        <v/>
      </c>
      <c r="AB36" s="111" t="str">
        <f>IF('⚙ OFF Weekends'!$D$23="OFF","OFF","")</f>
        <v/>
      </c>
      <c r="AC36" s="111" t="str">
        <f>IF('⚙ OFF Weekends'!$D$24="OFF","OFF","")</f>
        <v/>
      </c>
      <c r="AD36" s="111" t="str">
        <f>IF('⚙ OFF Weekends'!$D$25="OFF","OFF","")</f>
        <v/>
      </c>
      <c r="AE36" s="111" t="str">
        <f>IF('⚙ OFF Weekends'!$D$26="OFF","OFF","")</f>
        <v/>
      </c>
      <c r="AF36" s="111" t="str">
        <f>IF('⚙ OFF Weekends'!$D$27="OFF","OFF","")</f>
        <v/>
      </c>
      <c r="AG36" s="111" t="str">
        <f>IF('⚙ OFF Weekends'!$D$28="OFF","OFF","")</f>
        <v/>
      </c>
      <c r="AH36" s="111" t="str">
        <f>IF('⚙ OFF Weekends'!$D$29="OFF","OFF","")</f>
        <v/>
      </c>
      <c r="AI36" s="111" t="str">
        <f>IF('⚙ OFF Weekends'!$D$30="OFF","OFF","")</f>
        <v/>
      </c>
      <c r="AJ36" s="111" t="str">
        <f>IF('⚙ OFF Weekends'!$D$31="OFF","OFF","")</f>
        <v/>
      </c>
      <c r="AK36" s="111" t="str">
        <f>IF('⚙ OFF Weekends'!$D$32="OFF","OFF","")</f>
        <v/>
      </c>
      <c r="AL36" s="111" t="str">
        <f>IF('⚙ OFF Weekends'!$D$33="OFF","OFF","")</f>
        <v/>
      </c>
      <c r="AM36" s="111" t="str">
        <f>IF('⚙ OFF Weekends'!$D$34="OFF","OFF","")</f>
        <v/>
      </c>
      <c r="AN36" s="111" t="str">
        <f>IF('⚙ OFF Weekends'!$D$35="OFF","OFF","")</f>
        <v/>
      </c>
      <c r="AO36" s="111" t="str">
        <f>IF('⚙ OFF Weekends'!$D$36="OFF","OFF","")</f>
        <v/>
      </c>
      <c r="AP36" s="111" t="str">
        <f>IF('⚙ OFF Weekends'!$D$37="OFF","OFF","")</f>
        <v/>
      </c>
      <c r="AQ36" s="111" t="str">
        <f>IF('⚙ OFF Weekends'!$D$38="OFF","OFF","")</f>
        <v/>
      </c>
      <c r="AR36" s="111" t="str">
        <f>IF('⚙ OFF Weekends'!$D$39="OFF","OFF","")</f>
        <v/>
      </c>
      <c r="AS36" s="111" t="str">
        <f>IF('⚙ OFF Weekends'!$D$40="OFF","OFF","")</f>
        <v/>
      </c>
      <c r="AT36" s="111" t="str">
        <f>IF('⚙ OFF Weekends'!$D$41="OFF","OFF","")</f>
        <v/>
      </c>
      <c r="AU36" s="111" t="str">
        <f>IF('⚙ OFF Weekends'!$D$42="OFF","OFF","")</f>
        <v/>
      </c>
      <c r="AV36" s="111" t="str">
        <f>IF('⚙ OFF Weekends'!$D$43="OFF","OFF","")</f>
        <v/>
      </c>
      <c r="AW36" s="111" t="str">
        <f>IF('⚙ OFF Weekends'!$D$44="OFF","OFF","")</f>
        <v/>
      </c>
      <c r="AX36" s="111" t="str">
        <f>IF('⚙ OFF Weekends'!$D$45="OFF","OFF","")</f>
        <v/>
      </c>
      <c r="AY36" s="111" t="str">
        <f>IF('⚙ OFF Weekends'!$D$46="OFF","OFF","")</f>
        <v/>
      </c>
      <c r="AZ36" s="111" t="str">
        <f>IF('⚙ OFF Weekends'!$D$47="OFF","OFF","")</f>
        <v/>
      </c>
      <c r="BA36" s="111" t="str">
        <f>IF('⚙ OFF Weekends'!$D$48="OFF","OFF","")</f>
        <v/>
      </c>
      <c r="BB36" s="111" t="str">
        <f>IF('⚙ OFF Weekends'!$D$49="OFF","OFF","")</f>
        <v/>
      </c>
      <c r="BC36" s="111" t="str">
        <f>IF('⚙ OFF Weekends'!$D$50="OFF","OFF","")</f>
        <v/>
      </c>
      <c r="BD36" s="111" t="str">
        <f>IF('⚙ OFF Weekends'!$D$51="OFF","OFF","")</f>
        <v/>
      </c>
      <c r="BE36" s="111" t="str">
        <f>IF('⚙ OFF Weekends'!$D$52="OFF","OFF","")</f>
        <v/>
      </c>
      <c r="BF36" s="111" t="str">
        <f>IF('⚙ OFF Weekends'!$D$53="OFF","OFF","")</f>
        <v/>
      </c>
      <c r="BG36" s="111" t="str">
        <f>IF('⚙ OFF Weekends'!$D$54="OFF","OFF","")</f>
        <v/>
      </c>
      <c r="BH36" s="111" t="str">
        <f>IF('⚙ OFF Weekends'!$D$55="OFF","OFF","")</f>
        <v/>
      </c>
      <c r="BI36" s="111" t="str">
        <f>IF('⚙ OFF Weekends'!$D$56="OFF","OFF","")</f>
        <v/>
      </c>
      <c r="BJ36" s="111" t="str">
        <f>IF('⚙ OFF Weekends'!$D$57="OFF","OFF","")</f>
        <v/>
      </c>
      <c r="BK36" s="111" t="str">
        <f>IF('⚙ OFF Weekends'!$D$58="OFF","OFF","")</f>
        <v/>
      </c>
      <c r="BL36" s="111" t="str">
        <f>IF('⚙ OFF Weekends'!$D$59="OFF","OFF","")</f>
        <v/>
      </c>
      <c r="BM36" s="111" t="str">
        <f>IF('⚙ OFF Weekends'!$D$60="OFF","OFF","")</f>
        <v/>
      </c>
      <c r="BN36" s="111" t="str">
        <f>IF('⚙ OFF Weekends'!$D$61="OFF","OFF","")</f>
        <v/>
      </c>
      <c r="BO36" s="111" t="str">
        <f>IF('⚙ OFF Weekends'!$D$62="OFF","OFF","")</f>
        <v/>
      </c>
      <c r="BP36" s="111" t="str">
        <f>IF('⚙ OFF Weekends'!$D$63="OFF","OFF","")</f>
        <v/>
      </c>
      <c r="BQ36" s="111" t="str">
        <f>IF('⚙ OFF Weekends'!$D$64="OFF","OFF","")</f>
        <v/>
      </c>
      <c r="BR36" s="111" t="str">
        <f>IF('⚙ OFF Weekends'!$D$65="OFF","OFF","")</f>
        <v/>
      </c>
      <c r="BS36" s="111" t="str">
        <f>IF('⚙ OFF Weekends'!$D$66="OFF","OFF","")</f>
        <v/>
      </c>
      <c r="BT36" s="111" t="str">
        <f>IF('⚙ OFF Weekends'!$D$67="OFF","OFF","")</f>
        <v/>
      </c>
      <c r="BU36" s="111" t="str">
        <f>IF('⚙ OFF Weekends'!$D$68="OFF","OFF","")</f>
        <v/>
      </c>
      <c r="BV36" s="111" t="str">
        <f>IF('⚙ OFF Weekends'!$D$69="OFF","OFF","")</f>
        <v/>
      </c>
      <c r="BW36" s="111" t="str">
        <f>IF('⚙ OFF Weekends'!$D$70="OFF","OFF","")</f>
        <v/>
      </c>
      <c r="BX36" s="111" t="str">
        <f>IF('⚙ OFF Weekends'!$D$71="OFF","OFF","")</f>
        <v/>
      </c>
      <c r="BY36" s="111" t="str">
        <f>IF('⚙ OFF Weekends'!$D$72="OFF","OFF","")</f>
        <v/>
      </c>
      <c r="BZ36" s="111" t="str">
        <f>IF('⚙ OFF Weekends'!$D$73="OFF","OFF","")</f>
        <v/>
      </c>
      <c r="CA36" s="111" t="str">
        <f>IF('⚙ OFF Weekends'!$D$74="OFF","OFF","")</f>
        <v/>
      </c>
      <c r="CB36" s="111" t="str">
        <f>IF('⚙ OFF Weekends'!$D$75="OFF","OFF","")</f>
        <v/>
      </c>
      <c r="CC36" s="111" t="str">
        <f>IF('⚙ OFF Weekends'!$D$76="OFF","OFF","")</f>
        <v/>
      </c>
      <c r="CD36" s="111" t="str">
        <f>IF('⚙ OFF Weekends'!$D$77="OFF","OFF","")</f>
        <v/>
      </c>
      <c r="CE36" s="112">
        <f t="shared" si="9"/>
        <v>0</v>
      </c>
      <c r="CF36" s="112">
        <f t="shared" si="10"/>
        <v>0</v>
      </c>
      <c r="CG36" s="112">
        <f t="shared" si="11"/>
        <v>0</v>
      </c>
      <c r="CH36" s="112" t="str">
        <f t="shared" si="12"/>
        <v>0%</v>
      </c>
    </row>
    <row r="37" ht="18.0" customHeight="1">
      <c r="A37" s="107">
        <v>17.0</v>
      </c>
      <c r="B37" s="108"/>
      <c r="C37" s="108"/>
      <c r="D37" s="109" t="str">
        <f t="shared" si="7"/>
        <v/>
      </c>
      <c r="E37" s="110" t="str">
        <f t="shared" si="8"/>
        <v/>
      </c>
      <c r="F37" s="108"/>
      <c r="G37" s="108"/>
      <c r="H37" s="108"/>
      <c r="I37" s="111" t="str">
        <f>IF('⚙ OFF Weekends'!$D$4="OFF","OFF","")</f>
        <v/>
      </c>
      <c r="J37" s="111" t="str">
        <f>IF('⚙ OFF Weekends'!$D$5="OFF","OFF","")</f>
        <v/>
      </c>
      <c r="K37" s="111" t="str">
        <f>IF('⚙ OFF Weekends'!$D$6="OFF","OFF","")</f>
        <v/>
      </c>
      <c r="L37" s="111" t="str">
        <f>IF('⚙ OFF Weekends'!$D$7="OFF","OFF","")</f>
        <v/>
      </c>
      <c r="M37" s="111" t="str">
        <f>IF('⚙ OFF Weekends'!$D$8="OFF","OFF","")</f>
        <v/>
      </c>
      <c r="N37" s="111" t="str">
        <f>IF('⚙ OFF Weekends'!$D$9="OFF","OFF","")</f>
        <v/>
      </c>
      <c r="O37" s="111" t="str">
        <f>IF('⚙ OFF Weekends'!$D$10="OFF","OFF","")</f>
        <v/>
      </c>
      <c r="P37" s="111" t="str">
        <f>IF('⚙ OFF Weekends'!$D$11="OFF","OFF","")</f>
        <v/>
      </c>
      <c r="Q37" s="111" t="str">
        <f>IF('⚙ OFF Weekends'!$D$12="OFF","OFF","")</f>
        <v/>
      </c>
      <c r="R37" s="111" t="str">
        <f>IF('⚙ OFF Weekends'!$D$13="OFF","OFF","")</f>
        <v/>
      </c>
      <c r="S37" s="111" t="str">
        <f>IF('⚙ OFF Weekends'!$D$14="OFF","OFF","")</f>
        <v/>
      </c>
      <c r="T37" s="111" t="str">
        <f>IF('⚙ OFF Weekends'!$D$15="OFF","OFF","")</f>
        <v/>
      </c>
      <c r="U37" s="111" t="str">
        <f>IF('⚙ OFF Weekends'!$D$16="OFF","OFF","")</f>
        <v/>
      </c>
      <c r="V37" s="111" t="str">
        <f>IF('⚙ OFF Weekends'!$D$17="OFF","OFF","")</f>
        <v/>
      </c>
      <c r="W37" s="111" t="str">
        <f>IF('⚙ OFF Weekends'!$D$18="OFF","OFF","")</f>
        <v>OFF</v>
      </c>
      <c r="X37" s="111" t="str">
        <f>IF('⚙ OFF Weekends'!$D$19="OFF","OFF","")</f>
        <v/>
      </c>
      <c r="Y37" s="111" t="str">
        <f>IF('⚙ OFF Weekends'!$D$20="OFF","OFF","")</f>
        <v/>
      </c>
      <c r="Z37" s="111" t="str">
        <f>IF('⚙ OFF Weekends'!$D$21="OFF","OFF","")</f>
        <v/>
      </c>
      <c r="AA37" s="111" t="str">
        <f>IF('⚙ OFF Weekends'!$D$22="OFF","OFF","")</f>
        <v/>
      </c>
      <c r="AB37" s="111" t="str">
        <f>IF('⚙ OFF Weekends'!$D$23="OFF","OFF","")</f>
        <v/>
      </c>
      <c r="AC37" s="111" t="str">
        <f>IF('⚙ OFF Weekends'!$D$24="OFF","OFF","")</f>
        <v/>
      </c>
      <c r="AD37" s="111" t="str">
        <f>IF('⚙ OFF Weekends'!$D$25="OFF","OFF","")</f>
        <v/>
      </c>
      <c r="AE37" s="111" t="str">
        <f>IF('⚙ OFF Weekends'!$D$26="OFF","OFF","")</f>
        <v/>
      </c>
      <c r="AF37" s="111" t="str">
        <f>IF('⚙ OFF Weekends'!$D$27="OFF","OFF","")</f>
        <v/>
      </c>
      <c r="AG37" s="111" t="str">
        <f>IF('⚙ OFF Weekends'!$D$28="OFF","OFF","")</f>
        <v/>
      </c>
      <c r="AH37" s="111" t="str">
        <f>IF('⚙ OFF Weekends'!$D$29="OFF","OFF","")</f>
        <v/>
      </c>
      <c r="AI37" s="111" t="str">
        <f>IF('⚙ OFF Weekends'!$D$30="OFF","OFF","")</f>
        <v/>
      </c>
      <c r="AJ37" s="111" t="str">
        <f>IF('⚙ OFF Weekends'!$D$31="OFF","OFF","")</f>
        <v/>
      </c>
      <c r="AK37" s="111" t="str">
        <f>IF('⚙ OFF Weekends'!$D$32="OFF","OFF","")</f>
        <v/>
      </c>
      <c r="AL37" s="111" t="str">
        <f>IF('⚙ OFF Weekends'!$D$33="OFF","OFF","")</f>
        <v/>
      </c>
      <c r="AM37" s="111" t="str">
        <f>IF('⚙ OFF Weekends'!$D$34="OFF","OFF","")</f>
        <v/>
      </c>
      <c r="AN37" s="111" t="str">
        <f>IF('⚙ OFF Weekends'!$D$35="OFF","OFF","")</f>
        <v/>
      </c>
      <c r="AO37" s="111" t="str">
        <f>IF('⚙ OFF Weekends'!$D$36="OFF","OFF","")</f>
        <v/>
      </c>
      <c r="AP37" s="111" t="str">
        <f>IF('⚙ OFF Weekends'!$D$37="OFF","OFF","")</f>
        <v/>
      </c>
      <c r="AQ37" s="111" t="str">
        <f>IF('⚙ OFF Weekends'!$D$38="OFF","OFF","")</f>
        <v/>
      </c>
      <c r="AR37" s="111" t="str">
        <f>IF('⚙ OFF Weekends'!$D$39="OFF","OFF","")</f>
        <v/>
      </c>
      <c r="AS37" s="111" t="str">
        <f>IF('⚙ OFF Weekends'!$D$40="OFF","OFF","")</f>
        <v/>
      </c>
      <c r="AT37" s="111" t="str">
        <f>IF('⚙ OFF Weekends'!$D$41="OFF","OFF","")</f>
        <v/>
      </c>
      <c r="AU37" s="111" t="str">
        <f>IF('⚙ OFF Weekends'!$D$42="OFF","OFF","")</f>
        <v/>
      </c>
      <c r="AV37" s="111" t="str">
        <f>IF('⚙ OFF Weekends'!$D$43="OFF","OFF","")</f>
        <v/>
      </c>
      <c r="AW37" s="111" t="str">
        <f>IF('⚙ OFF Weekends'!$D$44="OFF","OFF","")</f>
        <v/>
      </c>
      <c r="AX37" s="111" t="str">
        <f>IF('⚙ OFF Weekends'!$D$45="OFF","OFF","")</f>
        <v/>
      </c>
      <c r="AY37" s="111" t="str">
        <f>IF('⚙ OFF Weekends'!$D$46="OFF","OFF","")</f>
        <v/>
      </c>
      <c r="AZ37" s="111" t="str">
        <f>IF('⚙ OFF Weekends'!$D$47="OFF","OFF","")</f>
        <v/>
      </c>
      <c r="BA37" s="111" t="str">
        <f>IF('⚙ OFF Weekends'!$D$48="OFF","OFF","")</f>
        <v/>
      </c>
      <c r="BB37" s="111" t="str">
        <f>IF('⚙ OFF Weekends'!$D$49="OFF","OFF","")</f>
        <v/>
      </c>
      <c r="BC37" s="111" t="str">
        <f>IF('⚙ OFF Weekends'!$D$50="OFF","OFF","")</f>
        <v/>
      </c>
      <c r="BD37" s="111" t="str">
        <f>IF('⚙ OFF Weekends'!$D$51="OFF","OFF","")</f>
        <v/>
      </c>
      <c r="BE37" s="111" t="str">
        <f>IF('⚙ OFF Weekends'!$D$52="OFF","OFF","")</f>
        <v/>
      </c>
      <c r="BF37" s="111" t="str">
        <f>IF('⚙ OFF Weekends'!$D$53="OFF","OFF","")</f>
        <v/>
      </c>
      <c r="BG37" s="111" t="str">
        <f>IF('⚙ OFF Weekends'!$D$54="OFF","OFF","")</f>
        <v/>
      </c>
      <c r="BH37" s="111" t="str">
        <f>IF('⚙ OFF Weekends'!$D$55="OFF","OFF","")</f>
        <v/>
      </c>
      <c r="BI37" s="111" t="str">
        <f>IF('⚙ OFF Weekends'!$D$56="OFF","OFF","")</f>
        <v/>
      </c>
      <c r="BJ37" s="111" t="str">
        <f>IF('⚙ OFF Weekends'!$D$57="OFF","OFF","")</f>
        <v/>
      </c>
      <c r="BK37" s="111" t="str">
        <f>IF('⚙ OFF Weekends'!$D$58="OFF","OFF","")</f>
        <v/>
      </c>
      <c r="BL37" s="111" t="str">
        <f>IF('⚙ OFF Weekends'!$D$59="OFF","OFF","")</f>
        <v/>
      </c>
      <c r="BM37" s="111" t="str">
        <f>IF('⚙ OFF Weekends'!$D$60="OFF","OFF","")</f>
        <v/>
      </c>
      <c r="BN37" s="111" t="str">
        <f>IF('⚙ OFF Weekends'!$D$61="OFF","OFF","")</f>
        <v/>
      </c>
      <c r="BO37" s="111" t="str">
        <f>IF('⚙ OFF Weekends'!$D$62="OFF","OFF","")</f>
        <v/>
      </c>
      <c r="BP37" s="111" t="str">
        <f>IF('⚙ OFF Weekends'!$D$63="OFF","OFF","")</f>
        <v/>
      </c>
      <c r="BQ37" s="111" t="str">
        <f>IF('⚙ OFF Weekends'!$D$64="OFF","OFF","")</f>
        <v/>
      </c>
      <c r="BR37" s="111" t="str">
        <f>IF('⚙ OFF Weekends'!$D$65="OFF","OFF","")</f>
        <v/>
      </c>
      <c r="BS37" s="111" t="str">
        <f>IF('⚙ OFF Weekends'!$D$66="OFF","OFF","")</f>
        <v/>
      </c>
      <c r="BT37" s="111" t="str">
        <f>IF('⚙ OFF Weekends'!$D$67="OFF","OFF","")</f>
        <v/>
      </c>
      <c r="BU37" s="111" t="str">
        <f>IF('⚙ OFF Weekends'!$D$68="OFF","OFF","")</f>
        <v/>
      </c>
      <c r="BV37" s="111" t="str">
        <f>IF('⚙ OFF Weekends'!$D$69="OFF","OFF","")</f>
        <v/>
      </c>
      <c r="BW37" s="111" t="str">
        <f>IF('⚙ OFF Weekends'!$D$70="OFF","OFF","")</f>
        <v/>
      </c>
      <c r="BX37" s="111" t="str">
        <f>IF('⚙ OFF Weekends'!$D$71="OFF","OFF","")</f>
        <v/>
      </c>
      <c r="BY37" s="111" t="str">
        <f>IF('⚙ OFF Weekends'!$D$72="OFF","OFF","")</f>
        <v/>
      </c>
      <c r="BZ37" s="111" t="str">
        <f>IF('⚙ OFF Weekends'!$D$73="OFF","OFF","")</f>
        <v/>
      </c>
      <c r="CA37" s="111" t="str">
        <f>IF('⚙ OFF Weekends'!$D$74="OFF","OFF","")</f>
        <v/>
      </c>
      <c r="CB37" s="111" t="str">
        <f>IF('⚙ OFF Weekends'!$D$75="OFF","OFF","")</f>
        <v/>
      </c>
      <c r="CC37" s="111" t="str">
        <f>IF('⚙ OFF Weekends'!$D$76="OFF","OFF","")</f>
        <v/>
      </c>
      <c r="CD37" s="111" t="str">
        <f>IF('⚙ OFF Weekends'!$D$77="OFF","OFF","")</f>
        <v/>
      </c>
      <c r="CE37" s="112">
        <f t="shared" si="9"/>
        <v>0</v>
      </c>
      <c r="CF37" s="112">
        <f t="shared" si="10"/>
        <v>0</v>
      </c>
      <c r="CG37" s="112">
        <f t="shared" si="11"/>
        <v>0</v>
      </c>
      <c r="CH37" s="112" t="str">
        <f t="shared" si="12"/>
        <v>0%</v>
      </c>
    </row>
    <row r="38" ht="18.0" customHeight="1">
      <c r="A38" s="107">
        <v>18.0</v>
      </c>
      <c r="B38" s="108"/>
      <c r="C38" s="108"/>
      <c r="D38" s="109" t="str">
        <f t="shared" si="7"/>
        <v/>
      </c>
      <c r="E38" s="110" t="str">
        <f t="shared" si="8"/>
        <v/>
      </c>
      <c r="F38" s="108"/>
      <c r="G38" s="108"/>
      <c r="H38" s="108"/>
      <c r="I38" s="111" t="str">
        <f>IF('⚙ OFF Weekends'!$D$4="OFF","OFF","")</f>
        <v/>
      </c>
      <c r="J38" s="111" t="str">
        <f>IF('⚙ OFF Weekends'!$D$5="OFF","OFF","")</f>
        <v/>
      </c>
      <c r="K38" s="111" t="str">
        <f>IF('⚙ OFF Weekends'!$D$6="OFF","OFF","")</f>
        <v/>
      </c>
      <c r="L38" s="111" t="str">
        <f>IF('⚙ OFF Weekends'!$D$7="OFF","OFF","")</f>
        <v/>
      </c>
      <c r="M38" s="111" t="str">
        <f>IF('⚙ OFF Weekends'!$D$8="OFF","OFF","")</f>
        <v/>
      </c>
      <c r="N38" s="111" t="str">
        <f>IF('⚙ OFF Weekends'!$D$9="OFF","OFF","")</f>
        <v/>
      </c>
      <c r="O38" s="111" t="str">
        <f>IF('⚙ OFF Weekends'!$D$10="OFF","OFF","")</f>
        <v/>
      </c>
      <c r="P38" s="111" t="str">
        <f>IF('⚙ OFF Weekends'!$D$11="OFF","OFF","")</f>
        <v/>
      </c>
      <c r="Q38" s="111" t="str">
        <f>IF('⚙ OFF Weekends'!$D$12="OFF","OFF","")</f>
        <v/>
      </c>
      <c r="R38" s="111" t="str">
        <f>IF('⚙ OFF Weekends'!$D$13="OFF","OFF","")</f>
        <v/>
      </c>
      <c r="S38" s="111" t="str">
        <f>IF('⚙ OFF Weekends'!$D$14="OFF","OFF","")</f>
        <v/>
      </c>
      <c r="T38" s="111" t="str">
        <f>IF('⚙ OFF Weekends'!$D$15="OFF","OFF","")</f>
        <v/>
      </c>
      <c r="U38" s="111" t="str">
        <f>IF('⚙ OFF Weekends'!$D$16="OFF","OFF","")</f>
        <v/>
      </c>
      <c r="V38" s="111" t="str">
        <f>IF('⚙ OFF Weekends'!$D$17="OFF","OFF","")</f>
        <v/>
      </c>
      <c r="W38" s="111" t="str">
        <f>IF('⚙ OFF Weekends'!$D$18="OFF","OFF","")</f>
        <v>OFF</v>
      </c>
      <c r="X38" s="111" t="str">
        <f>IF('⚙ OFF Weekends'!$D$19="OFF","OFF","")</f>
        <v/>
      </c>
      <c r="Y38" s="111" t="str">
        <f>IF('⚙ OFF Weekends'!$D$20="OFF","OFF","")</f>
        <v/>
      </c>
      <c r="Z38" s="111" t="str">
        <f>IF('⚙ OFF Weekends'!$D$21="OFF","OFF","")</f>
        <v/>
      </c>
      <c r="AA38" s="111" t="str">
        <f>IF('⚙ OFF Weekends'!$D$22="OFF","OFF","")</f>
        <v/>
      </c>
      <c r="AB38" s="111" t="str">
        <f>IF('⚙ OFF Weekends'!$D$23="OFF","OFF","")</f>
        <v/>
      </c>
      <c r="AC38" s="111" t="str">
        <f>IF('⚙ OFF Weekends'!$D$24="OFF","OFF","")</f>
        <v/>
      </c>
      <c r="AD38" s="111" t="str">
        <f>IF('⚙ OFF Weekends'!$D$25="OFF","OFF","")</f>
        <v/>
      </c>
      <c r="AE38" s="111" t="str">
        <f>IF('⚙ OFF Weekends'!$D$26="OFF","OFF","")</f>
        <v/>
      </c>
      <c r="AF38" s="111" t="str">
        <f>IF('⚙ OFF Weekends'!$D$27="OFF","OFF","")</f>
        <v/>
      </c>
      <c r="AG38" s="111" t="str">
        <f>IF('⚙ OFF Weekends'!$D$28="OFF","OFF","")</f>
        <v/>
      </c>
      <c r="AH38" s="111" t="str">
        <f>IF('⚙ OFF Weekends'!$D$29="OFF","OFF","")</f>
        <v/>
      </c>
      <c r="AI38" s="111" t="str">
        <f>IF('⚙ OFF Weekends'!$D$30="OFF","OFF","")</f>
        <v/>
      </c>
      <c r="AJ38" s="111" t="str">
        <f>IF('⚙ OFF Weekends'!$D$31="OFF","OFF","")</f>
        <v/>
      </c>
      <c r="AK38" s="111" t="str">
        <f>IF('⚙ OFF Weekends'!$D$32="OFF","OFF","")</f>
        <v/>
      </c>
      <c r="AL38" s="111" t="str">
        <f>IF('⚙ OFF Weekends'!$D$33="OFF","OFF","")</f>
        <v/>
      </c>
      <c r="AM38" s="111" t="str">
        <f>IF('⚙ OFF Weekends'!$D$34="OFF","OFF","")</f>
        <v/>
      </c>
      <c r="AN38" s="111" t="str">
        <f>IF('⚙ OFF Weekends'!$D$35="OFF","OFF","")</f>
        <v/>
      </c>
      <c r="AO38" s="111" t="str">
        <f>IF('⚙ OFF Weekends'!$D$36="OFF","OFF","")</f>
        <v/>
      </c>
      <c r="AP38" s="111" t="str">
        <f>IF('⚙ OFF Weekends'!$D$37="OFF","OFF","")</f>
        <v/>
      </c>
      <c r="AQ38" s="111" t="str">
        <f>IF('⚙ OFF Weekends'!$D$38="OFF","OFF","")</f>
        <v/>
      </c>
      <c r="AR38" s="111" t="str">
        <f>IF('⚙ OFF Weekends'!$D$39="OFF","OFF","")</f>
        <v/>
      </c>
      <c r="AS38" s="111" t="str">
        <f>IF('⚙ OFF Weekends'!$D$40="OFF","OFF","")</f>
        <v/>
      </c>
      <c r="AT38" s="111" t="str">
        <f>IF('⚙ OFF Weekends'!$D$41="OFF","OFF","")</f>
        <v/>
      </c>
      <c r="AU38" s="111" t="str">
        <f>IF('⚙ OFF Weekends'!$D$42="OFF","OFF","")</f>
        <v/>
      </c>
      <c r="AV38" s="111" t="str">
        <f>IF('⚙ OFF Weekends'!$D$43="OFF","OFF","")</f>
        <v/>
      </c>
      <c r="AW38" s="111" t="str">
        <f>IF('⚙ OFF Weekends'!$D$44="OFF","OFF","")</f>
        <v/>
      </c>
      <c r="AX38" s="111" t="str">
        <f>IF('⚙ OFF Weekends'!$D$45="OFF","OFF","")</f>
        <v/>
      </c>
      <c r="AY38" s="111" t="str">
        <f>IF('⚙ OFF Weekends'!$D$46="OFF","OFF","")</f>
        <v/>
      </c>
      <c r="AZ38" s="111" t="str">
        <f>IF('⚙ OFF Weekends'!$D$47="OFF","OFF","")</f>
        <v/>
      </c>
      <c r="BA38" s="111" t="str">
        <f>IF('⚙ OFF Weekends'!$D$48="OFF","OFF","")</f>
        <v/>
      </c>
      <c r="BB38" s="111" t="str">
        <f>IF('⚙ OFF Weekends'!$D$49="OFF","OFF","")</f>
        <v/>
      </c>
      <c r="BC38" s="111" t="str">
        <f>IF('⚙ OFF Weekends'!$D$50="OFF","OFF","")</f>
        <v/>
      </c>
      <c r="BD38" s="111" t="str">
        <f>IF('⚙ OFF Weekends'!$D$51="OFF","OFF","")</f>
        <v/>
      </c>
      <c r="BE38" s="111" t="str">
        <f>IF('⚙ OFF Weekends'!$D$52="OFF","OFF","")</f>
        <v/>
      </c>
      <c r="BF38" s="111" t="str">
        <f>IF('⚙ OFF Weekends'!$D$53="OFF","OFF","")</f>
        <v/>
      </c>
      <c r="BG38" s="111" t="str">
        <f>IF('⚙ OFF Weekends'!$D$54="OFF","OFF","")</f>
        <v/>
      </c>
      <c r="BH38" s="111" t="str">
        <f>IF('⚙ OFF Weekends'!$D$55="OFF","OFF","")</f>
        <v/>
      </c>
      <c r="BI38" s="111" t="str">
        <f>IF('⚙ OFF Weekends'!$D$56="OFF","OFF","")</f>
        <v/>
      </c>
      <c r="BJ38" s="111" t="str">
        <f>IF('⚙ OFF Weekends'!$D$57="OFF","OFF","")</f>
        <v/>
      </c>
      <c r="BK38" s="111" t="str">
        <f>IF('⚙ OFF Weekends'!$D$58="OFF","OFF","")</f>
        <v/>
      </c>
      <c r="BL38" s="111" t="str">
        <f>IF('⚙ OFF Weekends'!$D$59="OFF","OFF","")</f>
        <v/>
      </c>
      <c r="BM38" s="111" t="str">
        <f>IF('⚙ OFF Weekends'!$D$60="OFF","OFF","")</f>
        <v/>
      </c>
      <c r="BN38" s="111" t="str">
        <f>IF('⚙ OFF Weekends'!$D$61="OFF","OFF","")</f>
        <v/>
      </c>
      <c r="BO38" s="111" t="str">
        <f>IF('⚙ OFF Weekends'!$D$62="OFF","OFF","")</f>
        <v/>
      </c>
      <c r="BP38" s="111" t="str">
        <f>IF('⚙ OFF Weekends'!$D$63="OFF","OFF","")</f>
        <v/>
      </c>
      <c r="BQ38" s="111" t="str">
        <f>IF('⚙ OFF Weekends'!$D$64="OFF","OFF","")</f>
        <v/>
      </c>
      <c r="BR38" s="111" t="str">
        <f>IF('⚙ OFF Weekends'!$D$65="OFF","OFF","")</f>
        <v/>
      </c>
      <c r="BS38" s="111" t="str">
        <f>IF('⚙ OFF Weekends'!$D$66="OFF","OFF","")</f>
        <v/>
      </c>
      <c r="BT38" s="111" t="str">
        <f>IF('⚙ OFF Weekends'!$D$67="OFF","OFF","")</f>
        <v/>
      </c>
      <c r="BU38" s="111" t="str">
        <f>IF('⚙ OFF Weekends'!$D$68="OFF","OFF","")</f>
        <v/>
      </c>
      <c r="BV38" s="111" t="str">
        <f>IF('⚙ OFF Weekends'!$D$69="OFF","OFF","")</f>
        <v/>
      </c>
      <c r="BW38" s="111" t="str">
        <f>IF('⚙ OFF Weekends'!$D$70="OFF","OFF","")</f>
        <v/>
      </c>
      <c r="BX38" s="111" t="str">
        <f>IF('⚙ OFF Weekends'!$D$71="OFF","OFF","")</f>
        <v/>
      </c>
      <c r="BY38" s="111" t="str">
        <f>IF('⚙ OFF Weekends'!$D$72="OFF","OFF","")</f>
        <v/>
      </c>
      <c r="BZ38" s="111" t="str">
        <f>IF('⚙ OFF Weekends'!$D$73="OFF","OFF","")</f>
        <v/>
      </c>
      <c r="CA38" s="111" t="str">
        <f>IF('⚙ OFF Weekends'!$D$74="OFF","OFF","")</f>
        <v/>
      </c>
      <c r="CB38" s="111" t="str">
        <f>IF('⚙ OFF Weekends'!$D$75="OFF","OFF","")</f>
        <v/>
      </c>
      <c r="CC38" s="111" t="str">
        <f>IF('⚙ OFF Weekends'!$D$76="OFF","OFF","")</f>
        <v/>
      </c>
      <c r="CD38" s="111" t="str">
        <f>IF('⚙ OFF Weekends'!$D$77="OFF","OFF","")</f>
        <v/>
      </c>
      <c r="CE38" s="112">
        <f t="shared" si="9"/>
        <v>0</v>
      </c>
      <c r="CF38" s="112">
        <f t="shared" si="10"/>
        <v>0</v>
      </c>
      <c r="CG38" s="112">
        <f t="shared" si="11"/>
        <v>0</v>
      </c>
      <c r="CH38" s="112" t="str">
        <f t="shared" si="12"/>
        <v>0%</v>
      </c>
    </row>
    <row r="39" ht="15.0" customHeight="1">
      <c r="A39" s="113" t="str">
        <f>"Group Strength: "&amp;COUNTA(B21:B38)</f>
        <v>Group Strength: 13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3"/>
    </row>
    <row r="40" ht="4.5" customHeight="1">
      <c r="A40" s="11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3"/>
    </row>
    <row r="41" ht="19.5" customHeight="1">
      <c r="A41" s="8" t="s">
        <v>477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3"/>
    </row>
    <row r="42" ht="18.0" customHeight="1">
      <c r="A42" s="95">
        <v>1.0</v>
      </c>
      <c r="B42" s="12" t="s">
        <v>478</v>
      </c>
      <c r="C42" s="14"/>
      <c r="D42" s="17" t="str">
        <f t="shared" ref="D42:D67" si="13">IF(C42&lt;&gt;"",HYPERLINK("tel:"&amp;SUBSTITUTE(SUBSTITUTE(C42," ",""),"+","+"),"📞 Call"),"")</f>
        <v/>
      </c>
      <c r="E42" s="28" t="str">
        <f t="shared" ref="E42:E67" si="14">IF(C42&lt;&gt;"",HYPERLINK("https://wa.me/"&amp;SUBSTITUTE(SUBSTITUTE(C42,"+","")," ",""),"💬 WhatsApp"),"")</f>
        <v/>
      </c>
      <c r="F42" s="10"/>
      <c r="G42" s="10" t="s">
        <v>339</v>
      </c>
      <c r="H42" s="10" t="s">
        <v>299</v>
      </c>
      <c r="I42" s="79" t="s">
        <v>223</v>
      </c>
      <c r="J42" s="50" t="s">
        <v>37</v>
      </c>
      <c r="K42" s="49" t="s">
        <v>197</v>
      </c>
      <c r="L42" s="50" t="s">
        <v>37</v>
      </c>
      <c r="M42" s="48" t="s">
        <v>196</v>
      </c>
      <c r="N42" s="48" t="s">
        <v>196</v>
      </c>
      <c r="O42" s="48" t="s">
        <v>196</v>
      </c>
      <c r="P42" s="48" t="s">
        <v>196</v>
      </c>
      <c r="Q42" s="50" t="s">
        <v>37</v>
      </c>
      <c r="R42" s="79" t="s">
        <v>223</v>
      </c>
      <c r="S42" s="52" t="s">
        <v>223</v>
      </c>
      <c r="T42" s="98" t="s">
        <v>196</v>
      </c>
      <c r="U42" s="52" t="s">
        <v>37</v>
      </c>
      <c r="V42" s="53" t="s">
        <v>196</v>
      </c>
      <c r="W42" s="54" t="str">
        <f>IF('⚙ OFF Weekends'!$D$18="OFF","OFF","")</f>
        <v>OFF</v>
      </c>
      <c r="X42" s="53" t="s">
        <v>196</v>
      </c>
      <c r="Y42" s="52" t="s">
        <v>223</v>
      </c>
      <c r="Z42" s="53" t="s">
        <v>223</v>
      </c>
      <c r="AA42" s="52" t="s">
        <v>196</v>
      </c>
      <c r="AB42" s="53" t="s">
        <v>37</v>
      </c>
      <c r="AC42" s="54" t="str">
        <f>IF('⚙ OFF Weekends'!$D$24="OFF","OFF","")</f>
        <v/>
      </c>
      <c r="AD42" s="56" t="str">
        <f>IF('⚙ OFF Weekends'!$D$25="OFF","OFF","")</f>
        <v/>
      </c>
      <c r="AE42" s="54" t="str">
        <f>IF('⚙ OFF Weekends'!$D$26="OFF","OFF","")</f>
        <v/>
      </c>
      <c r="AF42" s="56" t="str">
        <f>IF('⚙ OFF Weekends'!$D$27="OFF","OFF","")</f>
        <v/>
      </c>
      <c r="AG42" s="54" t="str">
        <f>IF('⚙ OFF Weekends'!$D$28="OFF","OFF","")</f>
        <v/>
      </c>
      <c r="AH42" s="56" t="str">
        <f>IF('⚙ OFF Weekends'!$D$29="OFF","OFF","")</f>
        <v/>
      </c>
      <c r="AI42" s="54" t="str">
        <f>IF('⚙ OFF Weekends'!$D$30="OFF","OFF","")</f>
        <v/>
      </c>
      <c r="AJ42" s="56" t="str">
        <f>IF('⚙ OFF Weekends'!$D$31="OFF","OFF","")</f>
        <v/>
      </c>
      <c r="AK42" s="54" t="str">
        <f>IF('⚙ OFF Weekends'!$D$32="OFF","OFF","")</f>
        <v/>
      </c>
      <c r="AL42" s="56" t="str">
        <f>IF('⚙ OFF Weekends'!$D$33="OFF","OFF","")</f>
        <v/>
      </c>
      <c r="AM42" s="54" t="str">
        <f>IF('⚙ OFF Weekends'!$D$34="OFF","OFF","")</f>
        <v/>
      </c>
      <c r="AN42" s="56" t="str">
        <f>IF('⚙ OFF Weekends'!$D$35="OFF","OFF","")</f>
        <v/>
      </c>
      <c r="AO42" s="54" t="str">
        <f>IF('⚙ OFF Weekends'!$D$36="OFF","OFF","")</f>
        <v/>
      </c>
      <c r="AP42" s="56" t="str">
        <f>IF('⚙ OFF Weekends'!$D$37="OFF","OFF","")</f>
        <v/>
      </c>
      <c r="AQ42" s="54" t="str">
        <f>IF('⚙ OFF Weekends'!$D$38="OFF","OFF","")</f>
        <v/>
      </c>
      <c r="AR42" s="56" t="str">
        <f>IF('⚙ OFF Weekends'!$D$39="OFF","OFF","")</f>
        <v/>
      </c>
      <c r="AS42" s="54" t="str">
        <f>IF('⚙ OFF Weekends'!$D$40="OFF","OFF","")</f>
        <v/>
      </c>
      <c r="AT42" s="56" t="str">
        <f>IF('⚙ OFF Weekends'!$D$41="OFF","OFF","")</f>
        <v/>
      </c>
      <c r="AU42" s="54" t="str">
        <f>IF('⚙ OFF Weekends'!$D$42="OFF","OFF","")</f>
        <v/>
      </c>
      <c r="AV42" s="56" t="str">
        <f>IF('⚙ OFF Weekends'!$D$43="OFF","OFF","")</f>
        <v/>
      </c>
      <c r="AW42" s="54" t="str">
        <f>IF('⚙ OFF Weekends'!$D$44="OFF","OFF","")</f>
        <v/>
      </c>
      <c r="AX42" s="56" t="str">
        <f>IF('⚙ OFF Weekends'!$D$45="OFF","OFF","")</f>
        <v/>
      </c>
      <c r="AY42" s="54" t="str">
        <f>IF('⚙ OFF Weekends'!$D$46="OFF","OFF","")</f>
        <v/>
      </c>
      <c r="AZ42" s="56" t="str">
        <f>IF('⚙ OFF Weekends'!$D$47="OFF","OFF","")</f>
        <v/>
      </c>
      <c r="BA42" s="54" t="str">
        <f>IF('⚙ OFF Weekends'!$D$48="OFF","OFF","")</f>
        <v/>
      </c>
      <c r="BB42" s="56" t="str">
        <f>IF('⚙ OFF Weekends'!$D$49="OFF","OFF","")</f>
        <v/>
      </c>
      <c r="BC42" s="54" t="str">
        <f>IF('⚙ OFF Weekends'!$D$50="OFF","OFF","")</f>
        <v/>
      </c>
      <c r="BD42" s="56" t="str">
        <f>IF('⚙ OFF Weekends'!$D$51="OFF","OFF","")</f>
        <v/>
      </c>
      <c r="BE42" s="54" t="str">
        <f>IF('⚙ OFF Weekends'!$D$52="OFF","OFF","")</f>
        <v/>
      </c>
      <c r="BF42" s="56" t="str">
        <f>IF('⚙ OFF Weekends'!$D$53="OFF","OFF","")</f>
        <v/>
      </c>
      <c r="BG42" s="54" t="str">
        <f>IF('⚙ OFF Weekends'!$D$54="OFF","OFF","")</f>
        <v/>
      </c>
      <c r="BH42" s="56" t="str">
        <f>IF('⚙ OFF Weekends'!$D$55="OFF","OFF","")</f>
        <v/>
      </c>
      <c r="BI42" s="54" t="str">
        <f>IF('⚙ OFF Weekends'!$D$56="OFF","OFF","")</f>
        <v/>
      </c>
      <c r="BJ42" s="56" t="str">
        <f>IF('⚙ OFF Weekends'!$D$57="OFF","OFF","")</f>
        <v/>
      </c>
      <c r="BK42" s="54" t="str">
        <f>IF('⚙ OFF Weekends'!$D$58="OFF","OFF","")</f>
        <v/>
      </c>
      <c r="BL42" s="56" t="str">
        <f>IF('⚙ OFF Weekends'!$D$59="OFF","OFF","")</f>
        <v/>
      </c>
      <c r="BM42" s="54" t="str">
        <f>IF('⚙ OFF Weekends'!$D$60="OFF","OFF","")</f>
        <v/>
      </c>
      <c r="BN42" s="56" t="str">
        <f>IF('⚙ OFF Weekends'!$D$61="OFF","OFF","")</f>
        <v/>
      </c>
      <c r="BO42" s="54" t="str">
        <f>IF('⚙ OFF Weekends'!$D$62="OFF","OFF","")</f>
        <v/>
      </c>
      <c r="BP42" s="56" t="str">
        <f>IF('⚙ OFF Weekends'!$D$63="OFF","OFF","")</f>
        <v/>
      </c>
      <c r="BQ42" s="54" t="str">
        <f>IF('⚙ OFF Weekends'!$D$64="OFF","OFF","")</f>
        <v/>
      </c>
      <c r="BR42" s="56" t="str">
        <f>IF('⚙ OFF Weekends'!$D$65="OFF","OFF","")</f>
        <v/>
      </c>
      <c r="BS42" s="54" t="str">
        <f>IF('⚙ OFF Weekends'!$D$66="OFF","OFF","")</f>
        <v/>
      </c>
      <c r="BT42" s="56" t="str">
        <f>IF('⚙ OFF Weekends'!$D$67="OFF","OFF","")</f>
        <v/>
      </c>
      <c r="BU42" s="54" t="str">
        <f>IF('⚙ OFF Weekends'!$D$68="OFF","OFF","")</f>
        <v/>
      </c>
      <c r="BV42" s="56" t="str">
        <f>IF('⚙ OFF Weekends'!$D$69="OFF","OFF","")</f>
        <v/>
      </c>
      <c r="BW42" s="54" t="str">
        <f>IF('⚙ OFF Weekends'!$D$70="OFF","OFF","")</f>
        <v/>
      </c>
      <c r="BX42" s="56" t="str">
        <f>IF('⚙ OFF Weekends'!$D$71="OFF","OFF","")</f>
        <v/>
      </c>
      <c r="BY42" s="54" t="str">
        <f>IF('⚙ OFF Weekends'!$D$72="OFF","OFF","")</f>
        <v/>
      </c>
      <c r="BZ42" s="56" t="str">
        <f>IF('⚙ OFF Weekends'!$D$73="OFF","OFF","")</f>
        <v/>
      </c>
      <c r="CA42" s="54" t="str">
        <f>IF('⚙ OFF Weekends'!$D$74="OFF","OFF","")</f>
        <v/>
      </c>
      <c r="CB42" s="56" t="str">
        <f>IF('⚙ OFF Weekends'!$D$75="OFF","OFF","")</f>
        <v/>
      </c>
      <c r="CC42" s="54" t="str">
        <f>IF('⚙ OFF Weekends'!$D$76="OFF","OFF","")</f>
        <v/>
      </c>
      <c r="CD42" s="56" t="str">
        <f>IF('⚙ OFF Weekends'!$D$77="OFF","OFF","")</f>
        <v/>
      </c>
      <c r="CE42" s="95">
        <f t="shared" ref="CE42:CE67" si="15">COUNTIF(I42:CD42,"Present")+COUNTIF(I42:CD42,"Late")</f>
        <v>13</v>
      </c>
      <c r="CF42" s="95">
        <f t="shared" ref="CF42:CF67" si="16">COUNTIF(I42:CD42,"Absent")</f>
        <v>5</v>
      </c>
      <c r="CG42" s="95">
        <f t="shared" ref="CG42:CG67" si="17">COUNTIF(I42:CD42,"Leave")</f>
        <v>0</v>
      </c>
      <c r="CH42" s="95" t="str">
        <f t="shared" ref="CH42:CH67" si="18">IF(CE42+CF42=0,"0%",TEXT(CE42/(CE42+CF42),"0%"))</f>
        <v>72%</v>
      </c>
    </row>
    <row r="43" ht="18.0" customHeight="1">
      <c r="A43" s="96">
        <v>2.0</v>
      </c>
      <c r="B43" s="22" t="s">
        <v>484</v>
      </c>
      <c r="C43" s="23"/>
      <c r="D43" s="24" t="str">
        <f t="shared" si="13"/>
        <v/>
      </c>
      <c r="E43" s="26" t="str">
        <f t="shared" si="14"/>
        <v/>
      </c>
      <c r="F43" s="20"/>
      <c r="G43" s="20" t="s">
        <v>339</v>
      </c>
      <c r="H43" s="20"/>
      <c r="I43" s="48" t="s">
        <v>196</v>
      </c>
      <c r="J43" s="48" t="s">
        <v>196</v>
      </c>
      <c r="K43" s="49" t="s">
        <v>197</v>
      </c>
      <c r="L43" s="48" t="s">
        <v>196</v>
      </c>
      <c r="M43" s="48" t="s">
        <v>196</v>
      </c>
      <c r="N43" s="48" t="s">
        <v>196</v>
      </c>
      <c r="O43" s="77" t="s">
        <v>198</v>
      </c>
      <c r="P43" s="77" t="s">
        <v>198</v>
      </c>
      <c r="Q43" s="77" t="s">
        <v>198</v>
      </c>
      <c r="R43" s="79" t="s">
        <v>223</v>
      </c>
      <c r="S43" s="52" t="s">
        <v>223</v>
      </c>
      <c r="T43" s="98" t="s">
        <v>223</v>
      </c>
      <c r="U43" s="52" t="s">
        <v>223</v>
      </c>
      <c r="V43" s="53" t="s">
        <v>223</v>
      </c>
      <c r="W43" s="54" t="str">
        <f>IF('⚙ OFF Weekends'!$D$18="OFF","OFF","")</f>
        <v>OFF</v>
      </c>
      <c r="X43" s="53" t="s">
        <v>196</v>
      </c>
      <c r="Y43" s="52" t="s">
        <v>223</v>
      </c>
      <c r="Z43" s="53" t="s">
        <v>223</v>
      </c>
      <c r="AA43" s="52" t="s">
        <v>223</v>
      </c>
      <c r="AB43" s="53" t="s">
        <v>223</v>
      </c>
      <c r="AC43" s="54" t="str">
        <f>IF('⚙ OFF Weekends'!$D$24="OFF","OFF","")</f>
        <v/>
      </c>
      <c r="AD43" s="56" t="str">
        <f>IF('⚙ OFF Weekends'!$D$25="OFF","OFF","")</f>
        <v/>
      </c>
      <c r="AE43" s="54" t="str">
        <f>IF('⚙ OFF Weekends'!$D$26="OFF","OFF","")</f>
        <v/>
      </c>
      <c r="AF43" s="56" t="str">
        <f>IF('⚙ OFF Weekends'!$D$27="OFF","OFF","")</f>
        <v/>
      </c>
      <c r="AG43" s="54" t="str">
        <f>IF('⚙ OFF Weekends'!$D$28="OFF","OFF","")</f>
        <v/>
      </c>
      <c r="AH43" s="56" t="str">
        <f>IF('⚙ OFF Weekends'!$D$29="OFF","OFF","")</f>
        <v/>
      </c>
      <c r="AI43" s="54" t="str">
        <f>IF('⚙ OFF Weekends'!$D$30="OFF","OFF","")</f>
        <v/>
      </c>
      <c r="AJ43" s="56" t="str">
        <f>IF('⚙ OFF Weekends'!$D$31="OFF","OFF","")</f>
        <v/>
      </c>
      <c r="AK43" s="54" t="str">
        <f>IF('⚙ OFF Weekends'!$D$32="OFF","OFF","")</f>
        <v/>
      </c>
      <c r="AL43" s="56" t="str">
        <f>IF('⚙ OFF Weekends'!$D$33="OFF","OFF","")</f>
        <v/>
      </c>
      <c r="AM43" s="54" t="str">
        <f>IF('⚙ OFF Weekends'!$D$34="OFF","OFF","")</f>
        <v/>
      </c>
      <c r="AN43" s="56" t="str">
        <f>IF('⚙ OFF Weekends'!$D$35="OFF","OFF","")</f>
        <v/>
      </c>
      <c r="AO43" s="54" t="str">
        <f>IF('⚙ OFF Weekends'!$D$36="OFF","OFF","")</f>
        <v/>
      </c>
      <c r="AP43" s="56" t="str">
        <f>IF('⚙ OFF Weekends'!$D$37="OFF","OFF","")</f>
        <v/>
      </c>
      <c r="AQ43" s="54" t="str">
        <f>IF('⚙ OFF Weekends'!$D$38="OFF","OFF","")</f>
        <v/>
      </c>
      <c r="AR43" s="56" t="str">
        <f>IF('⚙ OFF Weekends'!$D$39="OFF","OFF","")</f>
        <v/>
      </c>
      <c r="AS43" s="54" t="str">
        <f>IF('⚙ OFF Weekends'!$D$40="OFF","OFF","")</f>
        <v/>
      </c>
      <c r="AT43" s="56" t="str">
        <f>IF('⚙ OFF Weekends'!$D$41="OFF","OFF","")</f>
        <v/>
      </c>
      <c r="AU43" s="54" t="str">
        <f>IF('⚙ OFF Weekends'!$D$42="OFF","OFF","")</f>
        <v/>
      </c>
      <c r="AV43" s="56" t="str">
        <f>IF('⚙ OFF Weekends'!$D$43="OFF","OFF","")</f>
        <v/>
      </c>
      <c r="AW43" s="54" t="str">
        <f>IF('⚙ OFF Weekends'!$D$44="OFF","OFF","")</f>
        <v/>
      </c>
      <c r="AX43" s="56" t="str">
        <f>IF('⚙ OFF Weekends'!$D$45="OFF","OFF","")</f>
        <v/>
      </c>
      <c r="AY43" s="54" t="str">
        <f>IF('⚙ OFF Weekends'!$D$46="OFF","OFF","")</f>
        <v/>
      </c>
      <c r="AZ43" s="56" t="str">
        <f>IF('⚙ OFF Weekends'!$D$47="OFF","OFF","")</f>
        <v/>
      </c>
      <c r="BA43" s="54" t="str">
        <f>IF('⚙ OFF Weekends'!$D$48="OFF","OFF","")</f>
        <v/>
      </c>
      <c r="BB43" s="56" t="str">
        <f>IF('⚙ OFF Weekends'!$D$49="OFF","OFF","")</f>
        <v/>
      </c>
      <c r="BC43" s="54" t="str">
        <f>IF('⚙ OFF Weekends'!$D$50="OFF","OFF","")</f>
        <v/>
      </c>
      <c r="BD43" s="56" t="str">
        <f>IF('⚙ OFF Weekends'!$D$51="OFF","OFF","")</f>
        <v/>
      </c>
      <c r="BE43" s="54" t="str">
        <f>IF('⚙ OFF Weekends'!$D$52="OFF","OFF","")</f>
        <v/>
      </c>
      <c r="BF43" s="56" t="str">
        <f>IF('⚙ OFF Weekends'!$D$53="OFF","OFF","")</f>
        <v/>
      </c>
      <c r="BG43" s="54" t="str">
        <f>IF('⚙ OFF Weekends'!$D$54="OFF","OFF","")</f>
        <v/>
      </c>
      <c r="BH43" s="56" t="str">
        <f>IF('⚙ OFF Weekends'!$D$55="OFF","OFF","")</f>
        <v/>
      </c>
      <c r="BI43" s="54" t="str">
        <f>IF('⚙ OFF Weekends'!$D$56="OFF","OFF","")</f>
        <v/>
      </c>
      <c r="BJ43" s="56" t="str">
        <f>IF('⚙ OFF Weekends'!$D$57="OFF","OFF","")</f>
        <v/>
      </c>
      <c r="BK43" s="54" t="str">
        <f>IF('⚙ OFF Weekends'!$D$58="OFF","OFF","")</f>
        <v/>
      </c>
      <c r="BL43" s="56" t="str">
        <f>IF('⚙ OFF Weekends'!$D$59="OFF","OFF","")</f>
        <v/>
      </c>
      <c r="BM43" s="54" t="str">
        <f>IF('⚙ OFF Weekends'!$D$60="OFF","OFF","")</f>
        <v/>
      </c>
      <c r="BN43" s="56" t="str">
        <f>IF('⚙ OFF Weekends'!$D$61="OFF","OFF","")</f>
        <v/>
      </c>
      <c r="BO43" s="54" t="str">
        <f>IF('⚙ OFF Weekends'!$D$62="OFF","OFF","")</f>
        <v/>
      </c>
      <c r="BP43" s="56" t="str">
        <f>IF('⚙ OFF Weekends'!$D$63="OFF","OFF","")</f>
        <v/>
      </c>
      <c r="BQ43" s="54" t="str">
        <f>IF('⚙ OFF Weekends'!$D$64="OFF","OFF","")</f>
        <v/>
      </c>
      <c r="BR43" s="56" t="str">
        <f>IF('⚙ OFF Weekends'!$D$65="OFF","OFF","")</f>
        <v/>
      </c>
      <c r="BS43" s="54" t="str">
        <f>IF('⚙ OFF Weekends'!$D$66="OFF","OFF","")</f>
        <v/>
      </c>
      <c r="BT43" s="56" t="str">
        <f>IF('⚙ OFF Weekends'!$D$67="OFF","OFF","")</f>
        <v/>
      </c>
      <c r="BU43" s="54" t="str">
        <f>IF('⚙ OFF Weekends'!$D$68="OFF","OFF","")</f>
        <v/>
      </c>
      <c r="BV43" s="56" t="str">
        <f>IF('⚙ OFF Weekends'!$D$69="OFF","OFF","")</f>
        <v/>
      </c>
      <c r="BW43" s="54" t="str">
        <f>IF('⚙ OFF Weekends'!$D$70="OFF","OFF","")</f>
        <v/>
      </c>
      <c r="BX43" s="56" t="str">
        <f>IF('⚙ OFF Weekends'!$D$71="OFF","OFF","")</f>
        <v/>
      </c>
      <c r="BY43" s="54" t="str">
        <f>IF('⚙ OFF Weekends'!$D$72="OFF","OFF","")</f>
        <v/>
      </c>
      <c r="BZ43" s="56" t="str">
        <f>IF('⚙ OFF Weekends'!$D$73="OFF","OFF","")</f>
        <v/>
      </c>
      <c r="CA43" s="54" t="str">
        <f>IF('⚙ OFF Weekends'!$D$74="OFF","OFF","")</f>
        <v/>
      </c>
      <c r="CB43" s="56" t="str">
        <f>IF('⚙ OFF Weekends'!$D$75="OFF","OFF","")</f>
        <v/>
      </c>
      <c r="CC43" s="54" t="str">
        <f>IF('⚙ OFF Weekends'!$D$76="OFF","OFF","")</f>
        <v/>
      </c>
      <c r="CD43" s="56" t="str">
        <f>IF('⚙ OFF Weekends'!$D$77="OFF","OFF","")</f>
        <v/>
      </c>
      <c r="CE43" s="96">
        <f t="shared" si="15"/>
        <v>6</v>
      </c>
      <c r="CF43" s="96">
        <f t="shared" si="16"/>
        <v>9</v>
      </c>
      <c r="CG43" s="96">
        <f t="shared" si="17"/>
        <v>3</v>
      </c>
      <c r="CH43" s="96" t="str">
        <f t="shared" si="18"/>
        <v>40%</v>
      </c>
    </row>
    <row r="44" ht="18.0" customHeight="1">
      <c r="A44" s="95">
        <v>3.0</v>
      </c>
      <c r="B44" s="12" t="s">
        <v>489</v>
      </c>
      <c r="C44" s="14" t="s">
        <v>490</v>
      </c>
      <c r="D44" s="17" t="str">
        <f t="shared" si="13"/>
        <v>📞 Call</v>
      </c>
      <c r="E44" s="19" t="str">
        <f t="shared" si="14"/>
        <v>💬 WhatsApp</v>
      </c>
      <c r="F44" s="10"/>
      <c r="G44" s="10" t="s">
        <v>339</v>
      </c>
      <c r="H44" s="10" t="s">
        <v>299</v>
      </c>
      <c r="I44" s="79" t="s">
        <v>223</v>
      </c>
      <c r="J44" s="79" t="s">
        <v>223</v>
      </c>
      <c r="K44" s="49" t="s">
        <v>197</v>
      </c>
      <c r="L44" s="79" t="s">
        <v>223</v>
      </c>
      <c r="M44" s="79" t="s">
        <v>223</v>
      </c>
      <c r="N44" s="79" t="s">
        <v>223</v>
      </c>
      <c r="O44" s="79" t="s">
        <v>223</v>
      </c>
      <c r="P44" s="79" t="s">
        <v>223</v>
      </c>
      <c r="Q44" s="79" t="s">
        <v>223</v>
      </c>
      <c r="R44" s="79" t="s">
        <v>223</v>
      </c>
      <c r="S44" s="52" t="s">
        <v>296</v>
      </c>
      <c r="T44" s="98" t="s">
        <v>296</v>
      </c>
      <c r="U44" s="52" t="s">
        <v>296</v>
      </c>
      <c r="V44" s="53" t="s">
        <v>296</v>
      </c>
      <c r="W44" s="54" t="str">
        <f>IF('⚙ OFF Weekends'!$D$18="OFF","OFF","")</f>
        <v>OFF</v>
      </c>
      <c r="X44" s="53" t="s">
        <v>296</v>
      </c>
      <c r="Y44" s="52" t="s">
        <v>296</v>
      </c>
      <c r="Z44" s="53" t="s">
        <v>296</v>
      </c>
      <c r="AA44" s="52" t="s">
        <v>296</v>
      </c>
      <c r="AB44" s="53" t="s">
        <v>296</v>
      </c>
      <c r="AC44" s="54" t="str">
        <f>IF('⚙ OFF Weekends'!$D$24="OFF","OFF","")</f>
        <v/>
      </c>
      <c r="AD44" s="56" t="str">
        <f>IF('⚙ OFF Weekends'!$D$25="OFF","OFF","")</f>
        <v/>
      </c>
      <c r="AE44" s="54" t="str">
        <f>IF('⚙ OFF Weekends'!$D$26="OFF","OFF","")</f>
        <v/>
      </c>
      <c r="AF44" s="56" t="str">
        <f>IF('⚙ OFF Weekends'!$D$27="OFF","OFF","")</f>
        <v/>
      </c>
      <c r="AG44" s="54" t="str">
        <f>IF('⚙ OFF Weekends'!$D$28="OFF","OFF","")</f>
        <v/>
      </c>
      <c r="AH44" s="56" t="str">
        <f>IF('⚙ OFF Weekends'!$D$29="OFF","OFF","")</f>
        <v/>
      </c>
      <c r="AI44" s="54" t="str">
        <f>IF('⚙ OFF Weekends'!$D$30="OFF","OFF","")</f>
        <v/>
      </c>
      <c r="AJ44" s="56" t="str">
        <f>IF('⚙ OFF Weekends'!$D$31="OFF","OFF","")</f>
        <v/>
      </c>
      <c r="AK44" s="54" t="str">
        <f>IF('⚙ OFF Weekends'!$D$32="OFF","OFF","")</f>
        <v/>
      </c>
      <c r="AL44" s="56" t="str">
        <f>IF('⚙ OFF Weekends'!$D$33="OFF","OFF","")</f>
        <v/>
      </c>
      <c r="AM44" s="54" t="str">
        <f>IF('⚙ OFF Weekends'!$D$34="OFF","OFF","")</f>
        <v/>
      </c>
      <c r="AN44" s="56" t="str">
        <f>IF('⚙ OFF Weekends'!$D$35="OFF","OFF","")</f>
        <v/>
      </c>
      <c r="AO44" s="54" t="str">
        <f>IF('⚙ OFF Weekends'!$D$36="OFF","OFF","")</f>
        <v/>
      </c>
      <c r="AP44" s="56" t="str">
        <f>IF('⚙ OFF Weekends'!$D$37="OFF","OFF","")</f>
        <v/>
      </c>
      <c r="AQ44" s="54" t="str">
        <f>IF('⚙ OFF Weekends'!$D$38="OFF","OFF","")</f>
        <v/>
      </c>
      <c r="AR44" s="56" t="str">
        <f>IF('⚙ OFF Weekends'!$D$39="OFF","OFF","")</f>
        <v/>
      </c>
      <c r="AS44" s="54" t="str">
        <f>IF('⚙ OFF Weekends'!$D$40="OFF","OFF","")</f>
        <v/>
      </c>
      <c r="AT44" s="56" t="str">
        <f>IF('⚙ OFF Weekends'!$D$41="OFF","OFF","")</f>
        <v/>
      </c>
      <c r="AU44" s="54" t="str">
        <f>IF('⚙ OFF Weekends'!$D$42="OFF","OFF","")</f>
        <v/>
      </c>
      <c r="AV44" s="56" t="str">
        <f>IF('⚙ OFF Weekends'!$D$43="OFF","OFF","")</f>
        <v/>
      </c>
      <c r="AW44" s="54" t="str">
        <f>IF('⚙ OFF Weekends'!$D$44="OFF","OFF","")</f>
        <v/>
      </c>
      <c r="AX44" s="56" t="str">
        <f>IF('⚙ OFF Weekends'!$D$45="OFF","OFF","")</f>
        <v/>
      </c>
      <c r="AY44" s="54" t="str">
        <f>IF('⚙ OFF Weekends'!$D$46="OFF","OFF","")</f>
        <v/>
      </c>
      <c r="AZ44" s="56" t="str">
        <f>IF('⚙ OFF Weekends'!$D$47="OFF","OFF","")</f>
        <v/>
      </c>
      <c r="BA44" s="54" t="str">
        <f>IF('⚙ OFF Weekends'!$D$48="OFF","OFF","")</f>
        <v/>
      </c>
      <c r="BB44" s="56" t="str">
        <f>IF('⚙ OFF Weekends'!$D$49="OFF","OFF","")</f>
        <v/>
      </c>
      <c r="BC44" s="54" t="str">
        <f>IF('⚙ OFF Weekends'!$D$50="OFF","OFF","")</f>
        <v/>
      </c>
      <c r="BD44" s="56" t="str">
        <f>IF('⚙ OFF Weekends'!$D$51="OFF","OFF","")</f>
        <v/>
      </c>
      <c r="BE44" s="54" t="str">
        <f>IF('⚙ OFF Weekends'!$D$52="OFF","OFF","")</f>
        <v/>
      </c>
      <c r="BF44" s="56" t="str">
        <f>IF('⚙ OFF Weekends'!$D$53="OFF","OFF","")</f>
        <v/>
      </c>
      <c r="BG44" s="54" t="str">
        <f>IF('⚙ OFF Weekends'!$D$54="OFF","OFF","")</f>
        <v/>
      </c>
      <c r="BH44" s="56" t="str">
        <f>IF('⚙ OFF Weekends'!$D$55="OFF","OFF","")</f>
        <v/>
      </c>
      <c r="BI44" s="54" t="str">
        <f>IF('⚙ OFF Weekends'!$D$56="OFF","OFF","")</f>
        <v/>
      </c>
      <c r="BJ44" s="56" t="str">
        <f>IF('⚙ OFF Weekends'!$D$57="OFF","OFF","")</f>
        <v/>
      </c>
      <c r="BK44" s="54" t="str">
        <f>IF('⚙ OFF Weekends'!$D$58="OFF","OFF","")</f>
        <v/>
      </c>
      <c r="BL44" s="56" t="str">
        <f>IF('⚙ OFF Weekends'!$D$59="OFF","OFF","")</f>
        <v/>
      </c>
      <c r="BM44" s="54" t="str">
        <f>IF('⚙ OFF Weekends'!$D$60="OFF","OFF","")</f>
        <v/>
      </c>
      <c r="BN44" s="56" t="str">
        <f>IF('⚙ OFF Weekends'!$D$61="OFF","OFF","")</f>
        <v/>
      </c>
      <c r="BO44" s="54" t="str">
        <f>IF('⚙ OFF Weekends'!$D$62="OFF","OFF","")</f>
        <v/>
      </c>
      <c r="BP44" s="56" t="str">
        <f>IF('⚙ OFF Weekends'!$D$63="OFF","OFF","")</f>
        <v/>
      </c>
      <c r="BQ44" s="54" t="str">
        <f>IF('⚙ OFF Weekends'!$D$64="OFF","OFF","")</f>
        <v/>
      </c>
      <c r="BR44" s="56" t="str">
        <f>IF('⚙ OFF Weekends'!$D$65="OFF","OFF","")</f>
        <v/>
      </c>
      <c r="BS44" s="54" t="str">
        <f>IF('⚙ OFF Weekends'!$D$66="OFF","OFF","")</f>
        <v/>
      </c>
      <c r="BT44" s="56" t="str">
        <f>IF('⚙ OFF Weekends'!$D$67="OFF","OFF","")</f>
        <v/>
      </c>
      <c r="BU44" s="54" t="str">
        <f>IF('⚙ OFF Weekends'!$D$68="OFF","OFF","")</f>
        <v/>
      </c>
      <c r="BV44" s="56" t="str">
        <f>IF('⚙ OFF Weekends'!$D$69="OFF","OFF","")</f>
        <v/>
      </c>
      <c r="BW44" s="54" t="str">
        <f>IF('⚙ OFF Weekends'!$D$70="OFF","OFF","")</f>
        <v/>
      </c>
      <c r="BX44" s="56" t="str">
        <f>IF('⚙ OFF Weekends'!$D$71="OFF","OFF","")</f>
        <v/>
      </c>
      <c r="BY44" s="54" t="str">
        <f>IF('⚙ OFF Weekends'!$D$72="OFF","OFF","")</f>
        <v/>
      </c>
      <c r="BZ44" s="56" t="str">
        <f>IF('⚙ OFF Weekends'!$D$73="OFF","OFF","")</f>
        <v/>
      </c>
      <c r="CA44" s="54" t="str">
        <f>IF('⚙ OFF Weekends'!$D$74="OFF","OFF","")</f>
        <v/>
      </c>
      <c r="CB44" s="56" t="str">
        <f>IF('⚙ OFF Weekends'!$D$75="OFF","OFF","")</f>
        <v/>
      </c>
      <c r="CC44" s="54" t="str">
        <f>IF('⚙ OFF Weekends'!$D$76="OFF","OFF","")</f>
        <v/>
      </c>
      <c r="CD44" s="56" t="str">
        <f>IF('⚙ OFF Weekends'!$D$77="OFF","OFF","")</f>
        <v/>
      </c>
      <c r="CE44" s="95">
        <f t="shared" si="15"/>
        <v>0</v>
      </c>
      <c r="CF44" s="95">
        <f t="shared" si="16"/>
        <v>9</v>
      </c>
      <c r="CG44" s="95">
        <f t="shared" si="17"/>
        <v>0</v>
      </c>
      <c r="CH44" s="95" t="str">
        <f t="shared" si="18"/>
        <v>0%</v>
      </c>
    </row>
    <row r="45" ht="18.0" customHeight="1">
      <c r="A45" s="96">
        <v>4.0</v>
      </c>
      <c r="B45" s="22" t="s">
        <v>492</v>
      </c>
      <c r="C45" s="23" t="s">
        <v>493</v>
      </c>
      <c r="D45" s="24" t="str">
        <f t="shared" si="13"/>
        <v>📞 Call</v>
      </c>
      <c r="E45" s="41" t="str">
        <f t="shared" si="14"/>
        <v>💬 WhatsApp</v>
      </c>
      <c r="F45" s="20"/>
      <c r="G45" s="20" t="s">
        <v>420</v>
      </c>
      <c r="H45" s="20"/>
      <c r="I45" s="79" t="s">
        <v>223</v>
      </c>
      <c r="J45" s="79" t="s">
        <v>223</v>
      </c>
      <c r="K45" s="49" t="s">
        <v>197</v>
      </c>
      <c r="L45" s="79" t="s">
        <v>223</v>
      </c>
      <c r="M45" s="79" t="s">
        <v>223</v>
      </c>
      <c r="N45" s="79" t="s">
        <v>223</v>
      </c>
      <c r="O45" s="79" t="s">
        <v>223</v>
      </c>
      <c r="P45" s="79" t="s">
        <v>223</v>
      </c>
      <c r="Q45" s="79" t="s">
        <v>223</v>
      </c>
      <c r="R45" s="50" t="s">
        <v>37</v>
      </c>
      <c r="S45" s="52" t="s">
        <v>223</v>
      </c>
      <c r="T45" s="98" t="s">
        <v>196</v>
      </c>
      <c r="U45" s="52" t="s">
        <v>223</v>
      </c>
      <c r="V45" s="53" t="s">
        <v>223</v>
      </c>
      <c r="W45" s="54" t="str">
        <f>IF('⚙ OFF Weekends'!$D$18="OFF","OFF","")</f>
        <v>OFF</v>
      </c>
      <c r="X45" s="53" t="s">
        <v>223</v>
      </c>
      <c r="Y45" s="52" t="s">
        <v>223</v>
      </c>
      <c r="Z45" s="53" t="s">
        <v>223</v>
      </c>
      <c r="AA45" s="52" t="s">
        <v>223</v>
      </c>
      <c r="AB45" s="53" t="s">
        <v>223</v>
      </c>
      <c r="AC45" s="54" t="str">
        <f>IF('⚙ OFF Weekends'!$D$24="OFF","OFF","")</f>
        <v/>
      </c>
      <c r="AD45" s="56" t="str">
        <f>IF('⚙ OFF Weekends'!$D$25="OFF","OFF","")</f>
        <v/>
      </c>
      <c r="AE45" s="54" t="str">
        <f>IF('⚙ OFF Weekends'!$D$26="OFF","OFF","")</f>
        <v/>
      </c>
      <c r="AF45" s="56" t="str">
        <f>IF('⚙ OFF Weekends'!$D$27="OFF","OFF","")</f>
        <v/>
      </c>
      <c r="AG45" s="54" t="str">
        <f>IF('⚙ OFF Weekends'!$D$28="OFF","OFF","")</f>
        <v/>
      </c>
      <c r="AH45" s="56" t="str">
        <f>IF('⚙ OFF Weekends'!$D$29="OFF","OFF","")</f>
        <v/>
      </c>
      <c r="AI45" s="54" t="str">
        <f>IF('⚙ OFF Weekends'!$D$30="OFF","OFF","")</f>
        <v/>
      </c>
      <c r="AJ45" s="56" t="str">
        <f>IF('⚙ OFF Weekends'!$D$31="OFF","OFF","")</f>
        <v/>
      </c>
      <c r="AK45" s="54" t="str">
        <f>IF('⚙ OFF Weekends'!$D$32="OFF","OFF","")</f>
        <v/>
      </c>
      <c r="AL45" s="56" t="str">
        <f>IF('⚙ OFF Weekends'!$D$33="OFF","OFF","")</f>
        <v/>
      </c>
      <c r="AM45" s="54" t="str">
        <f>IF('⚙ OFF Weekends'!$D$34="OFF","OFF","")</f>
        <v/>
      </c>
      <c r="AN45" s="56" t="str">
        <f>IF('⚙ OFF Weekends'!$D$35="OFF","OFF","")</f>
        <v/>
      </c>
      <c r="AO45" s="54" t="str">
        <f>IF('⚙ OFF Weekends'!$D$36="OFF","OFF","")</f>
        <v/>
      </c>
      <c r="AP45" s="56" t="str">
        <f>IF('⚙ OFF Weekends'!$D$37="OFF","OFF","")</f>
        <v/>
      </c>
      <c r="AQ45" s="54" t="str">
        <f>IF('⚙ OFF Weekends'!$D$38="OFF","OFF","")</f>
        <v/>
      </c>
      <c r="AR45" s="56" t="str">
        <f>IF('⚙ OFF Weekends'!$D$39="OFF","OFF","")</f>
        <v/>
      </c>
      <c r="AS45" s="54" t="str">
        <f>IF('⚙ OFF Weekends'!$D$40="OFF","OFF","")</f>
        <v/>
      </c>
      <c r="AT45" s="56" t="str">
        <f>IF('⚙ OFF Weekends'!$D$41="OFF","OFF","")</f>
        <v/>
      </c>
      <c r="AU45" s="54" t="str">
        <f>IF('⚙ OFF Weekends'!$D$42="OFF","OFF","")</f>
        <v/>
      </c>
      <c r="AV45" s="56" t="str">
        <f>IF('⚙ OFF Weekends'!$D$43="OFF","OFF","")</f>
        <v/>
      </c>
      <c r="AW45" s="54" t="str">
        <f>IF('⚙ OFF Weekends'!$D$44="OFF","OFF","")</f>
        <v/>
      </c>
      <c r="AX45" s="56" t="str">
        <f>IF('⚙ OFF Weekends'!$D$45="OFF","OFF","")</f>
        <v/>
      </c>
      <c r="AY45" s="54" t="str">
        <f>IF('⚙ OFF Weekends'!$D$46="OFF","OFF","")</f>
        <v/>
      </c>
      <c r="AZ45" s="56" t="str">
        <f>IF('⚙ OFF Weekends'!$D$47="OFF","OFF","")</f>
        <v/>
      </c>
      <c r="BA45" s="54" t="str">
        <f>IF('⚙ OFF Weekends'!$D$48="OFF","OFF","")</f>
        <v/>
      </c>
      <c r="BB45" s="56" t="str">
        <f>IF('⚙ OFF Weekends'!$D$49="OFF","OFF","")</f>
        <v/>
      </c>
      <c r="BC45" s="54" t="str">
        <f>IF('⚙ OFF Weekends'!$D$50="OFF","OFF","")</f>
        <v/>
      </c>
      <c r="BD45" s="56" t="str">
        <f>IF('⚙ OFF Weekends'!$D$51="OFF","OFF","")</f>
        <v/>
      </c>
      <c r="BE45" s="54" t="str">
        <f>IF('⚙ OFF Weekends'!$D$52="OFF","OFF","")</f>
        <v/>
      </c>
      <c r="BF45" s="56" t="str">
        <f>IF('⚙ OFF Weekends'!$D$53="OFF","OFF","")</f>
        <v/>
      </c>
      <c r="BG45" s="54" t="str">
        <f>IF('⚙ OFF Weekends'!$D$54="OFF","OFF","")</f>
        <v/>
      </c>
      <c r="BH45" s="56" t="str">
        <f>IF('⚙ OFF Weekends'!$D$55="OFF","OFF","")</f>
        <v/>
      </c>
      <c r="BI45" s="54" t="str">
        <f>IF('⚙ OFF Weekends'!$D$56="OFF","OFF","")</f>
        <v/>
      </c>
      <c r="BJ45" s="56" t="str">
        <f>IF('⚙ OFF Weekends'!$D$57="OFF","OFF","")</f>
        <v/>
      </c>
      <c r="BK45" s="54" t="str">
        <f>IF('⚙ OFF Weekends'!$D$58="OFF","OFF","")</f>
        <v/>
      </c>
      <c r="BL45" s="56" t="str">
        <f>IF('⚙ OFF Weekends'!$D$59="OFF","OFF","")</f>
        <v/>
      </c>
      <c r="BM45" s="54" t="str">
        <f>IF('⚙ OFF Weekends'!$D$60="OFF","OFF","")</f>
        <v/>
      </c>
      <c r="BN45" s="56" t="str">
        <f>IF('⚙ OFF Weekends'!$D$61="OFF","OFF","")</f>
        <v/>
      </c>
      <c r="BO45" s="54" t="str">
        <f>IF('⚙ OFF Weekends'!$D$62="OFF","OFF","")</f>
        <v/>
      </c>
      <c r="BP45" s="56" t="str">
        <f>IF('⚙ OFF Weekends'!$D$63="OFF","OFF","")</f>
        <v/>
      </c>
      <c r="BQ45" s="54" t="str">
        <f>IF('⚙ OFF Weekends'!$D$64="OFF","OFF","")</f>
        <v/>
      </c>
      <c r="BR45" s="56" t="str">
        <f>IF('⚙ OFF Weekends'!$D$65="OFF","OFF","")</f>
        <v/>
      </c>
      <c r="BS45" s="54" t="str">
        <f>IF('⚙ OFF Weekends'!$D$66="OFF","OFF","")</f>
        <v/>
      </c>
      <c r="BT45" s="56" t="str">
        <f>IF('⚙ OFF Weekends'!$D$67="OFF","OFF","")</f>
        <v/>
      </c>
      <c r="BU45" s="54" t="str">
        <f>IF('⚙ OFF Weekends'!$D$68="OFF","OFF","")</f>
        <v/>
      </c>
      <c r="BV45" s="56" t="str">
        <f>IF('⚙ OFF Weekends'!$D$69="OFF","OFF","")</f>
        <v/>
      </c>
      <c r="BW45" s="54" t="str">
        <f>IF('⚙ OFF Weekends'!$D$70="OFF","OFF","")</f>
        <v/>
      </c>
      <c r="BX45" s="56" t="str">
        <f>IF('⚙ OFF Weekends'!$D$71="OFF","OFF","")</f>
        <v/>
      </c>
      <c r="BY45" s="54" t="str">
        <f>IF('⚙ OFF Weekends'!$D$72="OFF","OFF","")</f>
        <v/>
      </c>
      <c r="BZ45" s="56" t="str">
        <f>IF('⚙ OFF Weekends'!$D$73="OFF","OFF","")</f>
        <v/>
      </c>
      <c r="CA45" s="54" t="str">
        <f>IF('⚙ OFF Weekends'!$D$74="OFF","OFF","")</f>
        <v/>
      </c>
      <c r="CB45" s="56" t="str">
        <f>IF('⚙ OFF Weekends'!$D$75="OFF","OFF","")</f>
        <v/>
      </c>
      <c r="CC45" s="54" t="str">
        <f>IF('⚙ OFF Weekends'!$D$76="OFF","OFF","")</f>
        <v/>
      </c>
      <c r="CD45" s="56" t="str">
        <f>IF('⚙ OFF Weekends'!$D$77="OFF","OFF","")</f>
        <v/>
      </c>
      <c r="CE45" s="96">
        <f t="shared" si="15"/>
        <v>2</v>
      </c>
      <c r="CF45" s="96">
        <f t="shared" si="16"/>
        <v>16</v>
      </c>
      <c r="CG45" s="96">
        <f t="shared" si="17"/>
        <v>0</v>
      </c>
      <c r="CH45" s="96" t="str">
        <f t="shared" si="18"/>
        <v>11%</v>
      </c>
    </row>
    <row r="46" ht="18.0" customHeight="1">
      <c r="A46" s="95">
        <v>5.0</v>
      </c>
      <c r="B46" s="12" t="s">
        <v>503</v>
      </c>
      <c r="C46" s="14" t="s">
        <v>504</v>
      </c>
      <c r="D46" s="17" t="str">
        <f t="shared" si="13"/>
        <v>📞 Call</v>
      </c>
      <c r="E46" s="19" t="str">
        <f t="shared" si="14"/>
        <v>💬 WhatsApp</v>
      </c>
      <c r="F46" s="10"/>
      <c r="G46" s="10" t="s">
        <v>420</v>
      </c>
      <c r="H46" s="10"/>
      <c r="I46" s="79" t="s">
        <v>223</v>
      </c>
      <c r="J46" s="79" t="s">
        <v>223</v>
      </c>
      <c r="K46" s="49" t="s">
        <v>197</v>
      </c>
      <c r="L46" s="77" t="s">
        <v>198</v>
      </c>
      <c r="M46" s="79" t="s">
        <v>223</v>
      </c>
      <c r="N46" s="79" t="s">
        <v>223</v>
      </c>
      <c r="O46" s="79" t="s">
        <v>223</v>
      </c>
      <c r="P46" s="48" t="s">
        <v>196</v>
      </c>
      <c r="Q46" s="79" t="s">
        <v>223</v>
      </c>
      <c r="R46" s="79" t="s">
        <v>223</v>
      </c>
      <c r="S46" s="52" t="s">
        <v>223</v>
      </c>
      <c r="T46" s="98" t="s">
        <v>223</v>
      </c>
      <c r="U46" s="52" t="s">
        <v>223</v>
      </c>
      <c r="V46" s="53" t="s">
        <v>223</v>
      </c>
      <c r="W46" s="54" t="str">
        <f>IF('⚙ OFF Weekends'!$D$18="OFF","OFF","")</f>
        <v>OFF</v>
      </c>
      <c r="X46" s="53" t="s">
        <v>223</v>
      </c>
      <c r="Y46" s="52" t="s">
        <v>296</v>
      </c>
      <c r="Z46" s="53" t="s">
        <v>296</v>
      </c>
      <c r="AA46" s="52" t="s">
        <v>296</v>
      </c>
      <c r="AB46" s="53" t="s">
        <v>296</v>
      </c>
      <c r="AC46" s="54" t="str">
        <f>IF('⚙ OFF Weekends'!$D$24="OFF","OFF","")</f>
        <v/>
      </c>
      <c r="AD46" s="56" t="str">
        <f>IF('⚙ OFF Weekends'!$D$25="OFF","OFF","")</f>
        <v/>
      </c>
      <c r="AE46" s="54" t="str">
        <f>IF('⚙ OFF Weekends'!$D$26="OFF","OFF","")</f>
        <v/>
      </c>
      <c r="AF46" s="56" t="str">
        <f>IF('⚙ OFF Weekends'!$D$27="OFF","OFF","")</f>
        <v/>
      </c>
      <c r="AG46" s="54" t="str">
        <f>IF('⚙ OFF Weekends'!$D$28="OFF","OFF","")</f>
        <v/>
      </c>
      <c r="AH46" s="56" t="str">
        <f>IF('⚙ OFF Weekends'!$D$29="OFF","OFF","")</f>
        <v/>
      </c>
      <c r="AI46" s="54" t="str">
        <f>IF('⚙ OFF Weekends'!$D$30="OFF","OFF","")</f>
        <v/>
      </c>
      <c r="AJ46" s="56" t="str">
        <f>IF('⚙ OFF Weekends'!$D$31="OFF","OFF","")</f>
        <v/>
      </c>
      <c r="AK46" s="54" t="str">
        <f>IF('⚙ OFF Weekends'!$D$32="OFF","OFF","")</f>
        <v/>
      </c>
      <c r="AL46" s="56" t="str">
        <f>IF('⚙ OFF Weekends'!$D$33="OFF","OFF","")</f>
        <v/>
      </c>
      <c r="AM46" s="54" t="str">
        <f>IF('⚙ OFF Weekends'!$D$34="OFF","OFF","")</f>
        <v/>
      </c>
      <c r="AN46" s="56" t="str">
        <f>IF('⚙ OFF Weekends'!$D$35="OFF","OFF","")</f>
        <v/>
      </c>
      <c r="AO46" s="54" t="str">
        <f>IF('⚙ OFF Weekends'!$D$36="OFF","OFF","")</f>
        <v/>
      </c>
      <c r="AP46" s="56" t="str">
        <f>IF('⚙ OFF Weekends'!$D$37="OFF","OFF","")</f>
        <v/>
      </c>
      <c r="AQ46" s="54" t="str">
        <f>IF('⚙ OFF Weekends'!$D$38="OFF","OFF","")</f>
        <v/>
      </c>
      <c r="AR46" s="56" t="str">
        <f>IF('⚙ OFF Weekends'!$D$39="OFF","OFF","")</f>
        <v/>
      </c>
      <c r="AS46" s="54" t="str">
        <f>IF('⚙ OFF Weekends'!$D$40="OFF","OFF","")</f>
        <v/>
      </c>
      <c r="AT46" s="56" t="str">
        <f>IF('⚙ OFF Weekends'!$D$41="OFF","OFF","")</f>
        <v/>
      </c>
      <c r="AU46" s="54" t="str">
        <f>IF('⚙ OFF Weekends'!$D$42="OFF","OFF","")</f>
        <v/>
      </c>
      <c r="AV46" s="56" t="str">
        <f>IF('⚙ OFF Weekends'!$D$43="OFF","OFF","")</f>
        <v/>
      </c>
      <c r="AW46" s="54" t="str">
        <f>IF('⚙ OFF Weekends'!$D$44="OFF","OFF","")</f>
        <v/>
      </c>
      <c r="AX46" s="56" t="str">
        <f>IF('⚙ OFF Weekends'!$D$45="OFF","OFF","")</f>
        <v/>
      </c>
      <c r="AY46" s="54" t="str">
        <f>IF('⚙ OFF Weekends'!$D$46="OFF","OFF","")</f>
        <v/>
      </c>
      <c r="AZ46" s="56" t="str">
        <f>IF('⚙ OFF Weekends'!$D$47="OFF","OFF","")</f>
        <v/>
      </c>
      <c r="BA46" s="54" t="str">
        <f>IF('⚙ OFF Weekends'!$D$48="OFF","OFF","")</f>
        <v/>
      </c>
      <c r="BB46" s="56" t="str">
        <f>IF('⚙ OFF Weekends'!$D$49="OFF","OFF","")</f>
        <v/>
      </c>
      <c r="BC46" s="54" t="str">
        <f>IF('⚙ OFF Weekends'!$D$50="OFF","OFF","")</f>
        <v/>
      </c>
      <c r="BD46" s="56" t="str">
        <f>IF('⚙ OFF Weekends'!$D$51="OFF","OFF","")</f>
        <v/>
      </c>
      <c r="BE46" s="54" t="str">
        <f>IF('⚙ OFF Weekends'!$D$52="OFF","OFF","")</f>
        <v/>
      </c>
      <c r="BF46" s="56" t="str">
        <f>IF('⚙ OFF Weekends'!$D$53="OFF","OFF","")</f>
        <v/>
      </c>
      <c r="BG46" s="54" t="str">
        <f>IF('⚙ OFF Weekends'!$D$54="OFF","OFF","")</f>
        <v/>
      </c>
      <c r="BH46" s="56" t="str">
        <f>IF('⚙ OFF Weekends'!$D$55="OFF","OFF","")</f>
        <v/>
      </c>
      <c r="BI46" s="54" t="str">
        <f>IF('⚙ OFF Weekends'!$D$56="OFF","OFF","")</f>
        <v/>
      </c>
      <c r="BJ46" s="56" t="str">
        <f>IF('⚙ OFF Weekends'!$D$57="OFF","OFF","")</f>
        <v/>
      </c>
      <c r="BK46" s="54" t="str">
        <f>IF('⚙ OFF Weekends'!$D$58="OFF","OFF","")</f>
        <v/>
      </c>
      <c r="BL46" s="56" t="str">
        <f>IF('⚙ OFF Weekends'!$D$59="OFF","OFF","")</f>
        <v/>
      </c>
      <c r="BM46" s="54" t="str">
        <f>IF('⚙ OFF Weekends'!$D$60="OFF","OFF","")</f>
        <v/>
      </c>
      <c r="BN46" s="56" t="str">
        <f>IF('⚙ OFF Weekends'!$D$61="OFF","OFF","")</f>
        <v/>
      </c>
      <c r="BO46" s="54" t="str">
        <f>IF('⚙ OFF Weekends'!$D$62="OFF","OFF","")</f>
        <v/>
      </c>
      <c r="BP46" s="56" t="str">
        <f>IF('⚙ OFF Weekends'!$D$63="OFF","OFF","")</f>
        <v/>
      </c>
      <c r="BQ46" s="54" t="str">
        <f>IF('⚙ OFF Weekends'!$D$64="OFF","OFF","")</f>
        <v/>
      </c>
      <c r="BR46" s="56" t="str">
        <f>IF('⚙ OFF Weekends'!$D$65="OFF","OFF","")</f>
        <v/>
      </c>
      <c r="BS46" s="54" t="str">
        <f>IF('⚙ OFF Weekends'!$D$66="OFF","OFF","")</f>
        <v/>
      </c>
      <c r="BT46" s="56" t="str">
        <f>IF('⚙ OFF Weekends'!$D$67="OFF","OFF","")</f>
        <v/>
      </c>
      <c r="BU46" s="54" t="str">
        <f>IF('⚙ OFF Weekends'!$D$68="OFF","OFF","")</f>
        <v/>
      </c>
      <c r="BV46" s="56" t="str">
        <f>IF('⚙ OFF Weekends'!$D$69="OFF","OFF","")</f>
        <v/>
      </c>
      <c r="BW46" s="54" t="str">
        <f>IF('⚙ OFF Weekends'!$D$70="OFF","OFF","")</f>
        <v/>
      </c>
      <c r="BX46" s="56" t="str">
        <f>IF('⚙ OFF Weekends'!$D$71="OFF","OFF","")</f>
        <v/>
      </c>
      <c r="BY46" s="54" t="str">
        <f>IF('⚙ OFF Weekends'!$D$72="OFF","OFF","")</f>
        <v/>
      </c>
      <c r="BZ46" s="56" t="str">
        <f>IF('⚙ OFF Weekends'!$D$73="OFF","OFF","")</f>
        <v/>
      </c>
      <c r="CA46" s="54" t="str">
        <f>IF('⚙ OFF Weekends'!$D$74="OFF","OFF","")</f>
        <v/>
      </c>
      <c r="CB46" s="56" t="str">
        <f>IF('⚙ OFF Weekends'!$D$75="OFF","OFF","")</f>
        <v/>
      </c>
      <c r="CC46" s="54" t="str">
        <f>IF('⚙ OFF Weekends'!$D$76="OFF","OFF","")</f>
        <v/>
      </c>
      <c r="CD46" s="56" t="str">
        <f>IF('⚙ OFF Weekends'!$D$77="OFF","OFF","")</f>
        <v/>
      </c>
      <c r="CE46" s="95">
        <f t="shared" si="15"/>
        <v>1</v>
      </c>
      <c r="CF46" s="95">
        <f t="shared" si="16"/>
        <v>12</v>
      </c>
      <c r="CG46" s="95">
        <f t="shared" si="17"/>
        <v>1</v>
      </c>
      <c r="CH46" s="95" t="str">
        <f t="shared" si="18"/>
        <v>8%</v>
      </c>
    </row>
    <row r="47" ht="18.0" customHeight="1">
      <c r="A47" s="96">
        <v>6.0</v>
      </c>
      <c r="B47" s="22" t="s">
        <v>510</v>
      </c>
      <c r="C47" s="23" t="s">
        <v>511</v>
      </c>
      <c r="D47" s="24" t="str">
        <f t="shared" si="13"/>
        <v>📞 Call</v>
      </c>
      <c r="E47" s="41" t="str">
        <f t="shared" si="14"/>
        <v>💬 WhatsApp</v>
      </c>
      <c r="F47" s="20"/>
      <c r="G47" s="20" t="s">
        <v>420</v>
      </c>
      <c r="H47" s="20" t="s">
        <v>299</v>
      </c>
      <c r="I47" s="48" t="s">
        <v>196</v>
      </c>
      <c r="J47" s="79" t="s">
        <v>223</v>
      </c>
      <c r="K47" s="49" t="s">
        <v>197</v>
      </c>
      <c r="L47" s="50" t="s">
        <v>37</v>
      </c>
      <c r="M47" s="79" t="s">
        <v>223</v>
      </c>
      <c r="N47" s="79" t="s">
        <v>223</v>
      </c>
      <c r="O47" s="79" t="s">
        <v>223</v>
      </c>
      <c r="P47" s="77" t="s">
        <v>198</v>
      </c>
      <c r="Q47" s="77" t="s">
        <v>198</v>
      </c>
      <c r="R47" s="50" t="s">
        <v>37</v>
      </c>
      <c r="S47" s="52" t="s">
        <v>223</v>
      </c>
      <c r="T47" s="98" t="s">
        <v>196</v>
      </c>
      <c r="U47" s="52" t="s">
        <v>223</v>
      </c>
      <c r="V47" s="53" t="s">
        <v>223</v>
      </c>
      <c r="W47" s="54" t="str">
        <f>IF('⚙ OFF Weekends'!$D$18="OFF","OFF","")</f>
        <v>OFF</v>
      </c>
      <c r="X47" s="53" t="s">
        <v>223</v>
      </c>
      <c r="Y47" s="52" t="s">
        <v>223</v>
      </c>
      <c r="Z47" s="53" t="s">
        <v>223</v>
      </c>
      <c r="AA47" s="52" t="s">
        <v>223</v>
      </c>
      <c r="AB47" s="53" t="s">
        <v>223</v>
      </c>
      <c r="AC47" s="54" t="str">
        <f>IF('⚙ OFF Weekends'!$D$24="OFF","OFF","")</f>
        <v/>
      </c>
      <c r="AD47" s="56" t="str">
        <f>IF('⚙ OFF Weekends'!$D$25="OFF","OFF","")</f>
        <v/>
      </c>
      <c r="AE47" s="54" t="str">
        <f>IF('⚙ OFF Weekends'!$D$26="OFF","OFF","")</f>
        <v/>
      </c>
      <c r="AF47" s="56" t="str">
        <f>IF('⚙ OFF Weekends'!$D$27="OFF","OFF","")</f>
        <v/>
      </c>
      <c r="AG47" s="54" t="str">
        <f>IF('⚙ OFF Weekends'!$D$28="OFF","OFF","")</f>
        <v/>
      </c>
      <c r="AH47" s="56" t="str">
        <f>IF('⚙ OFF Weekends'!$D$29="OFF","OFF","")</f>
        <v/>
      </c>
      <c r="AI47" s="54" t="str">
        <f>IF('⚙ OFF Weekends'!$D$30="OFF","OFF","")</f>
        <v/>
      </c>
      <c r="AJ47" s="56" t="str">
        <f>IF('⚙ OFF Weekends'!$D$31="OFF","OFF","")</f>
        <v/>
      </c>
      <c r="AK47" s="54" t="str">
        <f>IF('⚙ OFF Weekends'!$D$32="OFF","OFF","")</f>
        <v/>
      </c>
      <c r="AL47" s="56" t="str">
        <f>IF('⚙ OFF Weekends'!$D$33="OFF","OFF","")</f>
        <v/>
      </c>
      <c r="AM47" s="54" t="str">
        <f>IF('⚙ OFF Weekends'!$D$34="OFF","OFF","")</f>
        <v/>
      </c>
      <c r="AN47" s="56" t="str">
        <f>IF('⚙ OFF Weekends'!$D$35="OFF","OFF","")</f>
        <v/>
      </c>
      <c r="AO47" s="54" t="str">
        <f>IF('⚙ OFF Weekends'!$D$36="OFF","OFF","")</f>
        <v/>
      </c>
      <c r="AP47" s="56" t="str">
        <f>IF('⚙ OFF Weekends'!$D$37="OFF","OFF","")</f>
        <v/>
      </c>
      <c r="AQ47" s="54" t="str">
        <f>IF('⚙ OFF Weekends'!$D$38="OFF","OFF","")</f>
        <v/>
      </c>
      <c r="AR47" s="56" t="str">
        <f>IF('⚙ OFF Weekends'!$D$39="OFF","OFF","")</f>
        <v/>
      </c>
      <c r="AS47" s="54" t="str">
        <f>IF('⚙ OFF Weekends'!$D$40="OFF","OFF","")</f>
        <v/>
      </c>
      <c r="AT47" s="56" t="str">
        <f>IF('⚙ OFF Weekends'!$D$41="OFF","OFF","")</f>
        <v/>
      </c>
      <c r="AU47" s="54" t="str">
        <f>IF('⚙ OFF Weekends'!$D$42="OFF","OFF","")</f>
        <v/>
      </c>
      <c r="AV47" s="56" t="str">
        <f>IF('⚙ OFF Weekends'!$D$43="OFF","OFF","")</f>
        <v/>
      </c>
      <c r="AW47" s="54" t="str">
        <f>IF('⚙ OFF Weekends'!$D$44="OFF","OFF","")</f>
        <v/>
      </c>
      <c r="AX47" s="56" t="str">
        <f>IF('⚙ OFF Weekends'!$D$45="OFF","OFF","")</f>
        <v/>
      </c>
      <c r="AY47" s="54" t="str">
        <f>IF('⚙ OFF Weekends'!$D$46="OFF","OFF","")</f>
        <v/>
      </c>
      <c r="AZ47" s="56" t="str">
        <f>IF('⚙ OFF Weekends'!$D$47="OFF","OFF","")</f>
        <v/>
      </c>
      <c r="BA47" s="54" t="str">
        <f>IF('⚙ OFF Weekends'!$D$48="OFF","OFF","")</f>
        <v/>
      </c>
      <c r="BB47" s="56" t="str">
        <f>IF('⚙ OFF Weekends'!$D$49="OFF","OFF","")</f>
        <v/>
      </c>
      <c r="BC47" s="54" t="str">
        <f>IF('⚙ OFF Weekends'!$D$50="OFF","OFF","")</f>
        <v/>
      </c>
      <c r="BD47" s="56" t="str">
        <f>IF('⚙ OFF Weekends'!$D$51="OFF","OFF","")</f>
        <v/>
      </c>
      <c r="BE47" s="54" t="str">
        <f>IF('⚙ OFF Weekends'!$D$52="OFF","OFF","")</f>
        <v/>
      </c>
      <c r="BF47" s="56" t="str">
        <f>IF('⚙ OFF Weekends'!$D$53="OFF","OFF","")</f>
        <v/>
      </c>
      <c r="BG47" s="54" t="str">
        <f>IF('⚙ OFF Weekends'!$D$54="OFF","OFF","")</f>
        <v/>
      </c>
      <c r="BH47" s="56" t="str">
        <f>IF('⚙ OFF Weekends'!$D$55="OFF","OFF","")</f>
        <v/>
      </c>
      <c r="BI47" s="54" t="str">
        <f>IF('⚙ OFF Weekends'!$D$56="OFF","OFF","")</f>
        <v/>
      </c>
      <c r="BJ47" s="56" t="str">
        <f>IF('⚙ OFF Weekends'!$D$57="OFF","OFF","")</f>
        <v/>
      </c>
      <c r="BK47" s="54" t="str">
        <f>IF('⚙ OFF Weekends'!$D$58="OFF","OFF","")</f>
        <v/>
      </c>
      <c r="BL47" s="56" t="str">
        <f>IF('⚙ OFF Weekends'!$D$59="OFF","OFF","")</f>
        <v/>
      </c>
      <c r="BM47" s="54" t="str">
        <f>IF('⚙ OFF Weekends'!$D$60="OFF","OFF","")</f>
        <v/>
      </c>
      <c r="BN47" s="56" t="str">
        <f>IF('⚙ OFF Weekends'!$D$61="OFF","OFF","")</f>
        <v/>
      </c>
      <c r="BO47" s="54" t="str">
        <f>IF('⚙ OFF Weekends'!$D$62="OFF","OFF","")</f>
        <v/>
      </c>
      <c r="BP47" s="56" t="str">
        <f>IF('⚙ OFF Weekends'!$D$63="OFF","OFF","")</f>
        <v/>
      </c>
      <c r="BQ47" s="54" t="str">
        <f>IF('⚙ OFF Weekends'!$D$64="OFF","OFF","")</f>
        <v/>
      </c>
      <c r="BR47" s="56" t="str">
        <f>IF('⚙ OFF Weekends'!$D$65="OFF","OFF","")</f>
        <v/>
      </c>
      <c r="BS47" s="54" t="str">
        <f>IF('⚙ OFF Weekends'!$D$66="OFF","OFF","")</f>
        <v/>
      </c>
      <c r="BT47" s="56" t="str">
        <f>IF('⚙ OFF Weekends'!$D$67="OFF","OFF","")</f>
        <v/>
      </c>
      <c r="BU47" s="54" t="str">
        <f>IF('⚙ OFF Weekends'!$D$68="OFF","OFF","")</f>
        <v/>
      </c>
      <c r="BV47" s="56" t="str">
        <f>IF('⚙ OFF Weekends'!$D$69="OFF","OFF","")</f>
        <v/>
      </c>
      <c r="BW47" s="54" t="str">
        <f>IF('⚙ OFF Weekends'!$D$70="OFF","OFF","")</f>
        <v/>
      </c>
      <c r="BX47" s="56" t="str">
        <f>IF('⚙ OFF Weekends'!$D$71="OFF","OFF","")</f>
        <v/>
      </c>
      <c r="BY47" s="54" t="str">
        <f>IF('⚙ OFF Weekends'!$D$72="OFF","OFF","")</f>
        <v/>
      </c>
      <c r="BZ47" s="56" t="str">
        <f>IF('⚙ OFF Weekends'!$D$73="OFF","OFF","")</f>
        <v/>
      </c>
      <c r="CA47" s="54" t="str">
        <f>IF('⚙ OFF Weekends'!$D$74="OFF","OFF","")</f>
        <v/>
      </c>
      <c r="CB47" s="56" t="str">
        <f>IF('⚙ OFF Weekends'!$D$75="OFF","OFF","")</f>
        <v/>
      </c>
      <c r="CC47" s="54" t="str">
        <f>IF('⚙ OFF Weekends'!$D$76="OFF","OFF","")</f>
        <v/>
      </c>
      <c r="CD47" s="56" t="str">
        <f>IF('⚙ OFF Weekends'!$D$77="OFF","OFF","")</f>
        <v/>
      </c>
      <c r="CE47" s="96">
        <f t="shared" si="15"/>
        <v>4</v>
      </c>
      <c r="CF47" s="96">
        <f t="shared" si="16"/>
        <v>12</v>
      </c>
      <c r="CG47" s="96">
        <f t="shared" si="17"/>
        <v>2</v>
      </c>
      <c r="CH47" s="96" t="str">
        <f t="shared" si="18"/>
        <v>25%</v>
      </c>
    </row>
    <row r="48" ht="18.0" customHeight="1">
      <c r="A48" s="95">
        <v>7.0</v>
      </c>
      <c r="B48" s="12" t="s">
        <v>519</v>
      </c>
      <c r="C48" s="14" t="s">
        <v>520</v>
      </c>
      <c r="D48" s="17" t="str">
        <f t="shared" si="13"/>
        <v>📞 Call</v>
      </c>
      <c r="E48" s="19" t="str">
        <f t="shared" si="14"/>
        <v>💬 WhatsApp</v>
      </c>
      <c r="F48" s="10"/>
      <c r="G48" s="10" t="s">
        <v>420</v>
      </c>
      <c r="H48" s="10" t="s">
        <v>522</v>
      </c>
      <c r="I48" s="79" t="s">
        <v>223</v>
      </c>
      <c r="J48" s="79" t="s">
        <v>223</v>
      </c>
      <c r="K48" s="49" t="s">
        <v>197</v>
      </c>
      <c r="L48" s="79" t="s">
        <v>223</v>
      </c>
      <c r="M48" s="48" t="s">
        <v>196</v>
      </c>
      <c r="N48" s="79" t="s">
        <v>223</v>
      </c>
      <c r="O48" s="50" t="s">
        <v>37</v>
      </c>
      <c r="P48" s="79" t="s">
        <v>223</v>
      </c>
      <c r="Q48" s="79" t="s">
        <v>223</v>
      </c>
      <c r="R48" s="79" t="s">
        <v>223</v>
      </c>
      <c r="S48" s="52" t="s">
        <v>223</v>
      </c>
      <c r="T48" s="98" t="s">
        <v>196</v>
      </c>
      <c r="U48" s="52" t="s">
        <v>198</v>
      </c>
      <c r="V48" s="53" t="s">
        <v>223</v>
      </c>
      <c r="W48" s="54" t="str">
        <f>IF('⚙ OFF Weekends'!$D$18="OFF","OFF","")</f>
        <v>OFF</v>
      </c>
      <c r="X48" s="53" t="s">
        <v>223</v>
      </c>
      <c r="Y48" s="52" t="s">
        <v>223</v>
      </c>
      <c r="Z48" s="53" t="s">
        <v>223</v>
      </c>
      <c r="AA48" s="52" t="s">
        <v>290</v>
      </c>
      <c r="AB48" s="53" t="s">
        <v>223</v>
      </c>
      <c r="AC48" s="54" t="str">
        <f>IF('⚙ OFF Weekends'!$D$24="OFF","OFF","")</f>
        <v/>
      </c>
      <c r="AD48" s="56" t="str">
        <f>IF('⚙ OFF Weekends'!$D$25="OFF","OFF","")</f>
        <v/>
      </c>
      <c r="AE48" s="54" t="str">
        <f>IF('⚙ OFF Weekends'!$D$26="OFF","OFF","")</f>
        <v/>
      </c>
      <c r="AF48" s="56" t="str">
        <f>IF('⚙ OFF Weekends'!$D$27="OFF","OFF","")</f>
        <v/>
      </c>
      <c r="AG48" s="54" t="str">
        <f>IF('⚙ OFF Weekends'!$D$28="OFF","OFF","")</f>
        <v/>
      </c>
      <c r="AH48" s="56" t="str">
        <f>IF('⚙ OFF Weekends'!$D$29="OFF","OFF","")</f>
        <v/>
      </c>
      <c r="AI48" s="54" t="str">
        <f>IF('⚙ OFF Weekends'!$D$30="OFF","OFF","")</f>
        <v/>
      </c>
      <c r="AJ48" s="56" t="str">
        <f>IF('⚙ OFF Weekends'!$D$31="OFF","OFF","")</f>
        <v/>
      </c>
      <c r="AK48" s="54" t="str">
        <f>IF('⚙ OFF Weekends'!$D$32="OFF","OFF","")</f>
        <v/>
      </c>
      <c r="AL48" s="56" t="str">
        <f>IF('⚙ OFF Weekends'!$D$33="OFF","OFF","")</f>
        <v/>
      </c>
      <c r="AM48" s="54" t="str">
        <f>IF('⚙ OFF Weekends'!$D$34="OFF","OFF","")</f>
        <v/>
      </c>
      <c r="AN48" s="56" t="str">
        <f>IF('⚙ OFF Weekends'!$D$35="OFF","OFF","")</f>
        <v/>
      </c>
      <c r="AO48" s="54" t="str">
        <f>IF('⚙ OFF Weekends'!$D$36="OFF","OFF","")</f>
        <v/>
      </c>
      <c r="AP48" s="56" t="str">
        <f>IF('⚙ OFF Weekends'!$D$37="OFF","OFF","")</f>
        <v/>
      </c>
      <c r="AQ48" s="54" t="str">
        <f>IF('⚙ OFF Weekends'!$D$38="OFF","OFF","")</f>
        <v/>
      </c>
      <c r="AR48" s="56" t="str">
        <f>IF('⚙ OFF Weekends'!$D$39="OFF","OFF","")</f>
        <v/>
      </c>
      <c r="AS48" s="54" t="str">
        <f>IF('⚙ OFF Weekends'!$D$40="OFF","OFF","")</f>
        <v/>
      </c>
      <c r="AT48" s="56" t="str">
        <f>IF('⚙ OFF Weekends'!$D$41="OFF","OFF","")</f>
        <v/>
      </c>
      <c r="AU48" s="54" t="str">
        <f>IF('⚙ OFF Weekends'!$D$42="OFF","OFF","")</f>
        <v/>
      </c>
      <c r="AV48" s="56" t="str">
        <f>IF('⚙ OFF Weekends'!$D$43="OFF","OFF","")</f>
        <v/>
      </c>
      <c r="AW48" s="54" t="str">
        <f>IF('⚙ OFF Weekends'!$D$44="OFF","OFF","")</f>
        <v/>
      </c>
      <c r="AX48" s="56" t="str">
        <f>IF('⚙ OFF Weekends'!$D$45="OFF","OFF","")</f>
        <v/>
      </c>
      <c r="AY48" s="54" t="str">
        <f>IF('⚙ OFF Weekends'!$D$46="OFF","OFF","")</f>
        <v/>
      </c>
      <c r="AZ48" s="56" t="str">
        <f>IF('⚙ OFF Weekends'!$D$47="OFF","OFF","")</f>
        <v/>
      </c>
      <c r="BA48" s="54" t="str">
        <f>IF('⚙ OFF Weekends'!$D$48="OFF","OFF","")</f>
        <v/>
      </c>
      <c r="BB48" s="56" t="str">
        <f>IF('⚙ OFF Weekends'!$D$49="OFF","OFF","")</f>
        <v/>
      </c>
      <c r="BC48" s="54" t="str">
        <f>IF('⚙ OFF Weekends'!$D$50="OFF","OFF","")</f>
        <v/>
      </c>
      <c r="BD48" s="56" t="str">
        <f>IF('⚙ OFF Weekends'!$D$51="OFF","OFF","")</f>
        <v/>
      </c>
      <c r="BE48" s="54" t="str">
        <f>IF('⚙ OFF Weekends'!$D$52="OFF","OFF","")</f>
        <v/>
      </c>
      <c r="BF48" s="56" t="str">
        <f>IF('⚙ OFF Weekends'!$D$53="OFF","OFF","")</f>
        <v/>
      </c>
      <c r="BG48" s="54" t="str">
        <f>IF('⚙ OFF Weekends'!$D$54="OFF","OFF","")</f>
        <v/>
      </c>
      <c r="BH48" s="56" t="str">
        <f>IF('⚙ OFF Weekends'!$D$55="OFF","OFF","")</f>
        <v/>
      </c>
      <c r="BI48" s="54" t="str">
        <f>IF('⚙ OFF Weekends'!$D$56="OFF","OFF","")</f>
        <v/>
      </c>
      <c r="BJ48" s="56" t="str">
        <f>IF('⚙ OFF Weekends'!$D$57="OFF","OFF","")</f>
        <v/>
      </c>
      <c r="BK48" s="54" t="str">
        <f>IF('⚙ OFF Weekends'!$D$58="OFF","OFF","")</f>
        <v/>
      </c>
      <c r="BL48" s="56" t="str">
        <f>IF('⚙ OFF Weekends'!$D$59="OFF","OFF","")</f>
        <v/>
      </c>
      <c r="BM48" s="54" t="str">
        <f>IF('⚙ OFF Weekends'!$D$60="OFF","OFF","")</f>
        <v/>
      </c>
      <c r="BN48" s="56" t="str">
        <f>IF('⚙ OFF Weekends'!$D$61="OFF","OFF","")</f>
        <v/>
      </c>
      <c r="BO48" s="54" t="str">
        <f>IF('⚙ OFF Weekends'!$D$62="OFF","OFF","")</f>
        <v/>
      </c>
      <c r="BP48" s="56" t="str">
        <f>IF('⚙ OFF Weekends'!$D$63="OFF","OFF","")</f>
        <v/>
      </c>
      <c r="BQ48" s="54" t="str">
        <f>IF('⚙ OFF Weekends'!$D$64="OFF","OFF","")</f>
        <v/>
      </c>
      <c r="BR48" s="56" t="str">
        <f>IF('⚙ OFF Weekends'!$D$65="OFF","OFF","")</f>
        <v/>
      </c>
      <c r="BS48" s="54" t="str">
        <f>IF('⚙ OFF Weekends'!$D$66="OFF","OFF","")</f>
        <v/>
      </c>
      <c r="BT48" s="56" t="str">
        <f>IF('⚙ OFF Weekends'!$D$67="OFF","OFF","")</f>
        <v/>
      </c>
      <c r="BU48" s="54" t="str">
        <f>IF('⚙ OFF Weekends'!$D$68="OFF","OFF","")</f>
        <v/>
      </c>
      <c r="BV48" s="56" t="str">
        <f>IF('⚙ OFF Weekends'!$D$69="OFF","OFF","")</f>
        <v/>
      </c>
      <c r="BW48" s="54" t="str">
        <f>IF('⚙ OFF Weekends'!$D$70="OFF","OFF","")</f>
        <v/>
      </c>
      <c r="BX48" s="56" t="str">
        <f>IF('⚙ OFF Weekends'!$D$71="OFF","OFF","")</f>
        <v/>
      </c>
      <c r="BY48" s="54" t="str">
        <f>IF('⚙ OFF Weekends'!$D$72="OFF","OFF","")</f>
        <v/>
      </c>
      <c r="BZ48" s="56" t="str">
        <f>IF('⚙ OFF Weekends'!$D$73="OFF","OFF","")</f>
        <v/>
      </c>
      <c r="CA48" s="54" t="str">
        <f>IF('⚙ OFF Weekends'!$D$74="OFF","OFF","")</f>
        <v/>
      </c>
      <c r="CB48" s="56" t="str">
        <f>IF('⚙ OFF Weekends'!$D$75="OFF","OFF","")</f>
        <v/>
      </c>
      <c r="CC48" s="54" t="str">
        <f>IF('⚙ OFF Weekends'!$D$76="OFF","OFF","")</f>
        <v/>
      </c>
      <c r="CD48" s="56" t="str">
        <f>IF('⚙ OFF Weekends'!$D$77="OFF","OFF","")</f>
        <v/>
      </c>
      <c r="CE48" s="95">
        <f t="shared" si="15"/>
        <v>3</v>
      </c>
      <c r="CF48" s="95">
        <f t="shared" si="16"/>
        <v>13</v>
      </c>
      <c r="CG48" s="95">
        <f t="shared" si="17"/>
        <v>1</v>
      </c>
      <c r="CH48" s="95" t="str">
        <f t="shared" si="18"/>
        <v>19%</v>
      </c>
    </row>
    <row r="49" ht="18.0" customHeight="1">
      <c r="A49" s="96">
        <v>8.0</v>
      </c>
      <c r="B49" s="22" t="s">
        <v>531</v>
      </c>
      <c r="C49" s="23" t="s">
        <v>532</v>
      </c>
      <c r="D49" s="24" t="str">
        <f t="shared" si="13"/>
        <v>📞 Call</v>
      </c>
      <c r="E49" s="41" t="str">
        <f t="shared" si="14"/>
        <v>💬 WhatsApp</v>
      </c>
      <c r="F49" s="20"/>
      <c r="G49" s="20" t="s">
        <v>420</v>
      </c>
      <c r="H49" s="20" t="s">
        <v>522</v>
      </c>
      <c r="I49" s="79" t="s">
        <v>223</v>
      </c>
      <c r="J49" s="77" t="s">
        <v>198</v>
      </c>
      <c r="K49" s="49" t="s">
        <v>197</v>
      </c>
      <c r="L49" s="77" t="s">
        <v>198</v>
      </c>
      <c r="M49" s="79" t="s">
        <v>223</v>
      </c>
      <c r="N49" s="50" t="s">
        <v>37</v>
      </c>
      <c r="O49" s="79" t="s">
        <v>223</v>
      </c>
      <c r="P49" s="79" t="s">
        <v>223</v>
      </c>
      <c r="Q49" s="79" t="s">
        <v>223</v>
      </c>
      <c r="R49" s="79" t="s">
        <v>223</v>
      </c>
      <c r="S49" s="52" t="s">
        <v>223</v>
      </c>
      <c r="T49" s="98" t="s">
        <v>223</v>
      </c>
      <c r="U49" s="52" t="s">
        <v>296</v>
      </c>
      <c r="V49" s="53" t="s">
        <v>296</v>
      </c>
      <c r="W49" s="54" t="str">
        <f>IF('⚙ OFF Weekends'!$D$18="OFF","OFF","")</f>
        <v>OFF</v>
      </c>
      <c r="X49" s="53" t="s">
        <v>296</v>
      </c>
      <c r="Y49" s="52" t="s">
        <v>296</v>
      </c>
      <c r="Z49" s="53" t="s">
        <v>296</v>
      </c>
      <c r="AA49" s="52" t="s">
        <v>296</v>
      </c>
      <c r="AB49" s="53" t="s">
        <v>296</v>
      </c>
      <c r="AC49" s="54" t="str">
        <f>IF('⚙ OFF Weekends'!$D$24="OFF","OFF","")</f>
        <v/>
      </c>
      <c r="AD49" s="56" t="str">
        <f>IF('⚙ OFF Weekends'!$D$25="OFF","OFF","")</f>
        <v/>
      </c>
      <c r="AE49" s="54" t="str">
        <f>IF('⚙ OFF Weekends'!$D$26="OFF","OFF","")</f>
        <v/>
      </c>
      <c r="AF49" s="56" t="str">
        <f>IF('⚙ OFF Weekends'!$D$27="OFF","OFF","")</f>
        <v/>
      </c>
      <c r="AG49" s="54" t="str">
        <f>IF('⚙ OFF Weekends'!$D$28="OFF","OFF","")</f>
        <v/>
      </c>
      <c r="AH49" s="56" t="str">
        <f>IF('⚙ OFF Weekends'!$D$29="OFF","OFF","")</f>
        <v/>
      </c>
      <c r="AI49" s="54" t="str">
        <f>IF('⚙ OFF Weekends'!$D$30="OFF","OFF","")</f>
        <v/>
      </c>
      <c r="AJ49" s="56" t="str">
        <f>IF('⚙ OFF Weekends'!$D$31="OFF","OFF","")</f>
        <v/>
      </c>
      <c r="AK49" s="54" t="str">
        <f>IF('⚙ OFF Weekends'!$D$32="OFF","OFF","")</f>
        <v/>
      </c>
      <c r="AL49" s="56" t="str">
        <f>IF('⚙ OFF Weekends'!$D$33="OFF","OFF","")</f>
        <v/>
      </c>
      <c r="AM49" s="54" t="str">
        <f>IF('⚙ OFF Weekends'!$D$34="OFF","OFF","")</f>
        <v/>
      </c>
      <c r="AN49" s="56" t="str">
        <f>IF('⚙ OFF Weekends'!$D$35="OFF","OFF","")</f>
        <v/>
      </c>
      <c r="AO49" s="54" t="str">
        <f>IF('⚙ OFF Weekends'!$D$36="OFF","OFF","")</f>
        <v/>
      </c>
      <c r="AP49" s="56" t="str">
        <f>IF('⚙ OFF Weekends'!$D$37="OFF","OFF","")</f>
        <v/>
      </c>
      <c r="AQ49" s="54" t="str">
        <f>IF('⚙ OFF Weekends'!$D$38="OFF","OFF","")</f>
        <v/>
      </c>
      <c r="AR49" s="56" t="str">
        <f>IF('⚙ OFF Weekends'!$D$39="OFF","OFF","")</f>
        <v/>
      </c>
      <c r="AS49" s="54" t="str">
        <f>IF('⚙ OFF Weekends'!$D$40="OFF","OFF","")</f>
        <v/>
      </c>
      <c r="AT49" s="56" t="str">
        <f>IF('⚙ OFF Weekends'!$D$41="OFF","OFF","")</f>
        <v/>
      </c>
      <c r="AU49" s="54" t="str">
        <f>IF('⚙ OFF Weekends'!$D$42="OFF","OFF","")</f>
        <v/>
      </c>
      <c r="AV49" s="56" t="str">
        <f>IF('⚙ OFF Weekends'!$D$43="OFF","OFF","")</f>
        <v/>
      </c>
      <c r="AW49" s="54" t="str">
        <f>IF('⚙ OFF Weekends'!$D$44="OFF","OFF","")</f>
        <v/>
      </c>
      <c r="AX49" s="56" t="str">
        <f>IF('⚙ OFF Weekends'!$D$45="OFF","OFF","")</f>
        <v/>
      </c>
      <c r="AY49" s="54" t="str">
        <f>IF('⚙ OFF Weekends'!$D$46="OFF","OFF","")</f>
        <v/>
      </c>
      <c r="AZ49" s="56" t="str">
        <f>IF('⚙ OFF Weekends'!$D$47="OFF","OFF","")</f>
        <v/>
      </c>
      <c r="BA49" s="54" t="str">
        <f>IF('⚙ OFF Weekends'!$D$48="OFF","OFF","")</f>
        <v/>
      </c>
      <c r="BB49" s="56" t="str">
        <f>IF('⚙ OFF Weekends'!$D$49="OFF","OFF","")</f>
        <v/>
      </c>
      <c r="BC49" s="54" t="str">
        <f>IF('⚙ OFF Weekends'!$D$50="OFF","OFF","")</f>
        <v/>
      </c>
      <c r="BD49" s="56" t="str">
        <f>IF('⚙ OFF Weekends'!$D$51="OFF","OFF","")</f>
        <v/>
      </c>
      <c r="BE49" s="54" t="str">
        <f>IF('⚙ OFF Weekends'!$D$52="OFF","OFF","")</f>
        <v/>
      </c>
      <c r="BF49" s="56" t="str">
        <f>IF('⚙ OFF Weekends'!$D$53="OFF","OFF","")</f>
        <v/>
      </c>
      <c r="BG49" s="54" t="str">
        <f>IF('⚙ OFF Weekends'!$D$54="OFF","OFF","")</f>
        <v/>
      </c>
      <c r="BH49" s="56" t="str">
        <f>IF('⚙ OFF Weekends'!$D$55="OFF","OFF","")</f>
        <v/>
      </c>
      <c r="BI49" s="54" t="str">
        <f>IF('⚙ OFF Weekends'!$D$56="OFF","OFF","")</f>
        <v/>
      </c>
      <c r="BJ49" s="56" t="str">
        <f>IF('⚙ OFF Weekends'!$D$57="OFF","OFF","")</f>
        <v/>
      </c>
      <c r="BK49" s="54" t="str">
        <f>IF('⚙ OFF Weekends'!$D$58="OFF","OFF","")</f>
        <v/>
      </c>
      <c r="BL49" s="56" t="str">
        <f>IF('⚙ OFF Weekends'!$D$59="OFF","OFF","")</f>
        <v/>
      </c>
      <c r="BM49" s="54" t="str">
        <f>IF('⚙ OFF Weekends'!$D$60="OFF","OFF","")</f>
        <v/>
      </c>
      <c r="BN49" s="56" t="str">
        <f>IF('⚙ OFF Weekends'!$D$61="OFF","OFF","")</f>
        <v/>
      </c>
      <c r="BO49" s="54" t="str">
        <f>IF('⚙ OFF Weekends'!$D$62="OFF","OFF","")</f>
        <v/>
      </c>
      <c r="BP49" s="56" t="str">
        <f>IF('⚙ OFF Weekends'!$D$63="OFF","OFF","")</f>
        <v/>
      </c>
      <c r="BQ49" s="54" t="str">
        <f>IF('⚙ OFF Weekends'!$D$64="OFF","OFF","")</f>
        <v/>
      </c>
      <c r="BR49" s="56" t="str">
        <f>IF('⚙ OFF Weekends'!$D$65="OFF","OFF","")</f>
        <v/>
      </c>
      <c r="BS49" s="54" t="str">
        <f>IF('⚙ OFF Weekends'!$D$66="OFF","OFF","")</f>
        <v/>
      </c>
      <c r="BT49" s="56" t="str">
        <f>IF('⚙ OFF Weekends'!$D$67="OFF","OFF","")</f>
        <v/>
      </c>
      <c r="BU49" s="54" t="str">
        <f>IF('⚙ OFF Weekends'!$D$68="OFF","OFF","")</f>
        <v/>
      </c>
      <c r="BV49" s="56" t="str">
        <f>IF('⚙ OFF Weekends'!$D$69="OFF","OFF","")</f>
        <v/>
      </c>
      <c r="BW49" s="54" t="str">
        <f>IF('⚙ OFF Weekends'!$D$70="OFF","OFF","")</f>
        <v/>
      </c>
      <c r="BX49" s="56" t="str">
        <f>IF('⚙ OFF Weekends'!$D$71="OFF","OFF","")</f>
        <v/>
      </c>
      <c r="BY49" s="54" t="str">
        <f>IF('⚙ OFF Weekends'!$D$72="OFF","OFF","")</f>
        <v/>
      </c>
      <c r="BZ49" s="56" t="str">
        <f>IF('⚙ OFF Weekends'!$D$73="OFF","OFF","")</f>
        <v/>
      </c>
      <c r="CA49" s="54" t="str">
        <f>IF('⚙ OFF Weekends'!$D$74="OFF","OFF","")</f>
        <v/>
      </c>
      <c r="CB49" s="56" t="str">
        <f>IF('⚙ OFF Weekends'!$D$75="OFF","OFF","")</f>
        <v/>
      </c>
      <c r="CC49" s="54" t="str">
        <f>IF('⚙ OFF Weekends'!$D$76="OFF","OFF","")</f>
        <v/>
      </c>
      <c r="CD49" s="56" t="str">
        <f>IF('⚙ OFF Weekends'!$D$77="OFF","OFF","")</f>
        <v/>
      </c>
      <c r="CE49" s="96">
        <f t="shared" si="15"/>
        <v>1</v>
      </c>
      <c r="CF49" s="96">
        <f t="shared" si="16"/>
        <v>8</v>
      </c>
      <c r="CG49" s="96">
        <f t="shared" si="17"/>
        <v>2</v>
      </c>
      <c r="CH49" s="96" t="str">
        <f t="shared" si="18"/>
        <v>11%</v>
      </c>
    </row>
    <row r="50" ht="18.0" customHeight="1">
      <c r="A50" s="95">
        <v>9.0</v>
      </c>
      <c r="B50" s="12" t="s">
        <v>543</v>
      </c>
      <c r="C50" s="14"/>
      <c r="D50" s="17" t="str">
        <f t="shared" si="13"/>
        <v/>
      </c>
      <c r="E50" s="28" t="str">
        <f t="shared" si="14"/>
        <v/>
      </c>
      <c r="F50" s="10"/>
      <c r="G50" s="10" t="s">
        <v>420</v>
      </c>
      <c r="H50" s="10"/>
      <c r="I50" s="79" t="s">
        <v>223</v>
      </c>
      <c r="J50" s="48" t="s">
        <v>196</v>
      </c>
      <c r="K50" s="49" t="s">
        <v>197</v>
      </c>
      <c r="L50" s="77" t="s">
        <v>198</v>
      </c>
      <c r="M50" s="79" t="s">
        <v>223</v>
      </c>
      <c r="N50" s="79" t="s">
        <v>223</v>
      </c>
      <c r="O50" s="77" t="s">
        <v>198</v>
      </c>
      <c r="P50" s="77" t="s">
        <v>198</v>
      </c>
      <c r="Q50" s="48" t="s">
        <v>196</v>
      </c>
      <c r="R50" s="79" t="s">
        <v>223</v>
      </c>
      <c r="S50" s="52" t="s">
        <v>37</v>
      </c>
      <c r="T50" s="98" t="s">
        <v>223</v>
      </c>
      <c r="U50" s="52" t="s">
        <v>223</v>
      </c>
      <c r="V50" s="53" t="s">
        <v>223</v>
      </c>
      <c r="W50" s="54" t="str">
        <f>IF('⚙ OFF Weekends'!$D$18="OFF","OFF","")</f>
        <v>OFF</v>
      </c>
      <c r="X50" s="53" t="s">
        <v>223</v>
      </c>
      <c r="Y50" s="52" t="s">
        <v>198</v>
      </c>
      <c r="Z50" s="53" t="s">
        <v>223</v>
      </c>
      <c r="AA50" s="52" t="s">
        <v>223</v>
      </c>
      <c r="AB50" s="53" t="s">
        <v>223</v>
      </c>
      <c r="AC50" s="54" t="str">
        <f>IF('⚙ OFF Weekends'!$D$24="OFF","OFF","")</f>
        <v/>
      </c>
      <c r="AD50" s="56" t="str">
        <f>IF('⚙ OFF Weekends'!$D$25="OFF","OFF","")</f>
        <v/>
      </c>
      <c r="AE50" s="54" t="str">
        <f>IF('⚙ OFF Weekends'!$D$26="OFF","OFF","")</f>
        <v/>
      </c>
      <c r="AF50" s="56" t="str">
        <f>IF('⚙ OFF Weekends'!$D$27="OFF","OFF","")</f>
        <v/>
      </c>
      <c r="AG50" s="54" t="str">
        <f>IF('⚙ OFF Weekends'!$D$28="OFF","OFF","")</f>
        <v/>
      </c>
      <c r="AH50" s="56" t="str">
        <f>IF('⚙ OFF Weekends'!$D$29="OFF","OFF","")</f>
        <v/>
      </c>
      <c r="AI50" s="54" t="str">
        <f>IF('⚙ OFF Weekends'!$D$30="OFF","OFF","")</f>
        <v/>
      </c>
      <c r="AJ50" s="56" t="str">
        <f>IF('⚙ OFF Weekends'!$D$31="OFF","OFF","")</f>
        <v/>
      </c>
      <c r="AK50" s="54" t="str">
        <f>IF('⚙ OFF Weekends'!$D$32="OFF","OFF","")</f>
        <v/>
      </c>
      <c r="AL50" s="56" t="str">
        <f>IF('⚙ OFF Weekends'!$D$33="OFF","OFF","")</f>
        <v/>
      </c>
      <c r="AM50" s="54" t="str">
        <f>IF('⚙ OFF Weekends'!$D$34="OFF","OFF","")</f>
        <v/>
      </c>
      <c r="AN50" s="56" t="str">
        <f>IF('⚙ OFF Weekends'!$D$35="OFF","OFF","")</f>
        <v/>
      </c>
      <c r="AO50" s="54" t="str">
        <f>IF('⚙ OFF Weekends'!$D$36="OFF","OFF","")</f>
        <v/>
      </c>
      <c r="AP50" s="56" t="str">
        <f>IF('⚙ OFF Weekends'!$D$37="OFF","OFF","")</f>
        <v/>
      </c>
      <c r="AQ50" s="54" t="str">
        <f>IF('⚙ OFF Weekends'!$D$38="OFF","OFF","")</f>
        <v/>
      </c>
      <c r="AR50" s="56" t="str">
        <f>IF('⚙ OFF Weekends'!$D$39="OFF","OFF","")</f>
        <v/>
      </c>
      <c r="AS50" s="54" t="str">
        <f>IF('⚙ OFF Weekends'!$D$40="OFF","OFF","")</f>
        <v/>
      </c>
      <c r="AT50" s="56" t="str">
        <f>IF('⚙ OFF Weekends'!$D$41="OFF","OFF","")</f>
        <v/>
      </c>
      <c r="AU50" s="54" t="str">
        <f>IF('⚙ OFF Weekends'!$D$42="OFF","OFF","")</f>
        <v/>
      </c>
      <c r="AV50" s="56" t="str">
        <f>IF('⚙ OFF Weekends'!$D$43="OFF","OFF","")</f>
        <v/>
      </c>
      <c r="AW50" s="54" t="str">
        <f>IF('⚙ OFF Weekends'!$D$44="OFF","OFF","")</f>
        <v/>
      </c>
      <c r="AX50" s="56" t="str">
        <f>IF('⚙ OFF Weekends'!$D$45="OFF","OFF","")</f>
        <v/>
      </c>
      <c r="AY50" s="54" t="str">
        <f>IF('⚙ OFF Weekends'!$D$46="OFF","OFF","")</f>
        <v/>
      </c>
      <c r="AZ50" s="56" t="str">
        <f>IF('⚙ OFF Weekends'!$D$47="OFF","OFF","")</f>
        <v/>
      </c>
      <c r="BA50" s="54" t="str">
        <f>IF('⚙ OFF Weekends'!$D$48="OFF","OFF","")</f>
        <v/>
      </c>
      <c r="BB50" s="56" t="str">
        <f>IF('⚙ OFF Weekends'!$D$49="OFF","OFF","")</f>
        <v/>
      </c>
      <c r="BC50" s="54" t="str">
        <f>IF('⚙ OFF Weekends'!$D$50="OFF","OFF","")</f>
        <v/>
      </c>
      <c r="BD50" s="56" t="str">
        <f>IF('⚙ OFF Weekends'!$D$51="OFF","OFF","")</f>
        <v/>
      </c>
      <c r="BE50" s="54" t="str">
        <f>IF('⚙ OFF Weekends'!$D$52="OFF","OFF","")</f>
        <v/>
      </c>
      <c r="BF50" s="56" t="str">
        <f>IF('⚙ OFF Weekends'!$D$53="OFF","OFF","")</f>
        <v/>
      </c>
      <c r="BG50" s="54" t="str">
        <f>IF('⚙ OFF Weekends'!$D$54="OFF","OFF","")</f>
        <v/>
      </c>
      <c r="BH50" s="56" t="str">
        <f>IF('⚙ OFF Weekends'!$D$55="OFF","OFF","")</f>
        <v/>
      </c>
      <c r="BI50" s="54" t="str">
        <f>IF('⚙ OFF Weekends'!$D$56="OFF","OFF","")</f>
        <v/>
      </c>
      <c r="BJ50" s="56" t="str">
        <f>IF('⚙ OFF Weekends'!$D$57="OFF","OFF","")</f>
        <v/>
      </c>
      <c r="BK50" s="54" t="str">
        <f>IF('⚙ OFF Weekends'!$D$58="OFF","OFF","")</f>
        <v/>
      </c>
      <c r="BL50" s="56" t="str">
        <f>IF('⚙ OFF Weekends'!$D$59="OFF","OFF","")</f>
        <v/>
      </c>
      <c r="BM50" s="54" t="str">
        <f>IF('⚙ OFF Weekends'!$D$60="OFF","OFF","")</f>
        <v/>
      </c>
      <c r="BN50" s="56" t="str">
        <f>IF('⚙ OFF Weekends'!$D$61="OFF","OFF","")</f>
        <v/>
      </c>
      <c r="BO50" s="54" t="str">
        <f>IF('⚙ OFF Weekends'!$D$62="OFF","OFF","")</f>
        <v/>
      </c>
      <c r="BP50" s="56" t="str">
        <f>IF('⚙ OFF Weekends'!$D$63="OFF","OFF","")</f>
        <v/>
      </c>
      <c r="BQ50" s="54" t="str">
        <f>IF('⚙ OFF Weekends'!$D$64="OFF","OFF","")</f>
        <v/>
      </c>
      <c r="BR50" s="56" t="str">
        <f>IF('⚙ OFF Weekends'!$D$65="OFF","OFF","")</f>
        <v/>
      </c>
      <c r="BS50" s="54" t="str">
        <f>IF('⚙ OFF Weekends'!$D$66="OFF","OFF","")</f>
        <v/>
      </c>
      <c r="BT50" s="56" t="str">
        <f>IF('⚙ OFF Weekends'!$D$67="OFF","OFF","")</f>
        <v/>
      </c>
      <c r="BU50" s="54" t="str">
        <f>IF('⚙ OFF Weekends'!$D$68="OFF","OFF","")</f>
        <v/>
      </c>
      <c r="BV50" s="56" t="str">
        <f>IF('⚙ OFF Weekends'!$D$69="OFF","OFF","")</f>
        <v/>
      </c>
      <c r="BW50" s="54" t="str">
        <f>IF('⚙ OFF Weekends'!$D$70="OFF","OFF","")</f>
        <v/>
      </c>
      <c r="BX50" s="56" t="str">
        <f>IF('⚙ OFF Weekends'!$D$71="OFF","OFF","")</f>
        <v/>
      </c>
      <c r="BY50" s="54" t="str">
        <f>IF('⚙ OFF Weekends'!$D$72="OFF","OFF","")</f>
        <v/>
      </c>
      <c r="BZ50" s="56" t="str">
        <f>IF('⚙ OFF Weekends'!$D$73="OFF","OFF","")</f>
        <v/>
      </c>
      <c r="CA50" s="54" t="str">
        <f>IF('⚙ OFF Weekends'!$D$74="OFF","OFF","")</f>
        <v/>
      </c>
      <c r="CB50" s="56" t="str">
        <f>IF('⚙ OFF Weekends'!$D$75="OFF","OFF","")</f>
        <v/>
      </c>
      <c r="CC50" s="54" t="str">
        <f>IF('⚙ OFF Weekends'!$D$76="OFF","OFF","")</f>
        <v/>
      </c>
      <c r="CD50" s="56" t="str">
        <f>IF('⚙ OFF Weekends'!$D$77="OFF","OFF","")</f>
        <v/>
      </c>
      <c r="CE50" s="95">
        <f t="shared" si="15"/>
        <v>3</v>
      </c>
      <c r="CF50" s="95">
        <f t="shared" si="16"/>
        <v>11</v>
      </c>
      <c r="CG50" s="95">
        <f t="shared" si="17"/>
        <v>4</v>
      </c>
      <c r="CH50" s="95" t="str">
        <f t="shared" si="18"/>
        <v>21%</v>
      </c>
    </row>
    <row r="51" ht="18.0" customHeight="1">
      <c r="A51" s="96">
        <v>10.0</v>
      </c>
      <c r="B51" s="22" t="s">
        <v>552</v>
      </c>
      <c r="C51" s="23"/>
      <c r="D51" s="24" t="str">
        <f t="shared" si="13"/>
        <v/>
      </c>
      <c r="E51" s="26" t="str">
        <f t="shared" si="14"/>
        <v/>
      </c>
      <c r="F51" s="20"/>
      <c r="G51" s="20" t="s">
        <v>420</v>
      </c>
      <c r="H51" s="20"/>
      <c r="I51" s="48" t="s">
        <v>196</v>
      </c>
      <c r="J51" s="48" t="s">
        <v>196</v>
      </c>
      <c r="K51" s="49" t="s">
        <v>197</v>
      </c>
      <c r="L51" s="48" t="s">
        <v>196</v>
      </c>
      <c r="M51" s="48" t="s">
        <v>196</v>
      </c>
      <c r="N51" s="48" t="s">
        <v>196</v>
      </c>
      <c r="O51" s="50" t="s">
        <v>37</v>
      </c>
      <c r="P51" s="50" t="s">
        <v>37</v>
      </c>
      <c r="Q51" s="79" t="s">
        <v>223</v>
      </c>
      <c r="R51" s="79" t="s">
        <v>223</v>
      </c>
      <c r="S51" s="52" t="s">
        <v>223</v>
      </c>
      <c r="T51" s="98" t="s">
        <v>196</v>
      </c>
      <c r="U51" s="52" t="s">
        <v>196</v>
      </c>
      <c r="V51" s="53" t="s">
        <v>37</v>
      </c>
      <c r="W51" s="54" t="str">
        <f>IF('⚙ OFF Weekends'!$D$18="OFF","OFF","")</f>
        <v>OFF</v>
      </c>
      <c r="X51" s="53" t="s">
        <v>37</v>
      </c>
      <c r="Y51" s="52" t="s">
        <v>37</v>
      </c>
      <c r="Z51" s="53" t="s">
        <v>37</v>
      </c>
      <c r="AA51" s="52" t="s">
        <v>196</v>
      </c>
      <c r="AB51" s="53" t="s">
        <v>37</v>
      </c>
      <c r="AC51" s="54" t="str">
        <f>IF('⚙ OFF Weekends'!$D$24="OFF","OFF","")</f>
        <v/>
      </c>
      <c r="AD51" s="56" t="str">
        <f>IF('⚙ OFF Weekends'!$D$25="OFF","OFF","")</f>
        <v/>
      </c>
      <c r="AE51" s="54" t="str">
        <f>IF('⚙ OFF Weekends'!$D$26="OFF","OFF","")</f>
        <v/>
      </c>
      <c r="AF51" s="56" t="str">
        <f>IF('⚙ OFF Weekends'!$D$27="OFF","OFF","")</f>
        <v/>
      </c>
      <c r="AG51" s="54" t="str">
        <f>IF('⚙ OFF Weekends'!$D$28="OFF","OFF","")</f>
        <v/>
      </c>
      <c r="AH51" s="56" t="str">
        <f>IF('⚙ OFF Weekends'!$D$29="OFF","OFF","")</f>
        <v/>
      </c>
      <c r="AI51" s="54" t="str">
        <f>IF('⚙ OFF Weekends'!$D$30="OFF","OFF","")</f>
        <v/>
      </c>
      <c r="AJ51" s="56" t="str">
        <f>IF('⚙ OFF Weekends'!$D$31="OFF","OFF","")</f>
        <v/>
      </c>
      <c r="AK51" s="54" t="str">
        <f>IF('⚙ OFF Weekends'!$D$32="OFF","OFF","")</f>
        <v/>
      </c>
      <c r="AL51" s="56" t="str">
        <f>IF('⚙ OFF Weekends'!$D$33="OFF","OFF","")</f>
        <v/>
      </c>
      <c r="AM51" s="54" t="str">
        <f>IF('⚙ OFF Weekends'!$D$34="OFF","OFF","")</f>
        <v/>
      </c>
      <c r="AN51" s="56" t="str">
        <f>IF('⚙ OFF Weekends'!$D$35="OFF","OFF","")</f>
        <v/>
      </c>
      <c r="AO51" s="54" t="str">
        <f>IF('⚙ OFF Weekends'!$D$36="OFF","OFF","")</f>
        <v/>
      </c>
      <c r="AP51" s="56" t="str">
        <f>IF('⚙ OFF Weekends'!$D$37="OFF","OFF","")</f>
        <v/>
      </c>
      <c r="AQ51" s="54" t="str">
        <f>IF('⚙ OFF Weekends'!$D$38="OFF","OFF","")</f>
        <v/>
      </c>
      <c r="AR51" s="56" t="str">
        <f>IF('⚙ OFF Weekends'!$D$39="OFF","OFF","")</f>
        <v/>
      </c>
      <c r="AS51" s="54" t="str">
        <f>IF('⚙ OFF Weekends'!$D$40="OFF","OFF","")</f>
        <v/>
      </c>
      <c r="AT51" s="56" t="str">
        <f>IF('⚙ OFF Weekends'!$D$41="OFF","OFF","")</f>
        <v/>
      </c>
      <c r="AU51" s="54" t="str">
        <f>IF('⚙ OFF Weekends'!$D$42="OFF","OFF","")</f>
        <v/>
      </c>
      <c r="AV51" s="56" t="str">
        <f>IF('⚙ OFF Weekends'!$D$43="OFF","OFF","")</f>
        <v/>
      </c>
      <c r="AW51" s="54" t="str">
        <f>IF('⚙ OFF Weekends'!$D$44="OFF","OFF","")</f>
        <v/>
      </c>
      <c r="AX51" s="56" t="str">
        <f>IF('⚙ OFF Weekends'!$D$45="OFF","OFF","")</f>
        <v/>
      </c>
      <c r="AY51" s="54" t="str">
        <f>IF('⚙ OFF Weekends'!$D$46="OFF","OFF","")</f>
        <v/>
      </c>
      <c r="AZ51" s="56" t="str">
        <f>IF('⚙ OFF Weekends'!$D$47="OFF","OFF","")</f>
        <v/>
      </c>
      <c r="BA51" s="54" t="str">
        <f>IF('⚙ OFF Weekends'!$D$48="OFF","OFF","")</f>
        <v/>
      </c>
      <c r="BB51" s="56" t="str">
        <f>IF('⚙ OFF Weekends'!$D$49="OFF","OFF","")</f>
        <v/>
      </c>
      <c r="BC51" s="54" t="str">
        <f>IF('⚙ OFF Weekends'!$D$50="OFF","OFF","")</f>
        <v/>
      </c>
      <c r="BD51" s="56" t="str">
        <f>IF('⚙ OFF Weekends'!$D$51="OFF","OFF","")</f>
        <v/>
      </c>
      <c r="BE51" s="54" t="str">
        <f>IF('⚙ OFF Weekends'!$D$52="OFF","OFF","")</f>
        <v/>
      </c>
      <c r="BF51" s="56" t="str">
        <f>IF('⚙ OFF Weekends'!$D$53="OFF","OFF","")</f>
        <v/>
      </c>
      <c r="BG51" s="54" t="str">
        <f>IF('⚙ OFF Weekends'!$D$54="OFF","OFF","")</f>
        <v/>
      </c>
      <c r="BH51" s="56" t="str">
        <f>IF('⚙ OFF Weekends'!$D$55="OFF","OFF","")</f>
        <v/>
      </c>
      <c r="BI51" s="54" t="str">
        <f>IF('⚙ OFF Weekends'!$D$56="OFF","OFF","")</f>
        <v/>
      </c>
      <c r="BJ51" s="56" t="str">
        <f>IF('⚙ OFF Weekends'!$D$57="OFF","OFF","")</f>
        <v/>
      </c>
      <c r="BK51" s="54" t="str">
        <f>IF('⚙ OFF Weekends'!$D$58="OFF","OFF","")</f>
        <v/>
      </c>
      <c r="BL51" s="56" t="str">
        <f>IF('⚙ OFF Weekends'!$D$59="OFF","OFF","")</f>
        <v/>
      </c>
      <c r="BM51" s="54" t="str">
        <f>IF('⚙ OFF Weekends'!$D$60="OFF","OFF","")</f>
        <v/>
      </c>
      <c r="BN51" s="56" t="str">
        <f>IF('⚙ OFF Weekends'!$D$61="OFF","OFF","")</f>
        <v/>
      </c>
      <c r="BO51" s="54" t="str">
        <f>IF('⚙ OFF Weekends'!$D$62="OFF","OFF","")</f>
        <v/>
      </c>
      <c r="BP51" s="56" t="str">
        <f>IF('⚙ OFF Weekends'!$D$63="OFF","OFF","")</f>
        <v/>
      </c>
      <c r="BQ51" s="54" t="str">
        <f>IF('⚙ OFF Weekends'!$D$64="OFF","OFF","")</f>
        <v/>
      </c>
      <c r="BR51" s="56" t="str">
        <f>IF('⚙ OFF Weekends'!$D$65="OFF","OFF","")</f>
        <v/>
      </c>
      <c r="BS51" s="54" t="str">
        <f>IF('⚙ OFF Weekends'!$D$66="OFF","OFF","")</f>
        <v/>
      </c>
      <c r="BT51" s="56" t="str">
        <f>IF('⚙ OFF Weekends'!$D$67="OFF","OFF","")</f>
        <v/>
      </c>
      <c r="BU51" s="54" t="str">
        <f>IF('⚙ OFF Weekends'!$D$68="OFF","OFF","")</f>
        <v/>
      </c>
      <c r="BV51" s="56" t="str">
        <f>IF('⚙ OFF Weekends'!$D$69="OFF","OFF","")</f>
        <v/>
      </c>
      <c r="BW51" s="54" t="str">
        <f>IF('⚙ OFF Weekends'!$D$70="OFF","OFF","")</f>
        <v/>
      </c>
      <c r="BX51" s="56" t="str">
        <f>IF('⚙ OFF Weekends'!$D$71="OFF","OFF","")</f>
        <v/>
      </c>
      <c r="BY51" s="54" t="str">
        <f>IF('⚙ OFF Weekends'!$D$72="OFF","OFF","")</f>
        <v/>
      </c>
      <c r="BZ51" s="56" t="str">
        <f>IF('⚙ OFF Weekends'!$D$73="OFF","OFF","")</f>
        <v/>
      </c>
      <c r="CA51" s="54" t="str">
        <f>IF('⚙ OFF Weekends'!$D$74="OFF","OFF","")</f>
        <v/>
      </c>
      <c r="CB51" s="56" t="str">
        <f>IF('⚙ OFF Weekends'!$D$75="OFF","OFF","")</f>
        <v/>
      </c>
      <c r="CC51" s="54" t="str">
        <f>IF('⚙ OFF Weekends'!$D$76="OFF","OFF","")</f>
        <v/>
      </c>
      <c r="CD51" s="56" t="str">
        <f>IF('⚙ OFF Weekends'!$D$77="OFF","OFF","")</f>
        <v/>
      </c>
      <c r="CE51" s="96">
        <f t="shared" si="15"/>
        <v>15</v>
      </c>
      <c r="CF51" s="96">
        <f t="shared" si="16"/>
        <v>3</v>
      </c>
      <c r="CG51" s="96">
        <f t="shared" si="17"/>
        <v>0</v>
      </c>
      <c r="CH51" s="96" t="str">
        <f t="shared" si="18"/>
        <v>83%</v>
      </c>
    </row>
    <row r="52" ht="18.0" customHeight="1">
      <c r="A52" s="95">
        <v>11.0</v>
      </c>
      <c r="B52" s="12" t="s">
        <v>561</v>
      </c>
      <c r="C52" s="14" t="s">
        <v>562</v>
      </c>
      <c r="D52" s="17" t="str">
        <f t="shared" si="13"/>
        <v>📞 Call</v>
      </c>
      <c r="E52" s="19" t="str">
        <f t="shared" si="14"/>
        <v>💬 WhatsApp</v>
      </c>
      <c r="F52" s="10"/>
      <c r="G52" s="10" t="s">
        <v>420</v>
      </c>
      <c r="H52" s="10"/>
      <c r="I52" s="48" t="s">
        <v>196</v>
      </c>
      <c r="J52" s="48" t="s">
        <v>196</v>
      </c>
      <c r="K52" s="49" t="s">
        <v>197</v>
      </c>
      <c r="L52" s="48" t="s">
        <v>196</v>
      </c>
      <c r="M52" s="48" t="s">
        <v>196</v>
      </c>
      <c r="N52" s="48" t="s">
        <v>196</v>
      </c>
      <c r="O52" s="48" t="s">
        <v>196</v>
      </c>
      <c r="P52" s="50" t="s">
        <v>37</v>
      </c>
      <c r="Q52" s="79" t="s">
        <v>223</v>
      </c>
      <c r="R52" s="77" t="s">
        <v>198</v>
      </c>
      <c r="S52" s="52" t="s">
        <v>198</v>
      </c>
      <c r="T52" s="98" t="s">
        <v>196</v>
      </c>
      <c r="U52" s="52" t="s">
        <v>196</v>
      </c>
      <c r="V52" s="53" t="s">
        <v>196</v>
      </c>
      <c r="W52" s="54" t="str">
        <f>IF('⚙ OFF Weekends'!$D$18="OFF","OFF","")</f>
        <v>OFF</v>
      </c>
      <c r="X52" s="53" t="s">
        <v>223</v>
      </c>
      <c r="Y52" s="52" t="s">
        <v>196</v>
      </c>
      <c r="Z52" s="53" t="s">
        <v>196</v>
      </c>
      <c r="AA52" s="52" t="s">
        <v>196</v>
      </c>
      <c r="AB52" s="53" t="s">
        <v>223</v>
      </c>
      <c r="AC52" s="54" t="str">
        <f>IF('⚙ OFF Weekends'!$D$24="OFF","OFF","")</f>
        <v/>
      </c>
      <c r="AD52" s="56" t="str">
        <f>IF('⚙ OFF Weekends'!$D$25="OFF","OFF","")</f>
        <v/>
      </c>
      <c r="AE52" s="54" t="str">
        <f>IF('⚙ OFF Weekends'!$D$26="OFF","OFF","")</f>
        <v/>
      </c>
      <c r="AF52" s="56" t="str">
        <f>IF('⚙ OFF Weekends'!$D$27="OFF","OFF","")</f>
        <v/>
      </c>
      <c r="AG52" s="54" t="str">
        <f>IF('⚙ OFF Weekends'!$D$28="OFF","OFF","")</f>
        <v/>
      </c>
      <c r="AH52" s="56" t="str">
        <f>IF('⚙ OFF Weekends'!$D$29="OFF","OFF","")</f>
        <v/>
      </c>
      <c r="AI52" s="54" t="str">
        <f>IF('⚙ OFF Weekends'!$D$30="OFF","OFF","")</f>
        <v/>
      </c>
      <c r="AJ52" s="56" t="str">
        <f>IF('⚙ OFF Weekends'!$D$31="OFF","OFF","")</f>
        <v/>
      </c>
      <c r="AK52" s="54" t="str">
        <f>IF('⚙ OFF Weekends'!$D$32="OFF","OFF","")</f>
        <v/>
      </c>
      <c r="AL52" s="56" t="str">
        <f>IF('⚙ OFF Weekends'!$D$33="OFF","OFF","")</f>
        <v/>
      </c>
      <c r="AM52" s="54" t="str">
        <f>IF('⚙ OFF Weekends'!$D$34="OFF","OFF","")</f>
        <v/>
      </c>
      <c r="AN52" s="56" t="str">
        <f>IF('⚙ OFF Weekends'!$D$35="OFF","OFF","")</f>
        <v/>
      </c>
      <c r="AO52" s="54" t="str">
        <f>IF('⚙ OFF Weekends'!$D$36="OFF","OFF","")</f>
        <v/>
      </c>
      <c r="AP52" s="56" t="str">
        <f>IF('⚙ OFF Weekends'!$D$37="OFF","OFF","")</f>
        <v/>
      </c>
      <c r="AQ52" s="54" t="str">
        <f>IF('⚙ OFF Weekends'!$D$38="OFF","OFF","")</f>
        <v/>
      </c>
      <c r="AR52" s="56" t="str">
        <f>IF('⚙ OFF Weekends'!$D$39="OFF","OFF","")</f>
        <v/>
      </c>
      <c r="AS52" s="54" t="str">
        <f>IF('⚙ OFF Weekends'!$D$40="OFF","OFF","")</f>
        <v/>
      </c>
      <c r="AT52" s="56" t="str">
        <f>IF('⚙ OFF Weekends'!$D$41="OFF","OFF","")</f>
        <v/>
      </c>
      <c r="AU52" s="54" t="str">
        <f>IF('⚙ OFF Weekends'!$D$42="OFF","OFF","")</f>
        <v/>
      </c>
      <c r="AV52" s="56" t="str">
        <f>IF('⚙ OFF Weekends'!$D$43="OFF","OFF","")</f>
        <v/>
      </c>
      <c r="AW52" s="54" t="str">
        <f>IF('⚙ OFF Weekends'!$D$44="OFF","OFF","")</f>
        <v/>
      </c>
      <c r="AX52" s="56" t="str">
        <f>IF('⚙ OFF Weekends'!$D$45="OFF","OFF","")</f>
        <v/>
      </c>
      <c r="AY52" s="54" t="str">
        <f>IF('⚙ OFF Weekends'!$D$46="OFF","OFF","")</f>
        <v/>
      </c>
      <c r="AZ52" s="56" t="str">
        <f>IF('⚙ OFF Weekends'!$D$47="OFF","OFF","")</f>
        <v/>
      </c>
      <c r="BA52" s="54" t="str">
        <f>IF('⚙ OFF Weekends'!$D$48="OFF","OFF","")</f>
        <v/>
      </c>
      <c r="BB52" s="56" t="str">
        <f>IF('⚙ OFF Weekends'!$D$49="OFF","OFF","")</f>
        <v/>
      </c>
      <c r="BC52" s="54" t="str">
        <f>IF('⚙ OFF Weekends'!$D$50="OFF","OFF","")</f>
        <v/>
      </c>
      <c r="BD52" s="56" t="str">
        <f>IF('⚙ OFF Weekends'!$D$51="OFF","OFF","")</f>
        <v/>
      </c>
      <c r="BE52" s="54" t="str">
        <f>IF('⚙ OFF Weekends'!$D$52="OFF","OFF","")</f>
        <v/>
      </c>
      <c r="BF52" s="56" t="str">
        <f>IF('⚙ OFF Weekends'!$D$53="OFF","OFF","")</f>
        <v/>
      </c>
      <c r="BG52" s="54" t="str">
        <f>IF('⚙ OFF Weekends'!$D$54="OFF","OFF","")</f>
        <v/>
      </c>
      <c r="BH52" s="56" t="str">
        <f>IF('⚙ OFF Weekends'!$D$55="OFF","OFF","")</f>
        <v/>
      </c>
      <c r="BI52" s="54" t="str">
        <f>IF('⚙ OFF Weekends'!$D$56="OFF","OFF","")</f>
        <v/>
      </c>
      <c r="BJ52" s="56" t="str">
        <f>IF('⚙ OFF Weekends'!$D$57="OFF","OFF","")</f>
        <v/>
      </c>
      <c r="BK52" s="54" t="str">
        <f>IF('⚙ OFF Weekends'!$D$58="OFF","OFF","")</f>
        <v/>
      </c>
      <c r="BL52" s="56" t="str">
        <f>IF('⚙ OFF Weekends'!$D$59="OFF","OFF","")</f>
        <v/>
      </c>
      <c r="BM52" s="54" t="str">
        <f>IF('⚙ OFF Weekends'!$D$60="OFF","OFF","")</f>
        <v/>
      </c>
      <c r="BN52" s="56" t="str">
        <f>IF('⚙ OFF Weekends'!$D$61="OFF","OFF","")</f>
        <v/>
      </c>
      <c r="BO52" s="54" t="str">
        <f>IF('⚙ OFF Weekends'!$D$62="OFF","OFF","")</f>
        <v/>
      </c>
      <c r="BP52" s="56" t="str">
        <f>IF('⚙ OFF Weekends'!$D$63="OFF","OFF","")</f>
        <v/>
      </c>
      <c r="BQ52" s="54" t="str">
        <f>IF('⚙ OFF Weekends'!$D$64="OFF","OFF","")</f>
        <v/>
      </c>
      <c r="BR52" s="56" t="str">
        <f>IF('⚙ OFF Weekends'!$D$65="OFF","OFF","")</f>
        <v/>
      </c>
      <c r="BS52" s="54" t="str">
        <f>IF('⚙ OFF Weekends'!$D$66="OFF","OFF","")</f>
        <v/>
      </c>
      <c r="BT52" s="56" t="str">
        <f>IF('⚙ OFF Weekends'!$D$67="OFF","OFF","")</f>
        <v/>
      </c>
      <c r="BU52" s="54" t="str">
        <f>IF('⚙ OFF Weekends'!$D$68="OFF","OFF","")</f>
        <v/>
      </c>
      <c r="BV52" s="56" t="str">
        <f>IF('⚙ OFF Weekends'!$D$69="OFF","OFF","")</f>
        <v/>
      </c>
      <c r="BW52" s="54" t="str">
        <f>IF('⚙ OFF Weekends'!$D$70="OFF","OFF","")</f>
        <v/>
      </c>
      <c r="BX52" s="56" t="str">
        <f>IF('⚙ OFF Weekends'!$D$71="OFF","OFF","")</f>
        <v/>
      </c>
      <c r="BY52" s="54" t="str">
        <f>IF('⚙ OFF Weekends'!$D$72="OFF","OFF","")</f>
        <v/>
      </c>
      <c r="BZ52" s="56" t="str">
        <f>IF('⚙ OFF Weekends'!$D$73="OFF","OFF","")</f>
        <v/>
      </c>
      <c r="CA52" s="54" t="str">
        <f>IF('⚙ OFF Weekends'!$D$74="OFF","OFF","")</f>
        <v/>
      </c>
      <c r="CB52" s="56" t="str">
        <f>IF('⚙ OFF Weekends'!$D$75="OFF","OFF","")</f>
        <v/>
      </c>
      <c r="CC52" s="54" t="str">
        <f>IF('⚙ OFF Weekends'!$D$76="OFF","OFF","")</f>
        <v/>
      </c>
      <c r="CD52" s="56" t="str">
        <f>IF('⚙ OFF Weekends'!$D$77="OFF","OFF","")</f>
        <v/>
      </c>
      <c r="CE52" s="95">
        <f t="shared" si="15"/>
        <v>13</v>
      </c>
      <c r="CF52" s="95">
        <f t="shared" si="16"/>
        <v>3</v>
      </c>
      <c r="CG52" s="95">
        <f t="shared" si="17"/>
        <v>2</v>
      </c>
      <c r="CH52" s="95" t="str">
        <f t="shared" si="18"/>
        <v>81%</v>
      </c>
    </row>
    <row r="53" ht="18.0" customHeight="1">
      <c r="A53" s="96">
        <v>12.0</v>
      </c>
      <c r="B53" s="22" t="s">
        <v>572</v>
      </c>
      <c r="C53" s="23" t="s">
        <v>573</v>
      </c>
      <c r="D53" s="24" t="str">
        <f t="shared" si="13"/>
        <v>📞 Call</v>
      </c>
      <c r="E53" s="41" t="str">
        <f t="shared" si="14"/>
        <v>💬 WhatsApp</v>
      </c>
      <c r="F53" s="20"/>
      <c r="G53" s="20" t="s">
        <v>420</v>
      </c>
      <c r="H53" s="20"/>
      <c r="I53" s="79" t="s">
        <v>223</v>
      </c>
      <c r="J53" s="48" t="s">
        <v>196</v>
      </c>
      <c r="K53" s="49" t="s">
        <v>197</v>
      </c>
      <c r="L53" s="48" t="s">
        <v>196</v>
      </c>
      <c r="M53" s="79" t="s">
        <v>223</v>
      </c>
      <c r="N53" s="50" t="s">
        <v>37</v>
      </c>
      <c r="O53" s="77" t="s">
        <v>198</v>
      </c>
      <c r="P53" s="77" t="s">
        <v>198</v>
      </c>
      <c r="Q53" s="77" t="s">
        <v>198</v>
      </c>
      <c r="R53" s="77" t="s">
        <v>198</v>
      </c>
      <c r="S53" s="52" t="s">
        <v>198</v>
      </c>
      <c r="T53" s="98" t="s">
        <v>223</v>
      </c>
      <c r="U53" s="52" t="s">
        <v>196</v>
      </c>
      <c r="V53" s="53" t="s">
        <v>223</v>
      </c>
      <c r="W53" s="54" t="str">
        <f>IF('⚙ OFF Weekends'!$D$18="OFF","OFF","")</f>
        <v>OFF</v>
      </c>
      <c r="X53" s="53" t="s">
        <v>37</v>
      </c>
      <c r="Y53" s="52" t="s">
        <v>37</v>
      </c>
      <c r="Z53" s="53" t="s">
        <v>223</v>
      </c>
      <c r="AA53" s="52" t="s">
        <v>223</v>
      </c>
      <c r="AB53" s="53" t="s">
        <v>223</v>
      </c>
      <c r="AC53" s="54" t="str">
        <f>IF('⚙ OFF Weekends'!$D$24="OFF","OFF","")</f>
        <v/>
      </c>
      <c r="AD53" s="56" t="str">
        <f>IF('⚙ OFF Weekends'!$D$25="OFF","OFF","")</f>
        <v/>
      </c>
      <c r="AE53" s="54" t="str">
        <f>IF('⚙ OFF Weekends'!$D$26="OFF","OFF","")</f>
        <v/>
      </c>
      <c r="AF53" s="56" t="str">
        <f>IF('⚙ OFF Weekends'!$D$27="OFF","OFF","")</f>
        <v/>
      </c>
      <c r="AG53" s="54" t="str">
        <f>IF('⚙ OFF Weekends'!$D$28="OFF","OFF","")</f>
        <v/>
      </c>
      <c r="AH53" s="56" t="str">
        <f>IF('⚙ OFF Weekends'!$D$29="OFF","OFF","")</f>
        <v/>
      </c>
      <c r="AI53" s="54" t="str">
        <f>IF('⚙ OFF Weekends'!$D$30="OFF","OFF","")</f>
        <v/>
      </c>
      <c r="AJ53" s="56" t="str">
        <f>IF('⚙ OFF Weekends'!$D$31="OFF","OFF","")</f>
        <v/>
      </c>
      <c r="AK53" s="54" t="str">
        <f>IF('⚙ OFF Weekends'!$D$32="OFF","OFF","")</f>
        <v/>
      </c>
      <c r="AL53" s="56" t="str">
        <f>IF('⚙ OFF Weekends'!$D$33="OFF","OFF","")</f>
        <v/>
      </c>
      <c r="AM53" s="54" t="str">
        <f>IF('⚙ OFF Weekends'!$D$34="OFF","OFF","")</f>
        <v/>
      </c>
      <c r="AN53" s="56" t="str">
        <f>IF('⚙ OFF Weekends'!$D$35="OFF","OFF","")</f>
        <v/>
      </c>
      <c r="AO53" s="54" t="str">
        <f>IF('⚙ OFF Weekends'!$D$36="OFF","OFF","")</f>
        <v/>
      </c>
      <c r="AP53" s="56" t="str">
        <f>IF('⚙ OFF Weekends'!$D$37="OFF","OFF","")</f>
        <v/>
      </c>
      <c r="AQ53" s="54" t="str">
        <f>IF('⚙ OFF Weekends'!$D$38="OFF","OFF","")</f>
        <v/>
      </c>
      <c r="AR53" s="56" t="str">
        <f>IF('⚙ OFF Weekends'!$D$39="OFF","OFF","")</f>
        <v/>
      </c>
      <c r="AS53" s="54" t="str">
        <f>IF('⚙ OFF Weekends'!$D$40="OFF","OFF","")</f>
        <v/>
      </c>
      <c r="AT53" s="56" t="str">
        <f>IF('⚙ OFF Weekends'!$D$41="OFF","OFF","")</f>
        <v/>
      </c>
      <c r="AU53" s="54" t="str">
        <f>IF('⚙ OFF Weekends'!$D$42="OFF","OFF","")</f>
        <v/>
      </c>
      <c r="AV53" s="56" t="str">
        <f>IF('⚙ OFF Weekends'!$D$43="OFF","OFF","")</f>
        <v/>
      </c>
      <c r="AW53" s="54" t="str">
        <f>IF('⚙ OFF Weekends'!$D$44="OFF","OFF","")</f>
        <v/>
      </c>
      <c r="AX53" s="56" t="str">
        <f>IF('⚙ OFF Weekends'!$D$45="OFF","OFF","")</f>
        <v/>
      </c>
      <c r="AY53" s="54" t="str">
        <f>IF('⚙ OFF Weekends'!$D$46="OFF","OFF","")</f>
        <v/>
      </c>
      <c r="AZ53" s="56" t="str">
        <f>IF('⚙ OFF Weekends'!$D$47="OFF","OFF","")</f>
        <v/>
      </c>
      <c r="BA53" s="54" t="str">
        <f>IF('⚙ OFF Weekends'!$D$48="OFF","OFF","")</f>
        <v/>
      </c>
      <c r="BB53" s="56" t="str">
        <f>IF('⚙ OFF Weekends'!$D$49="OFF","OFF","")</f>
        <v/>
      </c>
      <c r="BC53" s="54" t="str">
        <f>IF('⚙ OFF Weekends'!$D$50="OFF","OFF","")</f>
        <v/>
      </c>
      <c r="BD53" s="56" t="str">
        <f>IF('⚙ OFF Weekends'!$D$51="OFF","OFF","")</f>
        <v/>
      </c>
      <c r="BE53" s="54" t="str">
        <f>IF('⚙ OFF Weekends'!$D$52="OFF","OFF","")</f>
        <v/>
      </c>
      <c r="BF53" s="56" t="str">
        <f>IF('⚙ OFF Weekends'!$D$53="OFF","OFF","")</f>
        <v/>
      </c>
      <c r="BG53" s="54" t="str">
        <f>IF('⚙ OFF Weekends'!$D$54="OFF","OFF","")</f>
        <v/>
      </c>
      <c r="BH53" s="56" t="str">
        <f>IF('⚙ OFF Weekends'!$D$55="OFF","OFF","")</f>
        <v/>
      </c>
      <c r="BI53" s="54" t="str">
        <f>IF('⚙ OFF Weekends'!$D$56="OFF","OFF","")</f>
        <v/>
      </c>
      <c r="BJ53" s="56" t="str">
        <f>IF('⚙ OFF Weekends'!$D$57="OFF","OFF","")</f>
        <v/>
      </c>
      <c r="BK53" s="54" t="str">
        <f>IF('⚙ OFF Weekends'!$D$58="OFF","OFF","")</f>
        <v/>
      </c>
      <c r="BL53" s="56" t="str">
        <f>IF('⚙ OFF Weekends'!$D$59="OFF","OFF","")</f>
        <v/>
      </c>
      <c r="BM53" s="54" t="str">
        <f>IF('⚙ OFF Weekends'!$D$60="OFF","OFF","")</f>
        <v/>
      </c>
      <c r="BN53" s="56" t="str">
        <f>IF('⚙ OFF Weekends'!$D$61="OFF","OFF","")</f>
        <v/>
      </c>
      <c r="BO53" s="54" t="str">
        <f>IF('⚙ OFF Weekends'!$D$62="OFF","OFF","")</f>
        <v/>
      </c>
      <c r="BP53" s="56" t="str">
        <f>IF('⚙ OFF Weekends'!$D$63="OFF","OFF","")</f>
        <v/>
      </c>
      <c r="BQ53" s="54" t="str">
        <f>IF('⚙ OFF Weekends'!$D$64="OFF","OFF","")</f>
        <v/>
      </c>
      <c r="BR53" s="56" t="str">
        <f>IF('⚙ OFF Weekends'!$D$65="OFF","OFF","")</f>
        <v/>
      </c>
      <c r="BS53" s="54" t="str">
        <f>IF('⚙ OFF Weekends'!$D$66="OFF","OFF","")</f>
        <v/>
      </c>
      <c r="BT53" s="56" t="str">
        <f>IF('⚙ OFF Weekends'!$D$67="OFF","OFF","")</f>
        <v/>
      </c>
      <c r="BU53" s="54" t="str">
        <f>IF('⚙ OFF Weekends'!$D$68="OFF","OFF","")</f>
        <v/>
      </c>
      <c r="BV53" s="56" t="str">
        <f>IF('⚙ OFF Weekends'!$D$69="OFF","OFF","")</f>
        <v/>
      </c>
      <c r="BW53" s="54" t="str">
        <f>IF('⚙ OFF Weekends'!$D$70="OFF","OFF","")</f>
        <v/>
      </c>
      <c r="BX53" s="56" t="str">
        <f>IF('⚙ OFF Weekends'!$D$71="OFF","OFF","")</f>
        <v/>
      </c>
      <c r="BY53" s="54" t="str">
        <f>IF('⚙ OFF Weekends'!$D$72="OFF","OFF","")</f>
        <v/>
      </c>
      <c r="BZ53" s="56" t="str">
        <f>IF('⚙ OFF Weekends'!$D$73="OFF","OFF","")</f>
        <v/>
      </c>
      <c r="CA53" s="54" t="str">
        <f>IF('⚙ OFF Weekends'!$D$74="OFF","OFF","")</f>
        <v/>
      </c>
      <c r="CB53" s="56" t="str">
        <f>IF('⚙ OFF Weekends'!$D$75="OFF","OFF","")</f>
        <v/>
      </c>
      <c r="CC53" s="54" t="str">
        <f>IF('⚙ OFF Weekends'!$D$76="OFF","OFF","")</f>
        <v/>
      </c>
      <c r="CD53" s="56" t="str">
        <f>IF('⚙ OFF Weekends'!$D$77="OFF","OFF","")</f>
        <v/>
      </c>
      <c r="CE53" s="96">
        <f t="shared" si="15"/>
        <v>6</v>
      </c>
      <c r="CF53" s="96">
        <f t="shared" si="16"/>
        <v>7</v>
      </c>
      <c r="CG53" s="96">
        <f t="shared" si="17"/>
        <v>5</v>
      </c>
      <c r="CH53" s="96" t="str">
        <f t="shared" si="18"/>
        <v>46%</v>
      </c>
    </row>
    <row r="54" ht="18.0" customHeight="1">
      <c r="A54" s="95">
        <v>13.0</v>
      </c>
      <c r="B54" s="12" t="s">
        <v>580</v>
      </c>
      <c r="C54" s="14"/>
      <c r="D54" s="17" t="str">
        <f t="shared" si="13"/>
        <v/>
      </c>
      <c r="E54" s="28" t="str">
        <f t="shared" si="14"/>
        <v/>
      </c>
      <c r="F54" s="10"/>
      <c r="G54" s="10"/>
      <c r="H54" s="10"/>
      <c r="I54" s="48" t="s">
        <v>196</v>
      </c>
      <c r="J54" s="48" t="s">
        <v>196</v>
      </c>
      <c r="K54" s="49" t="s">
        <v>197</v>
      </c>
      <c r="L54" s="50" t="s">
        <v>37</v>
      </c>
      <c r="M54" s="79" t="s">
        <v>223</v>
      </c>
      <c r="N54" s="79" t="s">
        <v>223</v>
      </c>
      <c r="O54" s="48" t="s">
        <v>196</v>
      </c>
      <c r="P54" s="50" t="s">
        <v>37</v>
      </c>
      <c r="Q54" s="48" t="s">
        <v>196</v>
      </c>
      <c r="R54" s="48" t="s">
        <v>196</v>
      </c>
      <c r="S54" s="52" t="s">
        <v>196</v>
      </c>
      <c r="T54" s="98" t="s">
        <v>196</v>
      </c>
      <c r="U54" s="52" t="s">
        <v>223</v>
      </c>
      <c r="V54" s="53" t="s">
        <v>196</v>
      </c>
      <c r="W54" s="54" t="str">
        <f>IF('⚙ OFF Weekends'!$D$18="OFF","OFF","")</f>
        <v>OFF</v>
      </c>
      <c r="X54" s="53" t="s">
        <v>223</v>
      </c>
      <c r="Y54" s="52" t="s">
        <v>37</v>
      </c>
      <c r="Z54" s="53" t="s">
        <v>37</v>
      </c>
      <c r="AA54" s="52" t="s">
        <v>196</v>
      </c>
      <c r="AB54" s="53" t="s">
        <v>223</v>
      </c>
      <c r="AC54" s="54" t="str">
        <f>IF('⚙ OFF Weekends'!$D$24="OFF","OFF","")</f>
        <v/>
      </c>
      <c r="AD54" s="56" t="str">
        <f>IF('⚙ OFF Weekends'!$D$25="OFF","OFF","")</f>
        <v/>
      </c>
      <c r="AE54" s="54" t="str">
        <f>IF('⚙ OFF Weekends'!$D$26="OFF","OFF","")</f>
        <v/>
      </c>
      <c r="AF54" s="56" t="str">
        <f>IF('⚙ OFF Weekends'!$D$27="OFF","OFF","")</f>
        <v/>
      </c>
      <c r="AG54" s="54" t="str">
        <f>IF('⚙ OFF Weekends'!$D$28="OFF","OFF","")</f>
        <v/>
      </c>
      <c r="AH54" s="56" t="str">
        <f>IF('⚙ OFF Weekends'!$D$29="OFF","OFF","")</f>
        <v/>
      </c>
      <c r="AI54" s="54" t="str">
        <f>IF('⚙ OFF Weekends'!$D$30="OFF","OFF","")</f>
        <v/>
      </c>
      <c r="AJ54" s="56" t="str">
        <f>IF('⚙ OFF Weekends'!$D$31="OFF","OFF","")</f>
        <v/>
      </c>
      <c r="AK54" s="54" t="str">
        <f>IF('⚙ OFF Weekends'!$D$32="OFF","OFF","")</f>
        <v/>
      </c>
      <c r="AL54" s="56" t="str">
        <f>IF('⚙ OFF Weekends'!$D$33="OFF","OFF","")</f>
        <v/>
      </c>
      <c r="AM54" s="54" t="str">
        <f>IF('⚙ OFF Weekends'!$D$34="OFF","OFF","")</f>
        <v/>
      </c>
      <c r="AN54" s="56" t="str">
        <f>IF('⚙ OFF Weekends'!$D$35="OFF","OFF","")</f>
        <v/>
      </c>
      <c r="AO54" s="54" t="str">
        <f>IF('⚙ OFF Weekends'!$D$36="OFF","OFF","")</f>
        <v/>
      </c>
      <c r="AP54" s="56" t="str">
        <f>IF('⚙ OFF Weekends'!$D$37="OFF","OFF","")</f>
        <v/>
      </c>
      <c r="AQ54" s="54" t="str">
        <f>IF('⚙ OFF Weekends'!$D$38="OFF","OFF","")</f>
        <v/>
      </c>
      <c r="AR54" s="56" t="str">
        <f>IF('⚙ OFF Weekends'!$D$39="OFF","OFF","")</f>
        <v/>
      </c>
      <c r="AS54" s="54" t="str">
        <f>IF('⚙ OFF Weekends'!$D$40="OFF","OFF","")</f>
        <v/>
      </c>
      <c r="AT54" s="56" t="str">
        <f>IF('⚙ OFF Weekends'!$D$41="OFF","OFF","")</f>
        <v/>
      </c>
      <c r="AU54" s="54" t="str">
        <f>IF('⚙ OFF Weekends'!$D$42="OFF","OFF","")</f>
        <v/>
      </c>
      <c r="AV54" s="56" t="str">
        <f>IF('⚙ OFF Weekends'!$D$43="OFF","OFF","")</f>
        <v/>
      </c>
      <c r="AW54" s="54" t="str">
        <f>IF('⚙ OFF Weekends'!$D$44="OFF","OFF","")</f>
        <v/>
      </c>
      <c r="AX54" s="56" t="str">
        <f>IF('⚙ OFF Weekends'!$D$45="OFF","OFF","")</f>
        <v/>
      </c>
      <c r="AY54" s="54" t="str">
        <f>IF('⚙ OFF Weekends'!$D$46="OFF","OFF","")</f>
        <v/>
      </c>
      <c r="AZ54" s="56" t="str">
        <f>IF('⚙ OFF Weekends'!$D$47="OFF","OFF","")</f>
        <v/>
      </c>
      <c r="BA54" s="54" t="str">
        <f>IF('⚙ OFF Weekends'!$D$48="OFF","OFF","")</f>
        <v/>
      </c>
      <c r="BB54" s="56" t="str">
        <f>IF('⚙ OFF Weekends'!$D$49="OFF","OFF","")</f>
        <v/>
      </c>
      <c r="BC54" s="54" t="str">
        <f>IF('⚙ OFF Weekends'!$D$50="OFF","OFF","")</f>
        <v/>
      </c>
      <c r="BD54" s="56" t="str">
        <f>IF('⚙ OFF Weekends'!$D$51="OFF","OFF","")</f>
        <v/>
      </c>
      <c r="BE54" s="54" t="str">
        <f>IF('⚙ OFF Weekends'!$D$52="OFF","OFF","")</f>
        <v/>
      </c>
      <c r="BF54" s="56" t="str">
        <f>IF('⚙ OFF Weekends'!$D$53="OFF","OFF","")</f>
        <v/>
      </c>
      <c r="BG54" s="54" t="str">
        <f>IF('⚙ OFF Weekends'!$D$54="OFF","OFF","")</f>
        <v/>
      </c>
      <c r="BH54" s="56" t="str">
        <f>IF('⚙ OFF Weekends'!$D$55="OFF","OFF","")</f>
        <v/>
      </c>
      <c r="BI54" s="54" t="str">
        <f>IF('⚙ OFF Weekends'!$D$56="OFF","OFF","")</f>
        <v/>
      </c>
      <c r="BJ54" s="56" t="str">
        <f>IF('⚙ OFF Weekends'!$D$57="OFF","OFF","")</f>
        <v/>
      </c>
      <c r="BK54" s="54" t="str">
        <f>IF('⚙ OFF Weekends'!$D$58="OFF","OFF","")</f>
        <v/>
      </c>
      <c r="BL54" s="56" t="str">
        <f>IF('⚙ OFF Weekends'!$D$59="OFF","OFF","")</f>
        <v/>
      </c>
      <c r="BM54" s="54" t="str">
        <f>IF('⚙ OFF Weekends'!$D$60="OFF","OFF","")</f>
        <v/>
      </c>
      <c r="BN54" s="56" t="str">
        <f>IF('⚙ OFF Weekends'!$D$61="OFF","OFF","")</f>
        <v/>
      </c>
      <c r="BO54" s="54" t="str">
        <f>IF('⚙ OFF Weekends'!$D$62="OFF","OFF","")</f>
        <v/>
      </c>
      <c r="BP54" s="56" t="str">
        <f>IF('⚙ OFF Weekends'!$D$63="OFF","OFF","")</f>
        <v/>
      </c>
      <c r="BQ54" s="54" t="str">
        <f>IF('⚙ OFF Weekends'!$D$64="OFF","OFF","")</f>
        <v/>
      </c>
      <c r="BR54" s="56" t="str">
        <f>IF('⚙ OFF Weekends'!$D$65="OFF","OFF","")</f>
        <v/>
      </c>
      <c r="BS54" s="54" t="str">
        <f>IF('⚙ OFF Weekends'!$D$66="OFF","OFF","")</f>
        <v/>
      </c>
      <c r="BT54" s="56" t="str">
        <f>IF('⚙ OFF Weekends'!$D$67="OFF","OFF","")</f>
        <v/>
      </c>
      <c r="BU54" s="54" t="str">
        <f>IF('⚙ OFF Weekends'!$D$68="OFF","OFF","")</f>
        <v/>
      </c>
      <c r="BV54" s="56" t="str">
        <f>IF('⚙ OFF Weekends'!$D$69="OFF","OFF","")</f>
        <v/>
      </c>
      <c r="BW54" s="54" t="str">
        <f>IF('⚙ OFF Weekends'!$D$70="OFF","OFF","")</f>
        <v/>
      </c>
      <c r="BX54" s="56" t="str">
        <f>IF('⚙ OFF Weekends'!$D$71="OFF","OFF","")</f>
        <v/>
      </c>
      <c r="BY54" s="54" t="str">
        <f>IF('⚙ OFF Weekends'!$D$72="OFF","OFF","")</f>
        <v/>
      </c>
      <c r="BZ54" s="56" t="str">
        <f>IF('⚙ OFF Weekends'!$D$73="OFF","OFF","")</f>
        <v/>
      </c>
      <c r="CA54" s="54" t="str">
        <f>IF('⚙ OFF Weekends'!$D$74="OFF","OFF","")</f>
        <v/>
      </c>
      <c r="CB54" s="56" t="str">
        <f>IF('⚙ OFF Weekends'!$D$75="OFF","OFF","")</f>
        <v/>
      </c>
      <c r="CC54" s="54" t="str">
        <f>IF('⚙ OFF Weekends'!$D$76="OFF","OFF","")</f>
        <v/>
      </c>
      <c r="CD54" s="56" t="str">
        <f>IF('⚙ OFF Weekends'!$D$77="OFF","OFF","")</f>
        <v/>
      </c>
      <c r="CE54" s="95">
        <f t="shared" si="15"/>
        <v>13</v>
      </c>
      <c r="CF54" s="95">
        <f t="shared" si="16"/>
        <v>5</v>
      </c>
      <c r="CG54" s="95">
        <f t="shared" si="17"/>
        <v>0</v>
      </c>
      <c r="CH54" s="95" t="str">
        <f t="shared" si="18"/>
        <v>72%</v>
      </c>
    </row>
    <row r="55" ht="18.0" customHeight="1">
      <c r="A55" s="96">
        <v>14.0</v>
      </c>
      <c r="B55" s="22" t="s">
        <v>588</v>
      </c>
      <c r="C55" s="23" t="s">
        <v>589</v>
      </c>
      <c r="D55" s="24" t="str">
        <f t="shared" si="13"/>
        <v>📞 Call</v>
      </c>
      <c r="E55" s="41" t="str">
        <f t="shared" si="14"/>
        <v>💬 WhatsApp</v>
      </c>
      <c r="F55" s="20"/>
      <c r="G55" s="20"/>
      <c r="H55" s="20"/>
      <c r="I55" s="54" t="str">
        <f>IF('⚙ OFF Weekends'!$D$4="OFF","OFF","")</f>
        <v/>
      </c>
      <c r="J55" s="56" t="str">
        <f>IF('⚙ OFF Weekends'!$D$5="OFF","OFF","")</f>
        <v/>
      </c>
      <c r="K55" s="49" t="s">
        <v>197</v>
      </c>
      <c r="L55" s="56" t="str">
        <f>IF('⚙ OFF Weekends'!$D$7="OFF","OFF","")</f>
        <v/>
      </c>
      <c r="M55" s="48" t="s">
        <v>196</v>
      </c>
      <c r="N55" s="50" t="s">
        <v>37</v>
      </c>
      <c r="O55" s="79" t="s">
        <v>223</v>
      </c>
      <c r="P55" s="50" t="s">
        <v>37</v>
      </c>
      <c r="Q55" s="50" t="s">
        <v>37</v>
      </c>
      <c r="R55" s="79" t="s">
        <v>223</v>
      </c>
      <c r="S55" s="52" t="s">
        <v>37</v>
      </c>
      <c r="T55" s="98" t="s">
        <v>196</v>
      </c>
      <c r="U55" s="52" t="s">
        <v>37</v>
      </c>
      <c r="V55" s="53" t="s">
        <v>223</v>
      </c>
      <c r="W55" s="54" t="str">
        <f>IF('⚙ OFF Weekends'!$D$18="OFF","OFF","")</f>
        <v>OFF</v>
      </c>
      <c r="X55" s="53" t="s">
        <v>223</v>
      </c>
      <c r="Y55" s="52" t="s">
        <v>37</v>
      </c>
      <c r="Z55" s="53" t="s">
        <v>37</v>
      </c>
      <c r="AA55" s="52" t="s">
        <v>196</v>
      </c>
      <c r="AB55" s="53" t="s">
        <v>223</v>
      </c>
      <c r="AC55" s="54" t="str">
        <f>IF('⚙ OFF Weekends'!$D$24="OFF","OFF","")</f>
        <v/>
      </c>
      <c r="AD55" s="56" t="str">
        <f>IF('⚙ OFF Weekends'!$D$25="OFF","OFF","")</f>
        <v/>
      </c>
      <c r="AE55" s="54" t="str">
        <f>IF('⚙ OFF Weekends'!$D$26="OFF","OFF","")</f>
        <v/>
      </c>
      <c r="AF55" s="56" t="str">
        <f>IF('⚙ OFF Weekends'!$D$27="OFF","OFF","")</f>
        <v/>
      </c>
      <c r="AG55" s="54" t="str">
        <f>IF('⚙ OFF Weekends'!$D$28="OFF","OFF","")</f>
        <v/>
      </c>
      <c r="AH55" s="56" t="str">
        <f>IF('⚙ OFF Weekends'!$D$29="OFF","OFF","")</f>
        <v/>
      </c>
      <c r="AI55" s="54" t="str">
        <f>IF('⚙ OFF Weekends'!$D$30="OFF","OFF","")</f>
        <v/>
      </c>
      <c r="AJ55" s="56" t="str">
        <f>IF('⚙ OFF Weekends'!$D$31="OFF","OFF","")</f>
        <v/>
      </c>
      <c r="AK55" s="54" t="str">
        <f>IF('⚙ OFF Weekends'!$D$32="OFF","OFF","")</f>
        <v/>
      </c>
      <c r="AL55" s="56" t="str">
        <f>IF('⚙ OFF Weekends'!$D$33="OFF","OFF","")</f>
        <v/>
      </c>
      <c r="AM55" s="54" t="str">
        <f>IF('⚙ OFF Weekends'!$D$34="OFF","OFF","")</f>
        <v/>
      </c>
      <c r="AN55" s="56" t="str">
        <f>IF('⚙ OFF Weekends'!$D$35="OFF","OFF","")</f>
        <v/>
      </c>
      <c r="AO55" s="54" t="str">
        <f>IF('⚙ OFF Weekends'!$D$36="OFF","OFF","")</f>
        <v/>
      </c>
      <c r="AP55" s="56" t="str">
        <f>IF('⚙ OFF Weekends'!$D$37="OFF","OFF","")</f>
        <v/>
      </c>
      <c r="AQ55" s="54" t="str">
        <f>IF('⚙ OFF Weekends'!$D$38="OFF","OFF","")</f>
        <v/>
      </c>
      <c r="AR55" s="56" t="str">
        <f>IF('⚙ OFF Weekends'!$D$39="OFF","OFF","")</f>
        <v/>
      </c>
      <c r="AS55" s="54" t="str">
        <f>IF('⚙ OFF Weekends'!$D$40="OFF","OFF","")</f>
        <v/>
      </c>
      <c r="AT55" s="56" t="str">
        <f>IF('⚙ OFF Weekends'!$D$41="OFF","OFF","")</f>
        <v/>
      </c>
      <c r="AU55" s="54" t="str">
        <f>IF('⚙ OFF Weekends'!$D$42="OFF","OFF","")</f>
        <v/>
      </c>
      <c r="AV55" s="56" t="str">
        <f>IF('⚙ OFF Weekends'!$D$43="OFF","OFF","")</f>
        <v/>
      </c>
      <c r="AW55" s="54" t="str">
        <f>IF('⚙ OFF Weekends'!$D$44="OFF","OFF","")</f>
        <v/>
      </c>
      <c r="AX55" s="56" t="str">
        <f>IF('⚙ OFF Weekends'!$D$45="OFF","OFF","")</f>
        <v/>
      </c>
      <c r="AY55" s="54" t="str">
        <f>IF('⚙ OFF Weekends'!$D$46="OFF","OFF","")</f>
        <v/>
      </c>
      <c r="AZ55" s="56" t="str">
        <f>IF('⚙ OFF Weekends'!$D$47="OFF","OFF","")</f>
        <v/>
      </c>
      <c r="BA55" s="54" t="str">
        <f>IF('⚙ OFF Weekends'!$D$48="OFF","OFF","")</f>
        <v/>
      </c>
      <c r="BB55" s="56" t="str">
        <f>IF('⚙ OFF Weekends'!$D$49="OFF","OFF","")</f>
        <v/>
      </c>
      <c r="BC55" s="54" t="str">
        <f>IF('⚙ OFF Weekends'!$D$50="OFF","OFF","")</f>
        <v/>
      </c>
      <c r="BD55" s="56" t="str">
        <f>IF('⚙ OFF Weekends'!$D$51="OFF","OFF","")</f>
        <v/>
      </c>
      <c r="BE55" s="54" t="str">
        <f>IF('⚙ OFF Weekends'!$D$52="OFF","OFF","")</f>
        <v/>
      </c>
      <c r="BF55" s="56" t="str">
        <f>IF('⚙ OFF Weekends'!$D$53="OFF","OFF","")</f>
        <v/>
      </c>
      <c r="BG55" s="54" t="str">
        <f>IF('⚙ OFF Weekends'!$D$54="OFF","OFF","")</f>
        <v/>
      </c>
      <c r="BH55" s="56" t="str">
        <f>IF('⚙ OFF Weekends'!$D$55="OFF","OFF","")</f>
        <v/>
      </c>
      <c r="BI55" s="54" t="str">
        <f>IF('⚙ OFF Weekends'!$D$56="OFF","OFF","")</f>
        <v/>
      </c>
      <c r="BJ55" s="56" t="str">
        <f>IF('⚙ OFF Weekends'!$D$57="OFF","OFF","")</f>
        <v/>
      </c>
      <c r="BK55" s="54" t="str">
        <f>IF('⚙ OFF Weekends'!$D$58="OFF","OFF","")</f>
        <v/>
      </c>
      <c r="BL55" s="56" t="str">
        <f>IF('⚙ OFF Weekends'!$D$59="OFF","OFF","")</f>
        <v/>
      </c>
      <c r="BM55" s="54" t="str">
        <f>IF('⚙ OFF Weekends'!$D$60="OFF","OFF","")</f>
        <v/>
      </c>
      <c r="BN55" s="56" t="str">
        <f>IF('⚙ OFF Weekends'!$D$61="OFF","OFF","")</f>
        <v/>
      </c>
      <c r="BO55" s="54" t="str">
        <f>IF('⚙ OFF Weekends'!$D$62="OFF","OFF","")</f>
        <v/>
      </c>
      <c r="BP55" s="56" t="str">
        <f>IF('⚙ OFF Weekends'!$D$63="OFF","OFF","")</f>
        <v/>
      </c>
      <c r="BQ55" s="54" t="str">
        <f>IF('⚙ OFF Weekends'!$D$64="OFF","OFF","")</f>
        <v/>
      </c>
      <c r="BR55" s="56" t="str">
        <f>IF('⚙ OFF Weekends'!$D$65="OFF","OFF","")</f>
        <v/>
      </c>
      <c r="BS55" s="54" t="str">
        <f>IF('⚙ OFF Weekends'!$D$66="OFF","OFF","")</f>
        <v/>
      </c>
      <c r="BT55" s="56" t="str">
        <f>IF('⚙ OFF Weekends'!$D$67="OFF","OFF","")</f>
        <v/>
      </c>
      <c r="BU55" s="54" t="str">
        <f>IF('⚙ OFF Weekends'!$D$68="OFF","OFF","")</f>
        <v/>
      </c>
      <c r="BV55" s="56" t="str">
        <f>IF('⚙ OFF Weekends'!$D$69="OFF","OFF","")</f>
        <v/>
      </c>
      <c r="BW55" s="54" t="str">
        <f>IF('⚙ OFF Weekends'!$D$70="OFF","OFF","")</f>
        <v/>
      </c>
      <c r="BX55" s="56" t="str">
        <f>IF('⚙ OFF Weekends'!$D$71="OFF","OFF","")</f>
        <v/>
      </c>
      <c r="BY55" s="54" t="str">
        <f>IF('⚙ OFF Weekends'!$D$72="OFF","OFF","")</f>
        <v/>
      </c>
      <c r="BZ55" s="56" t="str">
        <f>IF('⚙ OFF Weekends'!$D$73="OFF","OFF","")</f>
        <v/>
      </c>
      <c r="CA55" s="54" t="str">
        <f>IF('⚙ OFF Weekends'!$D$74="OFF","OFF","")</f>
        <v/>
      </c>
      <c r="CB55" s="56" t="str">
        <f>IF('⚙ OFF Weekends'!$D$75="OFF","OFF","")</f>
        <v/>
      </c>
      <c r="CC55" s="54" t="str">
        <f>IF('⚙ OFF Weekends'!$D$76="OFF","OFF","")</f>
        <v/>
      </c>
      <c r="CD55" s="56" t="str">
        <f>IF('⚙ OFF Weekends'!$D$77="OFF","OFF","")</f>
        <v/>
      </c>
      <c r="CE55" s="96">
        <f t="shared" si="15"/>
        <v>10</v>
      </c>
      <c r="CF55" s="96">
        <f t="shared" si="16"/>
        <v>5</v>
      </c>
      <c r="CG55" s="96">
        <f t="shared" si="17"/>
        <v>0</v>
      </c>
      <c r="CH55" s="96" t="str">
        <f t="shared" si="18"/>
        <v>67%</v>
      </c>
    </row>
    <row r="56" ht="18.0" customHeight="1">
      <c r="A56" s="95">
        <v>15.0</v>
      </c>
      <c r="B56" s="12" t="s">
        <v>475</v>
      </c>
      <c r="C56" s="14"/>
      <c r="D56" s="17" t="str">
        <f t="shared" si="13"/>
        <v/>
      </c>
      <c r="E56" s="28" t="str">
        <f t="shared" si="14"/>
        <v/>
      </c>
      <c r="F56" s="10"/>
      <c r="G56" s="10"/>
      <c r="H56" s="10"/>
      <c r="I56" s="54" t="str">
        <f>IF('⚙ OFF Weekends'!$D$4="OFF","OFF","")</f>
        <v/>
      </c>
      <c r="J56" s="56" t="str">
        <f>IF('⚙ OFF Weekends'!$D$5="OFF","OFF","")</f>
        <v/>
      </c>
      <c r="K56" s="49" t="s">
        <v>197</v>
      </c>
      <c r="L56" s="56" t="str">
        <f>IF('⚙ OFF Weekends'!$D$7="OFF","OFF","")</f>
        <v/>
      </c>
      <c r="M56" s="48" t="s">
        <v>196</v>
      </c>
      <c r="N56" s="50" t="s">
        <v>37</v>
      </c>
      <c r="O56" s="48" t="s">
        <v>196</v>
      </c>
      <c r="P56" s="48" t="s">
        <v>196</v>
      </c>
      <c r="Q56" s="79" t="s">
        <v>223</v>
      </c>
      <c r="R56" s="79" t="s">
        <v>223</v>
      </c>
      <c r="S56" s="52" t="s">
        <v>223</v>
      </c>
      <c r="T56" s="98" t="s">
        <v>223</v>
      </c>
      <c r="U56" s="52" t="s">
        <v>196</v>
      </c>
      <c r="V56" s="53" t="s">
        <v>223</v>
      </c>
      <c r="W56" s="54" t="str">
        <f>IF('⚙ OFF Weekends'!$D$18="OFF","OFF","")</f>
        <v>OFF</v>
      </c>
      <c r="X56" s="53" t="s">
        <v>223</v>
      </c>
      <c r="Y56" s="52" t="s">
        <v>223</v>
      </c>
      <c r="Z56" s="53" t="s">
        <v>223</v>
      </c>
      <c r="AA56" s="52" t="s">
        <v>223</v>
      </c>
      <c r="AB56" s="53" t="s">
        <v>223</v>
      </c>
      <c r="AC56" s="54" t="str">
        <f>IF('⚙ OFF Weekends'!$D$24="OFF","OFF","")</f>
        <v/>
      </c>
      <c r="AD56" s="56" t="str">
        <f>IF('⚙ OFF Weekends'!$D$25="OFF","OFF","")</f>
        <v/>
      </c>
      <c r="AE56" s="54" t="str">
        <f>IF('⚙ OFF Weekends'!$D$26="OFF","OFF","")</f>
        <v/>
      </c>
      <c r="AF56" s="56" t="str">
        <f>IF('⚙ OFF Weekends'!$D$27="OFF","OFF","")</f>
        <v/>
      </c>
      <c r="AG56" s="54" t="str">
        <f>IF('⚙ OFF Weekends'!$D$28="OFF","OFF","")</f>
        <v/>
      </c>
      <c r="AH56" s="56" t="str">
        <f>IF('⚙ OFF Weekends'!$D$29="OFF","OFF","")</f>
        <v/>
      </c>
      <c r="AI56" s="54" t="str">
        <f>IF('⚙ OFF Weekends'!$D$30="OFF","OFF","")</f>
        <v/>
      </c>
      <c r="AJ56" s="56" t="str">
        <f>IF('⚙ OFF Weekends'!$D$31="OFF","OFF","")</f>
        <v/>
      </c>
      <c r="AK56" s="54" t="str">
        <f>IF('⚙ OFF Weekends'!$D$32="OFF","OFF","")</f>
        <v/>
      </c>
      <c r="AL56" s="56" t="str">
        <f>IF('⚙ OFF Weekends'!$D$33="OFF","OFF","")</f>
        <v/>
      </c>
      <c r="AM56" s="54" t="str">
        <f>IF('⚙ OFF Weekends'!$D$34="OFF","OFF","")</f>
        <v/>
      </c>
      <c r="AN56" s="56" t="str">
        <f>IF('⚙ OFF Weekends'!$D$35="OFF","OFF","")</f>
        <v/>
      </c>
      <c r="AO56" s="54" t="str">
        <f>IF('⚙ OFF Weekends'!$D$36="OFF","OFF","")</f>
        <v/>
      </c>
      <c r="AP56" s="56" t="str">
        <f>IF('⚙ OFF Weekends'!$D$37="OFF","OFF","")</f>
        <v/>
      </c>
      <c r="AQ56" s="54" t="str">
        <f>IF('⚙ OFF Weekends'!$D$38="OFF","OFF","")</f>
        <v/>
      </c>
      <c r="AR56" s="56" t="str">
        <f>IF('⚙ OFF Weekends'!$D$39="OFF","OFF","")</f>
        <v/>
      </c>
      <c r="AS56" s="54" t="str">
        <f>IF('⚙ OFF Weekends'!$D$40="OFF","OFF","")</f>
        <v/>
      </c>
      <c r="AT56" s="56" t="str">
        <f>IF('⚙ OFF Weekends'!$D$41="OFF","OFF","")</f>
        <v/>
      </c>
      <c r="AU56" s="54" t="str">
        <f>IF('⚙ OFF Weekends'!$D$42="OFF","OFF","")</f>
        <v/>
      </c>
      <c r="AV56" s="56" t="str">
        <f>IF('⚙ OFF Weekends'!$D$43="OFF","OFF","")</f>
        <v/>
      </c>
      <c r="AW56" s="54" t="str">
        <f>IF('⚙ OFF Weekends'!$D$44="OFF","OFF","")</f>
        <v/>
      </c>
      <c r="AX56" s="56" t="str">
        <f>IF('⚙ OFF Weekends'!$D$45="OFF","OFF","")</f>
        <v/>
      </c>
      <c r="AY56" s="54" t="str">
        <f>IF('⚙ OFF Weekends'!$D$46="OFF","OFF","")</f>
        <v/>
      </c>
      <c r="AZ56" s="56" t="str">
        <f>IF('⚙ OFF Weekends'!$D$47="OFF","OFF","")</f>
        <v/>
      </c>
      <c r="BA56" s="54" t="str">
        <f>IF('⚙ OFF Weekends'!$D$48="OFF","OFF","")</f>
        <v/>
      </c>
      <c r="BB56" s="56" t="str">
        <f>IF('⚙ OFF Weekends'!$D$49="OFF","OFF","")</f>
        <v/>
      </c>
      <c r="BC56" s="54" t="str">
        <f>IF('⚙ OFF Weekends'!$D$50="OFF","OFF","")</f>
        <v/>
      </c>
      <c r="BD56" s="56" t="str">
        <f>IF('⚙ OFF Weekends'!$D$51="OFF","OFF","")</f>
        <v/>
      </c>
      <c r="BE56" s="54" t="str">
        <f>IF('⚙ OFF Weekends'!$D$52="OFF","OFF","")</f>
        <v/>
      </c>
      <c r="BF56" s="56" t="str">
        <f>IF('⚙ OFF Weekends'!$D$53="OFF","OFF","")</f>
        <v/>
      </c>
      <c r="BG56" s="54" t="str">
        <f>IF('⚙ OFF Weekends'!$D$54="OFF","OFF","")</f>
        <v/>
      </c>
      <c r="BH56" s="56" t="str">
        <f>IF('⚙ OFF Weekends'!$D$55="OFF","OFF","")</f>
        <v/>
      </c>
      <c r="BI56" s="54" t="str">
        <f>IF('⚙ OFF Weekends'!$D$56="OFF","OFF","")</f>
        <v/>
      </c>
      <c r="BJ56" s="56" t="str">
        <f>IF('⚙ OFF Weekends'!$D$57="OFF","OFF","")</f>
        <v/>
      </c>
      <c r="BK56" s="54" t="str">
        <f>IF('⚙ OFF Weekends'!$D$58="OFF","OFF","")</f>
        <v/>
      </c>
      <c r="BL56" s="56" t="str">
        <f>IF('⚙ OFF Weekends'!$D$59="OFF","OFF","")</f>
        <v/>
      </c>
      <c r="BM56" s="54" t="str">
        <f>IF('⚙ OFF Weekends'!$D$60="OFF","OFF","")</f>
        <v/>
      </c>
      <c r="BN56" s="56" t="str">
        <f>IF('⚙ OFF Weekends'!$D$61="OFF","OFF","")</f>
        <v/>
      </c>
      <c r="BO56" s="54" t="str">
        <f>IF('⚙ OFF Weekends'!$D$62="OFF","OFF","")</f>
        <v/>
      </c>
      <c r="BP56" s="56" t="str">
        <f>IF('⚙ OFF Weekends'!$D$63="OFF","OFF","")</f>
        <v/>
      </c>
      <c r="BQ56" s="54" t="str">
        <f>IF('⚙ OFF Weekends'!$D$64="OFF","OFF","")</f>
        <v/>
      </c>
      <c r="BR56" s="56" t="str">
        <f>IF('⚙ OFF Weekends'!$D$65="OFF","OFF","")</f>
        <v/>
      </c>
      <c r="BS56" s="54" t="str">
        <f>IF('⚙ OFF Weekends'!$D$66="OFF","OFF","")</f>
        <v/>
      </c>
      <c r="BT56" s="56" t="str">
        <f>IF('⚙ OFF Weekends'!$D$67="OFF","OFF","")</f>
        <v/>
      </c>
      <c r="BU56" s="54" t="str">
        <f>IF('⚙ OFF Weekends'!$D$68="OFF","OFF","")</f>
        <v/>
      </c>
      <c r="BV56" s="56" t="str">
        <f>IF('⚙ OFF Weekends'!$D$69="OFF","OFF","")</f>
        <v/>
      </c>
      <c r="BW56" s="54" t="str">
        <f>IF('⚙ OFF Weekends'!$D$70="OFF","OFF","")</f>
        <v/>
      </c>
      <c r="BX56" s="56" t="str">
        <f>IF('⚙ OFF Weekends'!$D$71="OFF","OFF","")</f>
        <v/>
      </c>
      <c r="BY56" s="54" t="str">
        <f>IF('⚙ OFF Weekends'!$D$72="OFF","OFF","")</f>
        <v/>
      </c>
      <c r="BZ56" s="56" t="str">
        <f>IF('⚙ OFF Weekends'!$D$73="OFF","OFF","")</f>
        <v/>
      </c>
      <c r="CA56" s="54" t="str">
        <f>IF('⚙ OFF Weekends'!$D$74="OFF","OFF","")</f>
        <v/>
      </c>
      <c r="CB56" s="56" t="str">
        <f>IF('⚙ OFF Weekends'!$D$75="OFF","OFF","")</f>
        <v/>
      </c>
      <c r="CC56" s="54" t="str">
        <f>IF('⚙ OFF Weekends'!$D$76="OFF","OFF","")</f>
        <v/>
      </c>
      <c r="CD56" s="56" t="str">
        <f>IF('⚙ OFF Weekends'!$D$77="OFF","OFF","")</f>
        <v/>
      </c>
      <c r="CE56" s="95">
        <f t="shared" si="15"/>
        <v>5</v>
      </c>
      <c r="CF56" s="95">
        <f t="shared" si="16"/>
        <v>10</v>
      </c>
      <c r="CG56" s="95">
        <f t="shared" si="17"/>
        <v>0</v>
      </c>
      <c r="CH56" s="95" t="str">
        <f t="shared" si="18"/>
        <v>33%</v>
      </c>
    </row>
    <row r="57" ht="18.0" customHeight="1">
      <c r="A57" s="96">
        <v>16.0</v>
      </c>
      <c r="B57" s="22" t="s">
        <v>604</v>
      </c>
      <c r="C57" s="23"/>
      <c r="D57" s="24" t="str">
        <f t="shared" si="13"/>
        <v/>
      </c>
      <c r="E57" s="26" t="str">
        <f t="shared" si="14"/>
        <v/>
      </c>
      <c r="F57" s="20"/>
      <c r="G57" s="20"/>
      <c r="H57" s="20"/>
      <c r="I57" s="54" t="str">
        <f>IF('⚙ OFF Weekends'!$D$4="OFF","OFF","")</f>
        <v/>
      </c>
      <c r="J57" s="56" t="str">
        <f>IF('⚙ OFF Weekends'!$D$5="OFF","OFF","")</f>
        <v/>
      </c>
      <c r="K57" s="49" t="s">
        <v>197</v>
      </c>
      <c r="L57" s="56" t="str">
        <f>IF('⚙ OFF Weekends'!$D$7="OFF","OFF","")</f>
        <v/>
      </c>
      <c r="M57" s="54" t="str">
        <f>IF('⚙ OFF Weekends'!$D$8="OFF","OFF","")</f>
        <v/>
      </c>
      <c r="N57" s="56" t="str">
        <f>IF('⚙ OFF Weekends'!$D$9="OFF","OFF","")</f>
        <v/>
      </c>
      <c r="O57" s="50" t="s">
        <v>37</v>
      </c>
      <c r="P57" s="79" t="s">
        <v>223</v>
      </c>
      <c r="Q57" s="48" t="s">
        <v>196</v>
      </c>
      <c r="R57" s="79" t="s">
        <v>223</v>
      </c>
      <c r="S57" s="52" t="s">
        <v>37</v>
      </c>
      <c r="T57" s="98" t="s">
        <v>196</v>
      </c>
      <c r="U57" s="52" t="s">
        <v>37</v>
      </c>
      <c r="V57" s="53" t="s">
        <v>223</v>
      </c>
      <c r="W57" s="54" t="str">
        <f>IF('⚙ OFF Weekends'!$D$18="OFF","OFF","")</f>
        <v>OFF</v>
      </c>
      <c r="X57" s="53" t="s">
        <v>223</v>
      </c>
      <c r="Y57" s="52" t="s">
        <v>196</v>
      </c>
      <c r="Z57" s="53" t="s">
        <v>37</v>
      </c>
      <c r="AA57" s="52" t="s">
        <v>223</v>
      </c>
      <c r="AB57" s="53" t="s">
        <v>223</v>
      </c>
      <c r="AC57" s="54" t="str">
        <f>IF('⚙ OFF Weekends'!$D$24="OFF","OFF","")</f>
        <v/>
      </c>
      <c r="AD57" s="56" t="str">
        <f>IF('⚙ OFF Weekends'!$D$25="OFF","OFF","")</f>
        <v/>
      </c>
      <c r="AE57" s="54" t="str">
        <f>IF('⚙ OFF Weekends'!$D$26="OFF","OFF","")</f>
        <v/>
      </c>
      <c r="AF57" s="56" t="str">
        <f>IF('⚙ OFF Weekends'!$D$27="OFF","OFF","")</f>
        <v/>
      </c>
      <c r="AG57" s="54" t="str">
        <f>IF('⚙ OFF Weekends'!$D$28="OFF","OFF","")</f>
        <v/>
      </c>
      <c r="AH57" s="56" t="str">
        <f>IF('⚙ OFF Weekends'!$D$29="OFF","OFF","")</f>
        <v/>
      </c>
      <c r="AI57" s="54" t="str">
        <f>IF('⚙ OFF Weekends'!$D$30="OFF","OFF","")</f>
        <v/>
      </c>
      <c r="AJ57" s="56" t="str">
        <f>IF('⚙ OFF Weekends'!$D$31="OFF","OFF","")</f>
        <v/>
      </c>
      <c r="AK57" s="54" t="str">
        <f>IF('⚙ OFF Weekends'!$D$32="OFF","OFF","")</f>
        <v/>
      </c>
      <c r="AL57" s="56" t="str">
        <f>IF('⚙ OFF Weekends'!$D$33="OFF","OFF","")</f>
        <v/>
      </c>
      <c r="AM57" s="54" t="str">
        <f>IF('⚙ OFF Weekends'!$D$34="OFF","OFF","")</f>
        <v/>
      </c>
      <c r="AN57" s="56" t="str">
        <f>IF('⚙ OFF Weekends'!$D$35="OFF","OFF","")</f>
        <v/>
      </c>
      <c r="AO57" s="54" t="str">
        <f>IF('⚙ OFF Weekends'!$D$36="OFF","OFF","")</f>
        <v/>
      </c>
      <c r="AP57" s="56" t="str">
        <f>IF('⚙ OFF Weekends'!$D$37="OFF","OFF","")</f>
        <v/>
      </c>
      <c r="AQ57" s="54" t="str">
        <f>IF('⚙ OFF Weekends'!$D$38="OFF","OFF","")</f>
        <v/>
      </c>
      <c r="AR57" s="56" t="str">
        <f>IF('⚙ OFF Weekends'!$D$39="OFF","OFF","")</f>
        <v/>
      </c>
      <c r="AS57" s="54" t="str">
        <f>IF('⚙ OFF Weekends'!$D$40="OFF","OFF","")</f>
        <v/>
      </c>
      <c r="AT57" s="56" t="str">
        <f>IF('⚙ OFF Weekends'!$D$41="OFF","OFF","")</f>
        <v/>
      </c>
      <c r="AU57" s="54" t="str">
        <f>IF('⚙ OFF Weekends'!$D$42="OFF","OFF","")</f>
        <v/>
      </c>
      <c r="AV57" s="56" t="str">
        <f>IF('⚙ OFF Weekends'!$D$43="OFF","OFF","")</f>
        <v/>
      </c>
      <c r="AW57" s="54" t="str">
        <f>IF('⚙ OFF Weekends'!$D$44="OFF","OFF","")</f>
        <v/>
      </c>
      <c r="AX57" s="56" t="str">
        <f>IF('⚙ OFF Weekends'!$D$45="OFF","OFF","")</f>
        <v/>
      </c>
      <c r="AY57" s="54" t="str">
        <f>IF('⚙ OFF Weekends'!$D$46="OFF","OFF","")</f>
        <v/>
      </c>
      <c r="AZ57" s="56" t="str">
        <f>IF('⚙ OFF Weekends'!$D$47="OFF","OFF","")</f>
        <v/>
      </c>
      <c r="BA57" s="54" t="str">
        <f>IF('⚙ OFF Weekends'!$D$48="OFF","OFF","")</f>
        <v/>
      </c>
      <c r="BB57" s="56" t="str">
        <f>IF('⚙ OFF Weekends'!$D$49="OFF","OFF","")</f>
        <v/>
      </c>
      <c r="BC57" s="54" t="str">
        <f>IF('⚙ OFF Weekends'!$D$50="OFF","OFF","")</f>
        <v/>
      </c>
      <c r="BD57" s="56" t="str">
        <f>IF('⚙ OFF Weekends'!$D$51="OFF","OFF","")</f>
        <v/>
      </c>
      <c r="BE57" s="54" t="str">
        <f>IF('⚙ OFF Weekends'!$D$52="OFF","OFF","")</f>
        <v/>
      </c>
      <c r="BF57" s="56" t="str">
        <f>IF('⚙ OFF Weekends'!$D$53="OFF","OFF","")</f>
        <v/>
      </c>
      <c r="BG57" s="54" t="str">
        <f>IF('⚙ OFF Weekends'!$D$54="OFF","OFF","")</f>
        <v/>
      </c>
      <c r="BH57" s="56" t="str">
        <f>IF('⚙ OFF Weekends'!$D$55="OFF","OFF","")</f>
        <v/>
      </c>
      <c r="BI57" s="54" t="str">
        <f>IF('⚙ OFF Weekends'!$D$56="OFF","OFF","")</f>
        <v/>
      </c>
      <c r="BJ57" s="56" t="str">
        <f>IF('⚙ OFF Weekends'!$D$57="OFF","OFF","")</f>
        <v/>
      </c>
      <c r="BK57" s="54" t="str">
        <f>IF('⚙ OFF Weekends'!$D$58="OFF","OFF","")</f>
        <v/>
      </c>
      <c r="BL57" s="56" t="str">
        <f>IF('⚙ OFF Weekends'!$D$59="OFF","OFF","")</f>
        <v/>
      </c>
      <c r="BM57" s="54" t="str">
        <f>IF('⚙ OFF Weekends'!$D$60="OFF","OFF","")</f>
        <v/>
      </c>
      <c r="BN57" s="56" t="str">
        <f>IF('⚙ OFF Weekends'!$D$61="OFF","OFF","")</f>
        <v/>
      </c>
      <c r="BO57" s="54" t="str">
        <f>IF('⚙ OFF Weekends'!$D$62="OFF","OFF","")</f>
        <v/>
      </c>
      <c r="BP57" s="56" t="str">
        <f>IF('⚙ OFF Weekends'!$D$63="OFF","OFF","")</f>
        <v/>
      </c>
      <c r="BQ57" s="54" t="str">
        <f>IF('⚙ OFF Weekends'!$D$64="OFF","OFF","")</f>
        <v/>
      </c>
      <c r="BR57" s="56" t="str">
        <f>IF('⚙ OFF Weekends'!$D$65="OFF","OFF","")</f>
        <v/>
      </c>
      <c r="BS57" s="54" t="str">
        <f>IF('⚙ OFF Weekends'!$D$66="OFF","OFF","")</f>
        <v/>
      </c>
      <c r="BT57" s="56" t="str">
        <f>IF('⚙ OFF Weekends'!$D$67="OFF","OFF","")</f>
        <v/>
      </c>
      <c r="BU57" s="54" t="str">
        <f>IF('⚙ OFF Weekends'!$D$68="OFF","OFF","")</f>
        <v/>
      </c>
      <c r="BV57" s="56" t="str">
        <f>IF('⚙ OFF Weekends'!$D$69="OFF","OFF","")</f>
        <v/>
      </c>
      <c r="BW57" s="54" t="str">
        <f>IF('⚙ OFF Weekends'!$D$70="OFF","OFF","")</f>
        <v/>
      </c>
      <c r="BX57" s="56" t="str">
        <f>IF('⚙ OFF Weekends'!$D$71="OFF","OFF","")</f>
        <v/>
      </c>
      <c r="BY57" s="54" t="str">
        <f>IF('⚙ OFF Weekends'!$D$72="OFF","OFF","")</f>
        <v/>
      </c>
      <c r="BZ57" s="56" t="str">
        <f>IF('⚙ OFF Weekends'!$D$73="OFF","OFF","")</f>
        <v/>
      </c>
      <c r="CA57" s="54" t="str">
        <f>IF('⚙ OFF Weekends'!$D$74="OFF","OFF","")</f>
        <v/>
      </c>
      <c r="CB57" s="56" t="str">
        <f>IF('⚙ OFF Weekends'!$D$75="OFF","OFF","")</f>
        <v/>
      </c>
      <c r="CC57" s="54" t="str">
        <f>IF('⚙ OFF Weekends'!$D$76="OFF","OFF","")</f>
        <v/>
      </c>
      <c r="CD57" s="56" t="str">
        <f>IF('⚙ OFF Weekends'!$D$77="OFF","OFF","")</f>
        <v/>
      </c>
      <c r="CE57" s="96">
        <f t="shared" si="15"/>
        <v>7</v>
      </c>
      <c r="CF57" s="96">
        <f t="shared" si="16"/>
        <v>6</v>
      </c>
      <c r="CG57" s="96">
        <f t="shared" si="17"/>
        <v>0</v>
      </c>
      <c r="CH57" s="96" t="str">
        <f t="shared" si="18"/>
        <v>54%</v>
      </c>
    </row>
    <row r="58" ht="18.0" customHeight="1">
      <c r="A58" s="95">
        <v>17.0</v>
      </c>
      <c r="B58" s="12" t="s">
        <v>619</v>
      </c>
      <c r="C58" s="14"/>
      <c r="D58" s="17" t="str">
        <f t="shared" si="13"/>
        <v/>
      </c>
      <c r="E58" s="28" t="str">
        <f t="shared" si="14"/>
        <v/>
      </c>
      <c r="F58" s="10"/>
      <c r="G58" s="10"/>
      <c r="H58" s="10"/>
      <c r="I58" s="54" t="str">
        <f>IF('⚙ OFF Weekends'!$D$4="OFF","OFF","")</f>
        <v/>
      </c>
      <c r="J58" s="56" t="str">
        <f>IF('⚙ OFF Weekends'!$D$5="OFF","OFF","")</f>
        <v/>
      </c>
      <c r="K58" s="49" t="s">
        <v>197</v>
      </c>
      <c r="L58" s="56" t="str">
        <f>IF('⚙ OFF Weekends'!$D$7="OFF","OFF","")</f>
        <v/>
      </c>
      <c r="M58" s="54" t="str">
        <f>IF('⚙ OFF Weekends'!$D$8="OFF","OFF","")</f>
        <v/>
      </c>
      <c r="N58" s="56" t="str">
        <f>IF('⚙ OFF Weekends'!$D$9="OFF","OFF","")</f>
        <v/>
      </c>
      <c r="O58" s="50" t="s">
        <v>37</v>
      </c>
      <c r="P58" s="50" t="s">
        <v>37</v>
      </c>
      <c r="Q58" s="48" t="s">
        <v>196</v>
      </c>
      <c r="R58" s="48" t="s">
        <v>196</v>
      </c>
      <c r="S58" s="52" t="s">
        <v>37</v>
      </c>
      <c r="T58" s="98" t="s">
        <v>196</v>
      </c>
      <c r="U58" s="52" t="s">
        <v>37</v>
      </c>
      <c r="V58" s="53" t="s">
        <v>223</v>
      </c>
      <c r="W58" s="54" t="str">
        <f>IF('⚙ OFF Weekends'!$D$18="OFF","OFF","")</f>
        <v>OFF</v>
      </c>
      <c r="X58" s="53" t="s">
        <v>37</v>
      </c>
      <c r="Y58" s="52" t="s">
        <v>37</v>
      </c>
      <c r="Z58" s="53" t="s">
        <v>37</v>
      </c>
      <c r="AA58" s="52" t="s">
        <v>196</v>
      </c>
      <c r="AB58" s="53" t="s">
        <v>37</v>
      </c>
      <c r="AC58" s="54" t="str">
        <f>IF('⚙ OFF Weekends'!$D$24="OFF","OFF","")</f>
        <v/>
      </c>
      <c r="AD58" s="56" t="str">
        <f>IF('⚙ OFF Weekends'!$D$25="OFF","OFF","")</f>
        <v/>
      </c>
      <c r="AE58" s="54" t="str">
        <f>IF('⚙ OFF Weekends'!$D$26="OFF","OFF","")</f>
        <v/>
      </c>
      <c r="AF58" s="56" t="str">
        <f>IF('⚙ OFF Weekends'!$D$27="OFF","OFF","")</f>
        <v/>
      </c>
      <c r="AG58" s="54" t="str">
        <f>IF('⚙ OFF Weekends'!$D$28="OFF","OFF","")</f>
        <v/>
      </c>
      <c r="AH58" s="56" t="str">
        <f>IF('⚙ OFF Weekends'!$D$29="OFF","OFF","")</f>
        <v/>
      </c>
      <c r="AI58" s="54" t="str">
        <f>IF('⚙ OFF Weekends'!$D$30="OFF","OFF","")</f>
        <v/>
      </c>
      <c r="AJ58" s="56" t="str">
        <f>IF('⚙ OFF Weekends'!$D$31="OFF","OFF","")</f>
        <v/>
      </c>
      <c r="AK58" s="54" t="str">
        <f>IF('⚙ OFF Weekends'!$D$32="OFF","OFF","")</f>
        <v/>
      </c>
      <c r="AL58" s="56" t="str">
        <f>IF('⚙ OFF Weekends'!$D$33="OFF","OFF","")</f>
        <v/>
      </c>
      <c r="AM58" s="54" t="str">
        <f>IF('⚙ OFF Weekends'!$D$34="OFF","OFF","")</f>
        <v/>
      </c>
      <c r="AN58" s="56" t="str">
        <f>IF('⚙ OFF Weekends'!$D$35="OFF","OFF","")</f>
        <v/>
      </c>
      <c r="AO58" s="54" t="str">
        <f>IF('⚙ OFF Weekends'!$D$36="OFF","OFF","")</f>
        <v/>
      </c>
      <c r="AP58" s="56" t="str">
        <f>IF('⚙ OFF Weekends'!$D$37="OFF","OFF","")</f>
        <v/>
      </c>
      <c r="AQ58" s="54" t="str">
        <f>IF('⚙ OFF Weekends'!$D$38="OFF","OFF","")</f>
        <v/>
      </c>
      <c r="AR58" s="56" t="str">
        <f>IF('⚙ OFF Weekends'!$D$39="OFF","OFF","")</f>
        <v/>
      </c>
      <c r="AS58" s="54" t="str">
        <f>IF('⚙ OFF Weekends'!$D$40="OFF","OFF","")</f>
        <v/>
      </c>
      <c r="AT58" s="56" t="str">
        <f>IF('⚙ OFF Weekends'!$D$41="OFF","OFF","")</f>
        <v/>
      </c>
      <c r="AU58" s="54" t="str">
        <f>IF('⚙ OFF Weekends'!$D$42="OFF","OFF","")</f>
        <v/>
      </c>
      <c r="AV58" s="56" t="str">
        <f>IF('⚙ OFF Weekends'!$D$43="OFF","OFF","")</f>
        <v/>
      </c>
      <c r="AW58" s="54" t="str">
        <f>IF('⚙ OFF Weekends'!$D$44="OFF","OFF","")</f>
        <v/>
      </c>
      <c r="AX58" s="56" t="str">
        <f>IF('⚙ OFF Weekends'!$D$45="OFF","OFF","")</f>
        <v/>
      </c>
      <c r="AY58" s="54" t="str">
        <f>IF('⚙ OFF Weekends'!$D$46="OFF","OFF","")</f>
        <v/>
      </c>
      <c r="AZ58" s="56" t="str">
        <f>IF('⚙ OFF Weekends'!$D$47="OFF","OFF","")</f>
        <v/>
      </c>
      <c r="BA58" s="54" t="str">
        <f>IF('⚙ OFF Weekends'!$D$48="OFF","OFF","")</f>
        <v/>
      </c>
      <c r="BB58" s="56" t="str">
        <f>IF('⚙ OFF Weekends'!$D$49="OFF","OFF","")</f>
        <v/>
      </c>
      <c r="BC58" s="54" t="str">
        <f>IF('⚙ OFF Weekends'!$D$50="OFF","OFF","")</f>
        <v/>
      </c>
      <c r="BD58" s="56" t="str">
        <f>IF('⚙ OFF Weekends'!$D$51="OFF","OFF","")</f>
        <v/>
      </c>
      <c r="BE58" s="54" t="str">
        <f>IF('⚙ OFF Weekends'!$D$52="OFF","OFF","")</f>
        <v/>
      </c>
      <c r="BF58" s="56" t="str">
        <f>IF('⚙ OFF Weekends'!$D$53="OFF","OFF","")</f>
        <v/>
      </c>
      <c r="BG58" s="54" t="str">
        <f>IF('⚙ OFF Weekends'!$D$54="OFF","OFF","")</f>
        <v/>
      </c>
      <c r="BH58" s="56" t="str">
        <f>IF('⚙ OFF Weekends'!$D$55="OFF","OFF","")</f>
        <v/>
      </c>
      <c r="BI58" s="54" t="str">
        <f>IF('⚙ OFF Weekends'!$D$56="OFF","OFF","")</f>
        <v/>
      </c>
      <c r="BJ58" s="56" t="str">
        <f>IF('⚙ OFF Weekends'!$D$57="OFF","OFF","")</f>
        <v/>
      </c>
      <c r="BK58" s="54" t="str">
        <f>IF('⚙ OFF Weekends'!$D$58="OFF","OFF","")</f>
        <v/>
      </c>
      <c r="BL58" s="56" t="str">
        <f>IF('⚙ OFF Weekends'!$D$59="OFF","OFF","")</f>
        <v/>
      </c>
      <c r="BM58" s="54" t="str">
        <f>IF('⚙ OFF Weekends'!$D$60="OFF","OFF","")</f>
        <v/>
      </c>
      <c r="BN58" s="56" t="str">
        <f>IF('⚙ OFF Weekends'!$D$61="OFF","OFF","")</f>
        <v/>
      </c>
      <c r="BO58" s="54" t="str">
        <f>IF('⚙ OFF Weekends'!$D$62="OFF","OFF","")</f>
        <v/>
      </c>
      <c r="BP58" s="56" t="str">
        <f>IF('⚙ OFF Weekends'!$D$63="OFF","OFF","")</f>
        <v/>
      </c>
      <c r="BQ58" s="54" t="str">
        <f>IF('⚙ OFF Weekends'!$D$64="OFF","OFF","")</f>
        <v/>
      </c>
      <c r="BR58" s="56" t="str">
        <f>IF('⚙ OFF Weekends'!$D$65="OFF","OFF","")</f>
        <v/>
      </c>
      <c r="BS58" s="54" t="str">
        <f>IF('⚙ OFF Weekends'!$D$66="OFF","OFF","")</f>
        <v/>
      </c>
      <c r="BT58" s="56" t="str">
        <f>IF('⚙ OFF Weekends'!$D$67="OFF","OFF","")</f>
        <v/>
      </c>
      <c r="BU58" s="54" t="str">
        <f>IF('⚙ OFF Weekends'!$D$68="OFF","OFF","")</f>
        <v/>
      </c>
      <c r="BV58" s="56" t="str">
        <f>IF('⚙ OFF Weekends'!$D$69="OFF","OFF","")</f>
        <v/>
      </c>
      <c r="BW58" s="54" t="str">
        <f>IF('⚙ OFF Weekends'!$D$70="OFF","OFF","")</f>
        <v/>
      </c>
      <c r="BX58" s="56" t="str">
        <f>IF('⚙ OFF Weekends'!$D$71="OFF","OFF","")</f>
        <v/>
      </c>
      <c r="BY58" s="54" t="str">
        <f>IF('⚙ OFF Weekends'!$D$72="OFF","OFF","")</f>
        <v/>
      </c>
      <c r="BZ58" s="56" t="str">
        <f>IF('⚙ OFF Weekends'!$D$73="OFF","OFF","")</f>
        <v/>
      </c>
      <c r="CA58" s="54" t="str">
        <f>IF('⚙ OFF Weekends'!$D$74="OFF","OFF","")</f>
        <v/>
      </c>
      <c r="CB58" s="56" t="str">
        <f>IF('⚙ OFF Weekends'!$D$75="OFF","OFF","")</f>
        <v/>
      </c>
      <c r="CC58" s="54" t="str">
        <f>IF('⚙ OFF Weekends'!$D$76="OFF","OFF","")</f>
        <v/>
      </c>
      <c r="CD58" s="56" t="str">
        <f>IF('⚙ OFF Weekends'!$D$77="OFF","OFF","")</f>
        <v/>
      </c>
      <c r="CE58" s="95">
        <f t="shared" si="15"/>
        <v>12</v>
      </c>
      <c r="CF58" s="95">
        <f t="shared" si="16"/>
        <v>1</v>
      </c>
      <c r="CG58" s="95">
        <f t="shared" si="17"/>
        <v>0</v>
      </c>
      <c r="CH58" s="95" t="str">
        <f t="shared" si="18"/>
        <v>92%</v>
      </c>
    </row>
    <row r="59" ht="18.0" customHeight="1">
      <c r="A59" s="96">
        <v>18.0</v>
      </c>
      <c r="B59" s="22" t="s">
        <v>631</v>
      </c>
      <c r="C59" s="23"/>
      <c r="D59" s="24" t="str">
        <f t="shared" si="13"/>
        <v/>
      </c>
      <c r="E59" s="26" t="str">
        <f t="shared" si="14"/>
        <v/>
      </c>
      <c r="F59" s="20"/>
      <c r="G59" s="20"/>
      <c r="H59" s="20"/>
      <c r="I59" s="54" t="str">
        <f>IF('⚙ OFF Weekends'!$D$4="OFF","OFF","")</f>
        <v/>
      </c>
      <c r="J59" s="56" t="str">
        <f>IF('⚙ OFF Weekends'!$D$5="OFF","OFF","")</f>
        <v/>
      </c>
      <c r="K59" s="49" t="s">
        <v>197</v>
      </c>
      <c r="L59" s="56" t="str">
        <f>IF('⚙ OFF Weekends'!$D$7="OFF","OFF","")</f>
        <v/>
      </c>
      <c r="M59" s="54" t="str">
        <f>IF('⚙ OFF Weekends'!$D$8="OFF","OFF","")</f>
        <v/>
      </c>
      <c r="N59" s="56" t="str">
        <f>IF('⚙ OFF Weekends'!$D$9="OFF","OFF","")</f>
        <v/>
      </c>
      <c r="O59" s="100" t="s">
        <v>290</v>
      </c>
      <c r="P59" s="50" t="s">
        <v>37</v>
      </c>
      <c r="Q59" s="79" t="s">
        <v>223</v>
      </c>
      <c r="R59" s="79" t="s">
        <v>223</v>
      </c>
      <c r="S59" s="52" t="s">
        <v>223</v>
      </c>
      <c r="T59" s="98" t="s">
        <v>223</v>
      </c>
      <c r="U59" s="52" t="s">
        <v>290</v>
      </c>
      <c r="V59" s="53" t="s">
        <v>37</v>
      </c>
      <c r="W59" s="54" t="str">
        <f>IF('⚙ OFF Weekends'!$D$18="OFF","OFF","")</f>
        <v>OFF</v>
      </c>
      <c r="X59" s="53" t="s">
        <v>37</v>
      </c>
      <c r="Y59" s="52" t="s">
        <v>290</v>
      </c>
      <c r="Z59" s="53" t="s">
        <v>37</v>
      </c>
      <c r="AA59" s="52" t="s">
        <v>196</v>
      </c>
      <c r="AB59" s="53" t="s">
        <v>198</v>
      </c>
      <c r="AC59" s="54" t="str">
        <f>IF('⚙ OFF Weekends'!$D$24="OFF","OFF","")</f>
        <v/>
      </c>
      <c r="AD59" s="56" t="str">
        <f>IF('⚙ OFF Weekends'!$D$25="OFF","OFF","")</f>
        <v/>
      </c>
      <c r="AE59" s="54" t="str">
        <f>IF('⚙ OFF Weekends'!$D$26="OFF","OFF","")</f>
        <v/>
      </c>
      <c r="AF59" s="56" t="str">
        <f>IF('⚙ OFF Weekends'!$D$27="OFF","OFF","")</f>
        <v/>
      </c>
      <c r="AG59" s="54" t="str">
        <f>IF('⚙ OFF Weekends'!$D$28="OFF","OFF","")</f>
        <v/>
      </c>
      <c r="AH59" s="56" t="str">
        <f>IF('⚙ OFF Weekends'!$D$29="OFF","OFF","")</f>
        <v/>
      </c>
      <c r="AI59" s="54" t="str">
        <f>IF('⚙ OFF Weekends'!$D$30="OFF","OFF","")</f>
        <v/>
      </c>
      <c r="AJ59" s="56" t="str">
        <f>IF('⚙ OFF Weekends'!$D$31="OFF","OFF","")</f>
        <v/>
      </c>
      <c r="AK59" s="54" t="str">
        <f>IF('⚙ OFF Weekends'!$D$32="OFF","OFF","")</f>
        <v/>
      </c>
      <c r="AL59" s="56" t="str">
        <f>IF('⚙ OFF Weekends'!$D$33="OFF","OFF","")</f>
        <v/>
      </c>
      <c r="AM59" s="54" t="str">
        <f>IF('⚙ OFF Weekends'!$D$34="OFF","OFF","")</f>
        <v/>
      </c>
      <c r="AN59" s="56" t="str">
        <f>IF('⚙ OFF Weekends'!$D$35="OFF","OFF","")</f>
        <v/>
      </c>
      <c r="AO59" s="54" t="str">
        <f>IF('⚙ OFF Weekends'!$D$36="OFF","OFF","")</f>
        <v/>
      </c>
      <c r="AP59" s="56" t="str">
        <f>IF('⚙ OFF Weekends'!$D$37="OFF","OFF","")</f>
        <v/>
      </c>
      <c r="AQ59" s="54" t="str">
        <f>IF('⚙ OFF Weekends'!$D$38="OFF","OFF","")</f>
        <v/>
      </c>
      <c r="AR59" s="56" t="str">
        <f>IF('⚙ OFF Weekends'!$D$39="OFF","OFF","")</f>
        <v/>
      </c>
      <c r="AS59" s="54" t="str">
        <f>IF('⚙ OFF Weekends'!$D$40="OFF","OFF","")</f>
        <v/>
      </c>
      <c r="AT59" s="56" t="str">
        <f>IF('⚙ OFF Weekends'!$D$41="OFF","OFF","")</f>
        <v/>
      </c>
      <c r="AU59" s="54" t="str">
        <f>IF('⚙ OFF Weekends'!$D$42="OFF","OFF","")</f>
        <v/>
      </c>
      <c r="AV59" s="56" t="str">
        <f>IF('⚙ OFF Weekends'!$D$43="OFF","OFF","")</f>
        <v/>
      </c>
      <c r="AW59" s="54" t="str">
        <f>IF('⚙ OFF Weekends'!$D$44="OFF","OFF","")</f>
        <v/>
      </c>
      <c r="AX59" s="56" t="str">
        <f>IF('⚙ OFF Weekends'!$D$45="OFF","OFF","")</f>
        <v/>
      </c>
      <c r="AY59" s="54" t="str">
        <f>IF('⚙ OFF Weekends'!$D$46="OFF","OFF","")</f>
        <v/>
      </c>
      <c r="AZ59" s="56" t="str">
        <f>IF('⚙ OFF Weekends'!$D$47="OFF","OFF","")</f>
        <v/>
      </c>
      <c r="BA59" s="54" t="str">
        <f>IF('⚙ OFF Weekends'!$D$48="OFF","OFF","")</f>
        <v/>
      </c>
      <c r="BB59" s="56" t="str">
        <f>IF('⚙ OFF Weekends'!$D$49="OFF","OFF","")</f>
        <v/>
      </c>
      <c r="BC59" s="54" t="str">
        <f>IF('⚙ OFF Weekends'!$D$50="OFF","OFF","")</f>
        <v/>
      </c>
      <c r="BD59" s="56" t="str">
        <f>IF('⚙ OFF Weekends'!$D$51="OFF","OFF","")</f>
        <v/>
      </c>
      <c r="BE59" s="54" t="str">
        <f>IF('⚙ OFF Weekends'!$D$52="OFF","OFF","")</f>
        <v/>
      </c>
      <c r="BF59" s="56" t="str">
        <f>IF('⚙ OFF Weekends'!$D$53="OFF","OFF","")</f>
        <v/>
      </c>
      <c r="BG59" s="54" t="str">
        <f>IF('⚙ OFF Weekends'!$D$54="OFF","OFF","")</f>
        <v/>
      </c>
      <c r="BH59" s="56" t="str">
        <f>IF('⚙ OFF Weekends'!$D$55="OFF","OFF","")</f>
        <v/>
      </c>
      <c r="BI59" s="54" t="str">
        <f>IF('⚙ OFF Weekends'!$D$56="OFF","OFF","")</f>
        <v/>
      </c>
      <c r="BJ59" s="56" t="str">
        <f>IF('⚙ OFF Weekends'!$D$57="OFF","OFF","")</f>
        <v/>
      </c>
      <c r="BK59" s="54" t="str">
        <f>IF('⚙ OFF Weekends'!$D$58="OFF","OFF","")</f>
        <v/>
      </c>
      <c r="BL59" s="56" t="str">
        <f>IF('⚙ OFF Weekends'!$D$59="OFF","OFF","")</f>
        <v/>
      </c>
      <c r="BM59" s="54" t="str">
        <f>IF('⚙ OFF Weekends'!$D$60="OFF","OFF","")</f>
        <v/>
      </c>
      <c r="BN59" s="56" t="str">
        <f>IF('⚙ OFF Weekends'!$D$61="OFF","OFF","")</f>
        <v/>
      </c>
      <c r="BO59" s="54" t="str">
        <f>IF('⚙ OFF Weekends'!$D$62="OFF","OFF","")</f>
        <v/>
      </c>
      <c r="BP59" s="56" t="str">
        <f>IF('⚙ OFF Weekends'!$D$63="OFF","OFF","")</f>
        <v/>
      </c>
      <c r="BQ59" s="54" t="str">
        <f>IF('⚙ OFF Weekends'!$D$64="OFF","OFF","")</f>
        <v/>
      </c>
      <c r="BR59" s="56" t="str">
        <f>IF('⚙ OFF Weekends'!$D$65="OFF","OFF","")</f>
        <v/>
      </c>
      <c r="BS59" s="54" t="str">
        <f>IF('⚙ OFF Weekends'!$D$66="OFF","OFF","")</f>
        <v/>
      </c>
      <c r="BT59" s="56" t="str">
        <f>IF('⚙ OFF Weekends'!$D$67="OFF","OFF","")</f>
        <v/>
      </c>
      <c r="BU59" s="54" t="str">
        <f>IF('⚙ OFF Weekends'!$D$68="OFF","OFF","")</f>
        <v/>
      </c>
      <c r="BV59" s="56" t="str">
        <f>IF('⚙ OFF Weekends'!$D$69="OFF","OFF","")</f>
        <v/>
      </c>
      <c r="BW59" s="54" t="str">
        <f>IF('⚙ OFF Weekends'!$D$70="OFF","OFF","")</f>
        <v/>
      </c>
      <c r="BX59" s="56" t="str">
        <f>IF('⚙ OFF Weekends'!$D$71="OFF","OFF","")</f>
        <v/>
      </c>
      <c r="BY59" s="54" t="str">
        <f>IF('⚙ OFF Weekends'!$D$72="OFF","OFF","")</f>
        <v/>
      </c>
      <c r="BZ59" s="56" t="str">
        <f>IF('⚙ OFF Weekends'!$D$73="OFF","OFF","")</f>
        <v/>
      </c>
      <c r="CA59" s="54" t="str">
        <f>IF('⚙ OFF Weekends'!$D$74="OFF","OFF","")</f>
        <v/>
      </c>
      <c r="CB59" s="56" t="str">
        <f>IF('⚙ OFF Weekends'!$D$75="OFF","OFF","")</f>
        <v/>
      </c>
      <c r="CC59" s="54" t="str">
        <f>IF('⚙ OFF Weekends'!$D$76="OFF","OFF","")</f>
        <v/>
      </c>
      <c r="CD59" s="56" t="str">
        <f>IF('⚙ OFF Weekends'!$D$77="OFF","OFF","")</f>
        <v/>
      </c>
      <c r="CE59" s="96">
        <f t="shared" si="15"/>
        <v>5</v>
      </c>
      <c r="CF59" s="96">
        <f t="shared" si="16"/>
        <v>4</v>
      </c>
      <c r="CG59" s="96">
        <f t="shared" si="17"/>
        <v>1</v>
      </c>
      <c r="CH59" s="96" t="str">
        <f t="shared" si="18"/>
        <v>56%</v>
      </c>
    </row>
    <row r="60" ht="18.0" customHeight="1">
      <c r="A60" s="95">
        <v>19.0</v>
      </c>
      <c r="B60" s="12" t="s">
        <v>635</v>
      </c>
      <c r="C60" s="14"/>
      <c r="D60" s="17" t="str">
        <f t="shared" si="13"/>
        <v/>
      </c>
      <c r="E60" s="28" t="str">
        <f t="shared" si="14"/>
        <v/>
      </c>
      <c r="F60" s="10"/>
      <c r="G60" s="10"/>
      <c r="H60" s="10"/>
      <c r="I60" s="54" t="str">
        <f>IF('⚙ OFF Weekends'!$D$4="OFF","OFF","")</f>
        <v/>
      </c>
      <c r="J60" s="56" t="str">
        <f>IF('⚙ OFF Weekends'!$D$5="OFF","OFF","")</f>
        <v/>
      </c>
      <c r="K60" s="49" t="s">
        <v>197</v>
      </c>
      <c r="L60" s="56" t="str">
        <f>IF('⚙ OFF Weekends'!$D$7="OFF","OFF","")</f>
        <v/>
      </c>
      <c r="M60" s="54" t="str">
        <f>IF('⚙ OFF Weekends'!$D$8="OFF","OFF","")</f>
        <v/>
      </c>
      <c r="N60" s="56" t="str">
        <f>IF('⚙ OFF Weekends'!$D$9="OFF","OFF","")</f>
        <v/>
      </c>
      <c r="O60" s="79" t="s">
        <v>223</v>
      </c>
      <c r="P60" s="79" t="s">
        <v>223</v>
      </c>
      <c r="Q60" s="79" t="s">
        <v>223</v>
      </c>
      <c r="R60" s="79" t="s">
        <v>223</v>
      </c>
      <c r="S60" s="52" t="s">
        <v>223</v>
      </c>
      <c r="T60" s="98" t="s">
        <v>223</v>
      </c>
      <c r="U60" s="52" t="s">
        <v>223</v>
      </c>
      <c r="V60" s="53" t="s">
        <v>223</v>
      </c>
      <c r="W60" s="54" t="str">
        <f>IF('⚙ OFF Weekends'!$D$18="OFF","OFF","")</f>
        <v>OFF</v>
      </c>
      <c r="X60" s="53" t="s">
        <v>223</v>
      </c>
      <c r="Y60" s="52" t="s">
        <v>223</v>
      </c>
      <c r="Z60" s="53" t="s">
        <v>296</v>
      </c>
      <c r="AA60" s="52" t="s">
        <v>296</v>
      </c>
      <c r="AB60" s="53" t="s">
        <v>223</v>
      </c>
      <c r="AC60" s="54" t="str">
        <f>IF('⚙ OFF Weekends'!$D$24="OFF","OFF","")</f>
        <v/>
      </c>
      <c r="AD60" s="56" t="str">
        <f>IF('⚙ OFF Weekends'!$D$25="OFF","OFF","")</f>
        <v/>
      </c>
      <c r="AE60" s="54" t="str">
        <f>IF('⚙ OFF Weekends'!$D$26="OFF","OFF","")</f>
        <v/>
      </c>
      <c r="AF60" s="56" t="str">
        <f>IF('⚙ OFF Weekends'!$D$27="OFF","OFF","")</f>
        <v/>
      </c>
      <c r="AG60" s="54" t="str">
        <f>IF('⚙ OFF Weekends'!$D$28="OFF","OFF","")</f>
        <v/>
      </c>
      <c r="AH60" s="56" t="str">
        <f>IF('⚙ OFF Weekends'!$D$29="OFF","OFF","")</f>
        <v/>
      </c>
      <c r="AI60" s="54" t="str">
        <f>IF('⚙ OFF Weekends'!$D$30="OFF","OFF","")</f>
        <v/>
      </c>
      <c r="AJ60" s="56" t="str">
        <f>IF('⚙ OFF Weekends'!$D$31="OFF","OFF","")</f>
        <v/>
      </c>
      <c r="AK60" s="54" t="str">
        <f>IF('⚙ OFF Weekends'!$D$32="OFF","OFF","")</f>
        <v/>
      </c>
      <c r="AL60" s="56" t="str">
        <f>IF('⚙ OFF Weekends'!$D$33="OFF","OFF","")</f>
        <v/>
      </c>
      <c r="AM60" s="54" t="str">
        <f>IF('⚙ OFF Weekends'!$D$34="OFF","OFF","")</f>
        <v/>
      </c>
      <c r="AN60" s="56" t="str">
        <f>IF('⚙ OFF Weekends'!$D$35="OFF","OFF","")</f>
        <v/>
      </c>
      <c r="AO60" s="54" t="str">
        <f>IF('⚙ OFF Weekends'!$D$36="OFF","OFF","")</f>
        <v/>
      </c>
      <c r="AP60" s="56" t="str">
        <f>IF('⚙ OFF Weekends'!$D$37="OFF","OFF","")</f>
        <v/>
      </c>
      <c r="AQ60" s="54" t="str">
        <f>IF('⚙ OFF Weekends'!$D$38="OFF","OFF","")</f>
        <v/>
      </c>
      <c r="AR60" s="56" t="str">
        <f>IF('⚙ OFF Weekends'!$D$39="OFF","OFF","")</f>
        <v/>
      </c>
      <c r="AS60" s="54" t="str">
        <f>IF('⚙ OFF Weekends'!$D$40="OFF","OFF","")</f>
        <v/>
      </c>
      <c r="AT60" s="56" t="str">
        <f>IF('⚙ OFF Weekends'!$D$41="OFF","OFF","")</f>
        <v/>
      </c>
      <c r="AU60" s="54" t="str">
        <f>IF('⚙ OFF Weekends'!$D$42="OFF","OFF","")</f>
        <v/>
      </c>
      <c r="AV60" s="56" t="str">
        <f>IF('⚙ OFF Weekends'!$D$43="OFF","OFF","")</f>
        <v/>
      </c>
      <c r="AW60" s="54" t="str">
        <f>IF('⚙ OFF Weekends'!$D$44="OFF","OFF","")</f>
        <v/>
      </c>
      <c r="AX60" s="56" t="str">
        <f>IF('⚙ OFF Weekends'!$D$45="OFF","OFF","")</f>
        <v/>
      </c>
      <c r="AY60" s="54" t="str">
        <f>IF('⚙ OFF Weekends'!$D$46="OFF","OFF","")</f>
        <v/>
      </c>
      <c r="AZ60" s="56" t="str">
        <f>IF('⚙ OFF Weekends'!$D$47="OFF","OFF","")</f>
        <v/>
      </c>
      <c r="BA60" s="54" t="str">
        <f>IF('⚙ OFF Weekends'!$D$48="OFF","OFF","")</f>
        <v/>
      </c>
      <c r="BB60" s="56" t="str">
        <f>IF('⚙ OFF Weekends'!$D$49="OFF","OFF","")</f>
        <v/>
      </c>
      <c r="BC60" s="54" t="str">
        <f>IF('⚙ OFF Weekends'!$D$50="OFF","OFF","")</f>
        <v/>
      </c>
      <c r="BD60" s="56" t="str">
        <f>IF('⚙ OFF Weekends'!$D$51="OFF","OFF","")</f>
        <v/>
      </c>
      <c r="BE60" s="54" t="str">
        <f>IF('⚙ OFF Weekends'!$D$52="OFF","OFF","")</f>
        <v/>
      </c>
      <c r="BF60" s="56" t="str">
        <f>IF('⚙ OFF Weekends'!$D$53="OFF","OFF","")</f>
        <v/>
      </c>
      <c r="BG60" s="54" t="str">
        <f>IF('⚙ OFF Weekends'!$D$54="OFF","OFF","")</f>
        <v/>
      </c>
      <c r="BH60" s="56" t="str">
        <f>IF('⚙ OFF Weekends'!$D$55="OFF","OFF","")</f>
        <v/>
      </c>
      <c r="BI60" s="54" t="str">
        <f>IF('⚙ OFF Weekends'!$D$56="OFF","OFF","")</f>
        <v/>
      </c>
      <c r="BJ60" s="56" t="str">
        <f>IF('⚙ OFF Weekends'!$D$57="OFF","OFF","")</f>
        <v/>
      </c>
      <c r="BK60" s="54" t="str">
        <f>IF('⚙ OFF Weekends'!$D$58="OFF","OFF","")</f>
        <v/>
      </c>
      <c r="BL60" s="56" t="str">
        <f>IF('⚙ OFF Weekends'!$D$59="OFF","OFF","")</f>
        <v/>
      </c>
      <c r="BM60" s="54" t="str">
        <f>IF('⚙ OFF Weekends'!$D$60="OFF","OFF","")</f>
        <v/>
      </c>
      <c r="BN60" s="56" t="str">
        <f>IF('⚙ OFF Weekends'!$D$61="OFF","OFF","")</f>
        <v/>
      </c>
      <c r="BO60" s="54" t="str">
        <f>IF('⚙ OFF Weekends'!$D$62="OFF","OFF","")</f>
        <v/>
      </c>
      <c r="BP60" s="56" t="str">
        <f>IF('⚙ OFF Weekends'!$D$63="OFF","OFF","")</f>
        <v/>
      </c>
      <c r="BQ60" s="54" t="str">
        <f>IF('⚙ OFF Weekends'!$D$64="OFF","OFF","")</f>
        <v/>
      </c>
      <c r="BR60" s="56" t="str">
        <f>IF('⚙ OFF Weekends'!$D$65="OFF","OFF","")</f>
        <v/>
      </c>
      <c r="BS60" s="54" t="str">
        <f>IF('⚙ OFF Weekends'!$D$66="OFF","OFF","")</f>
        <v/>
      </c>
      <c r="BT60" s="56" t="str">
        <f>IF('⚙ OFF Weekends'!$D$67="OFF","OFF","")</f>
        <v/>
      </c>
      <c r="BU60" s="54" t="str">
        <f>IF('⚙ OFF Weekends'!$D$68="OFF","OFF","")</f>
        <v/>
      </c>
      <c r="BV60" s="56" t="str">
        <f>IF('⚙ OFF Weekends'!$D$69="OFF","OFF","")</f>
        <v/>
      </c>
      <c r="BW60" s="54" t="str">
        <f>IF('⚙ OFF Weekends'!$D$70="OFF","OFF","")</f>
        <v/>
      </c>
      <c r="BX60" s="56" t="str">
        <f>IF('⚙ OFF Weekends'!$D$71="OFF","OFF","")</f>
        <v/>
      </c>
      <c r="BY60" s="54" t="str">
        <f>IF('⚙ OFF Weekends'!$D$72="OFF","OFF","")</f>
        <v/>
      </c>
      <c r="BZ60" s="56" t="str">
        <f>IF('⚙ OFF Weekends'!$D$73="OFF","OFF","")</f>
        <v/>
      </c>
      <c r="CA60" s="54" t="str">
        <f>IF('⚙ OFF Weekends'!$D$74="OFF","OFF","")</f>
        <v/>
      </c>
      <c r="CB60" s="56" t="str">
        <f>IF('⚙ OFF Weekends'!$D$75="OFF","OFF","")</f>
        <v/>
      </c>
      <c r="CC60" s="54" t="str">
        <f>IF('⚙ OFF Weekends'!$D$76="OFF","OFF","")</f>
        <v/>
      </c>
      <c r="CD60" s="56" t="str">
        <f>IF('⚙ OFF Weekends'!$D$77="OFF","OFF","")</f>
        <v/>
      </c>
      <c r="CE60" s="95">
        <f t="shared" si="15"/>
        <v>0</v>
      </c>
      <c r="CF60" s="95">
        <f t="shared" si="16"/>
        <v>11</v>
      </c>
      <c r="CG60" s="95">
        <f t="shared" si="17"/>
        <v>0</v>
      </c>
      <c r="CH60" s="95" t="str">
        <f t="shared" si="18"/>
        <v>0%</v>
      </c>
    </row>
    <row r="61" ht="18.0" customHeight="1">
      <c r="A61" s="96">
        <v>20.0</v>
      </c>
      <c r="B61" s="22" t="s">
        <v>642</v>
      </c>
      <c r="C61" s="23"/>
      <c r="D61" s="24" t="str">
        <f t="shared" si="13"/>
        <v/>
      </c>
      <c r="E61" s="26" t="str">
        <f t="shared" si="14"/>
        <v/>
      </c>
      <c r="F61" s="20"/>
      <c r="G61" s="20"/>
      <c r="H61" s="20"/>
      <c r="I61" s="54" t="str">
        <f>IF('⚙ OFF Weekends'!$D$4="OFF","OFF","")</f>
        <v/>
      </c>
      <c r="J61" s="56" t="str">
        <f>IF('⚙ OFF Weekends'!$D$5="OFF","OFF","")</f>
        <v/>
      </c>
      <c r="K61" s="49" t="s">
        <v>197</v>
      </c>
      <c r="L61" s="56" t="str">
        <f>IF('⚙ OFF Weekends'!$D$7="OFF","OFF","")</f>
        <v/>
      </c>
      <c r="M61" s="54" t="str">
        <f>IF('⚙ OFF Weekends'!$D$8="OFF","OFF","")</f>
        <v/>
      </c>
      <c r="N61" s="56" t="str">
        <f>IF('⚙ OFF Weekends'!$D$9="OFF","OFF","")</f>
        <v/>
      </c>
      <c r="O61" s="79" t="s">
        <v>223</v>
      </c>
      <c r="P61" s="48" t="s">
        <v>196</v>
      </c>
      <c r="Q61" s="79" t="s">
        <v>223</v>
      </c>
      <c r="R61" s="79" t="s">
        <v>223</v>
      </c>
      <c r="S61" s="52" t="s">
        <v>296</v>
      </c>
      <c r="T61" s="98" t="s">
        <v>296</v>
      </c>
      <c r="U61" s="52" t="s">
        <v>296</v>
      </c>
      <c r="V61" s="53" t="s">
        <v>296</v>
      </c>
      <c r="W61" s="54" t="str">
        <f>IF('⚙ OFF Weekends'!$D$18="OFF","OFF","")</f>
        <v>OFF</v>
      </c>
      <c r="X61" s="53" t="s">
        <v>296</v>
      </c>
      <c r="Y61" s="52" t="s">
        <v>196</v>
      </c>
      <c r="Z61" s="53" t="s">
        <v>223</v>
      </c>
      <c r="AA61" s="52" t="s">
        <v>223</v>
      </c>
      <c r="AB61" s="53" t="s">
        <v>223</v>
      </c>
      <c r="AC61" s="54" t="str">
        <f>IF('⚙ OFF Weekends'!$D$24="OFF","OFF","")</f>
        <v/>
      </c>
      <c r="AD61" s="56" t="str">
        <f>IF('⚙ OFF Weekends'!$D$25="OFF","OFF","")</f>
        <v/>
      </c>
      <c r="AE61" s="54" t="str">
        <f>IF('⚙ OFF Weekends'!$D$26="OFF","OFF","")</f>
        <v/>
      </c>
      <c r="AF61" s="56" t="str">
        <f>IF('⚙ OFF Weekends'!$D$27="OFF","OFF","")</f>
        <v/>
      </c>
      <c r="AG61" s="54" t="str">
        <f>IF('⚙ OFF Weekends'!$D$28="OFF","OFF","")</f>
        <v/>
      </c>
      <c r="AH61" s="56" t="str">
        <f>IF('⚙ OFF Weekends'!$D$29="OFF","OFF","")</f>
        <v/>
      </c>
      <c r="AI61" s="54" t="str">
        <f>IF('⚙ OFF Weekends'!$D$30="OFF","OFF","")</f>
        <v/>
      </c>
      <c r="AJ61" s="56" t="str">
        <f>IF('⚙ OFF Weekends'!$D$31="OFF","OFF","")</f>
        <v/>
      </c>
      <c r="AK61" s="54" t="str">
        <f>IF('⚙ OFF Weekends'!$D$32="OFF","OFF","")</f>
        <v/>
      </c>
      <c r="AL61" s="56" t="str">
        <f>IF('⚙ OFF Weekends'!$D$33="OFF","OFF","")</f>
        <v/>
      </c>
      <c r="AM61" s="54" t="str">
        <f>IF('⚙ OFF Weekends'!$D$34="OFF","OFF","")</f>
        <v/>
      </c>
      <c r="AN61" s="56" t="str">
        <f>IF('⚙ OFF Weekends'!$D$35="OFF","OFF","")</f>
        <v/>
      </c>
      <c r="AO61" s="54" t="str">
        <f>IF('⚙ OFF Weekends'!$D$36="OFF","OFF","")</f>
        <v/>
      </c>
      <c r="AP61" s="56" t="str">
        <f>IF('⚙ OFF Weekends'!$D$37="OFF","OFF","")</f>
        <v/>
      </c>
      <c r="AQ61" s="54" t="str">
        <f>IF('⚙ OFF Weekends'!$D$38="OFF","OFF","")</f>
        <v/>
      </c>
      <c r="AR61" s="56" t="str">
        <f>IF('⚙ OFF Weekends'!$D$39="OFF","OFF","")</f>
        <v/>
      </c>
      <c r="AS61" s="54" t="str">
        <f>IF('⚙ OFF Weekends'!$D$40="OFF","OFF","")</f>
        <v/>
      </c>
      <c r="AT61" s="56" t="str">
        <f>IF('⚙ OFF Weekends'!$D$41="OFF","OFF","")</f>
        <v/>
      </c>
      <c r="AU61" s="54" t="str">
        <f>IF('⚙ OFF Weekends'!$D$42="OFF","OFF","")</f>
        <v/>
      </c>
      <c r="AV61" s="56" t="str">
        <f>IF('⚙ OFF Weekends'!$D$43="OFF","OFF","")</f>
        <v/>
      </c>
      <c r="AW61" s="54" t="str">
        <f>IF('⚙ OFF Weekends'!$D$44="OFF","OFF","")</f>
        <v/>
      </c>
      <c r="AX61" s="56" t="str">
        <f>IF('⚙ OFF Weekends'!$D$45="OFF","OFF","")</f>
        <v/>
      </c>
      <c r="AY61" s="54" t="str">
        <f>IF('⚙ OFF Weekends'!$D$46="OFF","OFF","")</f>
        <v/>
      </c>
      <c r="AZ61" s="56" t="str">
        <f>IF('⚙ OFF Weekends'!$D$47="OFF","OFF","")</f>
        <v/>
      </c>
      <c r="BA61" s="54" t="str">
        <f>IF('⚙ OFF Weekends'!$D$48="OFF","OFF","")</f>
        <v/>
      </c>
      <c r="BB61" s="56" t="str">
        <f>IF('⚙ OFF Weekends'!$D$49="OFF","OFF","")</f>
        <v/>
      </c>
      <c r="BC61" s="54" t="str">
        <f>IF('⚙ OFF Weekends'!$D$50="OFF","OFF","")</f>
        <v/>
      </c>
      <c r="BD61" s="56" t="str">
        <f>IF('⚙ OFF Weekends'!$D$51="OFF","OFF","")</f>
        <v/>
      </c>
      <c r="BE61" s="54" t="str">
        <f>IF('⚙ OFF Weekends'!$D$52="OFF","OFF","")</f>
        <v/>
      </c>
      <c r="BF61" s="56" t="str">
        <f>IF('⚙ OFF Weekends'!$D$53="OFF","OFF","")</f>
        <v/>
      </c>
      <c r="BG61" s="54" t="str">
        <f>IF('⚙ OFF Weekends'!$D$54="OFF","OFF","")</f>
        <v/>
      </c>
      <c r="BH61" s="56" t="str">
        <f>IF('⚙ OFF Weekends'!$D$55="OFF","OFF","")</f>
        <v/>
      </c>
      <c r="BI61" s="54" t="str">
        <f>IF('⚙ OFF Weekends'!$D$56="OFF","OFF","")</f>
        <v/>
      </c>
      <c r="BJ61" s="56" t="str">
        <f>IF('⚙ OFF Weekends'!$D$57="OFF","OFF","")</f>
        <v/>
      </c>
      <c r="BK61" s="54" t="str">
        <f>IF('⚙ OFF Weekends'!$D$58="OFF","OFF","")</f>
        <v/>
      </c>
      <c r="BL61" s="56" t="str">
        <f>IF('⚙ OFF Weekends'!$D$59="OFF","OFF","")</f>
        <v/>
      </c>
      <c r="BM61" s="54" t="str">
        <f>IF('⚙ OFF Weekends'!$D$60="OFF","OFF","")</f>
        <v/>
      </c>
      <c r="BN61" s="56" t="str">
        <f>IF('⚙ OFF Weekends'!$D$61="OFF","OFF","")</f>
        <v/>
      </c>
      <c r="BO61" s="54" t="str">
        <f>IF('⚙ OFF Weekends'!$D$62="OFF","OFF","")</f>
        <v/>
      </c>
      <c r="BP61" s="56" t="str">
        <f>IF('⚙ OFF Weekends'!$D$63="OFF","OFF","")</f>
        <v/>
      </c>
      <c r="BQ61" s="54" t="str">
        <f>IF('⚙ OFF Weekends'!$D$64="OFF","OFF","")</f>
        <v/>
      </c>
      <c r="BR61" s="56" t="str">
        <f>IF('⚙ OFF Weekends'!$D$65="OFF","OFF","")</f>
        <v/>
      </c>
      <c r="BS61" s="54" t="str">
        <f>IF('⚙ OFF Weekends'!$D$66="OFF","OFF","")</f>
        <v/>
      </c>
      <c r="BT61" s="56" t="str">
        <f>IF('⚙ OFF Weekends'!$D$67="OFF","OFF","")</f>
        <v/>
      </c>
      <c r="BU61" s="54" t="str">
        <f>IF('⚙ OFF Weekends'!$D$68="OFF","OFF","")</f>
        <v/>
      </c>
      <c r="BV61" s="56" t="str">
        <f>IF('⚙ OFF Weekends'!$D$69="OFF","OFF","")</f>
        <v/>
      </c>
      <c r="BW61" s="54" t="str">
        <f>IF('⚙ OFF Weekends'!$D$70="OFF","OFF","")</f>
        <v/>
      </c>
      <c r="BX61" s="56" t="str">
        <f>IF('⚙ OFF Weekends'!$D$71="OFF","OFF","")</f>
        <v/>
      </c>
      <c r="BY61" s="54" t="str">
        <f>IF('⚙ OFF Weekends'!$D$72="OFF","OFF","")</f>
        <v/>
      </c>
      <c r="BZ61" s="56" t="str">
        <f>IF('⚙ OFF Weekends'!$D$73="OFF","OFF","")</f>
        <v/>
      </c>
      <c r="CA61" s="54" t="str">
        <f>IF('⚙ OFF Weekends'!$D$74="OFF","OFF","")</f>
        <v/>
      </c>
      <c r="CB61" s="56" t="str">
        <f>IF('⚙ OFF Weekends'!$D$75="OFF","OFF","")</f>
        <v/>
      </c>
      <c r="CC61" s="54" t="str">
        <f>IF('⚙ OFF Weekends'!$D$76="OFF","OFF","")</f>
        <v/>
      </c>
      <c r="CD61" s="56" t="str">
        <f>IF('⚙ OFF Weekends'!$D$77="OFF","OFF","")</f>
        <v/>
      </c>
      <c r="CE61" s="96">
        <f t="shared" si="15"/>
        <v>2</v>
      </c>
      <c r="CF61" s="96">
        <f t="shared" si="16"/>
        <v>6</v>
      </c>
      <c r="CG61" s="96">
        <f t="shared" si="17"/>
        <v>0</v>
      </c>
      <c r="CH61" s="96" t="str">
        <f t="shared" si="18"/>
        <v>25%</v>
      </c>
    </row>
    <row r="62" ht="18.0" customHeight="1">
      <c r="A62" s="95">
        <v>21.0</v>
      </c>
      <c r="B62" s="117" t="s">
        <v>644</v>
      </c>
      <c r="C62" s="14"/>
      <c r="D62" s="17" t="str">
        <f t="shared" si="13"/>
        <v/>
      </c>
      <c r="E62" s="28" t="str">
        <f t="shared" si="14"/>
        <v/>
      </c>
      <c r="F62" s="10"/>
      <c r="G62" s="10"/>
      <c r="H62" s="10"/>
      <c r="I62" s="54" t="str">
        <f>IF('⚙ OFF Weekends'!$D$4="OFF","OFF","")</f>
        <v/>
      </c>
      <c r="J62" s="56" t="str">
        <f>IF('⚙ OFF Weekends'!$D$5="OFF","OFF","")</f>
        <v/>
      </c>
      <c r="K62" s="54" t="str">
        <f>IF('⚙ OFF Weekends'!$D$6="OFF","OFF","")</f>
        <v/>
      </c>
      <c r="L62" s="56" t="str">
        <f>IF('⚙ OFF Weekends'!$D$7="OFF","OFF","")</f>
        <v/>
      </c>
      <c r="M62" s="54" t="str">
        <f>IF('⚙ OFF Weekends'!$D$8="OFF","OFF","")</f>
        <v/>
      </c>
      <c r="N62" s="56" t="str">
        <f>IF('⚙ OFF Weekends'!$D$9="OFF","OFF","")</f>
        <v/>
      </c>
      <c r="O62" s="54" t="str">
        <f>IF('⚙ OFF Weekends'!$D$10="OFF","OFF","")</f>
        <v/>
      </c>
      <c r="P62" s="56" t="str">
        <f>IF('⚙ OFF Weekends'!$D$11="OFF","OFF","")</f>
        <v/>
      </c>
      <c r="Q62" s="48" t="s">
        <v>196</v>
      </c>
      <c r="R62" s="48" t="s">
        <v>196</v>
      </c>
      <c r="S62" s="52" t="s">
        <v>196</v>
      </c>
      <c r="T62" s="98" t="s">
        <v>223</v>
      </c>
      <c r="U62" s="52" t="s">
        <v>196</v>
      </c>
      <c r="V62" s="53" t="s">
        <v>196</v>
      </c>
      <c r="W62" s="54" t="str">
        <f>IF('⚙ OFF Weekends'!$D$18="OFF","OFF","")</f>
        <v>OFF</v>
      </c>
      <c r="X62" s="53" t="s">
        <v>223</v>
      </c>
      <c r="Y62" s="52" t="s">
        <v>37</v>
      </c>
      <c r="Z62" s="53" t="s">
        <v>223</v>
      </c>
      <c r="AA62" s="52" t="s">
        <v>223</v>
      </c>
      <c r="AB62" s="53" t="s">
        <v>223</v>
      </c>
      <c r="AC62" s="54" t="str">
        <f>IF('⚙ OFF Weekends'!$D$24="OFF","OFF","")</f>
        <v/>
      </c>
      <c r="AD62" s="56" t="str">
        <f>IF('⚙ OFF Weekends'!$D$25="OFF","OFF","")</f>
        <v/>
      </c>
      <c r="AE62" s="54" t="str">
        <f>IF('⚙ OFF Weekends'!$D$26="OFF","OFF","")</f>
        <v/>
      </c>
      <c r="AF62" s="56" t="str">
        <f>IF('⚙ OFF Weekends'!$D$27="OFF","OFF","")</f>
        <v/>
      </c>
      <c r="AG62" s="54" t="str">
        <f>IF('⚙ OFF Weekends'!$D$28="OFF","OFF","")</f>
        <v/>
      </c>
      <c r="AH62" s="56" t="str">
        <f>IF('⚙ OFF Weekends'!$D$29="OFF","OFF","")</f>
        <v/>
      </c>
      <c r="AI62" s="54" t="str">
        <f>IF('⚙ OFF Weekends'!$D$30="OFF","OFF","")</f>
        <v/>
      </c>
      <c r="AJ62" s="56" t="str">
        <f>IF('⚙ OFF Weekends'!$D$31="OFF","OFF","")</f>
        <v/>
      </c>
      <c r="AK62" s="54" t="str">
        <f>IF('⚙ OFF Weekends'!$D$32="OFF","OFF","")</f>
        <v/>
      </c>
      <c r="AL62" s="56" t="str">
        <f>IF('⚙ OFF Weekends'!$D$33="OFF","OFF","")</f>
        <v/>
      </c>
      <c r="AM62" s="54" t="str">
        <f>IF('⚙ OFF Weekends'!$D$34="OFF","OFF","")</f>
        <v/>
      </c>
      <c r="AN62" s="56" t="str">
        <f>IF('⚙ OFF Weekends'!$D$35="OFF","OFF","")</f>
        <v/>
      </c>
      <c r="AO62" s="54" t="str">
        <f>IF('⚙ OFF Weekends'!$D$36="OFF","OFF","")</f>
        <v/>
      </c>
      <c r="AP62" s="56" t="str">
        <f>IF('⚙ OFF Weekends'!$D$37="OFF","OFF","")</f>
        <v/>
      </c>
      <c r="AQ62" s="54" t="str">
        <f>IF('⚙ OFF Weekends'!$D$38="OFF","OFF","")</f>
        <v/>
      </c>
      <c r="AR62" s="56" t="str">
        <f>IF('⚙ OFF Weekends'!$D$39="OFF","OFF","")</f>
        <v/>
      </c>
      <c r="AS62" s="54" t="str">
        <f>IF('⚙ OFF Weekends'!$D$40="OFF","OFF","")</f>
        <v/>
      </c>
      <c r="AT62" s="56" t="str">
        <f>IF('⚙ OFF Weekends'!$D$41="OFF","OFF","")</f>
        <v/>
      </c>
      <c r="AU62" s="54" t="str">
        <f>IF('⚙ OFF Weekends'!$D$42="OFF","OFF","")</f>
        <v/>
      </c>
      <c r="AV62" s="56" t="str">
        <f>IF('⚙ OFF Weekends'!$D$43="OFF","OFF","")</f>
        <v/>
      </c>
      <c r="AW62" s="54" t="str">
        <f>IF('⚙ OFF Weekends'!$D$44="OFF","OFF","")</f>
        <v/>
      </c>
      <c r="AX62" s="56" t="str">
        <f>IF('⚙ OFF Weekends'!$D$45="OFF","OFF","")</f>
        <v/>
      </c>
      <c r="AY62" s="54" t="str">
        <f>IF('⚙ OFF Weekends'!$D$46="OFF","OFF","")</f>
        <v/>
      </c>
      <c r="AZ62" s="56" t="str">
        <f>IF('⚙ OFF Weekends'!$D$47="OFF","OFF","")</f>
        <v/>
      </c>
      <c r="BA62" s="54" t="str">
        <f>IF('⚙ OFF Weekends'!$D$48="OFF","OFF","")</f>
        <v/>
      </c>
      <c r="BB62" s="56" t="str">
        <f>IF('⚙ OFF Weekends'!$D$49="OFF","OFF","")</f>
        <v/>
      </c>
      <c r="BC62" s="54" t="str">
        <f>IF('⚙ OFF Weekends'!$D$50="OFF","OFF","")</f>
        <v/>
      </c>
      <c r="BD62" s="56" t="str">
        <f>IF('⚙ OFF Weekends'!$D$51="OFF","OFF","")</f>
        <v/>
      </c>
      <c r="BE62" s="54" t="str">
        <f>IF('⚙ OFF Weekends'!$D$52="OFF","OFF","")</f>
        <v/>
      </c>
      <c r="BF62" s="56" t="str">
        <f>IF('⚙ OFF Weekends'!$D$53="OFF","OFF","")</f>
        <v/>
      </c>
      <c r="BG62" s="54" t="str">
        <f>IF('⚙ OFF Weekends'!$D$54="OFF","OFF","")</f>
        <v/>
      </c>
      <c r="BH62" s="56" t="str">
        <f>IF('⚙ OFF Weekends'!$D$55="OFF","OFF","")</f>
        <v/>
      </c>
      <c r="BI62" s="54" t="str">
        <f>IF('⚙ OFF Weekends'!$D$56="OFF","OFF","")</f>
        <v/>
      </c>
      <c r="BJ62" s="56" t="str">
        <f>IF('⚙ OFF Weekends'!$D$57="OFF","OFF","")</f>
        <v/>
      </c>
      <c r="BK62" s="54" t="str">
        <f>IF('⚙ OFF Weekends'!$D$58="OFF","OFF","")</f>
        <v/>
      </c>
      <c r="BL62" s="56" t="str">
        <f>IF('⚙ OFF Weekends'!$D$59="OFF","OFF","")</f>
        <v/>
      </c>
      <c r="BM62" s="54" t="str">
        <f>IF('⚙ OFF Weekends'!$D$60="OFF","OFF","")</f>
        <v/>
      </c>
      <c r="BN62" s="56" t="str">
        <f>IF('⚙ OFF Weekends'!$D$61="OFF","OFF","")</f>
        <v/>
      </c>
      <c r="BO62" s="54" t="str">
        <f>IF('⚙ OFF Weekends'!$D$62="OFF","OFF","")</f>
        <v/>
      </c>
      <c r="BP62" s="56" t="str">
        <f>IF('⚙ OFF Weekends'!$D$63="OFF","OFF","")</f>
        <v/>
      </c>
      <c r="BQ62" s="54" t="str">
        <f>IF('⚙ OFF Weekends'!$D$64="OFF","OFF","")</f>
        <v/>
      </c>
      <c r="BR62" s="56" t="str">
        <f>IF('⚙ OFF Weekends'!$D$65="OFF","OFF","")</f>
        <v/>
      </c>
      <c r="BS62" s="54" t="str">
        <f>IF('⚙ OFF Weekends'!$D$66="OFF","OFF","")</f>
        <v/>
      </c>
      <c r="BT62" s="56" t="str">
        <f>IF('⚙ OFF Weekends'!$D$67="OFF","OFF","")</f>
        <v/>
      </c>
      <c r="BU62" s="54" t="str">
        <f>IF('⚙ OFF Weekends'!$D$68="OFF","OFF","")</f>
        <v/>
      </c>
      <c r="BV62" s="56" t="str">
        <f>IF('⚙ OFF Weekends'!$D$69="OFF","OFF","")</f>
        <v/>
      </c>
      <c r="BW62" s="54" t="str">
        <f>IF('⚙ OFF Weekends'!$D$70="OFF","OFF","")</f>
        <v/>
      </c>
      <c r="BX62" s="56" t="str">
        <f>IF('⚙ OFF Weekends'!$D$71="OFF","OFF","")</f>
        <v/>
      </c>
      <c r="BY62" s="54" t="str">
        <f>IF('⚙ OFF Weekends'!$D$72="OFF","OFF","")</f>
        <v/>
      </c>
      <c r="BZ62" s="56" t="str">
        <f>IF('⚙ OFF Weekends'!$D$73="OFF","OFF","")</f>
        <v/>
      </c>
      <c r="CA62" s="54" t="str">
        <f>IF('⚙ OFF Weekends'!$D$74="OFF","OFF","")</f>
        <v/>
      </c>
      <c r="CB62" s="56" t="str">
        <f>IF('⚙ OFF Weekends'!$D$75="OFF","OFF","")</f>
        <v/>
      </c>
      <c r="CC62" s="54" t="str">
        <f>IF('⚙ OFF Weekends'!$D$76="OFF","OFF","")</f>
        <v/>
      </c>
      <c r="CD62" s="56" t="str">
        <f>IF('⚙ OFF Weekends'!$D$77="OFF","OFF","")</f>
        <v/>
      </c>
      <c r="CE62" s="95">
        <f t="shared" si="15"/>
        <v>6</v>
      </c>
      <c r="CF62" s="95">
        <f t="shared" si="16"/>
        <v>5</v>
      </c>
      <c r="CG62" s="95">
        <f t="shared" si="17"/>
        <v>0</v>
      </c>
      <c r="CH62" s="95" t="str">
        <f t="shared" si="18"/>
        <v>55%</v>
      </c>
    </row>
    <row r="63" ht="18.0" customHeight="1">
      <c r="A63" s="107">
        <v>22.0</v>
      </c>
      <c r="B63" s="144" t="s">
        <v>647</v>
      </c>
      <c r="C63" s="108"/>
      <c r="D63" s="109" t="str">
        <f t="shared" si="13"/>
        <v/>
      </c>
      <c r="E63" s="110" t="str">
        <f t="shared" si="14"/>
        <v/>
      </c>
      <c r="F63" s="108"/>
      <c r="G63" s="108"/>
      <c r="H63" s="108"/>
      <c r="I63" s="111" t="str">
        <f>IF('⚙ OFF Weekends'!$D$4="OFF","OFF","")</f>
        <v/>
      </c>
      <c r="J63" s="111" t="str">
        <f>IF('⚙ OFF Weekends'!$D$5="OFF","OFF","")</f>
        <v/>
      </c>
      <c r="K63" s="111" t="str">
        <f>IF('⚙ OFF Weekends'!$D$6="OFF","OFF","")</f>
        <v/>
      </c>
      <c r="L63" s="111" t="str">
        <f>IF('⚙ OFF Weekends'!$D$7="OFF","OFF","")</f>
        <v/>
      </c>
      <c r="M63" s="111" t="str">
        <f>IF('⚙ OFF Weekends'!$D$8="OFF","OFF","")</f>
        <v/>
      </c>
      <c r="N63" s="111" t="str">
        <f>IF('⚙ OFF Weekends'!$D$9="OFF","OFF","")</f>
        <v/>
      </c>
      <c r="O63" s="111" t="str">
        <f>IF('⚙ OFF Weekends'!$D$10="OFF","OFF","")</f>
        <v/>
      </c>
      <c r="P63" s="111" t="str">
        <f>IF('⚙ OFF Weekends'!$D$11="OFF","OFF","")</f>
        <v/>
      </c>
      <c r="Q63" s="111" t="str">
        <f>IF('⚙ OFF Weekends'!$D$12="OFF","OFF","")</f>
        <v/>
      </c>
      <c r="R63" s="111" t="str">
        <f>IF('⚙ OFF Weekends'!$D$13="OFF","OFF","")</f>
        <v/>
      </c>
      <c r="S63" s="111" t="str">
        <f>IF('⚙ OFF Weekends'!$D$14="OFF","OFF","")</f>
        <v/>
      </c>
      <c r="T63" s="111" t="str">
        <f>IF('⚙ OFF Weekends'!$D$15="OFF","OFF","")</f>
        <v/>
      </c>
      <c r="U63" s="121" t="s">
        <v>196</v>
      </c>
      <c r="V63" s="121" t="s">
        <v>196</v>
      </c>
      <c r="W63" s="111" t="str">
        <f>IF('⚙ OFF Weekends'!$D$18="OFF","OFF","")</f>
        <v>OFF</v>
      </c>
      <c r="X63" s="121" t="s">
        <v>223</v>
      </c>
      <c r="Y63" s="121" t="s">
        <v>196</v>
      </c>
      <c r="Z63" s="121" t="s">
        <v>37</v>
      </c>
      <c r="AA63" s="121" t="s">
        <v>223</v>
      </c>
      <c r="AB63" s="121" t="s">
        <v>296</v>
      </c>
      <c r="AC63" s="111" t="str">
        <f>IF('⚙ OFF Weekends'!$D$24="OFF","OFF","")</f>
        <v/>
      </c>
      <c r="AD63" s="111" t="str">
        <f>IF('⚙ OFF Weekends'!$D$25="OFF","OFF","")</f>
        <v/>
      </c>
      <c r="AE63" s="111" t="str">
        <f>IF('⚙ OFF Weekends'!$D$26="OFF","OFF","")</f>
        <v/>
      </c>
      <c r="AF63" s="111" t="str">
        <f>IF('⚙ OFF Weekends'!$D$27="OFF","OFF","")</f>
        <v/>
      </c>
      <c r="AG63" s="111" t="str">
        <f>IF('⚙ OFF Weekends'!$D$28="OFF","OFF","")</f>
        <v/>
      </c>
      <c r="AH63" s="111" t="str">
        <f>IF('⚙ OFF Weekends'!$D$29="OFF","OFF","")</f>
        <v/>
      </c>
      <c r="AI63" s="111" t="str">
        <f>IF('⚙ OFF Weekends'!$D$30="OFF","OFF","")</f>
        <v/>
      </c>
      <c r="AJ63" s="111" t="str">
        <f>IF('⚙ OFF Weekends'!$D$31="OFF","OFF","")</f>
        <v/>
      </c>
      <c r="AK63" s="111" t="str">
        <f>IF('⚙ OFF Weekends'!$D$32="OFF","OFF","")</f>
        <v/>
      </c>
      <c r="AL63" s="111" t="str">
        <f>IF('⚙ OFF Weekends'!$D$33="OFF","OFF","")</f>
        <v/>
      </c>
      <c r="AM63" s="111" t="str">
        <f>IF('⚙ OFF Weekends'!$D$34="OFF","OFF","")</f>
        <v/>
      </c>
      <c r="AN63" s="111" t="str">
        <f>IF('⚙ OFF Weekends'!$D$35="OFF","OFF","")</f>
        <v/>
      </c>
      <c r="AO63" s="111" t="str">
        <f>IF('⚙ OFF Weekends'!$D$36="OFF","OFF","")</f>
        <v/>
      </c>
      <c r="AP63" s="111" t="str">
        <f>IF('⚙ OFF Weekends'!$D$37="OFF","OFF","")</f>
        <v/>
      </c>
      <c r="AQ63" s="111" t="str">
        <f>IF('⚙ OFF Weekends'!$D$38="OFF","OFF","")</f>
        <v/>
      </c>
      <c r="AR63" s="111" t="str">
        <f>IF('⚙ OFF Weekends'!$D$39="OFF","OFF","")</f>
        <v/>
      </c>
      <c r="AS63" s="111" t="str">
        <f>IF('⚙ OFF Weekends'!$D$40="OFF","OFF","")</f>
        <v/>
      </c>
      <c r="AT63" s="111" t="str">
        <f>IF('⚙ OFF Weekends'!$D$41="OFF","OFF","")</f>
        <v/>
      </c>
      <c r="AU63" s="111" t="str">
        <f>IF('⚙ OFF Weekends'!$D$42="OFF","OFF","")</f>
        <v/>
      </c>
      <c r="AV63" s="111" t="str">
        <f>IF('⚙ OFF Weekends'!$D$43="OFF","OFF","")</f>
        <v/>
      </c>
      <c r="AW63" s="111" t="str">
        <f>IF('⚙ OFF Weekends'!$D$44="OFF","OFF","")</f>
        <v/>
      </c>
      <c r="AX63" s="111" t="str">
        <f>IF('⚙ OFF Weekends'!$D$45="OFF","OFF","")</f>
        <v/>
      </c>
      <c r="AY63" s="111" t="str">
        <f>IF('⚙ OFF Weekends'!$D$46="OFF","OFF","")</f>
        <v/>
      </c>
      <c r="AZ63" s="111" t="str">
        <f>IF('⚙ OFF Weekends'!$D$47="OFF","OFF","")</f>
        <v/>
      </c>
      <c r="BA63" s="111" t="str">
        <f>IF('⚙ OFF Weekends'!$D$48="OFF","OFF","")</f>
        <v/>
      </c>
      <c r="BB63" s="111" t="str">
        <f>IF('⚙ OFF Weekends'!$D$49="OFF","OFF","")</f>
        <v/>
      </c>
      <c r="BC63" s="111" t="str">
        <f>IF('⚙ OFF Weekends'!$D$50="OFF","OFF","")</f>
        <v/>
      </c>
      <c r="BD63" s="111" t="str">
        <f>IF('⚙ OFF Weekends'!$D$51="OFF","OFF","")</f>
        <v/>
      </c>
      <c r="BE63" s="111" t="str">
        <f>IF('⚙ OFF Weekends'!$D$52="OFF","OFF","")</f>
        <v/>
      </c>
      <c r="BF63" s="111" t="str">
        <f>IF('⚙ OFF Weekends'!$D$53="OFF","OFF","")</f>
        <v/>
      </c>
      <c r="BG63" s="111" t="str">
        <f>IF('⚙ OFF Weekends'!$D$54="OFF","OFF","")</f>
        <v/>
      </c>
      <c r="BH63" s="111" t="str">
        <f>IF('⚙ OFF Weekends'!$D$55="OFF","OFF","")</f>
        <v/>
      </c>
      <c r="BI63" s="111" t="str">
        <f>IF('⚙ OFF Weekends'!$D$56="OFF","OFF","")</f>
        <v/>
      </c>
      <c r="BJ63" s="111" t="str">
        <f>IF('⚙ OFF Weekends'!$D$57="OFF","OFF","")</f>
        <v/>
      </c>
      <c r="BK63" s="111" t="str">
        <f>IF('⚙ OFF Weekends'!$D$58="OFF","OFF","")</f>
        <v/>
      </c>
      <c r="BL63" s="111" t="str">
        <f>IF('⚙ OFF Weekends'!$D$59="OFF","OFF","")</f>
        <v/>
      </c>
      <c r="BM63" s="111" t="str">
        <f>IF('⚙ OFF Weekends'!$D$60="OFF","OFF","")</f>
        <v/>
      </c>
      <c r="BN63" s="111" t="str">
        <f>IF('⚙ OFF Weekends'!$D$61="OFF","OFF","")</f>
        <v/>
      </c>
      <c r="BO63" s="111" t="str">
        <f>IF('⚙ OFF Weekends'!$D$62="OFF","OFF","")</f>
        <v/>
      </c>
      <c r="BP63" s="111" t="str">
        <f>IF('⚙ OFF Weekends'!$D$63="OFF","OFF","")</f>
        <v/>
      </c>
      <c r="BQ63" s="111" t="str">
        <f>IF('⚙ OFF Weekends'!$D$64="OFF","OFF","")</f>
        <v/>
      </c>
      <c r="BR63" s="111" t="str">
        <f>IF('⚙ OFF Weekends'!$D$65="OFF","OFF","")</f>
        <v/>
      </c>
      <c r="BS63" s="111" t="str">
        <f>IF('⚙ OFF Weekends'!$D$66="OFF","OFF","")</f>
        <v/>
      </c>
      <c r="BT63" s="111" t="str">
        <f>IF('⚙ OFF Weekends'!$D$67="OFF","OFF","")</f>
        <v/>
      </c>
      <c r="BU63" s="111" t="str">
        <f>IF('⚙ OFF Weekends'!$D$68="OFF","OFF","")</f>
        <v/>
      </c>
      <c r="BV63" s="111" t="str">
        <f>IF('⚙ OFF Weekends'!$D$69="OFF","OFF","")</f>
        <v/>
      </c>
      <c r="BW63" s="111" t="str">
        <f>IF('⚙ OFF Weekends'!$D$70="OFF","OFF","")</f>
        <v/>
      </c>
      <c r="BX63" s="111" t="str">
        <f>IF('⚙ OFF Weekends'!$D$71="OFF","OFF","")</f>
        <v/>
      </c>
      <c r="BY63" s="111" t="str">
        <f>IF('⚙ OFF Weekends'!$D$72="OFF","OFF","")</f>
        <v/>
      </c>
      <c r="BZ63" s="111" t="str">
        <f>IF('⚙ OFF Weekends'!$D$73="OFF","OFF","")</f>
        <v/>
      </c>
      <c r="CA63" s="111" t="str">
        <f>IF('⚙ OFF Weekends'!$D$74="OFF","OFF","")</f>
        <v/>
      </c>
      <c r="CB63" s="111" t="str">
        <f>IF('⚙ OFF Weekends'!$D$75="OFF","OFF","")</f>
        <v/>
      </c>
      <c r="CC63" s="111" t="str">
        <f>IF('⚙ OFF Weekends'!$D$76="OFF","OFF","")</f>
        <v/>
      </c>
      <c r="CD63" s="111" t="str">
        <f>IF('⚙ OFF Weekends'!$D$77="OFF","OFF","")</f>
        <v/>
      </c>
      <c r="CE63" s="112">
        <f t="shared" si="15"/>
        <v>4</v>
      </c>
      <c r="CF63" s="112">
        <f t="shared" si="16"/>
        <v>2</v>
      </c>
      <c r="CG63" s="112">
        <f t="shared" si="17"/>
        <v>0</v>
      </c>
      <c r="CH63" s="112" t="str">
        <f t="shared" si="18"/>
        <v>67%</v>
      </c>
    </row>
    <row r="64" ht="18.0" customHeight="1">
      <c r="A64" s="107">
        <v>23.0</v>
      </c>
      <c r="B64" s="108"/>
      <c r="C64" s="108"/>
      <c r="D64" s="109" t="str">
        <f t="shared" si="13"/>
        <v/>
      </c>
      <c r="E64" s="110" t="str">
        <f t="shared" si="14"/>
        <v/>
      </c>
      <c r="F64" s="108"/>
      <c r="G64" s="108"/>
      <c r="H64" s="108"/>
      <c r="I64" s="111" t="str">
        <f>IF('⚙ OFF Weekends'!$D$4="OFF","OFF","")</f>
        <v/>
      </c>
      <c r="J64" s="111" t="str">
        <f>IF('⚙ OFF Weekends'!$D$5="OFF","OFF","")</f>
        <v/>
      </c>
      <c r="K64" s="111" t="str">
        <f>IF('⚙ OFF Weekends'!$D$6="OFF","OFF","")</f>
        <v/>
      </c>
      <c r="L64" s="111" t="str">
        <f>IF('⚙ OFF Weekends'!$D$7="OFF","OFF","")</f>
        <v/>
      </c>
      <c r="M64" s="111" t="str">
        <f>IF('⚙ OFF Weekends'!$D$8="OFF","OFF","")</f>
        <v/>
      </c>
      <c r="N64" s="111" t="str">
        <f>IF('⚙ OFF Weekends'!$D$9="OFF","OFF","")</f>
        <v/>
      </c>
      <c r="O64" s="111" t="str">
        <f>IF('⚙ OFF Weekends'!$D$10="OFF","OFF","")</f>
        <v/>
      </c>
      <c r="P64" s="111" t="str">
        <f>IF('⚙ OFF Weekends'!$D$11="OFF","OFF","")</f>
        <v/>
      </c>
      <c r="Q64" s="111" t="str">
        <f>IF('⚙ OFF Weekends'!$D$12="OFF","OFF","")</f>
        <v/>
      </c>
      <c r="R64" s="111" t="str">
        <f>IF('⚙ OFF Weekends'!$D$13="OFF","OFF","")</f>
        <v/>
      </c>
      <c r="S64" s="111" t="str">
        <f>IF('⚙ OFF Weekends'!$D$14="OFF","OFF","")</f>
        <v/>
      </c>
      <c r="T64" s="111" t="str">
        <f>IF('⚙ OFF Weekends'!$D$15="OFF","OFF","")</f>
        <v/>
      </c>
      <c r="U64" s="111" t="str">
        <f>IF('⚙ OFF Weekends'!$D$16="OFF","OFF","")</f>
        <v/>
      </c>
      <c r="V64" s="111" t="str">
        <f>IF('⚙ OFF Weekends'!$D$17="OFF","OFF","")</f>
        <v/>
      </c>
      <c r="W64" s="111" t="str">
        <f>IF('⚙ OFF Weekends'!$D$18="OFF","OFF","")</f>
        <v>OFF</v>
      </c>
      <c r="X64" s="111" t="str">
        <f>IF('⚙ OFF Weekends'!$D$19="OFF","OFF","")</f>
        <v/>
      </c>
      <c r="Y64" s="111" t="str">
        <f>IF('⚙ OFF Weekends'!$D$20="OFF","OFF","")</f>
        <v/>
      </c>
      <c r="Z64" s="111" t="str">
        <f>IF('⚙ OFF Weekends'!$D$21="OFF","OFF","")</f>
        <v/>
      </c>
      <c r="AA64" s="111" t="str">
        <f>IF('⚙ OFF Weekends'!$D$22="OFF","OFF","")</f>
        <v/>
      </c>
      <c r="AB64" s="111" t="str">
        <f>IF('⚙ OFF Weekends'!$D$23="OFF","OFF","")</f>
        <v/>
      </c>
      <c r="AC64" s="111" t="str">
        <f>IF('⚙ OFF Weekends'!$D$24="OFF","OFF","")</f>
        <v/>
      </c>
      <c r="AD64" s="111" t="str">
        <f>IF('⚙ OFF Weekends'!$D$25="OFF","OFF","")</f>
        <v/>
      </c>
      <c r="AE64" s="111" t="str">
        <f>IF('⚙ OFF Weekends'!$D$26="OFF","OFF","")</f>
        <v/>
      </c>
      <c r="AF64" s="111" t="str">
        <f>IF('⚙ OFF Weekends'!$D$27="OFF","OFF","")</f>
        <v/>
      </c>
      <c r="AG64" s="111" t="str">
        <f>IF('⚙ OFF Weekends'!$D$28="OFF","OFF","")</f>
        <v/>
      </c>
      <c r="AH64" s="111" t="str">
        <f>IF('⚙ OFF Weekends'!$D$29="OFF","OFF","")</f>
        <v/>
      </c>
      <c r="AI64" s="111" t="str">
        <f>IF('⚙ OFF Weekends'!$D$30="OFF","OFF","")</f>
        <v/>
      </c>
      <c r="AJ64" s="111" t="str">
        <f>IF('⚙ OFF Weekends'!$D$31="OFF","OFF","")</f>
        <v/>
      </c>
      <c r="AK64" s="111" t="str">
        <f>IF('⚙ OFF Weekends'!$D$32="OFF","OFF","")</f>
        <v/>
      </c>
      <c r="AL64" s="111" t="str">
        <f>IF('⚙ OFF Weekends'!$D$33="OFF","OFF","")</f>
        <v/>
      </c>
      <c r="AM64" s="111" t="str">
        <f>IF('⚙ OFF Weekends'!$D$34="OFF","OFF","")</f>
        <v/>
      </c>
      <c r="AN64" s="111" t="str">
        <f>IF('⚙ OFF Weekends'!$D$35="OFF","OFF","")</f>
        <v/>
      </c>
      <c r="AO64" s="111" t="str">
        <f>IF('⚙ OFF Weekends'!$D$36="OFF","OFF","")</f>
        <v/>
      </c>
      <c r="AP64" s="111" t="str">
        <f>IF('⚙ OFF Weekends'!$D$37="OFF","OFF","")</f>
        <v/>
      </c>
      <c r="AQ64" s="111" t="str">
        <f>IF('⚙ OFF Weekends'!$D$38="OFF","OFF","")</f>
        <v/>
      </c>
      <c r="AR64" s="111" t="str">
        <f>IF('⚙ OFF Weekends'!$D$39="OFF","OFF","")</f>
        <v/>
      </c>
      <c r="AS64" s="111" t="str">
        <f>IF('⚙ OFF Weekends'!$D$40="OFF","OFF","")</f>
        <v/>
      </c>
      <c r="AT64" s="111" t="str">
        <f>IF('⚙ OFF Weekends'!$D$41="OFF","OFF","")</f>
        <v/>
      </c>
      <c r="AU64" s="111" t="str">
        <f>IF('⚙ OFF Weekends'!$D$42="OFF","OFF","")</f>
        <v/>
      </c>
      <c r="AV64" s="111" t="str">
        <f>IF('⚙ OFF Weekends'!$D$43="OFF","OFF","")</f>
        <v/>
      </c>
      <c r="AW64" s="111" t="str">
        <f>IF('⚙ OFF Weekends'!$D$44="OFF","OFF","")</f>
        <v/>
      </c>
      <c r="AX64" s="111" t="str">
        <f>IF('⚙ OFF Weekends'!$D$45="OFF","OFF","")</f>
        <v/>
      </c>
      <c r="AY64" s="111" t="str">
        <f>IF('⚙ OFF Weekends'!$D$46="OFF","OFF","")</f>
        <v/>
      </c>
      <c r="AZ64" s="111" t="str">
        <f>IF('⚙ OFF Weekends'!$D$47="OFF","OFF","")</f>
        <v/>
      </c>
      <c r="BA64" s="111" t="str">
        <f>IF('⚙ OFF Weekends'!$D$48="OFF","OFF","")</f>
        <v/>
      </c>
      <c r="BB64" s="111" t="str">
        <f>IF('⚙ OFF Weekends'!$D$49="OFF","OFF","")</f>
        <v/>
      </c>
      <c r="BC64" s="111" t="str">
        <f>IF('⚙ OFF Weekends'!$D$50="OFF","OFF","")</f>
        <v/>
      </c>
      <c r="BD64" s="111" t="str">
        <f>IF('⚙ OFF Weekends'!$D$51="OFF","OFF","")</f>
        <v/>
      </c>
      <c r="BE64" s="111" t="str">
        <f>IF('⚙ OFF Weekends'!$D$52="OFF","OFF","")</f>
        <v/>
      </c>
      <c r="BF64" s="111" t="str">
        <f>IF('⚙ OFF Weekends'!$D$53="OFF","OFF","")</f>
        <v/>
      </c>
      <c r="BG64" s="111" t="str">
        <f>IF('⚙ OFF Weekends'!$D$54="OFF","OFF","")</f>
        <v/>
      </c>
      <c r="BH64" s="111" t="str">
        <f>IF('⚙ OFF Weekends'!$D$55="OFF","OFF","")</f>
        <v/>
      </c>
      <c r="BI64" s="111" t="str">
        <f>IF('⚙ OFF Weekends'!$D$56="OFF","OFF","")</f>
        <v/>
      </c>
      <c r="BJ64" s="111" t="str">
        <f>IF('⚙ OFF Weekends'!$D$57="OFF","OFF","")</f>
        <v/>
      </c>
      <c r="BK64" s="111" t="str">
        <f>IF('⚙ OFF Weekends'!$D$58="OFF","OFF","")</f>
        <v/>
      </c>
      <c r="BL64" s="111" t="str">
        <f>IF('⚙ OFF Weekends'!$D$59="OFF","OFF","")</f>
        <v/>
      </c>
      <c r="BM64" s="111" t="str">
        <f>IF('⚙ OFF Weekends'!$D$60="OFF","OFF","")</f>
        <v/>
      </c>
      <c r="BN64" s="111" t="str">
        <f>IF('⚙ OFF Weekends'!$D$61="OFF","OFF","")</f>
        <v/>
      </c>
      <c r="BO64" s="111" t="str">
        <f>IF('⚙ OFF Weekends'!$D$62="OFF","OFF","")</f>
        <v/>
      </c>
      <c r="BP64" s="111" t="str">
        <f>IF('⚙ OFF Weekends'!$D$63="OFF","OFF","")</f>
        <v/>
      </c>
      <c r="BQ64" s="111" t="str">
        <f>IF('⚙ OFF Weekends'!$D$64="OFF","OFF","")</f>
        <v/>
      </c>
      <c r="BR64" s="111" t="str">
        <f>IF('⚙ OFF Weekends'!$D$65="OFF","OFF","")</f>
        <v/>
      </c>
      <c r="BS64" s="111" t="str">
        <f>IF('⚙ OFF Weekends'!$D$66="OFF","OFF","")</f>
        <v/>
      </c>
      <c r="BT64" s="111" t="str">
        <f>IF('⚙ OFF Weekends'!$D$67="OFF","OFF","")</f>
        <v/>
      </c>
      <c r="BU64" s="111" t="str">
        <f>IF('⚙ OFF Weekends'!$D$68="OFF","OFF","")</f>
        <v/>
      </c>
      <c r="BV64" s="111" t="str">
        <f>IF('⚙ OFF Weekends'!$D$69="OFF","OFF","")</f>
        <v/>
      </c>
      <c r="BW64" s="111" t="str">
        <f>IF('⚙ OFF Weekends'!$D$70="OFF","OFF","")</f>
        <v/>
      </c>
      <c r="BX64" s="111" t="str">
        <f>IF('⚙ OFF Weekends'!$D$71="OFF","OFF","")</f>
        <v/>
      </c>
      <c r="BY64" s="111" t="str">
        <f>IF('⚙ OFF Weekends'!$D$72="OFF","OFF","")</f>
        <v/>
      </c>
      <c r="BZ64" s="111" t="str">
        <f>IF('⚙ OFF Weekends'!$D$73="OFF","OFF","")</f>
        <v/>
      </c>
      <c r="CA64" s="111" t="str">
        <f>IF('⚙ OFF Weekends'!$D$74="OFF","OFF","")</f>
        <v/>
      </c>
      <c r="CB64" s="111" t="str">
        <f>IF('⚙ OFF Weekends'!$D$75="OFF","OFF","")</f>
        <v/>
      </c>
      <c r="CC64" s="111" t="str">
        <f>IF('⚙ OFF Weekends'!$D$76="OFF","OFF","")</f>
        <v/>
      </c>
      <c r="CD64" s="111" t="str">
        <f>IF('⚙ OFF Weekends'!$D$77="OFF","OFF","")</f>
        <v/>
      </c>
      <c r="CE64" s="112">
        <f t="shared" si="15"/>
        <v>0</v>
      </c>
      <c r="CF64" s="112">
        <f t="shared" si="16"/>
        <v>0</v>
      </c>
      <c r="CG64" s="112">
        <f t="shared" si="17"/>
        <v>0</v>
      </c>
      <c r="CH64" s="112" t="str">
        <f t="shared" si="18"/>
        <v>0%</v>
      </c>
    </row>
    <row r="65" ht="18.0" customHeight="1">
      <c r="A65" s="107">
        <v>24.0</v>
      </c>
      <c r="B65" s="108"/>
      <c r="C65" s="108"/>
      <c r="D65" s="109" t="str">
        <f t="shared" si="13"/>
        <v/>
      </c>
      <c r="E65" s="110" t="str">
        <f t="shared" si="14"/>
        <v/>
      </c>
      <c r="F65" s="108"/>
      <c r="G65" s="108"/>
      <c r="H65" s="108"/>
      <c r="I65" s="111" t="str">
        <f>IF('⚙ OFF Weekends'!$D$4="OFF","OFF","")</f>
        <v/>
      </c>
      <c r="J65" s="111" t="str">
        <f>IF('⚙ OFF Weekends'!$D$5="OFF","OFF","")</f>
        <v/>
      </c>
      <c r="K65" s="111" t="str">
        <f>IF('⚙ OFF Weekends'!$D$6="OFF","OFF","")</f>
        <v/>
      </c>
      <c r="L65" s="111" t="str">
        <f>IF('⚙ OFF Weekends'!$D$7="OFF","OFF","")</f>
        <v/>
      </c>
      <c r="M65" s="111" t="str">
        <f>IF('⚙ OFF Weekends'!$D$8="OFF","OFF","")</f>
        <v/>
      </c>
      <c r="N65" s="111" t="str">
        <f>IF('⚙ OFF Weekends'!$D$9="OFF","OFF","")</f>
        <v/>
      </c>
      <c r="O65" s="111" t="str">
        <f>IF('⚙ OFF Weekends'!$D$10="OFF","OFF","")</f>
        <v/>
      </c>
      <c r="P65" s="111" t="str">
        <f>IF('⚙ OFF Weekends'!$D$11="OFF","OFF","")</f>
        <v/>
      </c>
      <c r="Q65" s="111" t="str">
        <f>IF('⚙ OFF Weekends'!$D$12="OFF","OFF","")</f>
        <v/>
      </c>
      <c r="R65" s="111" t="str">
        <f>IF('⚙ OFF Weekends'!$D$13="OFF","OFF","")</f>
        <v/>
      </c>
      <c r="S65" s="111" t="str">
        <f>IF('⚙ OFF Weekends'!$D$14="OFF","OFF","")</f>
        <v/>
      </c>
      <c r="T65" s="111" t="str">
        <f>IF('⚙ OFF Weekends'!$D$15="OFF","OFF","")</f>
        <v/>
      </c>
      <c r="U65" s="111" t="str">
        <f>IF('⚙ OFF Weekends'!$D$16="OFF","OFF","")</f>
        <v/>
      </c>
      <c r="V65" s="111" t="str">
        <f>IF('⚙ OFF Weekends'!$D$17="OFF","OFF","")</f>
        <v/>
      </c>
      <c r="W65" s="111" t="str">
        <f>IF('⚙ OFF Weekends'!$D$18="OFF","OFF","")</f>
        <v>OFF</v>
      </c>
      <c r="X65" s="111" t="str">
        <f>IF('⚙ OFF Weekends'!$D$19="OFF","OFF","")</f>
        <v/>
      </c>
      <c r="Y65" s="111" t="str">
        <f>IF('⚙ OFF Weekends'!$D$20="OFF","OFF","")</f>
        <v/>
      </c>
      <c r="Z65" s="111" t="str">
        <f>IF('⚙ OFF Weekends'!$D$21="OFF","OFF","")</f>
        <v/>
      </c>
      <c r="AA65" s="111" t="str">
        <f>IF('⚙ OFF Weekends'!$D$22="OFF","OFF","")</f>
        <v/>
      </c>
      <c r="AB65" s="111" t="str">
        <f>IF('⚙ OFF Weekends'!$D$23="OFF","OFF","")</f>
        <v/>
      </c>
      <c r="AC65" s="111" t="str">
        <f>IF('⚙ OFF Weekends'!$D$24="OFF","OFF","")</f>
        <v/>
      </c>
      <c r="AD65" s="111" t="str">
        <f>IF('⚙ OFF Weekends'!$D$25="OFF","OFF","")</f>
        <v/>
      </c>
      <c r="AE65" s="111" t="str">
        <f>IF('⚙ OFF Weekends'!$D$26="OFF","OFF","")</f>
        <v/>
      </c>
      <c r="AF65" s="111" t="str">
        <f>IF('⚙ OFF Weekends'!$D$27="OFF","OFF","")</f>
        <v/>
      </c>
      <c r="AG65" s="111" t="str">
        <f>IF('⚙ OFF Weekends'!$D$28="OFF","OFF","")</f>
        <v/>
      </c>
      <c r="AH65" s="111" t="str">
        <f>IF('⚙ OFF Weekends'!$D$29="OFF","OFF","")</f>
        <v/>
      </c>
      <c r="AI65" s="111" t="str">
        <f>IF('⚙ OFF Weekends'!$D$30="OFF","OFF","")</f>
        <v/>
      </c>
      <c r="AJ65" s="111" t="str">
        <f>IF('⚙ OFF Weekends'!$D$31="OFF","OFF","")</f>
        <v/>
      </c>
      <c r="AK65" s="111" t="str">
        <f>IF('⚙ OFF Weekends'!$D$32="OFF","OFF","")</f>
        <v/>
      </c>
      <c r="AL65" s="111" t="str">
        <f>IF('⚙ OFF Weekends'!$D$33="OFF","OFF","")</f>
        <v/>
      </c>
      <c r="AM65" s="111" t="str">
        <f>IF('⚙ OFF Weekends'!$D$34="OFF","OFF","")</f>
        <v/>
      </c>
      <c r="AN65" s="111" t="str">
        <f>IF('⚙ OFF Weekends'!$D$35="OFF","OFF","")</f>
        <v/>
      </c>
      <c r="AO65" s="111" t="str">
        <f>IF('⚙ OFF Weekends'!$D$36="OFF","OFF","")</f>
        <v/>
      </c>
      <c r="AP65" s="111" t="str">
        <f>IF('⚙ OFF Weekends'!$D$37="OFF","OFF","")</f>
        <v/>
      </c>
      <c r="AQ65" s="111" t="str">
        <f>IF('⚙ OFF Weekends'!$D$38="OFF","OFF","")</f>
        <v/>
      </c>
      <c r="AR65" s="111" t="str">
        <f>IF('⚙ OFF Weekends'!$D$39="OFF","OFF","")</f>
        <v/>
      </c>
      <c r="AS65" s="111" t="str">
        <f>IF('⚙ OFF Weekends'!$D$40="OFF","OFF","")</f>
        <v/>
      </c>
      <c r="AT65" s="111" t="str">
        <f>IF('⚙ OFF Weekends'!$D$41="OFF","OFF","")</f>
        <v/>
      </c>
      <c r="AU65" s="111" t="str">
        <f>IF('⚙ OFF Weekends'!$D$42="OFF","OFF","")</f>
        <v/>
      </c>
      <c r="AV65" s="111" t="str">
        <f>IF('⚙ OFF Weekends'!$D$43="OFF","OFF","")</f>
        <v/>
      </c>
      <c r="AW65" s="111" t="str">
        <f>IF('⚙ OFF Weekends'!$D$44="OFF","OFF","")</f>
        <v/>
      </c>
      <c r="AX65" s="111" t="str">
        <f>IF('⚙ OFF Weekends'!$D$45="OFF","OFF","")</f>
        <v/>
      </c>
      <c r="AY65" s="111" t="str">
        <f>IF('⚙ OFF Weekends'!$D$46="OFF","OFF","")</f>
        <v/>
      </c>
      <c r="AZ65" s="111" t="str">
        <f>IF('⚙ OFF Weekends'!$D$47="OFF","OFF","")</f>
        <v/>
      </c>
      <c r="BA65" s="111" t="str">
        <f>IF('⚙ OFF Weekends'!$D$48="OFF","OFF","")</f>
        <v/>
      </c>
      <c r="BB65" s="111" t="str">
        <f>IF('⚙ OFF Weekends'!$D$49="OFF","OFF","")</f>
        <v/>
      </c>
      <c r="BC65" s="111" t="str">
        <f>IF('⚙ OFF Weekends'!$D$50="OFF","OFF","")</f>
        <v/>
      </c>
      <c r="BD65" s="111" t="str">
        <f>IF('⚙ OFF Weekends'!$D$51="OFF","OFF","")</f>
        <v/>
      </c>
      <c r="BE65" s="111" t="str">
        <f>IF('⚙ OFF Weekends'!$D$52="OFF","OFF","")</f>
        <v/>
      </c>
      <c r="BF65" s="111" t="str">
        <f>IF('⚙ OFF Weekends'!$D$53="OFF","OFF","")</f>
        <v/>
      </c>
      <c r="BG65" s="111" t="str">
        <f>IF('⚙ OFF Weekends'!$D$54="OFF","OFF","")</f>
        <v/>
      </c>
      <c r="BH65" s="111" t="str">
        <f>IF('⚙ OFF Weekends'!$D$55="OFF","OFF","")</f>
        <v/>
      </c>
      <c r="BI65" s="111" t="str">
        <f>IF('⚙ OFF Weekends'!$D$56="OFF","OFF","")</f>
        <v/>
      </c>
      <c r="BJ65" s="111" t="str">
        <f>IF('⚙ OFF Weekends'!$D$57="OFF","OFF","")</f>
        <v/>
      </c>
      <c r="BK65" s="111" t="str">
        <f>IF('⚙ OFF Weekends'!$D$58="OFF","OFF","")</f>
        <v/>
      </c>
      <c r="BL65" s="111" t="str">
        <f>IF('⚙ OFF Weekends'!$D$59="OFF","OFF","")</f>
        <v/>
      </c>
      <c r="BM65" s="111" t="str">
        <f>IF('⚙ OFF Weekends'!$D$60="OFF","OFF","")</f>
        <v/>
      </c>
      <c r="BN65" s="111" t="str">
        <f>IF('⚙ OFF Weekends'!$D$61="OFF","OFF","")</f>
        <v/>
      </c>
      <c r="BO65" s="111" t="str">
        <f>IF('⚙ OFF Weekends'!$D$62="OFF","OFF","")</f>
        <v/>
      </c>
      <c r="BP65" s="111" t="str">
        <f>IF('⚙ OFF Weekends'!$D$63="OFF","OFF","")</f>
        <v/>
      </c>
      <c r="BQ65" s="111" t="str">
        <f>IF('⚙ OFF Weekends'!$D$64="OFF","OFF","")</f>
        <v/>
      </c>
      <c r="BR65" s="111" t="str">
        <f>IF('⚙ OFF Weekends'!$D$65="OFF","OFF","")</f>
        <v/>
      </c>
      <c r="BS65" s="111" t="str">
        <f>IF('⚙ OFF Weekends'!$D$66="OFF","OFF","")</f>
        <v/>
      </c>
      <c r="BT65" s="111" t="str">
        <f>IF('⚙ OFF Weekends'!$D$67="OFF","OFF","")</f>
        <v/>
      </c>
      <c r="BU65" s="111" t="str">
        <f>IF('⚙ OFF Weekends'!$D$68="OFF","OFF","")</f>
        <v/>
      </c>
      <c r="BV65" s="111" t="str">
        <f>IF('⚙ OFF Weekends'!$D$69="OFF","OFF","")</f>
        <v/>
      </c>
      <c r="BW65" s="111" t="str">
        <f>IF('⚙ OFF Weekends'!$D$70="OFF","OFF","")</f>
        <v/>
      </c>
      <c r="BX65" s="111" t="str">
        <f>IF('⚙ OFF Weekends'!$D$71="OFF","OFF","")</f>
        <v/>
      </c>
      <c r="BY65" s="111" t="str">
        <f>IF('⚙ OFF Weekends'!$D$72="OFF","OFF","")</f>
        <v/>
      </c>
      <c r="BZ65" s="111" t="str">
        <f>IF('⚙ OFF Weekends'!$D$73="OFF","OFF","")</f>
        <v/>
      </c>
      <c r="CA65" s="111" t="str">
        <f>IF('⚙ OFF Weekends'!$D$74="OFF","OFF","")</f>
        <v/>
      </c>
      <c r="CB65" s="111" t="str">
        <f>IF('⚙ OFF Weekends'!$D$75="OFF","OFF","")</f>
        <v/>
      </c>
      <c r="CC65" s="111" t="str">
        <f>IF('⚙ OFF Weekends'!$D$76="OFF","OFF","")</f>
        <v/>
      </c>
      <c r="CD65" s="111" t="str">
        <f>IF('⚙ OFF Weekends'!$D$77="OFF","OFF","")</f>
        <v/>
      </c>
      <c r="CE65" s="112">
        <f t="shared" si="15"/>
        <v>0</v>
      </c>
      <c r="CF65" s="112">
        <f t="shared" si="16"/>
        <v>0</v>
      </c>
      <c r="CG65" s="112">
        <f t="shared" si="17"/>
        <v>0</v>
      </c>
      <c r="CH65" s="112" t="str">
        <f t="shared" si="18"/>
        <v>0%</v>
      </c>
    </row>
    <row r="66" ht="18.0" customHeight="1">
      <c r="A66" s="107">
        <v>25.0</v>
      </c>
      <c r="B66" s="108"/>
      <c r="C66" s="108"/>
      <c r="D66" s="109" t="str">
        <f t="shared" si="13"/>
        <v/>
      </c>
      <c r="E66" s="110" t="str">
        <f t="shared" si="14"/>
        <v/>
      </c>
      <c r="F66" s="108"/>
      <c r="G66" s="108"/>
      <c r="H66" s="108"/>
      <c r="I66" s="111" t="str">
        <f>IF('⚙ OFF Weekends'!$D$4="OFF","OFF","")</f>
        <v/>
      </c>
      <c r="J66" s="111" t="str">
        <f>IF('⚙ OFF Weekends'!$D$5="OFF","OFF","")</f>
        <v/>
      </c>
      <c r="K66" s="111" t="str">
        <f>IF('⚙ OFF Weekends'!$D$6="OFF","OFF","")</f>
        <v/>
      </c>
      <c r="L66" s="111" t="str">
        <f>IF('⚙ OFF Weekends'!$D$7="OFF","OFF","")</f>
        <v/>
      </c>
      <c r="M66" s="111" t="str">
        <f>IF('⚙ OFF Weekends'!$D$8="OFF","OFF","")</f>
        <v/>
      </c>
      <c r="N66" s="111" t="str">
        <f>IF('⚙ OFF Weekends'!$D$9="OFF","OFF","")</f>
        <v/>
      </c>
      <c r="O66" s="111" t="str">
        <f>IF('⚙ OFF Weekends'!$D$10="OFF","OFF","")</f>
        <v/>
      </c>
      <c r="P66" s="111" t="str">
        <f>IF('⚙ OFF Weekends'!$D$11="OFF","OFF","")</f>
        <v/>
      </c>
      <c r="Q66" s="111" t="str">
        <f>IF('⚙ OFF Weekends'!$D$12="OFF","OFF","")</f>
        <v/>
      </c>
      <c r="R66" s="111" t="str">
        <f>IF('⚙ OFF Weekends'!$D$13="OFF","OFF","")</f>
        <v/>
      </c>
      <c r="S66" s="111" t="str">
        <f>IF('⚙ OFF Weekends'!$D$14="OFF","OFF","")</f>
        <v/>
      </c>
      <c r="T66" s="111" t="str">
        <f>IF('⚙ OFF Weekends'!$D$15="OFF","OFF","")</f>
        <v/>
      </c>
      <c r="U66" s="111" t="str">
        <f>IF('⚙ OFF Weekends'!$D$16="OFF","OFF","")</f>
        <v/>
      </c>
      <c r="V66" s="111" t="str">
        <f>IF('⚙ OFF Weekends'!$D$17="OFF","OFF","")</f>
        <v/>
      </c>
      <c r="W66" s="111" t="str">
        <f>IF('⚙ OFF Weekends'!$D$18="OFF","OFF","")</f>
        <v>OFF</v>
      </c>
      <c r="X66" s="111" t="str">
        <f>IF('⚙ OFF Weekends'!$D$19="OFF","OFF","")</f>
        <v/>
      </c>
      <c r="Y66" s="111" t="str">
        <f>IF('⚙ OFF Weekends'!$D$20="OFF","OFF","")</f>
        <v/>
      </c>
      <c r="Z66" s="111" t="str">
        <f>IF('⚙ OFF Weekends'!$D$21="OFF","OFF","")</f>
        <v/>
      </c>
      <c r="AA66" s="111" t="str">
        <f>IF('⚙ OFF Weekends'!$D$22="OFF","OFF","")</f>
        <v/>
      </c>
      <c r="AB66" s="111" t="str">
        <f>IF('⚙ OFF Weekends'!$D$23="OFF","OFF","")</f>
        <v/>
      </c>
      <c r="AC66" s="111" t="str">
        <f>IF('⚙ OFF Weekends'!$D$24="OFF","OFF","")</f>
        <v/>
      </c>
      <c r="AD66" s="111" t="str">
        <f>IF('⚙ OFF Weekends'!$D$25="OFF","OFF","")</f>
        <v/>
      </c>
      <c r="AE66" s="111" t="str">
        <f>IF('⚙ OFF Weekends'!$D$26="OFF","OFF","")</f>
        <v/>
      </c>
      <c r="AF66" s="111" t="str">
        <f>IF('⚙ OFF Weekends'!$D$27="OFF","OFF","")</f>
        <v/>
      </c>
      <c r="AG66" s="111" t="str">
        <f>IF('⚙ OFF Weekends'!$D$28="OFF","OFF","")</f>
        <v/>
      </c>
      <c r="AH66" s="111" t="str">
        <f>IF('⚙ OFF Weekends'!$D$29="OFF","OFF","")</f>
        <v/>
      </c>
      <c r="AI66" s="111" t="str">
        <f>IF('⚙ OFF Weekends'!$D$30="OFF","OFF","")</f>
        <v/>
      </c>
      <c r="AJ66" s="111" t="str">
        <f>IF('⚙ OFF Weekends'!$D$31="OFF","OFF","")</f>
        <v/>
      </c>
      <c r="AK66" s="111" t="str">
        <f>IF('⚙ OFF Weekends'!$D$32="OFF","OFF","")</f>
        <v/>
      </c>
      <c r="AL66" s="111" t="str">
        <f>IF('⚙ OFF Weekends'!$D$33="OFF","OFF","")</f>
        <v/>
      </c>
      <c r="AM66" s="111" t="str">
        <f>IF('⚙ OFF Weekends'!$D$34="OFF","OFF","")</f>
        <v/>
      </c>
      <c r="AN66" s="111" t="str">
        <f>IF('⚙ OFF Weekends'!$D$35="OFF","OFF","")</f>
        <v/>
      </c>
      <c r="AO66" s="111" t="str">
        <f>IF('⚙ OFF Weekends'!$D$36="OFF","OFF","")</f>
        <v/>
      </c>
      <c r="AP66" s="111" t="str">
        <f>IF('⚙ OFF Weekends'!$D$37="OFF","OFF","")</f>
        <v/>
      </c>
      <c r="AQ66" s="111" t="str">
        <f>IF('⚙ OFF Weekends'!$D$38="OFF","OFF","")</f>
        <v/>
      </c>
      <c r="AR66" s="111" t="str">
        <f>IF('⚙ OFF Weekends'!$D$39="OFF","OFF","")</f>
        <v/>
      </c>
      <c r="AS66" s="111" t="str">
        <f>IF('⚙ OFF Weekends'!$D$40="OFF","OFF","")</f>
        <v/>
      </c>
      <c r="AT66" s="111" t="str">
        <f>IF('⚙ OFF Weekends'!$D$41="OFF","OFF","")</f>
        <v/>
      </c>
      <c r="AU66" s="111" t="str">
        <f>IF('⚙ OFF Weekends'!$D$42="OFF","OFF","")</f>
        <v/>
      </c>
      <c r="AV66" s="111" t="str">
        <f>IF('⚙ OFF Weekends'!$D$43="OFF","OFF","")</f>
        <v/>
      </c>
      <c r="AW66" s="111" t="str">
        <f>IF('⚙ OFF Weekends'!$D$44="OFF","OFF","")</f>
        <v/>
      </c>
      <c r="AX66" s="111" t="str">
        <f>IF('⚙ OFF Weekends'!$D$45="OFF","OFF","")</f>
        <v/>
      </c>
      <c r="AY66" s="111" t="str">
        <f>IF('⚙ OFF Weekends'!$D$46="OFF","OFF","")</f>
        <v/>
      </c>
      <c r="AZ66" s="111" t="str">
        <f>IF('⚙ OFF Weekends'!$D$47="OFF","OFF","")</f>
        <v/>
      </c>
      <c r="BA66" s="111" t="str">
        <f>IF('⚙ OFF Weekends'!$D$48="OFF","OFF","")</f>
        <v/>
      </c>
      <c r="BB66" s="111" t="str">
        <f>IF('⚙ OFF Weekends'!$D$49="OFF","OFF","")</f>
        <v/>
      </c>
      <c r="BC66" s="111" t="str">
        <f>IF('⚙ OFF Weekends'!$D$50="OFF","OFF","")</f>
        <v/>
      </c>
      <c r="BD66" s="111" t="str">
        <f>IF('⚙ OFF Weekends'!$D$51="OFF","OFF","")</f>
        <v/>
      </c>
      <c r="BE66" s="111" t="str">
        <f>IF('⚙ OFF Weekends'!$D$52="OFF","OFF","")</f>
        <v/>
      </c>
      <c r="BF66" s="111" t="str">
        <f>IF('⚙ OFF Weekends'!$D$53="OFF","OFF","")</f>
        <v/>
      </c>
      <c r="BG66" s="111" t="str">
        <f>IF('⚙ OFF Weekends'!$D$54="OFF","OFF","")</f>
        <v/>
      </c>
      <c r="BH66" s="111" t="str">
        <f>IF('⚙ OFF Weekends'!$D$55="OFF","OFF","")</f>
        <v/>
      </c>
      <c r="BI66" s="111" t="str">
        <f>IF('⚙ OFF Weekends'!$D$56="OFF","OFF","")</f>
        <v/>
      </c>
      <c r="BJ66" s="111" t="str">
        <f>IF('⚙ OFF Weekends'!$D$57="OFF","OFF","")</f>
        <v/>
      </c>
      <c r="BK66" s="111" t="str">
        <f>IF('⚙ OFF Weekends'!$D$58="OFF","OFF","")</f>
        <v/>
      </c>
      <c r="BL66" s="111" t="str">
        <f>IF('⚙ OFF Weekends'!$D$59="OFF","OFF","")</f>
        <v/>
      </c>
      <c r="BM66" s="111" t="str">
        <f>IF('⚙ OFF Weekends'!$D$60="OFF","OFF","")</f>
        <v/>
      </c>
      <c r="BN66" s="111" t="str">
        <f>IF('⚙ OFF Weekends'!$D$61="OFF","OFF","")</f>
        <v/>
      </c>
      <c r="BO66" s="111" t="str">
        <f>IF('⚙ OFF Weekends'!$D$62="OFF","OFF","")</f>
        <v/>
      </c>
      <c r="BP66" s="111" t="str">
        <f>IF('⚙ OFF Weekends'!$D$63="OFF","OFF","")</f>
        <v/>
      </c>
      <c r="BQ66" s="111" t="str">
        <f>IF('⚙ OFF Weekends'!$D$64="OFF","OFF","")</f>
        <v/>
      </c>
      <c r="BR66" s="111" t="str">
        <f>IF('⚙ OFF Weekends'!$D$65="OFF","OFF","")</f>
        <v/>
      </c>
      <c r="BS66" s="111" t="str">
        <f>IF('⚙ OFF Weekends'!$D$66="OFF","OFF","")</f>
        <v/>
      </c>
      <c r="BT66" s="111" t="str">
        <f>IF('⚙ OFF Weekends'!$D$67="OFF","OFF","")</f>
        <v/>
      </c>
      <c r="BU66" s="111" t="str">
        <f>IF('⚙ OFF Weekends'!$D$68="OFF","OFF","")</f>
        <v/>
      </c>
      <c r="BV66" s="111" t="str">
        <f>IF('⚙ OFF Weekends'!$D$69="OFF","OFF","")</f>
        <v/>
      </c>
      <c r="BW66" s="111" t="str">
        <f>IF('⚙ OFF Weekends'!$D$70="OFF","OFF","")</f>
        <v/>
      </c>
      <c r="BX66" s="111" t="str">
        <f>IF('⚙ OFF Weekends'!$D$71="OFF","OFF","")</f>
        <v/>
      </c>
      <c r="BY66" s="111" t="str">
        <f>IF('⚙ OFF Weekends'!$D$72="OFF","OFF","")</f>
        <v/>
      </c>
      <c r="BZ66" s="111" t="str">
        <f>IF('⚙ OFF Weekends'!$D$73="OFF","OFF","")</f>
        <v/>
      </c>
      <c r="CA66" s="111" t="str">
        <f>IF('⚙ OFF Weekends'!$D$74="OFF","OFF","")</f>
        <v/>
      </c>
      <c r="CB66" s="111" t="str">
        <f>IF('⚙ OFF Weekends'!$D$75="OFF","OFF","")</f>
        <v/>
      </c>
      <c r="CC66" s="111" t="str">
        <f>IF('⚙ OFF Weekends'!$D$76="OFF","OFF","")</f>
        <v/>
      </c>
      <c r="CD66" s="111" t="str">
        <f>IF('⚙ OFF Weekends'!$D$77="OFF","OFF","")</f>
        <v/>
      </c>
      <c r="CE66" s="112">
        <f t="shared" si="15"/>
        <v>0</v>
      </c>
      <c r="CF66" s="112">
        <f t="shared" si="16"/>
        <v>0</v>
      </c>
      <c r="CG66" s="112">
        <f t="shared" si="17"/>
        <v>0</v>
      </c>
      <c r="CH66" s="112" t="str">
        <f t="shared" si="18"/>
        <v>0%</v>
      </c>
    </row>
    <row r="67" ht="18.0" customHeight="1">
      <c r="A67" s="107">
        <v>26.0</v>
      </c>
      <c r="B67" s="108"/>
      <c r="C67" s="108"/>
      <c r="D67" s="109" t="str">
        <f t="shared" si="13"/>
        <v/>
      </c>
      <c r="E67" s="110" t="str">
        <f t="shared" si="14"/>
        <v/>
      </c>
      <c r="F67" s="108"/>
      <c r="G67" s="108"/>
      <c r="H67" s="108"/>
      <c r="I67" s="111" t="str">
        <f>IF('⚙ OFF Weekends'!$D$4="OFF","OFF","")</f>
        <v/>
      </c>
      <c r="J67" s="111" t="str">
        <f>IF('⚙ OFF Weekends'!$D$5="OFF","OFF","")</f>
        <v/>
      </c>
      <c r="K67" s="111" t="str">
        <f>IF('⚙ OFF Weekends'!$D$6="OFF","OFF","")</f>
        <v/>
      </c>
      <c r="L67" s="111" t="str">
        <f>IF('⚙ OFF Weekends'!$D$7="OFF","OFF","")</f>
        <v/>
      </c>
      <c r="M67" s="111" t="str">
        <f>IF('⚙ OFF Weekends'!$D$8="OFF","OFF","")</f>
        <v/>
      </c>
      <c r="N67" s="111" t="str">
        <f>IF('⚙ OFF Weekends'!$D$9="OFF","OFF","")</f>
        <v/>
      </c>
      <c r="O67" s="111" t="str">
        <f>IF('⚙ OFF Weekends'!$D$10="OFF","OFF","")</f>
        <v/>
      </c>
      <c r="P67" s="111" t="str">
        <f>IF('⚙ OFF Weekends'!$D$11="OFF","OFF","")</f>
        <v/>
      </c>
      <c r="Q67" s="111" t="str">
        <f>IF('⚙ OFF Weekends'!$D$12="OFF","OFF","")</f>
        <v/>
      </c>
      <c r="R67" s="111" t="str">
        <f>IF('⚙ OFF Weekends'!$D$13="OFF","OFF","")</f>
        <v/>
      </c>
      <c r="S67" s="111" t="str">
        <f>IF('⚙ OFF Weekends'!$D$14="OFF","OFF","")</f>
        <v/>
      </c>
      <c r="T67" s="111" t="str">
        <f>IF('⚙ OFF Weekends'!$D$15="OFF","OFF","")</f>
        <v/>
      </c>
      <c r="U67" s="111" t="str">
        <f>IF('⚙ OFF Weekends'!$D$16="OFF","OFF","")</f>
        <v/>
      </c>
      <c r="V67" s="111" t="str">
        <f>IF('⚙ OFF Weekends'!$D$17="OFF","OFF","")</f>
        <v/>
      </c>
      <c r="W67" s="111" t="str">
        <f>IF('⚙ OFF Weekends'!$D$18="OFF","OFF","")</f>
        <v>OFF</v>
      </c>
      <c r="X67" s="111" t="str">
        <f>IF('⚙ OFF Weekends'!$D$19="OFF","OFF","")</f>
        <v/>
      </c>
      <c r="Y67" s="111" t="str">
        <f>IF('⚙ OFF Weekends'!$D$20="OFF","OFF","")</f>
        <v/>
      </c>
      <c r="Z67" s="111" t="str">
        <f>IF('⚙ OFF Weekends'!$D$21="OFF","OFF","")</f>
        <v/>
      </c>
      <c r="AA67" s="111" t="str">
        <f>IF('⚙ OFF Weekends'!$D$22="OFF","OFF","")</f>
        <v/>
      </c>
      <c r="AB67" s="111" t="str">
        <f>IF('⚙ OFF Weekends'!$D$23="OFF","OFF","")</f>
        <v/>
      </c>
      <c r="AC67" s="111" t="str">
        <f>IF('⚙ OFF Weekends'!$D$24="OFF","OFF","")</f>
        <v/>
      </c>
      <c r="AD67" s="111" t="str">
        <f>IF('⚙ OFF Weekends'!$D$25="OFF","OFF","")</f>
        <v/>
      </c>
      <c r="AE67" s="111" t="str">
        <f>IF('⚙ OFF Weekends'!$D$26="OFF","OFF","")</f>
        <v/>
      </c>
      <c r="AF67" s="111" t="str">
        <f>IF('⚙ OFF Weekends'!$D$27="OFF","OFF","")</f>
        <v/>
      </c>
      <c r="AG67" s="111" t="str">
        <f>IF('⚙ OFF Weekends'!$D$28="OFF","OFF","")</f>
        <v/>
      </c>
      <c r="AH67" s="111" t="str">
        <f>IF('⚙ OFF Weekends'!$D$29="OFF","OFF","")</f>
        <v/>
      </c>
      <c r="AI67" s="111" t="str">
        <f>IF('⚙ OFF Weekends'!$D$30="OFF","OFF","")</f>
        <v/>
      </c>
      <c r="AJ67" s="111" t="str">
        <f>IF('⚙ OFF Weekends'!$D$31="OFF","OFF","")</f>
        <v/>
      </c>
      <c r="AK67" s="111" t="str">
        <f>IF('⚙ OFF Weekends'!$D$32="OFF","OFF","")</f>
        <v/>
      </c>
      <c r="AL67" s="111" t="str">
        <f>IF('⚙ OFF Weekends'!$D$33="OFF","OFF","")</f>
        <v/>
      </c>
      <c r="AM67" s="111" t="str">
        <f>IF('⚙ OFF Weekends'!$D$34="OFF","OFF","")</f>
        <v/>
      </c>
      <c r="AN67" s="111" t="str">
        <f>IF('⚙ OFF Weekends'!$D$35="OFF","OFF","")</f>
        <v/>
      </c>
      <c r="AO67" s="111" t="str">
        <f>IF('⚙ OFF Weekends'!$D$36="OFF","OFF","")</f>
        <v/>
      </c>
      <c r="AP67" s="111" t="str">
        <f>IF('⚙ OFF Weekends'!$D$37="OFF","OFF","")</f>
        <v/>
      </c>
      <c r="AQ67" s="111" t="str">
        <f>IF('⚙ OFF Weekends'!$D$38="OFF","OFF","")</f>
        <v/>
      </c>
      <c r="AR67" s="111" t="str">
        <f>IF('⚙ OFF Weekends'!$D$39="OFF","OFF","")</f>
        <v/>
      </c>
      <c r="AS67" s="111" t="str">
        <f>IF('⚙ OFF Weekends'!$D$40="OFF","OFF","")</f>
        <v/>
      </c>
      <c r="AT67" s="111" t="str">
        <f>IF('⚙ OFF Weekends'!$D$41="OFF","OFF","")</f>
        <v/>
      </c>
      <c r="AU67" s="111" t="str">
        <f>IF('⚙ OFF Weekends'!$D$42="OFF","OFF","")</f>
        <v/>
      </c>
      <c r="AV67" s="111" t="str">
        <f>IF('⚙ OFF Weekends'!$D$43="OFF","OFF","")</f>
        <v/>
      </c>
      <c r="AW67" s="111" t="str">
        <f>IF('⚙ OFF Weekends'!$D$44="OFF","OFF","")</f>
        <v/>
      </c>
      <c r="AX67" s="111" t="str">
        <f>IF('⚙ OFF Weekends'!$D$45="OFF","OFF","")</f>
        <v/>
      </c>
      <c r="AY67" s="111" t="str">
        <f>IF('⚙ OFF Weekends'!$D$46="OFF","OFF","")</f>
        <v/>
      </c>
      <c r="AZ67" s="111" t="str">
        <f>IF('⚙ OFF Weekends'!$D$47="OFF","OFF","")</f>
        <v/>
      </c>
      <c r="BA67" s="111" t="str">
        <f>IF('⚙ OFF Weekends'!$D$48="OFF","OFF","")</f>
        <v/>
      </c>
      <c r="BB67" s="111" t="str">
        <f>IF('⚙ OFF Weekends'!$D$49="OFF","OFF","")</f>
        <v/>
      </c>
      <c r="BC67" s="111" t="str">
        <f>IF('⚙ OFF Weekends'!$D$50="OFF","OFF","")</f>
        <v/>
      </c>
      <c r="BD67" s="111" t="str">
        <f>IF('⚙ OFF Weekends'!$D$51="OFF","OFF","")</f>
        <v/>
      </c>
      <c r="BE67" s="111" t="str">
        <f>IF('⚙ OFF Weekends'!$D$52="OFF","OFF","")</f>
        <v/>
      </c>
      <c r="BF67" s="111" t="str">
        <f>IF('⚙ OFF Weekends'!$D$53="OFF","OFF","")</f>
        <v/>
      </c>
      <c r="BG67" s="111" t="str">
        <f>IF('⚙ OFF Weekends'!$D$54="OFF","OFF","")</f>
        <v/>
      </c>
      <c r="BH67" s="111" t="str">
        <f>IF('⚙ OFF Weekends'!$D$55="OFF","OFF","")</f>
        <v/>
      </c>
      <c r="BI67" s="111" t="str">
        <f>IF('⚙ OFF Weekends'!$D$56="OFF","OFF","")</f>
        <v/>
      </c>
      <c r="BJ67" s="111" t="str">
        <f>IF('⚙ OFF Weekends'!$D$57="OFF","OFF","")</f>
        <v/>
      </c>
      <c r="BK67" s="111" t="str">
        <f>IF('⚙ OFF Weekends'!$D$58="OFF","OFF","")</f>
        <v/>
      </c>
      <c r="BL67" s="111" t="str">
        <f>IF('⚙ OFF Weekends'!$D$59="OFF","OFF","")</f>
        <v/>
      </c>
      <c r="BM67" s="111" t="str">
        <f>IF('⚙ OFF Weekends'!$D$60="OFF","OFF","")</f>
        <v/>
      </c>
      <c r="BN67" s="111" t="str">
        <f>IF('⚙ OFF Weekends'!$D$61="OFF","OFF","")</f>
        <v/>
      </c>
      <c r="BO67" s="111" t="str">
        <f>IF('⚙ OFF Weekends'!$D$62="OFF","OFF","")</f>
        <v/>
      </c>
      <c r="BP67" s="111" t="str">
        <f>IF('⚙ OFF Weekends'!$D$63="OFF","OFF","")</f>
        <v/>
      </c>
      <c r="BQ67" s="111" t="str">
        <f>IF('⚙ OFF Weekends'!$D$64="OFF","OFF","")</f>
        <v/>
      </c>
      <c r="BR67" s="111" t="str">
        <f>IF('⚙ OFF Weekends'!$D$65="OFF","OFF","")</f>
        <v/>
      </c>
      <c r="BS67" s="111" t="str">
        <f>IF('⚙ OFF Weekends'!$D$66="OFF","OFF","")</f>
        <v/>
      </c>
      <c r="BT67" s="111" t="str">
        <f>IF('⚙ OFF Weekends'!$D$67="OFF","OFF","")</f>
        <v/>
      </c>
      <c r="BU67" s="111" t="str">
        <f>IF('⚙ OFF Weekends'!$D$68="OFF","OFF","")</f>
        <v/>
      </c>
      <c r="BV67" s="111" t="str">
        <f>IF('⚙ OFF Weekends'!$D$69="OFF","OFF","")</f>
        <v/>
      </c>
      <c r="BW67" s="111" t="str">
        <f>IF('⚙ OFF Weekends'!$D$70="OFF","OFF","")</f>
        <v/>
      </c>
      <c r="BX67" s="111" t="str">
        <f>IF('⚙ OFF Weekends'!$D$71="OFF","OFF","")</f>
        <v/>
      </c>
      <c r="BY67" s="111" t="str">
        <f>IF('⚙ OFF Weekends'!$D$72="OFF","OFF","")</f>
        <v/>
      </c>
      <c r="BZ67" s="111" t="str">
        <f>IF('⚙ OFF Weekends'!$D$73="OFF","OFF","")</f>
        <v/>
      </c>
      <c r="CA67" s="111" t="str">
        <f>IF('⚙ OFF Weekends'!$D$74="OFF","OFF","")</f>
        <v/>
      </c>
      <c r="CB67" s="111" t="str">
        <f>IF('⚙ OFF Weekends'!$D$75="OFF","OFF","")</f>
        <v/>
      </c>
      <c r="CC67" s="111" t="str">
        <f>IF('⚙ OFF Weekends'!$D$76="OFF","OFF","")</f>
        <v/>
      </c>
      <c r="CD67" s="111" t="str">
        <f>IF('⚙ OFF Weekends'!$D$77="OFF","OFF","")</f>
        <v/>
      </c>
      <c r="CE67" s="112">
        <f t="shared" si="15"/>
        <v>0</v>
      </c>
      <c r="CF67" s="112">
        <f t="shared" si="16"/>
        <v>0</v>
      </c>
      <c r="CG67" s="112">
        <f t="shared" si="17"/>
        <v>0</v>
      </c>
      <c r="CH67" s="112" t="str">
        <f t="shared" si="18"/>
        <v>0%</v>
      </c>
    </row>
    <row r="68" ht="15.0" customHeight="1">
      <c r="A68" s="113" t="str">
        <f>"Group Strength: "&amp;COUNTA(B42:B67)</f>
        <v>Group Strength: 22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3"/>
    </row>
    <row r="69" ht="4.5" customHeight="1">
      <c r="A69" s="11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3"/>
    </row>
    <row r="70" ht="19.5" customHeight="1">
      <c r="A70" s="8" t="s">
        <v>678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3"/>
    </row>
    <row r="71" ht="18.0" customHeight="1">
      <c r="A71" s="95">
        <v>1.0</v>
      </c>
      <c r="B71" s="12" t="s">
        <v>679</v>
      </c>
      <c r="C71" s="14" t="s">
        <v>680</v>
      </c>
      <c r="D71" s="17" t="str">
        <f t="shared" ref="D71:D96" si="19">IF(C71&lt;&gt;"",HYPERLINK("tel:"&amp;SUBSTITUTE(SUBSTITUTE(C71," ",""),"+","+"),"📞 Call"),"")</f>
        <v>📞 Call</v>
      </c>
      <c r="E71" s="19" t="str">
        <f t="shared" ref="E71:E96" si="20">IF(C71&lt;&gt;"",HYPERLINK("https://wa.me/"&amp;SUBSTITUTE(SUBSTITUTE(C71,"+","")," ",""),"💬 WhatsApp"),"")</f>
        <v>💬 WhatsApp</v>
      </c>
      <c r="F71" s="10"/>
      <c r="G71" s="10" t="s">
        <v>624</v>
      </c>
      <c r="H71" s="10"/>
      <c r="I71" s="79" t="s">
        <v>223</v>
      </c>
      <c r="J71" s="79" t="s">
        <v>223</v>
      </c>
      <c r="K71" s="49" t="s">
        <v>197</v>
      </c>
      <c r="L71" s="79" t="s">
        <v>223</v>
      </c>
      <c r="M71" s="77" t="s">
        <v>198</v>
      </c>
      <c r="N71" s="77" t="s">
        <v>198</v>
      </c>
      <c r="O71" s="77" t="s">
        <v>198</v>
      </c>
      <c r="P71" s="77" t="s">
        <v>198</v>
      </c>
      <c r="Q71" s="79" t="s">
        <v>223</v>
      </c>
      <c r="R71" s="79" t="s">
        <v>223</v>
      </c>
      <c r="S71" s="52" t="s">
        <v>223</v>
      </c>
      <c r="T71" s="98" t="s">
        <v>196</v>
      </c>
      <c r="U71" s="52" t="s">
        <v>223</v>
      </c>
      <c r="V71" s="53" t="s">
        <v>223</v>
      </c>
      <c r="W71" s="52" t="s">
        <v>348</v>
      </c>
      <c r="X71" s="53" t="s">
        <v>223</v>
      </c>
      <c r="Y71" s="52" t="s">
        <v>223</v>
      </c>
      <c r="Z71" s="53" t="s">
        <v>223</v>
      </c>
      <c r="AA71" s="52" t="s">
        <v>223</v>
      </c>
      <c r="AB71" s="53" t="s">
        <v>223</v>
      </c>
      <c r="AC71" s="54" t="str">
        <f>IF('⚙ OFF Weekends'!$D$24="OFF","OFF","")</f>
        <v/>
      </c>
      <c r="AD71" s="56" t="str">
        <f>IF('⚙ OFF Weekends'!$D$25="OFF","OFF","")</f>
        <v/>
      </c>
      <c r="AE71" s="54" t="str">
        <f>IF('⚙ OFF Weekends'!$D$26="OFF","OFF","")</f>
        <v/>
      </c>
      <c r="AF71" s="56" t="str">
        <f>IF('⚙ OFF Weekends'!$D$27="OFF","OFF","")</f>
        <v/>
      </c>
      <c r="AG71" s="54" t="str">
        <f>IF('⚙ OFF Weekends'!$D$28="OFF","OFF","")</f>
        <v/>
      </c>
      <c r="AH71" s="56" t="str">
        <f>IF('⚙ OFF Weekends'!$D$29="OFF","OFF","")</f>
        <v/>
      </c>
      <c r="AI71" s="54" t="str">
        <f>IF('⚙ OFF Weekends'!$D$30="OFF","OFF","")</f>
        <v/>
      </c>
      <c r="AJ71" s="56" t="str">
        <f>IF('⚙ OFF Weekends'!$D$31="OFF","OFF","")</f>
        <v/>
      </c>
      <c r="AK71" s="54" t="str">
        <f>IF('⚙ OFF Weekends'!$D$32="OFF","OFF","")</f>
        <v/>
      </c>
      <c r="AL71" s="56" t="str">
        <f>IF('⚙ OFF Weekends'!$D$33="OFF","OFF","")</f>
        <v/>
      </c>
      <c r="AM71" s="54" t="str">
        <f>IF('⚙ OFF Weekends'!$D$34="OFF","OFF","")</f>
        <v/>
      </c>
      <c r="AN71" s="56" t="str">
        <f>IF('⚙ OFF Weekends'!$D$35="OFF","OFF","")</f>
        <v/>
      </c>
      <c r="AO71" s="54" t="str">
        <f>IF('⚙ OFF Weekends'!$D$36="OFF","OFF","")</f>
        <v/>
      </c>
      <c r="AP71" s="56" t="str">
        <f>IF('⚙ OFF Weekends'!$D$37="OFF","OFF","")</f>
        <v/>
      </c>
      <c r="AQ71" s="54" t="str">
        <f>IF('⚙ OFF Weekends'!$D$38="OFF","OFF","")</f>
        <v/>
      </c>
      <c r="AR71" s="56" t="str">
        <f>IF('⚙ OFF Weekends'!$D$39="OFF","OFF","")</f>
        <v/>
      </c>
      <c r="AS71" s="54" t="str">
        <f>IF('⚙ OFF Weekends'!$D$40="OFF","OFF","")</f>
        <v/>
      </c>
      <c r="AT71" s="56" t="str">
        <f>IF('⚙ OFF Weekends'!$D$41="OFF","OFF","")</f>
        <v/>
      </c>
      <c r="AU71" s="54" t="str">
        <f>IF('⚙ OFF Weekends'!$D$42="OFF","OFF","")</f>
        <v/>
      </c>
      <c r="AV71" s="56" t="str">
        <f>IF('⚙ OFF Weekends'!$D$43="OFF","OFF","")</f>
        <v/>
      </c>
      <c r="AW71" s="54" t="str">
        <f>IF('⚙ OFF Weekends'!$D$44="OFF","OFF","")</f>
        <v/>
      </c>
      <c r="AX71" s="56" t="str">
        <f>IF('⚙ OFF Weekends'!$D$45="OFF","OFF","")</f>
        <v/>
      </c>
      <c r="AY71" s="54" t="str">
        <f>IF('⚙ OFF Weekends'!$D$46="OFF","OFF","")</f>
        <v/>
      </c>
      <c r="AZ71" s="56" t="str">
        <f>IF('⚙ OFF Weekends'!$D$47="OFF","OFF","")</f>
        <v/>
      </c>
      <c r="BA71" s="54" t="str">
        <f>IF('⚙ OFF Weekends'!$D$48="OFF","OFF","")</f>
        <v/>
      </c>
      <c r="BB71" s="56" t="str">
        <f>IF('⚙ OFF Weekends'!$D$49="OFF","OFF","")</f>
        <v/>
      </c>
      <c r="BC71" s="54" t="str">
        <f>IF('⚙ OFF Weekends'!$D$50="OFF","OFF","")</f>
        <v/>
      </c>
      <c r="BD71" s="56" t="str">
        <f>IF('⚙ OFF Weekends'!$D$51="OFF","OFF","")</f>
        <v/>
      </c>
      <c r="BE71" s="54" t="str">
        <f>IF('⚙ OFF Weekends'!$D$52="OFF","OFF","")</f>
        <v/>
      </c>
      <c r="BF71" s="56" t="str">
        <f>IF('⚙ OFF Weekends'!$D$53="OFF","OFF","")</f>
        <v/>
      </c>
      <c r="BG71" s="54" t="str">
        <f>IF('⚙ OFF Weekends'!$D$54="OFF","OFF","")</f>
        <v/>
      </c>
      <c r="BH71" s="56" t="str">
        <f>IF('⚙ OFF Weekends'!$D$55="OFF","OFF","")</f>
        <v/>
      </c>
      <c r="BI71" s="54" t="str">
        <f>IF('⚙ OFF Weekends'!$D$56="OFF","OFF","")</f>
        <v/>
      </c>
      <c r="BJ71" s="56" t="str">
        <f>IF('⚙ OFF Weekends'!$D$57="OFF","OFF","")</f>
        <v/>
      </c>
      <c r="BK71" s="54" t="str">
        <f>IF('⚙ OFF Weekends'!$D$58="OFF","OFF","")</f>
        <v/>
      </c>
      <c r="BL71" s="56" t="str">
        <f>IF('⚙ OFF Weekends'!$D$59="OFF","OFF","")</f>
        <v/>
      </c>
      <c r="BM71" s="54" t="str">
        <f>IF('⚙ OFF Weekends'!$D$60="OFF","OFF","")</f>
        <v/>
      </c>
      <c r="BN71" s="56" t="str">
        <f>IF('⚙ OFF Weekends'!$D$61="OFF","OFF","")</f>
        <v/>
      </c>
      <c r="BO71" s="54" t="str">
        <f>IF('⚙ OFF Weekends'!$D$62="OFF","OFF","")</f>
        <v/>
      </c>
      <c r="BP71" s="56" t="str">
        <f>IF('⚙ OFF Weekends'!$D$63="OFF","OFF","")</f>
        <v/>
      </c>
      <c r="BQ71" s="54" t="str">
        <f>IF('⚙ OFF Weekends'!$D$64="OFF","OFF","")</f>
        <v/>
      </c>
      <c r="BR71" s="56" t="str">
        <f>IF('⚙ OFF Weekends'!$D$65="OFF","OFF","")</f>
        <v/>
      </c>
      <c r="BS71" s="54" t="str">
        <f>IF('⚙ OFF Weekends'!$D$66="OFF","OFF","")</f>
        <v/>
      </c>
      <c r="BT71" s="56" t="str">
        <f>IF('⚙ OFF Weekends'!$D$67="OFF","OFF","")</f>
        <v/>
      </c>
      <c r="BU71" s="54" t="str">
        <f>IF('⚙ OFF Weekends'!$D$68="OFF","OFF","")</f>
        <v/>
      </c>
      <c r="BV71" s="56" t="str">
        <f>IF('⚙ OFF Weekends'!$D$69="OFF","OFF","")</f>
        <v/>
      </c>
      <c r="BW71" s="54" t="str">
        <f>IF('⚙ OFF Weekends'!$D$70="OFF","OFF","")</f>
        <v/>
      </c>
      <c r="BX71" s="56" t="str">
        <f>IF('⚙ OFF Weekends'!$D$71="OFF","OFF","")</f>
        <v/>
      </c>
      <c r="BY71" s="54" t="str">
        <f>IF('⚙ OFF Weekends'!$D$72="OFF","OFF","")</f>
        <v/>
      </c>
      <c r="BZ71" s="56" t="str">
        <f>IF('⚙ OFF Weekends'!$D$73="OFF","OFF","")</f>
        <v/>
      </c>
      <c r="CA71" s="54" t="str">
        <f>IF('⚙ OFF Weekends'!$D$74="OFF","OFF","")</f>
        <v/>
      </c>
      <c r="CB71" s="56" t="str">
        <f>IF('⚙ OFF Weekends'!$D$75="OFF","OFF","")</f>
        <v/>
      </c>
      <c r="CC71" s="54" t="str">
        <f>IF('⚙ OFF Weekends'!$D$76="OFF","OFF","")</f>
        <v/>
      </c>
      <c r="CD71" s="56" t="str">
        <f>IF('⚙ OFF Weekends'!$D$77="OFF","OFF","")</f>
        <v/>
      </c>
      <c r="CE71" s="95">
        <f t="shared" ref="CE71:CE96" si="21">COUNTIF(I71:CD71,"Present")+COUNTIF(I71:CD71,"Late")</f>
        <v>1</v>
      </c>
      <c r="CF71" s="95">
        <f t="shared" ref="CF71:CF96" si="22">COUNTIF(I71:CD71,"Absent")</f>
        <v>13</v>
      </c>
      <c r="CG71" s="95">
        <f t="shared" ref="CG71:CG96" si="23">COUNTIF(I71:CD71,"Leave")</f>
        <v>4</v>
      </c>
      <c r="CH71" s="95" t="str">
        <f t="shared" ref="CH71:CH96" si="24">IF(CE71+CF71=0,"0%",TEXT(CE71/(CE71+CF71),"0%"))</f>
        <v>7%</v>
      </c>
    </row>
    <row r="72" ht="18.0" customHeight="1">
      <c r="A72" s="96">
        <v>2.0</v>
      </c>
      <c r="B72" s="22" t="s">
        <v>687</v>
      </c>
      <c r="C72" s="23" t="s">
        <v>688</v>
      </c>
      <c r="D72" s="24" t="str">
        <f t="shared" si="19"/>
        <v>📞 Call</v>
      </c>
      <c r="E72" s="41" t="str">
        <f t="shared" si="20"/>
        <v>💬 WhatsApp</v>
      </c>
      <c r="F72" s="20"/>
      <c r="G72" s="20" t="s">
        <v>624</v>
      </c>
      <c r="H72" s="20"/>
      <c r="I72" s="79" t="s">
        <v>223</v>
      </c>
      <c r="J72" s="79" t="s">
        <v>223</v>
      </c>
      <c r="K72" s="49" t="s">
        <v>197</v>
      </c>
      <c r="L72" s="79" t="s">
        <v>223</v>
      </c>
      <c r="M72" s="79" t="s">
        <v>223</v>
      </c>
      <c r="N72" s="50" t="s">
        <v>37</v>
      </c>
      <c r="O72" s="79" t="s">
        <v>223</v>
      </c>
      <c r="P72" s="79" t="s">
        <v>223</v>
      </c>
      <c r="Q72" s="77" t="s">
        <v>198</v>
      </c>
      <c r="R72" s="77" t="s">
        <v>198</v>
      </c>
      <c r="S72" s="77" t="s">
        <v>198</v>
      </c>
      <c r="T72" s="77" t="s">
        <v>198</v>
      </c>
      <c r="U72" s="52" t="s">
        <v>198</v>
      </c>
      <c r="V72" s="53" t="s">
        <v>198</v>
      </c>
      <c r="W72" s="52" t="s">
        <v>348</v>
      </c>
      <c r="X72" s="53" t="s">
        <v>198</v>
      </c>
      <c r="Y72" s="52" t="s">
        <v>198</v>
      </c>
      <c r="Z72" s="53" t="s">
        <v>223</v>
      </c>
      <c r="AA72" s="52" t="s">
        <v>223</v>
      </c>
      <c r="AB72" s="53" t="s">
        <v>223</v>
      </c>
      <c r="AC72" s="54" t="str">
        <f>IF('⚙ OFF Weekends'!$D$24="OFF","OFF","")</f>
        <v/>
      </c>
      <c r="AD72" s="56" t="str">
        <f>IF('⚙ OFF Weekends'!$D$25="OFF","OFF","")</f>
        <v/>
      </c>
      <c r="AE72" s="54" t="str">
        <f>IF('⚙ OFF Weekends'!$D$26="OFF","OFF","")</f>
        <v/>
      </c>
      <c r="AF72" s="56" t="str">
        <f>IF('⚙ OFF Weekends'!$D$27="OFF","OFF","")</f>
        <v/>
      </c>
      <c r="AG72" s="54" t="str">
        <f>IF('⚙ OFF Weekends'!$D$28="OFF","OFF","")</f>
        <v/>
      </c>
      <c r="AH72" s="56" t="str">
        <f>IF('⚙ OFF Weekends'!$D$29="OFF","OFF","")</f>
        <v/>
      </c>
      <c r="AI72" s="54" t="str">
        <f>IF('⚙ OFF Weekends'!$D$30="OFF","OFF","")</f>
        <v/>
      </c>
      <c r="AJ72" s="56" t="str">
        <f>IF('⚙ OFF Weekends'!$D$31="OFF","OFF","")</f>
        <v/>
      </c>
      <c r="AK72" s="54" t="str">
        <f>IF('⚙ OFF Weekends'!$D$32="OFF","OFF","")</f>
        <v/>
      </c>
      <c r="AL72" s="56" t="str">
        <f>IF('⚙ OFF Weekends'!$D$33="OFF","OFF","")</f>
        <v/>
      </c>
      <c r="AM72" s="54" t="str">
        <f>IF('⚙ OFF Weekends'!$D$34="OFF","OFF","")</f>
        <v/>
      </c>
      <c r="AN72" s="56" t="str">
        <f>IF('⚙ OFF Weekends'!$D$35="OFF","OFF","")</f>
        <v/>
      </c>
      <c r="AO72" s="54" t="str">
        <f>IF('⚙ OFF Weekends'!$D$36="OFF","OFF","")</f>
        <v/>
      </c>
      <c r="AP72" s="56" t="str">
        <f>IF('⚙ OFF Weekends'!$D$37="OFF","OFF","")</f>
        <v/>
      </c>
      <c r="AQ72" s="54" t="str">
        <f>IF('⚙ OFF Weekends'!$D$38="OFF","OFF","")</f>
        <v/>
      </c>
      <c r="AR72" s="56" t="str">
        <f>IF('⚙ OFF Weekends'!$D$39="OFF","OFF","")</f>
        <v/>
      </c>
      <c r="AS72" s="54" t="str">
        <f>IF('⚙ OFF Weekends'!$D$40="OFF","OFF","")</f>
        <v/>
      </c>
      <c r="AT72" s="56" t="str">
        <f>IF('⚙ OFF Weekends'!$D$41="OFF","OFF","")</f>
        <v/>
      </c>
      <c r="AU72" s="54" t="str">
        <f>IF('⚙ OFF Weekends'!$D$42="OFF","OFF","")</f>
        <v/>
      </c>
      <c r="AV72" s="56" t="str">
        <f>IF('⚙ OFF Weekends'!$D$43="OFF","OFF","")</f>
        <v/>
      </c>
      <c r="AW72" s="54" t="str">
        <f>IF('⚙ OFF Weekends'!$D$44="OFF","OFF","")</f>
        <v/>
      </c>
      <c r="AX72" s="56" t="str">
        <f>IF('⚙ OFF Weekends'!$D$45="OFF","OFF","")</f>
        <v/>
      </c>
      <c r="AY72" s="54" t="str">
        <f>IF('⚙ OFF Weekends'!$D$46="OFF","OFF","")</f>
        <v/>
      </c>
      <c r="AZ72" s="56" t="str">
        <f>IF('⚙ OFF Weekends'!$D$47="OFF","OFF","")</f>
        <v/>
      </c>
      <c r="BA72" s="54" t="str">
        <f>IF('⚙ OFF Weekends'!$D$48="OFF","OFF","")</f>
        <v/>
      </c>
      <c r="BB72" s="56" t="str">
        <f>IF('⚙ OFF Weekends'!$D$49="OFF","OFF","")</f>
        <v/>
      </c>
      <c r="BC72" s="54" t="str">
        <f>IF('⚙ OFF Weekends'!$D$50="OFF","OFF","")</f>
        <v/>
      </c>
      <c r="BD72" s="56" t="str">
        <f>IF('⚙ OFF Weekends'!$D$51="OFF","OFF","")</f>
        <v/>
      </c>
      <c r="BE72" s="54" t="str">
        <f>IF('⚙ OFF Weekends'!$D$52="OFF","OFF","")</f>
        <v/>
      </c>
      <c r="BF72" s="56" t="str">
        <f>IF('⚙ OFF Weekends'!$D$53="OFF","OFF","")</f>
        <v/>
      </c>
      <c r="BG72" s="54" t="str">
        <f>IF('⚙ OFF Weekends'!$D$54="OFF","OFF","")</f>
        <v/>
      </c>
      <c r="BH72" s="56" t="str">
        <f>IF('⚙ OFF Weekends'!$D$55="OFF","OFF","")</f>
        <v/>
      </c>
      <c r="BI72" s="54" t="str">
        <f>IF('⚙ OFF Weekends'!$D$56="OFF","OFF","")</f>
        <v/>
      </c>
      <c r="BJ72" s="56" t="str">
        <f>IF('⚙ OFF Weekends'!$D$57="OFF","OFF","")</f>
        <v/>
      </c>
      <c r="BK72" s="54" t="str">
        <f>IF('⚙ OFF Weekends'!$D$58="OFF","OFF","")</f>
        <v/>
      </c>
      <c r="BL72" s="56" t="str">
        <f>IF('⚙ OFF Weekends'!$D$59="OFF","OFF","")</f>
        <v/>
      </c>
      <c r="BM72" s="54" t="str">
        <f>IF('⚙ OFF Weekends'!$D$60="OFF","OFF","")</f>
        <v/>
      </c>
      <c r="BN72" s="56" t="str">
        <f>IF('⚙ OFF Weekends'!$D$61="OFF","OFF","")</f>
        <v/>
      </c>
      <c r="BO72" s="54" t="str">
        <f>IF('⚙ OFF Weekends'!$D$62="OFF","OFF","")</f>
        <v/>
      </c>
      <c r="BP72" s="56" t="str">
        <f>IF('⚙ OFF Weekends'!$D$63="OFF","OFF","")</f>
        <v/>
      </c>
      <c r="BQ72" s="54" t="str">
        <f>IF('⚙ OFF Weekends'!$D$64="OFF","OFF","")</f>
        <v/>
      </c>
      <c r="BR72" s="56" t="str">
        <f>IF('⚙ OFF Weekends'!$D$65="OFF","OFF","")</f>
        <v/>
      </c>
      <c r="BS72" s="54" t="str">
        <f>IF('⚙ OFF Weekends'!$D$66="OFF","OFF","")</f>
        <v/>
      </c>
      <c r="BT72" s="56" t="str">
        <f>IF('⚙ OFF Weekends'!$D$67="OFF","OFF","")</f>
        <v/>
      </c>
      <c r="BU72" s="54" t="str">
        <f>IF('⚙ OFF Weekends'!$D$68="OFF","OFF","")</f>
        <v/>
      </c>
      <c r="BV72" s="56" t="str">
        <f>IF('⚙ OFF Weekends'!$D$69="OFF","OFF","")</f>
        <v/>
      </c>
      <c r="BW72" s="54" t="str">
        <f>IF('⚙ OFF Weekends'!$D$70="OFF","OFF","")</f>
        <v/>
      </c>
      <c r="BX72" s="56" t="str">
        <f>IF('⚙ OFF Weekends'!$D$71="OFF","OFF","")</f>
        <v/>
      </c>
      <c r="BY72" s="54" t="str">
        <f>IF('⚙ OFF Weekends'!$D$72="OFF","OFF","")</f>
        <v/>
      </c>
      <c r="BZ72" s="56" t="str">
        <f>IF('⚙ OFF Weekends'!$D$73="OFF","OFF","")</f>
        <v/>
      </c>
      <c r="CA72" s="54" t="str">
        <f>IF('⚙ OFF Weekends'!$D$74="OFF","OFF","")</f>
        <v/>
      </c>
      <c r="CB72" s="56" t="str">
        <f>IF('⚙ OFF Weekends'!$D$75="OFF","OFF","")</f>
        <v/>
      </c>
      <c r="CC72" s="54" t="str">
        <f>IF('⚙ OFF Weekends'!$D$76="OFF","OFF","")</f>
        <v/>
      </c>
      <c r="CD72" s="56" t="str">
        <f>IF('⚙ OFF Weekends'!$D$77="OFF","OFF","")</f>
        <v/>
      </c>
      <c r="CE72" s="96">
        <f t="shared" si="21"/>
        <v>1</v>
      </c>
      <c r="CF72" s="96">
        <f t="shared" si="22"/>
        <v>9</v>
      </c>
      <c r="CG72" s="96">
        <f t="shared" si="23"/>
        <v>8</v>
      </c>
      <c r="CH72" s="96" t="str">
        <f t="shared" si="24"/>
        <v>10%</v>
      </c>
    </row>
    <row r="73" ht="18.0" customHeight="1">
      <c r="A73" s="95">
        <v>3.0</v>
      </c>
      <c r="B73" s="12" t="s">
        <v>691</v>
      </c>
      <c r="C73" s="14" t="s">
        <v>692</v>
      </c>
      <c r="D73" s="17" t="str">
        <f t="shared" si="19"/>
        <v>📞 Call</v>
      </c>
      <c r="E73" s="19" t="str">
        <f t="shared" si="20"/>
        <v>💬 WhatsApp</v>
      </c>
      <c r="F73" s="10"/>
      <c r="G73" s="10" t="s">
        <v>624</v>
      </c>
      <c r="H73" s="10" t="s">
        <v>320</v>
      </c>
      <c r="I73" s="48" t="s">
        <v>196</v>
      </c>
      <c r="J73" s="79" t="s">
        <v>223</v>
      </c>
      <c r="K73" s="49" t="s">
        <v>197</v>
      </c>
      <c r="L73" s="77" t="s">
        <v>198</v>
      </c>
      <c r="M73" s="50" t="s">
        <v>37</v>
      </c>
      <c r="N73" s="79" t="s">
        <v>223</v>
      </c>
      <c r="O73" s="77" t="s">
        <v>198</v>
      </c>
      <c r="P73" s="77" t="s">
        <v>198</v>
      </c>
      <c r="Q73" s="79" t="s">
        <v>223</v>
      </c>
      <c r="R73" s="79" t="s">
        <v>223</v>
      </c>
      <c r="S73" s="52" t="s">
        <v>223</v>
      </c>
      <c r="T73" s="98" t="s">
        <v>223</v>
      </c>
      <c r="U73" s="52" t="s">
        <v>223</v>
      </c>
      <c r="V73" s="53" t="s">
        <v>223</v>
      </c>
      <c r="W73" s="52" t="s">
        <v>348</v>
      </c>
      <c r="X73" s="53" t="s">
        <v>198</v>
      </c>
      <c r="Y73" s="52" t="s">
        <v>198</v>
      </c>
      <c r="Z73" s="53" t="s">
        <v>223</v>
      </c>
      <c r="AA73" s="52" t="s">
        <v>223</v>
      </c>
      <c r="AB73" s="53" t="s">
        <v>223</v>
      </c>
      <c r="AC73" s="54" t="str">
        <f>IF('⚙ OFF Weekends'!$D$24="OFF","OFF","")</f>
        <v/>
      </c>
      <c r="AD73" s="56" t="str">
        <f>IF('⚙ OFF Weekends'!$D$25="OFF","OFF","")</f>
        <v/>
      </c>
      <c r="AE73" s="54" t="str">
        <f>IF('⚙ OFF Weekends'!$D$26="OFF","OFF","")</f>
        <v/>
      </c>
      <c r="AF73" s="56" t="str">
        <f>IF('⚙ OFF Weekends'!$D$27="OFF","OFF","")</f>
        <v/>
      </c>
      <c r="AG73" s="54" t="str">
        <f>IF('⚙ OFF Weekends'!$D$28="OFF","OFF","")</f>
        <v/>
      </c>
      <c r="AH73" s="56" t="str">
        <f>IF('⚙ OFF Weekends'!$D$29="OFF","OFF","")</f>
        <v/>
      </c>
      <c r="AI73" s="54" t="str">
        <f>IF('⚙ OFF Weekends'!$D$30="OFF","OFF","")</f>
        <v/>
      </c>
      <c r="AJ73" s="56" t="str">
        <f>IF('⚙ OFF Weekends'!$D$31="OFF","OFF","")</f>
        <v/>
      </c>
      <c r="AK73" s="54" t="str">
        <f>IF('⚙ OFF Weekends'!$D$32="OFF","OFF","")</f>
        <v/>
      </c>
      <c r="AL73" s="56" t="str">
        <f>IF('⚙ OFF Weekends'!$D$33="OFF","OFF","")</f>
        <v/>
      </c>
      <c r="AM73" s="54" t="str">
        <f>IF('⚙ OFF Weekends'!$D$34="OFF","OFF","")</f>
        <v/>
      </c>
      <c r="AN73" s="56" t="str">
        <f>IF('⚙ OFF Weekends'!$D$35="OFF","OFF","")</f>
        <v/>
      </c>
      <c r="AO73" s="54" t="str">
        <f>IF('⚙ OFF Weekends'!$D$36="OFF","OFF","")</f>
        <v/>
      </c>
      <c r="AP73" s="56" t="str">
        <f>IF('⚙ OFF Weekends'!$D$37="OFF","OFF","")</f>
        <v/>
      </c>
      <c r="AQ73" s="54" t="str">
        <f>IF('⚙ OFF Weekends'!$D$38="OFF","OFF","")</f>
        <v/>
      </c>
      <c r="AR73" s="56" t="str">
        <f>IF('⚙ OFF Weekends'!$D$39="OFF","OFF","")</f>
        <v/>
      </c>
      <c r="AS73" s="54" t="str">
        <f>IF('⚙ OFF Weekends'!$D$40="OFF","OFF","")</f>
        <v/>
      </c>
      <c r="AT73" s="56" t="str">
        <f>IF('⚙ OFF Weekends'!$D$41="OFF","OFF","")</f>
        <v/>
      </c>
      <c r="AU73" s="54" t="str">
        <f>IF('⚙ OFF Weekends'!$D$42="OFF","OFF","")</f>
        <v/>
      </c>
      <c r="AV73" s="56" t="str">
        <f>IF('⚙ OFF Weekends'!$D$43="OFF","OFF","")</f>
        <v/>
      </c>
      <c r="AW73" s="54" t="str">
        <f>IF('⚙ OFF Weekends'!$D$44="OFF","OFF","")</f>
        <v/>
      </c>
      <c r="AX73" s="56" t="str">
        <f>IF('⚙ OFF Weekends'!$D$45="OFF","OFF","")</f>
        <v/>
      </c>
      <c r="AY73" s="54" t="str">
        <f>IF('⚙ OFF Weekends'!$D$46="OFF","OFF","")</f>
        <v/>
      </c>
      <c r="AZ73" s="56" t="str">
        <f>IF('⚙ OFF Weekends'!$D$47="OFF","OFF","")</f>
        <v/>
      </c>
      <c r="BA73" s="54" t="str">
        <f>IF('⚙ OFF Weekends'!$D$48="OFF","OFF","")</f>
        <v/>
      </c>
      <c r="BB73" s="56" t="str">
        <f>IF('⚙ OFF Weekends'!$D$49="OFF","OFF","")</f>
        <v/>
      </c>
      <c r="BC73" s="54" t="str">
        <f>IF('⚙ OFF Weekends'!$D$50="OFF","OFF","")</f>
        <v/>
      </c>
      <c r="BD73" s="56" t="str">
        <f>IF('⚙ OFF Weekends'!$D$51="OFF","OFF","")</f>
        <v/>
      </c>
      <c r="BE73" s="54" t="str">
        <f>IF('⚙ OFF Weekends'!$D$52="OFF","OFF","")</f>
        <v/>
      </c>
      <c r="BF73" s="56" t="str">
        <f>IF('⚙ OFF Weekends'!$D$53="OFF","OFF","")</f>
        <v/>
      </c>
      <c r="BG73" s="54" t="str">
        <f>IF('⚙ OFF Weekends'!$D$54="OFF","OFF","")</f>
        <v/>
      </c>
      <c r="BH73" s="56" t="str">
        <f>IF('⚙ OFF Weekends'!$D$55="OFF","OFF","")</f>
        <v/>
      </c>
      <c r="BI73" s="54" t="str">
        <f>IF('⚙ OFF Weekends'!$D$56="OFF","OFF","")</f>
        <v/>
      </c>
      <c r="BJ73" s="56" t="str">
        <f>IF('⚙ OFF Weekends'!$D$57="OFF","OFF","")</f>
        <v/>
      </c>
      <c r="BK73" s="54" t="str">
        <f>IF('⚙ OFF Weekends'!$D$58="OFF","OFF","")</f>
        <v/>
      </c>
      <c r="BL73" s="56" t="str">
        <f>IF('⚙ OFF Weekends'!$D$59="OFF","OFF","")</f>
        <v/>
      </c>
      <c r="BM73" s="54" t="str">
        <f>IF('⚙ OFF Weekends'!$D$60="OFF","OFF","")</f>
        <v/>
      </c>
      <c r="BN73" s="56" t="str">
        <f>IF('⚙ OFF Weekends'!$D$61="OFF","OFF","")</f>
        <v/>
      </c>
      <c r="BO73" s="54" t="str">
        <f>IF('⚙ OFF Weekends'!$D$62="OFF","OFF","")</f>
        <v/>
      </c>
      <c r="BP73" s="56" t="str">
        <f>IF('⚙ OFF Weekends'!$D$63="OFF","OFF","")</f>
        <v/>
      </c>
      <c r="BQ73" s="54" t="str">
        <f>IF('⚙ OFF Weekends'!$D$64="OFF","OFF","")</f>
        <v/>
      </c>
      <c r="BR73" s="56" t="str">
        <f>IF('⚙ OFF Weekends'!$D$65="OFF","OFF","")</f>
        <v/>
      </c>
      <c r="BS73" s="54" t="str">
        <f>IF('⚙ OFF Weekends'!$D$66="OFF","OFF","")</f>
        <v/>
      </c>
      <c r="BT73" s="56" t="str">
        <f>IF('⚙ OFF Weekends'!$D$67="OFF","OFF","")</f>
        <v/>
      </c>
      <c r="BU73" s="54" t="str">
        <f>IF('⚙ OFF Weekends'!$D$68="OFF","OFF","")</f>
        <v/>
      </c>
      <c r="BV73" s="56" t="str">
        <f>IF('⚙ OFF Weekends'!$D$69="OFF","OFF","")</f>
        <v/>
      </c>
      <c r="BW73" s="54" t="str">
        <f>IF('⚙ OFF Weekends'!$D$70="OFF","OFF","")</f>
        <v/>
      </c>
      <c r="BX73" s="56" t="str">
        <f>IF('⚙ OFF Weekends'!$D$71="OFF","OFF","")</f>
        <v/>
      </c>
      <c r="BY73" s="54" t="str">
        <f>IF('⚙ OFF Weekends'!$D$72="OFF","OFF","")</f>
        <v/>
      </c>
      <c r="BZ73" s="56" t="str">
        <f>IF('⚙ OFF Weekends'!$D$73="OFF","OFF","")</f>
        <v/>
      </c>
      <c r="CA73" s="54" t="str">
        <f>IF('⚙ OFF Weekends'!$D$74="OFF","OFF","")</f>
        <v/>
      </c>
      <c r="CB73" s="56" t="str">
        <f>IF('⚙ OFF Weekends'!$D$75="OFF","OFF","")</f>
        <v/>
      </c>
      <c r="CC73" s="54" t="str">
        <f>IF('⚙ OFF Weekends'!$D$76="OFF","OFF","")</f>
        <v/>
      </c>
      <c r="CD73" s="56" t="str">
        <f>IF('⚙ OFF Weekends'!$D$77="OFF","OFF","")</f>
        <v/>
      </c>
      <c r="CE73" s="95">
        <f t="shared" si="21"/>
        <v>2</v>
      </c>
      <c r="CF73" s="95">
        <f t="shared" si="22"/>
        <v>11</v>
      </c>
      <c r="CG73" s="95">
        <f t="shared" si="23"/>
        <v>5</v>
      </c>
      <c r="CH73" s="95" t="str">
        <f t="shared" si="24"/>
        <v>15%</v>
      </c>
    </row>
    <row r="74" ht="18.0" customHeight="1">
      <c r="A74" s="96">
        <v>4.0</v>
      </c>
      <c r="B74" s="22" t="s">
        <v>698</v>
      </c>
      <c r="C74" s="23" t="s">
        <v>699</v>
      </c>
      <c r="D74" s="24" t="str">
        <f t="shared" si="19"/>
        <v>📞 Call</v>
      </c>
      <c r="E74" s="41" t="str">
        <f t="shared" si="20"/>
        <v>💬 WhatsApp</v>
      </c>
      <c r="F74" s="20"/>
      <c r="G74" s="20" t="s">
        <v>624</v>
      </c>
      <c r="H74" s="20" t="s">
        <v>518</v>
      </c>
      <c r="I74" s="79" t="s">
        <v>223</v>
      </c>
      <c r="J74" s="77" t="s">
        <v>198</v>
      </c>
      <c r="K74" s="49" t="s">
        <v>197</v>
      </c>
      <c r="L74" s="77" t="s">
        <v>198</v>
      </c>
      <c r="M74" s="77" t="s">
        <v>198</v>
      </c>
      <c r="N74" s="77" t="s">
        <v>198</v>
      </c>
      <c r="O74" s="79" t="s">
        <v>223</v>
      </c>
      <c r="P74" s="79" t="s">
        <v>223</v>
      </c>
      <c r="Q74" s="79" t="s">
        <v>223</v>
      </c>
      <c r="R74" s="79" t="s">
        <v>223</v>
      </c>
      <c r="S74" s="52" t="s">
        <v>223</v>
      </c>
      <c r="T74" s="98" t="s">
        <v>223</v>
      </c>
      <c r="U74" s="52" t="s">
        <v>223</v>
      </c>
      <c r="V74" s="53" t="s">
        <v>223</v>
      </c>
      <c r="W74" s="54" t="str">
        <f>IF('⚙ OFF Weekends'!$D$18="OFF","OFF","")</f>
        <v>OFF</v>
      </c>
      <c r="X74" s="53" t="s">
        <v>223</v>
      </c>
      <c r="Y74" s="52" t="s">
        <v>223</v>
      </c>
      <c r="Z74" s="53" t="s">
        <v>223</v>
      </c>
      <c r="AA74" s="52" t="s">
        <v>223</v>
      </c>
      <c r="AB74" s="53" t="s">
        <v>223</v>
      </c>
      <c r="AC74" s="54" t="str">
        <f>IF('⚙ OFF Weekends'!$D$24="OFF","OFF","")</f>
        <v/>
      </c>
      <c r="AD74" s="56" t="str">
        <f>IF('⚙ OFF Weekends'!$D$25="OFF","OFF","")</f>
        <v/>
      </c>
      <c r="AE74" s="54" t="str">
        <f>IF('⚙ OFF Weekends'!$D$26="OFF","OFF","")</f>
        <v/>
      </c>
      <c r="AF74" s="56" t="str">
        <f>IF('⚙ OFF Weekends'!$D$27="OFF","OFF","")</f>
        <v/>
      </c>
      <c r="AG74" s="54" t="str">
        <f>IF('⚙ OFF Weekends'!$D$28="OFF","OFF","")</f>
        <v/>
      </c>
      <c r="AH74" s="56" t="str">
        <f>IF('⚙ OFF Weekends'!$D$29="OFF","OFF","")</f>
        <v/>
      </c>
      <c r="AI74" s="54" t="str">
        <f>IF('⚙ OFF Weekends'!$D$30="OFF","OFF","")</f>
        <v/>
      </c>
      <c r="AJ74" s="56" t="str">
        <f>IF('⚙ OFF Weekends'!$D$31="OFF","OFF","")</f>
        <v/>
      </c>
      <c r="AK74" s="54" t="str">
        <f>IF('⚙ OFF Weekends'!$D$32="OFF","OFF","")</f>
        <v/>
      </c>
      <c r="AL74" s="56" t="str">
        <f>IF('⚙ OFF Weekends'!$D$33="OFF","OFF","")</f>
        <v/>
      </c>
      <c r="AM74" s="54" t="str">
        <f>IF('⚙ OFF Weekends'!$D$34="OFF","OFF","")</f>
        <v/>
      </c>
      <c r="AN74" s="56" t="str">
        <f>IF('⚙ OFF Weekends'!$D$35="OFF","OFF","")</f>
        <v/>
      </c>
      <c r="AO74" s="54" t="str">
        <f>IF('⚙ OFF Weekends'!$D$36="OFF","OFF","")</f>
        <v/>
      </c>
      <c r="AP74" s="56" t="str">
        <f>IF('⚙ OFF Weekends'!$D$37="OFF","OFF","")</f>
        <v/>
      </c>
      <c r="AQ74" s="54" t="str">
        <f>IF('⚙ OFF Weekends'!$D$38="OFF","OFF","")</f>
        <v/>
      </c>
      <c r="AR74" s="56" t="str">
        <f>IF('⚙ OFF Weekends'!$D$39="OFF","OFF","")</f>
        <v/>
      </c>
      <c r="AS74" s="54" t="str">
        <f>IF('⚙ OFF Weekends'!$D$40="OFF","OFF","")</f>
        <v/>
      </c>
      <c r="AT74" s="56" t="str">
        <f>IF('⚙ OFF Weekends'!$D$41="OFF","OFF","")</f>
        <v/>
      </c>
      <c r="AU74" s="54" t="str">
        <f>IF('⚙ OFF Weekends'!$D$42="OFF","OFF","")</f>
        <v/>
      </c>
      <c r="AV74" s="56" t="str">
        <f>IF('⚙ OFF Weekends'!$D$43="OFF","OFF","")</f>
        <v/>
      </c>
      <c r="AW74" s="54" t="str">
        <f>IF('⚙ OFF Weekends'!$D$44="OFF","OFF","")</f>
        <v/>
      </c>
      <c r="AX74" s="56" t="str">
        <f>IF('⚙ OFF Weekends'!$D$45="OFF","OFF","")</f>
        <v/>
      </c>
      <c r="AY74" s="54" t="str">
        <f>IF('⚙ OFF Weekends'!$D$46="OFF","OFF","")</f>
        <v/>
      </c>
      <c r="AZ74" s="56" t="str">
        <f>IF('⚙ OFF Weekends'!$D$47="OFF","OFF","")</f>
        <v/>
      </c>
      <c r="BA74" s="54" t="str">
        <f>IF('⚙ OFF Weekends'!$D$48="OFF","OFF","")</f>
        <v/>
      </c>
      <c r="BB74" s="56" t="str">
        <f>IF('⚙ OFF Weekends'!$D$49="OFF","OFF","")</f>
        <v/>
      </c>
      <c r="BC74" s="54" t="str">
        <f>IF('⚙ OFF Weekends'!$D$50="OFF","OFF","")</f>
        <v/>
      </c>
      <c r="BD74" s="56" t="str">
        <f>IF('⚙ OFF Weekends'!$D$51="OFF","OFF","")</f>
        <v/>
      </c>
      <c r="BE74" s="54" t="str">
        <f>IF('⚙ OFF Weekends'!$D$52="OFF","OFF","")</f>
        <v/>
      </c>
      <c r="BF74" s="56" t="str">
        <f>IF('⚙ OFF Weekends'!$D$53="OFF","OFF","")</f>
        <v/>
      </c>
      <c r="BG74" s="54" t="str">
        <f>IF('⚙ OFF Weekends'!$D$54="OFF","OFF","")</f>
        <v/>
      </c>
      <c r="BH74" s="56" t="str">
        <f>IF('⚙ OFF Weekends'!$D$55="OFF","OFF","")</f>
        <v/>
      </c>
      <c r="BI74" s="54" t="str">
        <f>IF('⚙ OFF Weekends'!$D$56="OFF","OFF","")</f>
        <v/>
      </c>
      <c r="BJ74" s="56" t="str">
        <f>IF('⚙ OFF Weekends'!$D$57="OFF","OFF","")</f>
        <v/>
      </c>
      <c r="BK74" s="54" t="str">
        <f>IF('⚙ OFF Weekends'!$D$58="OFF","OFF","")</f>
        <v/>
      </c>
      <c r="BL74" s="56" t="str">
        <f>IF('⚙ OFF Weekends'!$D$59="OFF","OFF","")</f>
        <v/>
      </c>
      <c r="BM74" s="54" t="str">
        <f>IF('⚙ OFF Weekends'!$D$60="OFF","OFF","")</f>
        <v/>
      </c>
      <c r="BN74" s="56" t="str">
        <f>IF('⚙ OFF Weekends'!$D$61="OFF","OFF","")</f>
        <v/>
      </c>
      <c r="BO74" s="54" t="str">
        <f>IF('⚙ OFF Weekends'!$D$62="OFF","OFF","")</f>
        <v/>
      </c>
      <c r="BP74" s="56" t="str">
        <f>IF('⚙ OFF Weekends'!$D$63="OFF","OFF","")</f>
        <v/>
      </c>
      <c r="BQ74" s="54" t="str">
        <f>IF('⚙ OFF Weekends'!$D$64="OFF","OFF","")</f>
        <v/>
      </c>
      <c r="BR74" s="56" t="str">
        <f>IF('⚙ OFF Weekends'!$D$65="OFF","OFF","")</f>
        <v/>
      </c>
      <c r="BS74" s="54" t="str">
        <f>IF('⚙ OFF Weekends'!$D$66="OFF","OFF","")</f>
        <v/>
      </c>
      <c r="BT74" s="56" t="str">
        <f>IF('⚙ OFF Weekends'!$D$67="OFF","OFF","")</f>
        <v/>
      </c>
      <c r="BU74" s="54" t="str">
        <f>IF('⚙ OFF Weekends'!$D$68="OFF","OFF","")</f>
        <v/>
      </c>
      <c r="BV74" s="56" t="str">
        <f>IF('⚙ OFF Weekends'!$D$69="OFF","OFF","")</f>
        <v/>
      </c>
      <c r="BW74" s="54" t="str">
        <f>IF('⚙ OFF Weekends'!$D$70="OFF","OFF","")</f>
        <v/>
      </c>
      <c r="BX74" s="56" t="str">
        <f>IF('⚙ OFF Weekends'!$D$71="OFF","OFF","")</f>
        <v/>
      </c>
      <c r="BY74" s="54" t="str">
        <f>IF('⚙ OFF Weekends'!$D$72="OFF","OFF","")</f>
        <v/>
      </c>
      <c r="BZ74" s="56" t="str">
        <f>IF('⚙ OFF Weekends'!$D$73="OFF","OFF","")</f>
        <v/>
      </c>
      <c r="CA74" s="54" t="str">
        <f>IF('⚙ OFF Weekends'!$D$74="OFF","OFF","")</f>
        <v/>
      </c>
      <c r="CB74" s="56" t="str">
        <f>IF('⚙ OFF Weekends'!$D$75="OFF","OFF","")</f>
        <v/>
      </c>
      <c r="CC74" s="54" t="str">
        <f>IF('⚙ OFF Weekends'!$D$76="OFF","OFF","")</f>
        <v/>
      </c>
      <c r="CD74" s="56" t="str">
        <f>IF('⚙ OFF Weekends'!$D$77="OFF","OFF","")</f>
        <v/>
      </c>
      <c r="CE74" s="96">
        <f t="shared" si="21"/>
        <v>0</v>
      </c>
      <c r="CF74" s="96">
        <f t="shared" si="22"/>
        <v>14</v>
      </c>
      <c r="CG74" s="96">
        <f t="shared" si="23"/>
        <v>4</v>
      </c>
      <c r="CH74" s="96" t="str">
        <f t="shared" si="24"/>
        <v>0%</v>
      </c>
    </row>
    <row r="75" ht="18.0" customHeight="1">
      <c r="A75" s="95">
        <v>5.0</v>
      </c>
      <c r="B75" s="12" t="s">
        <v>705</v>
      </c>
      <c r="C75" s="14" t="s">
        <v>706</v>
      </c>
      <c r="D75" s="17" t="str">
        <f t="shared" si="19"/>
        <v>📞 Call</v>
      </c>
      <c r="E75" s="19" t="str">
        <f t="shared" si="20"/>
        <v>💬 WhatsApp</v>
      </c>
      <c r="F75" s="10"/>
      <c r="G75" s="10" t="s">
        <v>624</v>
      </c>
      <c r="H75" s="10" t="s">
        <v>409</v>
      </c>
      <c r="I75" s="79" t="s">
        <v>223</v>
      </c>
      <c r="J75" s="48" t="s">
        <v>196</v>
      </c>
      <c r="K75" s="49" t="s">
        <v>197</v>
      </c>
      <c r="L75" s="50" t="s">
        <v>37</v>
      </c>
      <c r="M75" s="79" t="s">
        <v>223</v>
      </c>
      <c r="N75" s="79" t="s">
        <v>223</v>
      </c>
      <c r="O75" s="77" t="s">
        <v>198</v>
      </c>
      <c r="P75" s="77" t="s">
        <v>198</v>
      </c>
      <c r="Q75" s="77" t="s">
        <v>198</v>
      </c>
      <c r="R75" s="77" t="s">
        <v>198</v>
      </c>
      <c r="S75" s="52" t="s">
        <v>198</v>
      </c>
      <c r="T75" s="53" t="s">
        <v>198</v>
      </c>
      <c r="U75" s="52" t="s">
        <v>198</v>
      </c>
      <c r="V75" s="53" t="s">
        <v>223</v>
      </c>
      <c r="W75" s="54" t="str">
        <f>IF('⚙ OFF Weekends'!$D$18="OFF","OFF","")</f>
        <v>OFF</v>
      </c>
      <c r="X75" s="53" t="s">
        <v>223</v>
      </c>
      <c r="Y75" s="52" t="s">
        <v>223</v>
      </c>
      <c r="Z75" s="53" t="s">
        <v>223</v>
      </c>
      <c r="AA75" s="52" t="s">
        <v>223</v>
      </c>
      <c r="AB75" s="53" t="s">
        <v>223</v>
      </c>
      <c r="AC75" s="54" t="str">
        <f>IF('⚙ OFF Weekends'!$D$24="OFF","OFF","")</f>
        <v/>
      </c>
      <c r="AD75" s="56" t="str">
        <f>IF('⚙ OFF Weekends'!$D$25="OFF","OFF","")</f>
        <v/>
      </c>
      <c r="AE75" s="54" t="str">
        <f>IF('⚙ OFF Weekends'!$D$26="OFF","OFF","")</f>
        <v/>
      </c>
      <c r="AF75" s="56" t="str">
        <f>IF('⚙ OFF Weekends'!$D$27="OFF","OFF","")</f>
        <v/>
      </c>
      <c r="AG75" s="54" t="str">
        <f>IF('⚙ OFF Weekends'!$D$28="OFF","OFF","")</f>
        <v/>
      </c>
      <c r="AH75" s="56" t="str">
        <f>IF('⚙ OFF Weekends'!$D$29="OFF","OFF","")</f>
        <v/>
      </c>
      <c r="AI75" s="54" t="str">
        <f>IF('⚙ OFF Weekends'!$D$30="OFF","OFF","")</f>
        <v/>
      </c>
      <c r="AJ75" s="56" t="str">
        <f>IF('⚙ OFF Weekends'!$D$31="OFF","OFF","")</f>
        <v/>
      </c>
      <c r="AK75" s="54" t="str">
        <f>IF('⚙ OFF Weekends'!$D$32="OFF","OFF","")</f>
        <v/>
      </c>
      <c r="AL75" s="56" t="str">
        <f>IF('⚙ OFF Weekends'!$D$33="OFF","OFF","")</f>
        <v/>
      </c>
      <c r="AM75" s="54" t="str">
        <f>IF('⚙ OFF Weekends'!$D$34="OFF","OFF","")</f>
        <v/>
      </c>
      <c r="AN75" s="56" t="str">
        <f>IF('⚙ OFF Weekends'!$D$35="OFF","OFF","")</f>
        <v/>
      </c>
      <c r="AO75" s="54" t="str">
        <f>IF('⚙ OFF Weekends'!$D$36="OFF","OFF","")</f>
        <v/>
      </c>
      <c r="AP75" s="56" t="str">
        <f>IF('⚙ OFF Weekends'!$D$37="OFF","OFF","")</f>
        <v/>
      </c>
      <c r="AQ75" s="54" t="str">
        <f>IF('⚙ OFF Weekends'!$D$38="OFF","OFF","")</f>
        <v/>
      </c>
      <c r="AR75" s="56" t="str">
        <f>IF('⚙ OFF Weekends'!$D$39="OFF","OFF","")</f>
        <v/>
      </c>
      <c r="AS75" s="54" t="str">
        <f>IF('⚙ OFF Weekends'!$D$40="OFF","OFF","")</f>
        <v/>
      </c>
      <c r="AT75" s="56" t="str">
        <f>IF('⚙ OFF Weekends'!$D$41="OFF","OFF","")</f>
        <v/>
      </c>
      <c r="AU75" s="54" t="str">
        <f>IF('⚙ OFF Weekends'!$D$42="OFF","OFF","")</f>
        <v/>
      </c>
      <c r="AV75" s="56" t="str">
        <f>IF('⚙ OFF Weekends'!$D$43="OFF","OFF","")</f>
        <v/>
      </c>
      <c r="AW75" s="54" t="str">
        <f>IF('⚙ OFF Weekends'!$D$44="OFF","OFF","")</f>
        <v/>
      </c>
      <c r="AX75" s="56" t="str">
        <f>IF('⚙ OFF Weekends'!$D$45="OFF","OFF","")</f>
        <v/>
      </c>
      <c r="AY75" s="54" t="str">
        <f>IF('⚙ OFF Weekends'!$D$46="OFF","OFF","")</f>
        <v/>
      </c>
      <c r="AZ75" s="56" t="str">
        <f>IF('⚙ OFF Weekends'!$D$47="OFF","OFF","")</f>
        <v/>
      </c>
      <c r="BA75" s="54" t="str">
        <f>IF('⚙ OFF Weekends'!$D$48="OFF","OFF","")</f>
        <v/>
      </c>
      <c r="BB75" s="56" t="str">
        <f>IF('⚙ OFF Weekends'!$D$49="OFF","OFF","")</f>
        <v/>
      </c>
      <c r="BC75" s="54" t="str">
        <f>IF('⚙ OFF Weekends'!$D$50="OFF","OFF","")</f>
        <v/>
      </c>
      <c r="BD75" s="56" t="str">
        <f>IF('⚙ OFF Weekends'!$D$51="OFF","OFF","")</f>
        <v/>
      </c>
      <c r="BE75" s="54" t="str">
        <f>IF('⚙ OFF Weekends'!$D$52="OFF","OFF","")</f>
        <v/>
      </c>
      <c r="BF75" s="56" t="str">
        <f>IF('⚙ OFF Weekends'!$D$53="OFF","OFF","")</f>
        <v/>
      </c>
      <c r="BG75" s="54" t="str">
        <f>IF('⚙ OFF Weekends'!$D$54="OFF","OFF","")</f>
        <v/>
      </c>
      <c r="BH75" s="56" t="str">
        <f>IF('⚙ OFF Weekends'!$D$55="OFF","OFF","")</f>
        <v/>
      </c>
      <c r="BI75" s="54" t="str">
        <f>IF('⚙ OFF Weekends'!$D$56="OFF","OFF","")</f>
        <v/>
      </c>
      <c r="BJ75" s="56" t="str">
        <f>IF('⚙ OFF Weekends'!$D$57="OFF","OFF","")</f>
        <v/>
      </c>
      <c r="BK75" s="54" t="str">
        <f>IF('⚙ OFF Weekends'!$D$58="OFF","OFF","")</f>
        <v/>
      </c>
      <c r="BL75" s="56" t="str">
        <f>IF('⚙ OFF Weekends'!$D$59="OFF","OFF","")</f>
        <v/>
      </c>
      <c r="BM75" s="54" t="str">
        <f>IF('⚙ OFF Weekends'!$D$60="OFF","OFF","")</f>
        <v/>
      </c>
      <c r="BN75" s="56" t="str">
        <f>IF('⚙ OFF Weekends'!$D$61="OFF","OFF","")</f>
        <v/>
      </c>
      <c r="BO75" s="54" t="str">
        <f>IF('⚙ OFF Weekends'!$D$62="OFF","OFF","")</f>
        <v/>
      </c>
      <c r="BP75" s="56" t="str">
        <f>IF('⚙ OFF Weekends'!$D$63="OFF","OFF","")</f>
        <v/>
      </c>
      <c r="BQ75" s="54" t="str">
        <f>IF('⚙ OFF Weekends'!$D$64="OFF","OFF","")</f>
        <v/>
      </c>
      <c r="BR75" s="56" t="str">
        <f>IF('⚙ OFF Weekends'!$D$65="OFF","OFF","")</f>
        <v/>
      </c>
      <c r="BS75" s="54" t="str">
        <f>IF('⚙ OFF Weekends'!$D$66="OFF","OFF","")</f>
        <v/>
      </c>
      <c r="BT75" s="56" t="str">
        <f>IF('⚙ OFF Weekends'!$D$67="OFF","OFF","")</f>
        <v/>
      </c>
      <c r="BU75" s="54" t="str">
        <f>IF('⚙ OFF Weekends'!$D$68="OFF","OFF","")</f>
        <v/>
      </c>
      <c r="BV75" s="56" t="str">
        <f>IF('⚙ OFF Weekends'!$D$69="OFF","OFF","")</f>
        <v/>
      </c>
      <c r="BW75" s="54" t="str">
        <f>IF('⚙ OFF Weekends'!$D$70="OFF","OFF","")</f>
        <v/>
      </c>
      <c r="BX75" s="56" t="str">
        <f>IF('⚙ OFF Weekends'!$D$71="OFF","OFF","")</f>
        <v/>
      </c>
      <c r="BY75" s="54" t="str">
        <f>IF('⚙ OFF Weekends'!$D$72="OFF","OFF","")</f>
        <v/>
      </c>
      <c r="BZ75" s="56" t="str">
        <f>IF('⚙ OFF Weekends'!$D$73="OFF","OFF","")</f>
        <v/>
      </c>
      <c r="CA75" s="54" t="str">
        <f>IF('⚙ OFF Weekends'!$D$74="OFF","OFF","")</f>
        <v/>
      </c>
      <c r="CB75" s="56" t="str">
        <f>IF('⚙ OFF Weekends'!$D$75="OFF","OFF","")</f>
        <v/>
      </c>
      <c r="CC75" s="54" t="str">
        <f>IF('⚙ OFF Weekends'!$D$76="OFF","OFF","")</f>
        <v/>
      </c>
      <c r="CD75" s="56" t="str">
        <f>IF('⚙ OFF Weekends'!$D$77="OFF","OFF","")</f>
        <v/>
      </c>
      <c r="CE75" s="95">
        <f t="shared" si="21"/>
        <v>2</v>
      </c>
      <c r="CF75" s="95">
        <f t="shared" si="22"/>
        <v>9</v>
      </c>
      <c r="CG75" s="95">
        <f t="shared" si="23"/>
        <v>7</v>
      </c>
      <c r="CH75" s="95" t="str">
        <f t="shared" si="24"/>
        <v>18%</v>
      </c>
    </row>
    <row r="76" ht="18.0" customHeight="1">
      <c r="A76" s="96">
        <v>6.0</v>
      </c>
      <c r="B76" s="22" t="s">
        <v>712</v>
      </c>
      <c r="C76" s="23" t="s">
        <v>713</v>
      </c>
      <c r="D76" s="24" t="str">
        <f t="shared" si="19"/>
        <v>📞 Call</v>
      </c>
      <c r="E76" s="41" t="str">
        <f t="shared" si="20"/>
        <v>💬 WhatsApp</v>
      </c>
      <c r="F76" s="20"/>
      <c r="G76" s="20" t="s">
        <v>624</v>
      </c>
      <c r="H76" s="20" t="s">
        <v>409</v>
      </c>
      <c r="I76" s="79" t="s">
        <v>223</v>
      </c>
      <c r="J76" s="79" t="s">
        <v>223</v>
      </c>
      <c r="K76" s="49" t="s">
        <v>197</v>
      </c>
      <c r="L76" s="77" t="s">
        <v>198</v>
      </c>
      <c r="M76" s="77" t="s">
        <v>198</v>
      </c>
      <c r="N76" s="77" t="s">
        <v>198</v>
      </c>
      <c r="O76" s="77" t="s">
        <v>198</v>
      </c>
      <c r="P76" s="77" t="s">
        <v>198</v>
      </c>
      <c r="Q76" s="77" t="s">
        <v>198</v>
      </c>
      <c r="R76" s="77" t="s">
        <v>198</v>
      </c>
      <c r="S76" s="52" t="s">
        <v>223</v>
      </c>
      <c r="T76" s="98" t="s">
        <v>196</v>
      </c>
      <c r="U76" s="52" t="s">
        <v>223</v>
      </c>
      <c r="V76" s="53" t="s">
        <v>223</v>
      </c>
      <c r="W76" s="54" t="str">
        <f>IF('⚙ OFF Weekends'!$D$18="OFF","OFF","")</f>
        <v>OFF</v>
      </c>
      <c r="X76" s="53" t="s">
        <v>223</v>
      </c>
      <c r="Y76" s="52" t="s">
        <v>196</v>
      </c>
      <c r="Z76" s="53" t="s">
        <v>223</v>
      </c>
      <c r="AA76" s="52" t="s">
        <v>223</v>
      </c>
      <c r="AB76" s="53" t="s">
        <v>223</v>
      </c>
      <c r="AC76" s="54" t="str">
        <f>IF('⚙ OFF Weekends'!$D$24="OFF","OFF","")</f>
        <v/>
      </c>
      <c r="AD76" s="56" t="str">
        <f>IF('⚙ OFF Weekends'!$D$25="OFF","OFF","")</f>
        <v/>
      </c>
      <c r="AE76" s="54" t="str">
        <f>IF('⚙ OFF Weekends'!$D$26="OFF","OFF","")</f>
        <v/>
      </c>
      <c r="AF76" s="56" t="str">
        <f>IF('⚙ OFF Weekends'!$D$27="OFF","OFF","")</f>
        <v/>
      </c>
      <c r="AG76" s="54" t="str">
        <f>IF('⚙ OFF Weekends'!$D$28="OFF","OFF","")</f>
        <v/>
      </c>
      <c r="AH76" s="56" t="str">
        <f>IF('⚙ OFF Weekends'!$D$29="OFF","OFF","")</f>
        <v/>
      </c>
      <c r="AI76" s="54" t="str">
        <f>IF('⚙ OFF Weekends'!$D$30="OFF","OFF","")</f>
        <v/>
      </c>
      <c r="AJ76" s="56" t="str">
        <f>IF('⚙ OFF Weekends'!$D$31="OFF","OFF","")</f>
        <v/>
      </c>
      <c r="AK76" s="54" t="str">
        <f>IF('⚙ OFF Weekends'!$D$32="OFF","OFF","")</f>
        <v/>
      </c>
      <c r="AL76" s="56" t="str">
        <f>IF('⚙ OFF Weekends'!$D$33="OFF","OFF","")</f>
        <v/>
      </c>
      <c r="AM76" s="54" t="str">
        <f>IF('⚙ OFF Weekends'!$D$34="OFF","OFF","")</f>
        <v/>
      </c>
      <c r="AN76" s="56" t="str">
        <f>IF('⚙ OFF Weekends'!$D$35="OFF","OFF","")</f>
        <v/>
      </c>
      <c r="AO76" s="54" t="str">
        <f>IF('⚙ OFF Weekends'!$D$36="OFF","OFF","")</f>
        <v/>
      </c>
      <c r="AP76" s="56" t="str">
        <f>IF('⚙ OFF Weekends'!$D$37="OFF","OFF","")</f>
        <v/>
      </c>
      <c r="AQ76" s="54" t="str">
        <f>IF('⚙ OFF Weekends'!$D$38="OFF","OFF","")</f>
        <v/>
      </c>
      <c r="AR76" s="56" t="str">
        <f>IF('⚙ OFF Weekends'!$D$39="OFF","OFF","")</f>
        <v/>
      </c>
      <c r="AS76" s="54" t="str">
        <f>IF('⚙ OFF Weekends'!$D$40="OFF","OFF","")</f>
        <v/>
      </c>
      <c r="AT76" s="56" t="str">
        <f>IF('⚙ OFF Weekends'!$D$41="OFF","OFF","")</f>
        <v/>
      </c>
      <c r="AU76" s="54" t="str">
        <f>IF('⚙ OFF Weekends'!$D$42="OFF","OFF","")</f>
        <v/>
      </c>
      <c r="AV76" s="56" t="str">
        <f>IF('⚙ OFF Weekends'!$D$43="OFF","OFF","")</f>
        <v/>
      </c>
      <c r="AW76" s="54" t="str">
        <f>IF('⚙ OFF Weekends'!$D$44="OFF","OFF","")</f>
        <v/>
      </c>
      <c r="AX76" s="56" t="str">
        <f>IF('⚙ OFF Weekends'!$D$45="OFF","OFF","")</f>
        <v/>
      </c>
      <c r="AY76" s="54" t="str">
        <f>IF('⚙ OFF Weekends'!$D$46="OFF","OFF","")</f>
        <v/>
      </c>
      <c r="AZ76" s="56" t="str">
        <f>IF('⚙ OFF Weekends'!$D$47="OFF","OFF","")</f>
        <v/>
      </c>
      <c r="BA76" s="54" t="str">
        <f>IF('⚙ OFF Weekends'!$D$48="OFF","OFF","")</f>
        <v/>
      </c>
      <c r="BB76" s="56" t="str">
        <f>IF('⚙ OFF Weekends'!$D$49="OFF","OFF","")</f>
        <v/>
      </c>
      <c r="BC76" s="54" t="str">
        <f>IF('⚙ OFF Weekends'!$D$50="OFF","OFF","")</f>
        <v/>
      </c>
      <c r="BD76" s="56" t="str">
        <f>IF('⚙ OFF Weekends'!$D$51="OFF","OFF","")</f>
        <v/>
      </c>
      <c r="BE76" s="54" t="str">
        <f>IF('⚙ OFF Weekends'!$D$52="OFF","OFF","")</f>
        <v/>
      </c>
      <c r="BF76" s="56" t="str">
        <f>IF('⚙ OFF Weekends'!$D$53="OFF","OFF","")</f>
        <v/>
      </c>
      <c r="BG76" s="54" t="str">
        <f>IF('⚙ OFF Weekends'!$D$54="OFF","OFF","")</f>
        <v/>
      </c>
      <c r="BH76" s="56" t="str">
        <f>IF('⚙ OFF Weekends'!$D$55="OFF","OFF","")</f>
        <v/>
      </c>
      <c r="BI76" s="54" t="str">
        <f>IF('⚙ OFF Weekends'!$D$56="OFF","OFF","")</f>
        <v/>
      </c>
      <c r="BJ76" s="56" t="str">
        <f>IF('⚙ OFF Weekends'!$D$57="OFF","OFF","")</f>
        <v/>
      </c>
      <c r="BK76" s="54" t="str">
        <f>IF('⚙ OFF Weekends'!$D$58="OFF","OFF","")</f>
        <v/>
      </c>
      <c r="BL76" s="56" t="str">
        <f>IF('⚙ OFF Weekends'!$D$59="OFF","OFF","")</f>
        <v/>
      </c>
      <c r="BM76" s="54" t="str">
        <f>IF('⚙ OFF Weekends'!$D$60="OFF","OFF","")</f>
        <v/>
      </c>
      <c r="BN76" s="56" t="str">
        <f>IF('⚙ OFF Weekends'!$D$61="OFF","OFF","")</f>
        <v/>
      </c>
      <c r="BO76" s="54" t="str">
        <f>IF('⚙ OFF Weekends'!$D$62="OFF","OFF","")</f>
        <v/>
      </c>
      <c r="BP76" s="56" t="str">
        <f>IF('⚙ OFF Weekends'!$D$63="OFF","OFF","")</f>
        <v/>
      </c>
      <c r="BQ76" s="54" t="str">
        <f>IF('⚙ OFF Weekends'!$D$64="OFF","OFF","")</f>
        <v/>
      </c>
      <c r="BR76" s="56" t="str">
        <f>IF('⚙ OFF Weekends'!$D$65="OFF","OFF","")</f>
        <v/>
      </c>
      <c r="BS76" s="54" t="str">
        <f>IF('⚙ OFF Weekends'!$D$66="OFF","OFF","")</f>
        <v/>
      </c>
      <c r="BT76" s="56" t="str">
        <f>IF('⚙ OFF Weekends'!$D$67="OFF","OFF","")</f>
        <v/>
      </c>
      <c r="BU76" s="54" t="str">
        <f>IF('⚙ OFF Weekends'!$D$68="OFF","OFF","")</f>
        <v/>
      </c>
      <c r="BV76" s="56" t="str">
        <f>IF('⚙ OFF Weekends'!$D$69="OFF","OFF","")</f>
        <v/>
      </c>
      <c r="BW76" s="54" t="str">
        <f>IF('⚙ OFF Weekends'!$D$70="OFF","OFF","")</f>
        <v/>
      </c>
      <c r="BX76" s="56" t="str">
        <f>IF('⚙ OFF Weekends'!$D$71="OFF","OFF","")</f>
        <v/>
      </c>
      <c r="BY76" s="54" t="str">
        <f>IF('⚙ OFF Weekends'!$D$72="OFF","OFF","")</f>
        <v/>
      </c>
      <c r="BZ76" s="56" t="str">
        <f>IF('⚙ OFF Weekends'!$D$73="OFF","OFF","")</f>
        <v/>
      </c>
      <c r="CA76" s="54" t="str">
        <f>IF('⚙ OFF Weekends'!$D$74="OFF","OFF","")</f>
        <v/>
      </c>
      <c r="CB76" s="56" t="str">
        <f>IF('⚙ OFF Weekends'!$D$75="OFF","OFF","")</f>
        <v/>
      </c>
      <c r="CC76" s="54" t="str">
        <f>IF('⚙ OFF Weekends'!$D$76="OFF","OFF","")</f>
        <v/>
      </c>
      <c r="CD76" s="56" t="str">
        <f>IF('⚙ OFF Weekends'!$D$77="OFF","OFF","")</f>
        <v/>
      </c>
      <c r="CE76" s="96">
        <f t="shared" si="21"/>
        <v>2</v>
      </c>
      <c r="CF76" s="96">
        <f t="shared" si="22"/>
        <v>9</v>
      </c>
      <c r="CG76" s="96">
        <f t="shared" si="23"/>
        <v>7</v>
      </c>
      <c r="CH76" s="96" t="str">
        <f t="shared" si="24"/>
        <v>18%</v>
      </c>
    </row>
    <row r="77" ht="18.0" customHeight="1">
      <c r="A77" s="95">
        <v>7.0</v>
      </c>
      <c r="B77" s="12" t="s">
        <v>721</v>
      </c>
      <c r="C77" s="14" t="s">
        <v>722</v>
      </c>
      <c r="D77" s="17" t="str">
        <f t="shared" si="19"/>
        <v>📞 Call</v>
      </c>
      <c r="E77" s="19" t="str">
        <f t="shared" si="20"/>
        <v>💬 WhatsApp</v>
      </c>
      <c r="F77" s="10"/>
      <c r="G77" s="10" t="s">
        <v>624</v>
      </c>
      <c r="H77" s="10" t="s">
        <v>518</v>
      </c>
      <c r="I77" s="48" t="s">
        <v>196</v>
      </c>
      <c r="J77" s="48" t="s">
        <v>196</v>
      </c>
      <c r="K77" s="49" t="s">
        <v>197</v>
      </c>
      <c r="L77" s="48" t="s">
        <v>196</v>
      </c>
      <c r="M77" s="48" t="s">
        <v>196</v>
      </c>
      <c r="N77" s="48" t="s">
        <v>196</v>
      </c>
      <c r="O77" s="48" t="s">
        <v>196</v>
      </c>
      <c r="P77" s="50" t="s">
        <v>37</v>
      </c>
      <c r="Q77" s="48" t="s">
        <v>196</v>
      </c>
      <c r="R77" s="48" t="s">
        <v>196</v>
      </c>
      <c r="S77" s="52" t="s">
        <v>196</v>
      </c>
      <c r="T77" s="98" t="s">
        <v>196</v>
      </c>
      <c r="U77" s="52" t="s">
        <v>196</v>
      </c>
      <c r="V77" s="53" t="s">
        <v>196</v>
      </c>
      <c r="W77" s="52" t="s">
        <v>348</v>
      </c>
      <c r="X77" s="53" t="s">
        <v>196</v>
      </c>
      <c r="Y77" s="52" t="s">
        <v>196</v>
      </c>
      <c r="Z77" s="53" t="s">
        <v>196</v>
      </c>
      <c r="AA77" s="52" t="s">
        <v>196</v>
      </c>
      <c r="AB77" s="53" t="s">
        <v>196</v>
      </c>
      <c r="AC77" s="54" t="str">
        <f>IF('⚙ OFF Weekends'!$D$24="OFF","OFF","")</f>
        <v/>
      </c>
      <c r="AD77" s="56" t="str">
        <f>IF('⚙ OFF Weekends'!$D$25="OFF","OFF","")</f>
        <v/>
      </c>
      <c r="AE77" s="54" t="str">
        <f>IF('⚙ OFF Weekends'!$D$26="OFF","OFF","")</f>
        <v/>
      </c>
      <c r="AF77" s="56" t="str">
        <f>IF('⚙ OFF Weekends'!$D$27="OFF","OFF","")</f>
        <v/>
      </c>
      <c r="AG77" s="54" t="str">
        <f>IF('⚙ OFF Weekends'!$D$28="OFF","OFF","")</f>
        <v/>
      </c>
      <c r="AH77" s="56" t="str">
        <f>IF('⚙ OFF Weekends'!$D$29="OFF","OFF","")</f>
        <v/>
      </c>
      <c r="AI77" s="54" t="str">
        <f>IF('⚙ OFF Weekends'!$D$30="OFF","OFF","")</f>
        <v/>
      </c>
      <c r="AJ77" s="56" t="str">
        <f>IF('⚙ OFF Weekends'!$D$31="OFF","OFF","")</f>
        <v/>
      </c>
      <c r="AK77" s="54" t="str">
        <f>IF('⚙ OFF Weekends'!$D$32="OFF","OFF","")</f>
        <v/>
      </c>
      <c r="AL77" s="56" t="str">
        <f>IF('⚙ OFF Weekends'!$D$33="OFF","OFF","")</f>
        <v/>
      </c>
      <c r="AM77" s="54" t="str">
        <f>IF('⚙ OFF Weekends'!$D$34="OFF","OFF","")</f>
        <v/>
      </c>
      <c r="AN77" s="56" t="str">
        <f>IF('⚙ OFF Weekends'!$D$35="OFF","OFF","")</f>
        <v/>
      </c>
      <c r="AO77" s="54" t="str">
        <f>IF('⚙ OFF Weekends'!$D$36="OFF","OFF","")</f>
        <v/>
      </c>
      <c r="AP77" s="56" t="str">
        <f>IF('⚙ OFF Weekends'!$D$37="OFF","OFF","")</f>
        <v/>
      </c>
      <c r="AQ77" s="54" t="str">
        <f>IF('⚙ OFF Weekends'!$D$38="OFF","OFF","")</f>
        <v/>
      </c>
      <c r="AR77" s="56" t="str">
        <f>IF('⚙ OFF Weekends'!$D$39="OFF","OFF","")</f>
        <v/>
      </c>
      <c r="AS77" s="54" t="str">
        <f>IF('⚙ OFF Weekends'!$D$40="OFF","OFF","")</f>
        <v/>
      </c>
      <c r="AT77" s="56" t="str">
        <f>IF('⚙ OFF Weekends'!$D$41="OFF","OFF","")</f>
        <v/>
      </c>
      <c r="AU77" s="54" t="str">
        <f>IF('⚙ OFF Weekends'!$D$42="OFF","OFF","")</f>
        <v/>
      </c>
      <c r="AV77" s="56" t="str">
        <f>IF('⚙ OFF Weekends'!$D$43="OFF","OFF","")</f>
        <v/>
      </c>
      <c r="AW77" s="54" t="str">
        <f>IF('⚙ OFF Weekends'!$D$44="OFF","OFF","")</f>
        <v/>
      </c>
      <c r="AX77" s="56" t="str">
        <f>IF('⚙ OFF Weekends'!$D$45="OFF","OFF","")</f>
        <v/>
      </c>
      <c r="AY77" s="54" t="str">
        <f>IF('⚙ OFF Weekends'!$D$46="OFF","OFF","")</f>
        <v/>
      </c>
      <c r="AZ77" s="56" t="str">
        <f>IF('⚙ OFF Weekends'!$D$47="OFF","OFF","")</f>
        <v/>
      </c>
      <c r="BA77" s="54" t="str">
        <f>IF('⚙ OFF Weekends'!$D$48="OFF","OFF","")</f>
        <v/>
      </c>
      <c r="BB77" s="56" t="str">
        <f>IF('⚙ OFF Weekends'!$D$49="OFF","OFF","")</f>
        <v/>
      </c>
      <c r="BC77" s="54" t="str">
        <f>IF('⚙ OFF Weekends'!$D$50="OFF","OFF","")</f>
        <v/>
      </c>
      <c r="BD77" s="56" t="str">
        <f>IF('⚙ OFF Weekends'!$D$51="OFF","OFF","")</f>
        <v/>
      </c>
      <c r="BE77" s="54" t="str">
        <f>IF('⚙ OFF Weekends'!$D$52="OFF","OFF","")</f>
        <v/>
      </c>
      <c r="BF77" s="56" t="str">
        <f>IF('⚙ OFF Weekends'!$D$53="OFF","OFF","")</f>
        <v/>
      </c>
      <c r="BG77" s="54" t="str">
        <f>IF('⚙ OFF Weekends'!$D$54="OFF","OFF","")</f>
        <v/>
      </c>
      <c r="BH77" s="56" t="str">
        <f>IF('⚙ OFF Weekends'!$D$55="OFF","OFF","")</f>
        <v/>
      </c>
      <c r="BI77" s="54" t="str">
        <f>IF('⚙ OFF Weekends'!$D$56="OFF","OFF","")</f>
        <v/>
      </c>
      <c r="BJ77" s="56" t="str">
        <f>IF('⚙ OFF Weekends'!$D$57="OFF","OFF","")</f>
        <v/>
      </c>
      <c r="BK77" s="54" t="str">
        <f>IF('⚙ OFF Weekends'!$D$58="OFF","OFF","")</f>
        <v/>
      </c>
      <c r="BL77" s="56" t="str">
        <f>IF('⚙ OFF Weekends'!$D$59="OFF","OFF","")</f>
        <v/>
      </c>
      <c r="BM77" s="54" t="str">
        <f>IF('⚙ OFF Weekends'!$D$60="OFF","OFF","")</f>
        <v/>
      </c>
      <c r="BN77" s="56" t="str">
        <f>IF('⚙ OFF Weekends'!$D$61="OFF","OFF","")</f>
        <v/>
      </c>
      <c r="BO77" s="54" t="str">
        <f>IF('⚙ OFF Weekends'!$D$62="OFF","OFF","")</f>
        <v/>
      </c>
      <c r="BP77" s="56" t="str">
        <f>IF('⚙ OFF Weekends'!$D$63="OFF","OFF","")</f>
        <v/>
      </c>
      <c r="BQ77" s="54" t="str">
        <f>IF('⚙ OFF Weekends'!$D$64="OFF","OFF","")</f>
        <v/>
      </c>
      <c r="BR77" s="56" t="str">
        <f>IF('⚙ OFF Weekends'!$D$65="OFF","OFF","")</f>
        <v/>
      </c>
      <c r="BS77" s="54" t="str">
        <f>IF('⚙ OFF Weekends'!$D$66="OFF","OFF","")</f>
        <v/>
      </c>
      <c r="BT77" s="56" t="str">
        <f>IF('⚙ OFF Weekends'!$D$67="OFF","OFF","")</f>
        <v/>
      </c>
      <c r="BU77" s="54" t="str">
        <f>IF('⚙ OFF Weekends'!$D$68="OFF","OFF","")</f>
        <v/>
      </c>
      <c r="BV77" s="56" t="str">
        <f>IF('⚙ OFF Weekends'!$D$69="OFF","OFF","")</f>
        <v/>
      </c>
      <c r="BW77" s="54" t="str">
        <f>IF('⚙ OFF Weekends'!$D$70="OFF","OFF","")</f>
        <v/>
      </c>
      <c r="BX77" s="56" t="str">
        <f>IF('⚙ OFF Weekends'!$D$71="OFF","OFF","")</f>
        <v/>
      </c>
      <c r="BY77" s="54" t="str">
        <f>IF('⚙ OFF Weekends'!$D$72="OFF","OFF","")</f>
        <v/>
      </c>
      <c r="BZ77" s="56" t="str">
        <f>IF('⚙ OFF Weekends'!$D$73="OFF","OFF","")</f>
        <v/>
      </c>
      <c r="CA77" s="54" t="str">
        <f>IF('⚙ OFF Weekends'!$D$74="OFF","OFF","")</f>
        <v/>
      </c>
      <c r="CB77" s="56" t="str">
        <f>IF('⚙ OFF Weekends'!$D$75="OFF","OFF","")</f>
        <v/>
      </c>
      <c r="CC77" s="54" t="str">
        <f>IF('⚙ OFF Weekends'!$D$76="OFF","OFF","")</f>
        <v/>
      </c>
      <c r="CD77" s="56" t="str">
        <f>IF('⚙ OFF Weekends'!$D$77="OFF","OFF","")</f>
        <v/>
      </c>
      <c r="CE77" s="95">
        <f t="shared" si="21"/>
        <v>18</v>
      </c>
      <c r="CF77" s="95">
        <f t="shared" si="22"/>
        <v>0</v>
      </c>
      <c r="CG77" s="95">
        <f t="shared" si="23"/>
        <v>0</v>
      </c>
      <c r="CH77" s="95" t="str">
        <f t="shared" si="24"/>
        <v>100%</v>
      </c>
    </row>
    <row r="78" ht="18.0" customHeight="1">
      <c r="A78" s="96">
        <v>8.0</v>
      </c>
      <c r="B78" s="22" t="s">
        <v>725</v>
      </c>
      <c r="C78" s="23" t="s">
        <v>726</v>
      </c>
      <c r="D78" s="24" t="str">
        <f t="shared" si="19"/>
        <v>📞 Call</v>
      </c>
      <c r="E78" s="41" t="str">
        <f t="shared" si="20"/>
        <v>💬 WhatsApp</v>
      </c>
      <c r="F78" s="20"/>
      <c r="G78" s="20" t="s">
        <v>525</v>
      </c>
      <c r="H78" s="20"/>
      <c r="I78" s="79" t="s">
        <v>223</v>
      </c>
      <c r="J78" s="79" t="s">
        <v>223</v>
      </c>
      <c r="K78" s="49" t="s">
        <v>197</v>
      </c>
      <c r="L78" s="79" t="s">
        <v>223</v>
      </c>
      <c r="M78" s="79" t="s">
        <v>223</v>
      </c>
      <c r="N78" s="79" t="s">
        <v>223</v>
      </c>
      <c r="O78" s="79" t="s">
        <v>223</v>
      </c>
      <c r="P78" s="79" t="s">
        <v>223</v>
      </c>
      <c r="Q78" s="79" t="s">
        <v>223</v>
      </c>
      <c r="R78" s="79" t="s">
        <v>223</v>
      </c>
      <c r="S78" s="52" t="s">
        <v>223</v>
      </c>
      <c r="T78" s="98" t="s">
        <v>223</v>
      </c>
      <c r="U78" s="52" t="s">
        <v>223</v>
      </c>
      <c r="V78" s="53" t="s">
        <v>223</v>
      </c>
      <c r="W78" s="54" t="str">
        <f>IF('⚙ OFF Weekends'!$D$18="OFF","OFF","")</f>
        <v>OFF</v>
      </c>
      <c r="X78" s="53" t="s">
        <v>223</v>
      </c>
      <c r="Y78" s="52" t="s">
        <v>223</v>
      </c>
      <c r="Z78" s="53" t="s">
        <v>223</v>
      </c>
      <c r="AA78" s="52" t="s">
        <v>223</v>
      </c>
      <c r="AB78" s="53" t="s">
        <v>223</v>
      </c>
      <c r="AC78" s="54" t="str">
        <f>IF('⚙ OFF Weekends'!$D$24="OFF","OFF","")</f>
        <v/>
      </c>
      <c r="AD78" s="56" t="str">
        <f>IF('⚙ OFF Weekends'!$D$25="OFF","OFF","")</f>
        <v/>
      </c>
      <c r="AE78" s="54" t="str">
        <f>IF('⚙ OFF Weekends'!$D$26="OFF","OFF","")</f>
        <v/>
      </c>
      <c r="AF78" s="56" t="str">
        <f>IF('⚙ OFF Weekends'!$D$27="OFF","OFF","")</f>
        <v/>
      </c>
      <c r="AG78" s="54" t="str">
        <f>IF('⚙ OFF Weekends'!$D$28="OFF","OFF","")</f>
        <v/>
      </c>
      <c r="AH78" s="56" t="str">
        <f>IF('⚙ OFF Weekends'!$D$29="OFF","OFF","")</f>
        <v/>
      </c>
      <c r="AI78" s="54" t="str">
        <f>IF('⚙ OFF Weekends'!$D$30="OFF","OFF","")</f>
        <v/>
      </c>
      <c r="AJ78" s="56" t="str">
        <f>IF('⚙ OFF Weekends'!$D$31="OFF","OFF","")</f>
        <v/>
      </c>
      <c r="AK78" s="54" t="str">
        <f>IF('⚙ OFF Weekends'!$D$32="OFF","OFF","")</f>
        <v/>
      </c>
      <c r="AL78" s="56" t="str">
        <f>IF('⚙ OFF Weekends'!$D$33="OFF","OFF","")</f>
        <v/>
      </c>
      <c r="AM78" s="54" t="str">
        <f>IF('⚙ OFF Weekends'!$D$34="OFF","OFF","")</f>
        <v/>
      </c>
      <c r="AN78" s="56" t="str">
        <f>IF('⚙ OFF Weekends'!$D$35="OFF","OFF","")</f>
        <v/>
      </c>
      <c r="AO78" s="54" t="str">
        <f>IF('⚙ OFF Weekends'!$D$36="OFF","OFF","")</f>
        <v/>
      </c>
      <c r="AP78" s="56" t="str">
        <f>IF('⚙ OFF Weekends'!$D$37="OFF","OFF","")</f>
        <v/>
      </c>
      <c r="AQ78" s="54" t="str">
        <f>IF('⚙ OFF Weekends'!$D$38="OFF","OFF","")</f>
        <v/>
      </c>
      <c r="AR78" s="56" t="str">
        <f>IF('⚙ OFF Weekends'!$D$39="OFF","OFF","")</f>
        <v/>
      </c>
      <c r="AS78" s="54" t="str">
        <f>IF('⚙ OFF Weekends'!$D$40="OFF","OFF","")</f>
        <v/>
      </c>
      <c r="AT78" s="56" t="str">
        <f>IF('⚙ OFF Weekends'!$D$41="OFF","OFF","")</f>
        <v/>
      </c>
      <c r="AU78" s="54" t="str">
        <f>IF('⚙ OFF Weekends'!$D$42="OFF","OFF","")</f>
        <v/>
      </c>
      <c r="AV78" s="56" t="str">
        <f>IF('⚙ OFF Weekends'!$D$43="OFF","OFF","")</f>
        <v/>
      </c>
      <c r="AW78" s="54" t="str">
        <f>IF('⚙ OFF Weekends'!$D$44="OFF","OFF","")</f>
        <v/>
      </c>
      <c r="AX78" s="56" t="str">
        <f>IF('⚙ OFF Weekends'!$D$45="OFF","OFF","")</f>
        <v/>
      </c>
      <c r="AY78" s="54" t="str">
        <f>IF('⚙ OFF Weekends'!$D$46="OFF","OFF","")</f>
        <v/>
      </c>
      <c r="AZ78" s="56" t="str">
        <f>IF('⚙ OFF Weekends'!$D$47="OFF","OFF","")</f>
        <v/>
      </c>
      <c r="BA78" s="54" t="str">
        <f>IF('⚙ OFF Weekends'!$D$48="OFF","OFF","")</f>
        <v/>
      </c>
      <c r="BB78" s="56" t="str">
        <f>IF('⚙ OFF Weekends'!$D$49="OFF","OFF","")</f>
        <v/>
      </c>
      <c r="BC78" s="54" t="str">
        <f>IF('⚙ OFF Weekends'!$D$50="OFF","OFF","")</f>
        <v/>
      </c>
      <c r="BD78" s="56" t="str">
        <f>IF('⚙ OFF Weekends'!$D$51="OFF","OFF","")</f>
        <v/>
      </c>
      <c r="BE78" s="54" t="str">
        <f>IF('⚙ OFF Weekends'!$D$52="OFF","OFF","")</f>
        <v/>
      </c>
      <c r="BF78" s="56" t="str">
        <f>IF('⚙ OFF Weekends'!$D$53="OFF","OFF","")</f>
        <v/>
      </c>
      <c r="BG78" s="54" t="str">
        <f>IF('⚙ OFF Weekends'!$D$54="OFF","OFF","")</f>
        <v/>
      </c>
      <c r="BH78" s="56" t="str">
        <f>IF('⚙ OFF Weekends'!$D$55="OFF","OFF","")</f>
        <v/>
      </c>
      <c r="BI78" s="54" t="str">
        <f>IF('⚙ OFF Weekends'!$D$56="OFF","OFF","")</f>
        <v/>
      </c>
      <c r="BJ78" s="56" t="str">
        <f>IF('⚙ OFF Weekends'!$D$57="OFF","OFF","")</f>
        <v/>
      </c>
      <c r="BK78" s="54" t="str">
        <f>IF('⚙ OFF Weekends'!$D$58="OFF","OFF","")</f>
        <v/>
      </c>
      <c r="BL78" s="56" t="str">
        <f>IF('⚙ OFF Weekends'!$D$59="OFF","OFF","")</f>
        <v/>
      </c>
      <c r="BM78" s="54" t="str">
        <f>IF('⚙ OFF Weekends'!$D$60="OFF","OFF","")</f>
        <v/>
      </c>
      <c r="BN78" s="56" t="str">
        <f>IF('⚙ OFF Weekends'!$D$61="OFF","OFF","")</f>
        <v/>
      </c>
      <c r="BO78" s="54" t="str">
        <f>IF('⚙ OFF Weekends'!$D$62="OFF","OFF","")</f>
        <v/>
      </c>
      <c r="BP78" s="56" t="str">
        <f>IF('⚙ OFF Weekends'!$D$63="OFF","OFF","")</f>
        <v/>
      </c>
      <c r="BQ78" s="54" t="str">
        <f>IF('⚙ OFF Weekends'!$D$64="OFF","OFF","")</f>
        <v/>
      </c>
      <c r="BR78" s="56" t="str">
        <f>IF('⚙ OFF Weekends'!$D$65="OFF","OFF","")</f>
        <v/>
      </c>
      <c r="BS78" s="54" t="str">
        <f>IF('⚙ OFF Weekends'!$D$66="OFF","OFF","")</f>
        <v/>
      </c>
      <c r="BT78" s="56" t="str">
        <f>IF('⚙ OFF Weekends'!$D$67="OFF","OFF","")</f>
        <v/>
      </c>
      <c r="BU78" s="54" t="str">
        <f>IF('⚙ OFF Weekends'!$D$68="OFF","OFF","")</f>
        <v/>
      </c>
      <c r="BV78" s="56" t="str">
        <f>IF('⚙ OFF Weekends'!$D$69="OFF","OFF","")</f>
        <v/>
      </c>
      <c r="BW78" s="54" t="str">
        <f>IF('⚙ OFF Weekends'!$D$70="OFF","OFF","")</f>
        <v/>
      </c>
      <c r="BX78" s="56" t="str">
        <f>IF('⚙ OFF Weekends'!$D$71="OFF","OFF","")</f>
        <v/>
      </c>
      <c r="BY78" s="54" t="str">
        <f>IF('⚙ OFF Weekends'!$D$72="OFF","OFF","")</f>
        <v/>
      </c>
      <c r="BZ78" s="56" t="str">
        <f>IF('⚙ OFF Weekends'!$D$73="OFF","OFF","")</f>
        <v/>
      </c>
      <c r="CA78" s="54" t="str">
        <f>IF('⚙ OFF Weekends'!$D$74="OFF","OFF","")</f>
        <v/>
      </c>
      <c r="CB78" s="56" t="str">
        <f>IF('⚙ OFF Weekends'!$D$75="OFF","OFF","")</f>
        <v/>
      </c>
      <c r="CC78" s="54" t="str">
        <f>IF('⚙ OFF Weekends'!$D$76="OFF","OFF","")</f>
        <v/>
      </c>
      <c r="CD78" s="56" t="str">
        <f>IF('⚙ OFF Weekends'!$D$77="OFF","OFF","")</f>
        <v/>
      </c>
      <c r="CE78" s="96">
        <f t="shared" si="21"/>
        <v>0</v>
      </c>
      <c r="CF78" s="96">
        <f t="shared" si="22"/>
        <v>18</v>
      </c>
      <c r="CG78" s="96">
        <f t="shared" si="23"/>
        <v>0</v>
      </c>
      <c r="CH78" s="96" t="str">
        <f t="shared" si="24"/>
        <v>0%</v>
      </c>
    </row>
    <row r="79" ht="18.0" customHeight="1">
      <c r="A79" s="95">
        <v>9.0</v>
      </c>
      <c r="B79" s="12" t="s">
        <v>728</v>
      </c>
      <c r="C79" s="14" t="s">
        <v>729</v>
      </c>
      <c r="D79" s="17" t="str">
        <f t="shared" si="19"/>
        <v>📞 Call</v>
      </c>
      <c r="E79" s="19" t="str">
        <f t="shared" si="20"/>
        <v>💬 WhatsApp</v>
      </c>
      <c r="F79" s="10"/>
      <c r="G79" s="10" t="s">
        <v>525</v>
      </c>
      <c r="H79" s="10" t="s">
        <v>320</v>
      </c>
      <c r="I79" s="79" t="s">
        <v>223</v>
      </c>
      <c r="J79" s="79" t="s">
        <v>223</v>
      </c>
      <c r="K79" s="49" t="s">
        <v>197</v>
      </c>
      <c r="L79" s="79" t="s">
        <v>223</v>
      </c>
      <c r="M79" s="79" t="s">
        <v>223</v>
      </c>
      <c r="N79" s="79" t="s">
        <v>223</v>
      </c>
      <c r="O79" s="77" t="s">
        <v>198</v>
      </c>
      <c r="P79" s="77" t="s">
        <v>198</v>
      </c>
      <c r="Q79" s="79" t="s">
        <v>223</v>
      </c>
      <c r="R79" s="79" t="s">
        <v>223</v>
      </c>
      <c r="S79" s="52" t="s">
        <v>223</v>
      </c>
      <c r="T79" s="98" t="s">
        <v>223</v>
      </c>
      <c r="U79" s="52" t="s">
        <v>223</v>
      </c>
      <c r="V79" s="53" t="s">
        <v>223</v>
      </c>
      <c r="W79" s="54" t="str">
        <f>IF('⚙ OFF Weekends'!$D$18="OFF","OFF","")</f>
        <v>OFF</v>
      </c>
      <c r="X79" s="53" t="s">
        <v>223</v>
      </c>
      <c r="Y79" s="52" t="s">
        <v>223</v>
      </c>
      <c r="Z79" s="53" t="s">
        <v>223</v>
      </c>
      <c r="AA79" s="52" t="s">
        <v>223</v>
      </c>
      <c r="AB79" s="53" t="s">
        <v>223</v>
      </c>
      <c r="AC79" s="54" t="str">
        <f>IF('⚙ OFF Weekends'!$D$24="OFF","OFF","")</f>
        <v/>
      </c>
      <c r="AD79" s="56" t="str">
        <f>IF('⚙ OFF Weekends'!$D$25="OFF","OFF","")</f>
        <v/>
      </c>
      <c r="AE79" s="54" t="str">
        <f>IF('⚙ OFF Weekends'!$D$26="OFF","OFF","")</f>
        <v/>
      </c>
      <c r="AF79" s="56" t="str">
        <f>IF('⚙ OFF Weekends'!$D$27="OFF","OFF","")</f>
        <v/>
      </c>
      <c r="AG79" s="54" t="str">
        <f>IF('⚙ OFF Weekends'!$D$28="OFF","OFF","")</f>
        <v/>
      </c>
      <c r="AH79" s="56" t="str">
        <f>IF('⚙ OFF Weekends'!$D$29="OFF","OFF","")</f>
        <v/>
      </c>
      <c r="AI79" s="54" t="str">
        <f>IF('⚙ OFF Weekends'!$D$30="OFF","OFF","")</f>
        <v/>
      </c>
      <c r="AJ79" s="56" t="str">
        <f>IF('⚙ OFF Weekends'!$D$31="OFF","OFF","")</f>
        <v/>
      </c>
      <c r="AK79" s="54" t="str">
        <f>IF('⚙ OFF Weekends'!$D$32="OFF","OFF","")</f>
        <v/>
      </c>
      <c r="AL79" s="56" t="str">
        <f>IF('⚙ OFF Weekends'!$D$33="OFF","OFF","")</f>
        <v/>
      </c>
      <c r="AM79" s="54" t="str">
        <f>IF('⚙ OFF Weekends'!$D$34="OFF","OFF","")</f>
        <v/>
      </c>
      <c r="AN79" s="56" t="str">
        <f>IF('⚙ OFF Weekends'!$D$35="OFF","OFF","")</f>
        <v/>
      </c>
      <c r="AO79" s="54" t="str">
        <f>IF('⚙ OFF Weekends'!$D$36="OFF","OFF","")</f>
        <v/>
      </c>
      <c r="AP79" s="56" t="str">
        <f>IF('⚙ OFF Weekends'!$D$37="OFF","OFF","")</f>
        <v/>
      </c>
      <c r="AQ79" s="54" t="str">
        <f>IF('⚙ OFF Weekends'!$D$38="OFF","OFF","")</f>
        <v/>
      </c>
      <c r="AR79" s="56" t="str">
        <f>IF('⚙ OFF Weekends'!$D$39="OFF","OFF","")</f>
        <v/>
      </c>
      <c r="AS79" s="54" t="str">
        <f>IF('⚙ OFF Weekends'!$D$40="OFF","OFF","")</f>
        <v/>
      </c>
      <c r="AT79" s="56" t="str">
        <f>IF('⚙ OFF Weekends'!$D$41="OFF","OFF","")</f>
        <v/>
      </c>
      <c r="AU79" s="54" t="str">
        <f>IF('⚙ OFF Weekends'!$D$42="OFF","OFF","")</f>
        <v/>
      </c>
      <c r="AV79" s="56" t="str">
        <f>IF('⚙ OFF Weekends'!$D$43="OFF","OFF","")</f>
        <v/>
      </c>
      <c r="AW79" s="54" t="str">
        <f>IF('⚙ OFF Weekends'!$D$44="OFF","OFF","")</f>
        <v/>
      </c>
      <c r="AX79" s="56" t="str">
        <f>IF('⚙ OFF Weekends'!$D$45="OFF","OFF","")</f>
        <v/>
      </c>
      <c r="AY79" s="54" t="str">
        <f>IF('⚙ OFF Weekends'!$D$46="OFF","OFF","")</f>
        <v/>
      </c>
      <c r="AZ79" s="56" t="str">
        <f>IF('⚙ OFF Weekends'!$D$47="OFF","OFF","")</f>
        <v/>
      </c>
      <c r="BA79" s="54" t="str">
        <f>IF('⚙ OFF Weekends'!$D$48="OFF","OFF","")</f>
        <v/>
      </c>
      <c r="BB79" s="56" t="str">
        <f>IF('⚙ OFF Weekends'!$D$49="OFF","OFF","")</f>
        <v/>
      </c>
      <c r="BC79" s="54" t="str">
        <f>IF('⚙ OFF Weekends'!$D$50="OFF","OFF","")</f>
        <v/>
      </c>
      <c r="BD79" s="56" t="str">
        <f>IF('⚙ OFF Weekends'!$D$51="OFF","OFF","")</f>
        <v/>
      </c>
      <c r="BE79" s="54" t="str">
        <f>IF('⚙ OFF Weekends'!$D$52="OFF","OFF","")</f>
        <v/>
      </c>
      <c r="BF79" s="56" t="str">
        <f>IF('⚙ OFF Weekends'!$D$53="OFF","OFF","")</f>
        <v/>
      </c>
      <c r="BG79" s="54" t="str">
        <f>IF('⚙ OFF Weekends'!$D$54="OFF","OFF","")</f>
        <v/>
      </c>
      <c r="BH79" s="56" t="str">
        <f>IF('⚙ OFF Weekends'!$D$55="OFF","OFF","")</f>
        <v/>
      </c>
      <c r="BI79" s="54" t="str">
        <f>IF('⚙ OFF Weekends'!$D$56="OFF","OFF","")</f>
        <v/>
      </c>
      <c r="BJ79" s="56" t="str">
        <f>IF('⚙ OFF Weekends'!$D$57="OFF","OFF","")</f>
        <v/>
      </c>
      <c r="BK79" s="54" t="str">
        <f>IF('⚙ OFF Weekends'!$D$58="OFF","OFF","")</f>
        <v/>
      </c>
      <c r="BL79" s="56" t="str">
        <f>IF('⚙ OFF Weekends'!$D$59="OFF","OFF","")</f>
        <v/>
      </c>
      <c r="BM79" s="54" t="str">
        <f>IF('⚙ OFF Weekends'!$D$60="OFF","OFF","")</f>
        <v/>
      </c>
      <c r="BN79" s="56" t="str">
        <f>IF('⚙ OFF Weekends'!$D$61="OFF","OFF","")</f>
        <v/>
      </c>
      <c r="BO79" s="54" t="str">
        <f>IF('⚙ OFF Weekends'!$D$62="OFF","OFF","")</f>
        <v/>
      </c>
      <c r="BP79" s="56" t="str">
        <f>IF('⚙ OFF Weekends'!$D$63="OFF","OFF","")</f>
        <v/>
      </c>
      <c r="BQ79" s="54" t="str">
        <f>IF('⚙ OFF Weekends'!$D$64="OFF","OFF","")</f>
        <v/>
      </c>
      <c r="BR79" s="56" t="str">
        <f>IF('⚙ OFF Weekends'!$D$65="OFF","OFF","")</f>
        <v/>
      </c>
      <c r="BS79" s="54" t="str">
        <f>IF('⚙ OFF Weekends'!$D$66="OFF","OFF","")</f>
        <v/>
      </c>
      <c r="BT79" s="56" t="str">
        <f>IF('⚙ OFF Weekends'!$D$67="OFF","OFF","")</f>
        <v/>
      </c>
      <c r="BU79" s="54" t="str">
        <f>IF('⚙ OFF Weekends'!$D$68="OFF","OFF","")</f>
        <v/>
      </c>
      <c r="BV79" s="56" t="str">
        <f>IF('⚙ OFF Weekends'!$D$69="OFF","OFF","")</f>
        <v/>
      </c>
      <c r="BW79" s="54" t="str">
        <f>IF('⚙ OFF Weekends'!$D$70="OFF","OFF","")</f>
        <v/>
      </c>
      <c r="BX79" s="56" t="str">
        <f>IF('⚙ OFF Weekends'!$D$71="OFF","OFF","")</f>
        <v/>
      </c>
      <c r="BY79" s="54" t="str">
        <f>IF('⚙ OFF Weekends'!$D$72="OFF","OFF","")</f>
        <v/>
      </c>
      <c r="BZ79" s="56" t="str">
        <f>IF('⚙ OFF Weekends'!$D$73="OFF","OFF","")</f>
        <v/>
      </c>
      <c r="CA79" s="54" t="str">
        <f>IF('⚙ OFF Weekends'!$D$74="OFF","OFF","")</f>
        <v/>
      </c>
      <c r="CB79" s="56" t="str">
        <f>IF('⚙ OFF Weekends'!$D$75="OFF","OFF","")</f>
        <v/>
      </c>
      <c r="CC79" s="54" t="str">
        <f>IF('⚙ OFF Weekends'!$D$76="OFF","OFF","")</f>
        <v/>
      </c>
      <c r="CD79" s="56" t="str">
        <f>IF('⚙ OFF Weekends'!$D$77="OFF","OFF","")</f>
        <v/>
      </c>
      <c r="CE79" s="95">
        <f t="shared" si="21"/>
        <v>0</v>
      </c>
      <c r="CF79" s="95">
        <f t="shared" si="22"/>
        <v>16</v>
      </c>
      <c r="CG79" s="95">
        <f t="shared" si="23"/>
        <v>2</v>
      </c>
      <c r="CH79" s="95" t="str">
        <f t="shared" si="24"/>
        <v>0%</v>
      </c>
    </row>
    <row r="80" ht="18.0" customHeight="1">
      <c r="A80" s="96">
        <v>10.0</v>
      </c>
      <c r="B80" s="22" t="s">
        <v>732</v>
      </c>
      <c r="C80" s="23" t="s">
        <v>733</v>
      </c>
      <c r="D80" s="24" t="str">
        <f t="shared" si="19"/>
        <v>📞 Call</v>
      </c>
      <c r="E80" s="41" t="str">
        <f t="shared" si="20"/>
        <v>💬 WhatsApp</v>
      </c>
      <c r="F80" s="20"/>
      <c r="G80" s="20" t="s">
        <v>525</v>
      </c>
      <c r="H80" s="20" t="s">
        <v>409</v>
      </c>
      <c r="I80" s="79" t="s">
        <v>223</v>
      </c>
      <c r="J80" s="48" t="s">
        <v>196</v>
      </c>
      <c r="K80" s="49" t="s">
        <v>197</v>
      </c>
      <c r="L80" s="48" t="s">
        <v>196</v>
      </c>
      <c r="M80" s="48" t="s">
        <v>196</v>
      </c>
      <c r="N80" s="48" t="s">
        <v>196</v>
      </c>
      <c r="O80" s="100" t="s">
        <v>290</v>
      </c>
      <c r="P80" s="79" t="s">
        <v>223</v>
      </c>
      <c r="Q80" s="100" t="s">
        <v>290</v>
      </c>
      <c r="R80" s="48" t="s">
        <v>196</v>
      </c>
      <c r="S80" s="52" t="s">
        <v>290</v>
      </c>
      <c r="T80" s="98" t="s">
        <v>223</v>
      </c>
      <c r="U80" s="52" t="s">
        <v>290</v>
      </c>
      <c r="V80" s="53" t="s">
        <v>196</v>
      </c>
      <c r="W80" s="54" t="str">
        <f>IF('⚙ OFF Weekends'!$D$18="OFF","OFF","")</f>
        <v>OFF</v>
      </c>
      <c r="X80" s="53" t="s">
        <v>198</v>
      </c>
      <c r="Y80" s="52" t="s">
        <v>196</v>
      </c>
      <c r="Z80" s="53" t="s">
        <v>223</v>
      </c>
      <c r="AA80" s="52" t="s">
        <v>223</v>
      </c>
      <c r="AB80" s="53" t="s">
        <v>223</v>
      </c>
      <c r="AC80" s="54" t="str">
        <f>IF('⚙ OFF Weekends'!$D$24="OFF","OFF","")</f>
        <v/>
      </c>
      <c r="AD80" s="56" t="str">
        <f>IF('⚙ OFF Weekends'!$D$25="OFF","OFF","")</f>
        <v/>
      </c>
      <c r="AE80" s="54" t="str">
        <f>IF('⚙ OFF Weekends'!$D$26="OFF","OFF","")</f>
        <v/>
      </c>
      <c r="AF80" s="56" t="str">
        <f>IF('⚙ OFF Weekends'!$D$27="OFF","OFF","")</f>
        <v/>
      </c>
      <c r="AG80" s="54" t="str">
        <f>IF('⚙ OFF Weekends'!$D$28="OFF","OFF","")</f>
        <v/>
      </c>
      <c r="AH80" s="56" t="str">
        <f>IF('⚙ OFF Weekends'!$D$29="OFF","OFF","")</f>
        <v/>
      </c>
      <c r="AI80" s="54" t="str">
        <f>IF('⚙ OFF Weekends'!$D$30="OFF","OFF","")</f>
        <v/>
      </c>
      <c r="AJ80" s="56" t="str">
        <f>IF('⚙ OFF Weekends'!$D$31="OFF","OFF","")</f>
        <v/>
      </c>
      <c r="AK80" s="54" t="str">
        <f>IF('⚙ OFF Weekends'!$D$32="OFF","OFF","")</f>
        <v/>
      </c>
      <c r="AL80" s="56" t="str">
        <f>IF('⚙ OFF Weekends'!$D$33="OFF","OFF","")</f>
        <v/>
      </c>
      <c r="AM80" s="54" t="str">
        <f>IF('⚙ OFF Weekends'!$D$34="OFF","OFF","")</f>
        <v/>
      </c>
      <c r="AN80" s="56" t="str">
        <f>IF('⚙ OFF Weekends'!$D$35="OFF","OFF","")</f>
        <v/>
      </c>
      <c r="AO80" s="54" t="str">
        <f>IF('⚙ OFF Weekends'!$D$36="OFF","OFF","")</f>
        <v/>
      </c>
      <c r="AP80" s="56" t="str">
        <f>IF('⚙ OFF Weekends'!$D$37="OFF","OFF","")</f>
        <v/>
      </c>
      <c r="AQ80" s="54" t="str">
        <f>IF('⚙ OFF Weekends'!$D$38="OFF","OFF","")</f>
        <v/>
      </c>
      <c r="AR80" s="56" t="str">
        <f>IF('⚙ OFF Weekends'!$D$39="OFF","OFF","")</f>
        <v/>
      </c>
      <c r="AS80" s="54" t="str">
        <f>IF('⚙ OFF Weekends'!$D$40="OFF","OFF","")</f>
        <v/>
      </c>
      <c r="AT80" s="56" t="str">
        <f>IF('⚙ OFF Weekends'!$D$41="OFF","OFF","")</f>
        <v/>
      </c>
      <c r="AU80" s="54" t="str">
        <f>IF('⚙ OFF Weekends'!$D$42="OFF","OFF","")</f>
        <v/>
      </c>
      <c r="AV80" s="56" t="str">
        <f>IF('⚙ OFF Weekends'!$D$43="OFF","OFF","")</f>
        <v/>
      </c>
      <c r="AW80" s="54" t="str">
        <f>IF('⚙ OFF Weekends'!$D$44="OFF","OFF","")</f>
        <v/>
      </c>
      <c r="AX80" s="56" t="str">
        <f>IF('⚙ OFF Weekends'!$D$45="OFF","OFF","")</f>
        <v/>
      </c>
      <c r="AY80" s="54" t="str">
        <f>IF('⚙ OFF Weekends'!$D$46="OFF","OFF","")</f>
        <v/>
      </c>
      <c r="AZ80" s="56" t="str">
        <f>IF('⚙ OFF Weekends'!$D$47="OFF","OFF","")</f>
        <v/>
      </c>
      <c r="BA80" s="54" t="str">
        <f>IF('⚙ OFF Weekends'!$D$48="OFF","OFF","")</f>
        <v/>
      </c>
      <c r="BB80" s="56" t="str">
        <f>IF('⚙ OFF Weekends'!$D$49="OFF","OFF","")</f>
        <v/>
      </c>
      <c r="BC80" s="54" t="str">
        <f>IF('⚙ OFF Weekends'!$D$50="OFF","OFF","")</f>
        <v/>
      </c>
      <c r="BD80" s="56" t="str">
        <f>IF('⚙ OFF Weekends'!$D$51="OFF","OFF","")</f>
        <v/>
      </c>
      <c r="BE80" s="54" t="str">
        <f>IF('⚙ OFF Weekends'!$D$52="OFF","OFF","")</f>
        <v/>
      </c>
      <c r="BF80" s="56" t="str">
        <f>IF('⚙ OFF Weekends'!$D$53="OFF","OFF","")</f>
        <v/>
      </c>
      <c r="BG80" s="54" t="str">
        <f>IF('⚙ OFF Weekends'!$D$54="OFF","OFF","")</f>
        <v/>
      </c>
      <c r="BH80" s="56" t="str">
        <f>IF('⚙ OFF Weekends'!$D$55="OFF","OFF","")</f>
        <v/>
      </c>
      <c r="BI80" s="54" t="str">
        <f>IF('⚙ OFF Weekends'!$D$56="OFF","OFF","")</f>
        <v/>
      </c>
      <c r="BJ80" s="56" t="str">
        <f>IF('⚙ OFF Weekends'!$D$57="OFF","OFF","")</f>
        <v/>
      </c>
      <c r="BK80" s="54" t="str">
        <f>IF('⚙ OFF Weekends'!$D$58="OFF","OFF","")</f>
        <v/>
      </c>
      <c r="BL80" s="56" t="str">
        <f>IF('⚙ OFF Weekends'!$D$59="OFF","OFF","")</f>
        <v/>
      </c>
      <c r="BM80" s="54" t="str">
        <f>IF('⚙ OFF Weekends'!$D$60="OFF","OFF","")</f>
        <v/>
      </c>
      <c r="BN80" s="56" t="str">
        <f>IF('⚙ OFF Weekends'!$D$61="OFF","OFF","")</f>
        <v/>
      </c>
      <c r="BO80" s="54" t="str">
        <f>IF('⚙ OFF Weekends'!$D$62="OFF","OFF","")</f>
        <v/>
      </c>
      <c r="BP80" s="56" t="str">
        <f>IF('⚙ OFF Weekends'!$D$63="OFF","OFF","")</f>
        <v/>
      </c>
      <c r="BQ80" s="54" t="str">
        <f>IF('⚙ OFF Weekends'!$D$64="OFF","OFF","")</f>
        <v/>
      </c>
      <c r="BR80" s="56" t="str">
        <f>IF('⚙ OFF Weekends'!$D$65="OFF","OFF","")</f>
        <v/>
      </c>
      <c r="BS80" s="54" t="str">
        <f>IF('⚙ OFF Weekends'!$D$66="OFF","OFF","")</f>
        <v/>
      </c>
      <c r="BT80" s="56" t="str">
        <f>IF('⚙ OFF Weekends'!$D$67="OFF","OFF","")</f>
        <v/>
      </c>
      <c r="BU80" s="54" t="str">
        <f>IF('⚙ OFF Weekends'!$D$68="OFF","OFF","")</f>
        <v/>
      </c>
      <c r="BV80" s="56" t="str">
        <f>IF('⚙ OFF Weekends'!$D$69="OFF","OFF","")</f>
        <v/>
      </c>
      <c r="BW80" s="54" t="str">
        <f>IF('⚙ OFF Weekends'!$D$70="OFF","OFF","")</f>
        <v/>
      </c>
      <c r="BX80" s="56" t="str">
        <f>IF('⚙ OFF Weekends'!$D$71="OFF","OFF","")</f>
        <v/>
      </c>
      <c r="BY80" s="54" t="str">
        <f>IF('⚙ OFF Weekends'!$D$72="OFF","OFF","")</f>
        <v/>
      </c>
      <c r="BZ80" s="56" t="str">
        <f>IF('⚙ OFF Weekends'!$D$73="OFF","OFF","")</f>
        <v/>
      </c>
      <c r="CA80" s="54" t="str">
        <f>IF('⚙ OFF Weekends'!$D$74="OFF","OFF","")</f>
        <v/>
      </c>
      <c r="CB80" s="56" t="str">
        <f>IF('⚙ OFF Weekends'!$D$75="OFF","OFF","")</f>
        <v/>
      </c>
      <c r="CC80" s="54" t="str">
        <f>IF('⚙ OFF Weekends'!$D$76="OFF","OFF","")</f>
        <v/>
      </c>
      <c r="CD80" s="56" t="str">
        <f>IF('⚙ OFF Weekends'!$D$77="OFF","OFF","")</f>
        <v/>
      </c>
      <c r="CE80" s="96">
        <f t="shared" si="21"/>
        <v>7</v>
      </c>
      <c r="CF80" s="96">
        <f t="shared" si="22"/>
        <v>6</v>
      </c>
      <c r="CG80" s="96">
        <f t="shared" si="23"/>
        <v>1</v>
      </c>
      <c r="CH80" s="96" t="str">
        <f t="shared" si="24"/>
        <v>54%</v>
      </c>
    </row>
    <row r="81" ht="18.0" customHeight="1">
      <c r="A81" s="95">
        <v>11.0</v>
      </c>
      <c r="B81" s="12" t="s">
        <v>736</v>
      </c>
      <c r="C81" s="14" t="s">
        <v>737</v>
      </c>
      <c r="D81" s="17" t="str">
        <f t="shared" si="19"/>
        <v>📞 Call</v>
      </c>
      <c r="E81" s="19" t="str">
        <f t="shared" si="20"/>
        <v>💬 WhatsApp</v>
      </c>
      <c r="F81" s="10"/>
      <c r="G81" s="10" t="s">
        <v>525</v>
      </c>
      <c r="H81" s="10" t="s">
        <v>409</v>
      </c>
      <c r="I81" s="48" t="s">
        <v>196</v>
      </c>
      <c r="J81" s="79" t="s">
        <v>223</v>
      </c>
      <c r="K81" s="49" t="s">
        <v>197</v>
      </c>
      <c r="L81" s="48" t="s">
        <v>196</v>
      </c>
      <c r="M81" s="79" t="s">
        <v>223</v>
      </c>
      <c r="N81" s="79" t="s">
        <v>223</v>
      </c>
      <c r="O81" s="48" t="s">
        <v>196</v>
      </c>
      <c r="P81" s="48" t="s">
        <v>196</v>
      </c>
      <c r="Q81" s="48" t="s">
        <v>196</v>
      </c>
      <c r="R81" s="77" t="s">
        <v>198</v>
      </c>
      <c r="S81" s="52" t="s">
        <v>198</v>
      </c>
      <c r="T81" s="53" t="s">
        <v>196</v>
      </c>
      <c r="U81" s="52" t="s">
        <v>198</v>
      </c>
      <c r="V81" s="53" t="s">
        <v>223</v>
      </c>
      <c r="W81" s="54" t="str">
        <f>IF('⚙ OFF Weekends'!$D$18="OFF","OFF","")</f>
        <v>OFF</v>
      </c>
      <c r="X81" s="53" t="s">
        <v>198</v>
      </c>
      <c r="Y81" s="52" t="s">
        <v>196</v>
      </c>
      <c r="Z81" s="53" t="s">
        <v>223</v>
      </c>
      <c r="AA81" s="52" t="s">
        <v>223</v>
      </c>
      <c r="AB81" s="53" t="s">
        <v>223</v>
      </c>
      <c r="AC81" s="54" t="str">
        <f>IF('⚙ OFF Weekends'!$D$24="OFF","OFF","")</f>
        <v/>
      </c>
      <c r="AD81" s="56" t="str">
        <f>IF('⚙ OFF Weekends'!$D$25="OFF","OFF","")</f>
        <v/>
      </c>
      <c r="AE81" s="54" t="str">
        <f>IF('⚙ OFF Weekends'!$D$26="OFF","OFF","")</f>
        <v/>
      </c>
      <c r="AF81" s="56" t="str">
        <f>IF('⚙ OFF Weekends'!$D$27="OFF","OFF","")</f>
        <v/>
      </c>
      <c r="AG81" s="54" t="str">
        <f>IF('⚙ OFF Weekends'!$D$28="OFF","OFF","")</f>
        <v/>
      </c>
      <c r="AH81" s="56" t="str">
        <f>IF('⚙ OFF Weekends'!$D$29="OFF","OFF","")</f>
        <v/>
      </c>
      <c r="AI81" s="54" t="str">
        <f>IF('⚙ OFF Weekends'!$D$30="OFF","OFF","")</f>
        <v/>
      </c>
      <c r="AJ81" s="56" t="str">
        <f>IF('⚙ OFF Weekends'!$D$31="OFF","OFF","")</f>
        <v/>
      </c>
      <c r="AK81" s="54" t="str">
        <f>IF('⚙ OFF Weekends'!$D$32="OFF","OFF","")</f>
        <v/>
      </c>
      <c r="AL81" s="56" t="str">
        <f>IF('⚙ OFF Weekends'!$D$33="OFF","OFF","")</f>
        <v/>
      </c>
      <c r="AM81" s="54" t="str">
        <f>IF('⚙ OFF Weekends'!$D$34="OFF","OFF","")</f>
        <v/>
      </c>
      <c r="AN81" s="56" t="str">
        <f>IF('⚙ OFF Weekends'!$D$35="OFF","OFF","")</f>
        <v/>
      </c>
      <c r="AO81" s="54" t="str">
        <f>IF('⚙ OFF Weekends'!$D$36="OFF","OFF","")</f>
        <v/>
      </c>
      <c r="AP81" s="56" t="str">
        <f>IF('⚙ OFF Weekends'!$D$37="OFF","OFF","")</f>
        <v/>
      </c>
      <c r="AQ81" s="54" t="str">
        <f>IF('⚙ OFF Weekends'!$D$38="OFF","OFF","")</f>
        <v/>
      </c>
      <c r="AR81" s="56" t="str">
        <f>IF('⚙ OFF Weekends'!$D$39="OFF","OFF","")</f>
        <v/>
      </c>
      <c r="AS81" s="54" t="str">
        <f>IF('⚙ OFF Weekends'!$D$40="OFF","OFF","")</f>
        <v/>
      </c>
      <c r="AT81" s="56" t="str">
        <f>IF('⚙ OFF Weekends'!$D$41="OFF","OFF","")</f>
        <v/>
      </c>
      <c r="AU81" s="54" t="str">
        <f>IF('⚙ OFF Weekends'!$D$42="OFF","OFF","")</f>
        <v/>
      </c>
      <c r="AV81" s="56" t="str">
        <f>IF('⚙ OFF Weekends'!$D$43="OFF","OFF","")</f>
        <v/>
      </c>
      <c r="AW81" s="54" t="str">
        <f>IF('⚙ OFF Weekends'!$D$44="OFF","OFF","")</f>
        <v/>
      </c>
      <c r="AX81" s="56" t="str">
        <f>IF('⚙ OFF Weekends'!$D$45="OFF","OFF","")</f>
        <v/>
      </c>
      <c r="AY81" s="54" t="str">
        <f>IF('⚙ OFF Weekends'!$D$46="OFF","OFF","")</f>
        <v/>
      </c>
      <c r="AZ81" s="56" t="str">
        <f>IF('⚙ OFF Weekends'!$D$47="OFF","OFF","")</f>
        <v/>
      </c>
      <c r="BA81" s="54" t="str">
        <f>IF('⚙ OFF Weekends'!$D$48="OFF","OFF","")</f>
        <v/>
      </c>
      <c r="BB81" s="56" t="str">
        <f>IF('⚙ OFF Weekends'!$D$49="OFF","OFF","")</f>
        <v/>
      </c>
      <c r="BC81" s="54" t="str">
        <f>IF('⚙ OFF Weekends'!$D$50="OFF","OFF","")</f>
        <v/>
      </c>
      <c r="BD81" s="56" t="str">
        <f>IF('⚙ OFF Weekends'!$D$51="OFF","OFF","")</f>
        <v/>
      </c>
      <c r="BE81" s="54" t="str">
        <f>IF('⚙ OFF Weekends'!$D$52="OFF","OFF","")</f>
        <v/>
      </c>
      <c r="BF81" s="56" t="str">
        <f>IF('⚙ OFF Weekends'!$D$53="OFF","OFF","")</f>
        <v/>
      </c>
      <c r="BG81" s="54" t="str">
        <f>IF('⚙ OFF Weekends'!$D$54="OFF","OFF","")</f>
        <v/>
      </c>
      <c r="BH81" s="56" t="str">
        <f>IF('⚙ OFF Weekends'!$D$55="OFF","OFF","")</f>
        <v/>
      </c>
      <c r="BI81" s="54" t="str">
        <f>IF('⚙ OFF Weekends'!$D$56="OFF","OFF","")</f>
        <v/>
      </c>
      <c r="BJ81" s="56" t="str">
        <f>IF('⚙ OFF Weekends'!$D$57="OFF","OFF","")</f>
        <v/>
      </c>
      <c r="BK81" s="54" t="str">
        <f>IF('⚙ OFF Weekends'!$D$58="OFF","OFF","")</f>
        <v/>
      </c>
      <c r="BL81" s="56" t="str">
        <f>IF('⚙ OFF Weekends'!$D$59="OFF","OFF","")</f>
        <v/>
      </c>
      <c r="BM81" s="54" t="str">
        <f>IF('⚙ OFF Weekends'!$D$60="OFF","OFF","")</f>
        <v/>
      </c>
      <c r="BN81" s="56" t="str">
        <f>IF('⚙ OFF Weekends'!$D$61="OFF","OFF","")</f>
        <v/>
      </c>
      <c r="BO81" s="54" t="str">
        <f>IF('⚙ OFF Weekends'!$D$62="OFF","OFF","")</f>
        <v/>
      </c>
      <c r="BP81" s="56" t="str">
        <f>IF('⚙ OFF Weekends'!$D$63="OFF","OFF","")</f>
        <v/>
      </c>
      <c r="BQ81" s="54" t="str">
        <f>IF('⚙ OFF Weekends'!$D$64="OFF","OFF","")</f>
        <v/>
      </c>
      <c r="BR81" s="56" t="str">
        <f>IF('⚙ OFF Weekends'!$D$65="OFF","OFF","")</f>
        <v/>
      </c>
      <c r="BS81" s="54" t="str">
        <f>IF('⚙ OFF Weekends'!$D$66="OFF","OFF","")</f>
        <v/>
      </c>
      <c r="BT81" s="56" t="str">
        <f>IF('⚙ OFF Weekends'!$D$67="OFF","OFF","")</f>
        <v/>
      </c>
      <c r="BU81" s="54" t="str">
        <f>IF('⚙ OFF Weekends'!$D$68="OFF","OFF","")</f>
        <v/>
      </c>
      <c r="BV81" s="56" t="str">
        <f>IF('⚙ OFF Weekends'!$D$69="OFF","OFF","")</f>
        <v/>
      </c>
      <c r="BW81" s="54" t="str">
        <f>IF('⚙ OFF Weekends'!$D$70="OFF","OFF","")</f>
        <v/>
      </c>
      <c r="BX81" s="56" t="str">
        <f>IF('⚙ OFF Weekends'!$D$71="OFF","OFF","")</f>
        <v/>
      </c>
      <c r="BY81" s="54" t="str">
        <f>IF('⚙ OFF Weekends'!$D$72="OFF","OFF","")</f>
        <v/>
      </c>
      <c r="BZ81" s="56" t="str">
        <f>IF('⚙ OFF Weekends'!$D$73="OFF","OFF","")</f>
        <v/>
      </c>
      <c r="CA81" s="54" t="str">
        <f>IF('⚙ OFF Weekends'!$D$74="OFF","OFF","")</f>
        <v/>
      </c>
      <c r="CB81" s="56" t="str">
        <f>IF('⚙ OFF Weekends'!$D$75="OFF","OFF","")</f>
        <v/>
      </c>
      <c r="CC81" s="54" t="str">
        <f>IF('⚙ OFF Weekends'!$D$76="OFF","OFF","")</f>
        <v/>
      </c>
      <c r="CD81" s="56" t="str">
        <f>IF('⚙ OFF Weekends'!$D$77="OFF","OFF","")</f>
        <v/>
      </c>
      <c r="CE81" s="95">
        <f t="shared" si="21"/>
        <v>7</v>
      </c>
      <c r="CF81" s="95">
        <f t="shared" si="22"/>
        <v>7</v>
      </c>
      <c r="CG81" s="95">
        <f t="shared" si="23"/>
        <v>4</v>
      </c>
      <c r="CH81" s="95" t="str">
        <f t="shared" si="24"/>
        <v>50%</v>
      </c>
    </row>
    <row r="82" ht="18.0" customHeight="1">
      <c r="A82" s="96">
        <v>12.0</v>
      </c>
      <c r="B82" s="22" t="s">
        <v>738</v>
      </c>
      <c r="C82" s="23" t="s">
        <v>739</v>
      </c>
      <c r="D82" s="24" t="str">
        <f t="shared" si="19"/>
        <v>📞 Call</v>
      </c>
      <c r="E82" s="41" t="str">
        <f t="shared" si="20"/>
        <v>💬 WhatsApp</v>
      </c>
      <c r="F82" s="20"/>
      <c r="G82" s="20" t="s">
        <v>435</v>
      </c>
      <c r="H82" s="20"/>
      <c r="I82" s="79" t="s">
        <v>223</v>
      </c>
      <c r="J82" s="79" t="s">
        <v>223</v>
      </c>
      <c r="K82" s="49" t="s">
        <v>197</v>
      </c>
      <c r="L82" s="79" t="s">
        <v>223</v>
      </c>
      <c r="M82" s="79" t="s">
        <v>223</v>
      </c>
      <c r="N82" s="79" t="s">
        <v>223</v>
      </c>
      <c r="O82" s="77" t="s">
        <v>198</v>
      </c>
      <c r="P82" s="79" t="s">
        <v>223</v>
      </c>
      <c r="Q82" s="79" t="s">
        <v>223</v>
      </c>
      <c r="R82" s="79" t="s">
        <v>223</v>
      </c>
      <c r="S82" s="52" t="s">
        <v>223</v>
      </c>
      <c r="T82" s="98" t="s">
        <v>223</v>
      </c>
      <c r="U82" s="52" t="s">
        <v>223</v>
      </c>
      <c r="V82" s="53" t="s">
        <v>223</v>
      </c>
      <c r="W82" s="52" t="s">
        <v>296</v>
      </c>
      <c r="X82" s="53" t="s">
        <v>296</v>
      </c>
      <c r="Y82" s="52" t="s">
        <v>296</v>
      </c>
      <c r="Z82" s="53" t="s">
        <v>296</v>
      </c>
      <c r="AA82" s="52" t="s">
        <v>296</v>
      </c>
      <c r="AB82" s="53" t="s">
        <v>296</v>
      </c>
      <c r="AC82" s="54" t="str">
        <f>IF('⚙ OFF Weekends'!$D$24="OFF","OFF","")</f>
        <v/>
      </c>
      <c r="AD82" s="56" t="str">
        <f>IF('⚙ OFF Weekends'!$D$25="OFF","OFF","")</f>
        <v/>
      </c>
      <c r="AE82" s="54" t="str">
        <f>IF('⚙ OFF Weekends'!$D$26="OFF","OFF","")</f>
        <v/>
      </c>
      <c r="AF82" s="56" t="str">
        <f>IF('⚙ OFF Weekends'!$D$27="OFF","OFF","")</f>
        <v/>
      </c>
      <c r="AG82" s="54" t="str">
        <f>IF('⚙ OFF Weekends'!$D$28="OFF","OFF","")</f>
        <v/>
      </c>
      <c r="AH82" s="56" t="str">
        <f>IF('⚙ OFF Weekends'!$D$29="OFF","OFF","")</f>
        <v/>
      </c>
      <c r="AI82" s="54" t="str">
        <f>IF('⚙ OFF Weekends'!$D$30="OFF","OFF","")</f>
        <v/>
      </c>
      <c r="AJ82" s="56" t="str">
        <f>IF('⚙ OFF Weekends'!$D$31="OFF","OFF","")</f>
        <v/>
      </c>
      <c r="AK82" s="54" t="str">
        <f>IF('⚙ OFF Weekends'!$D$32="OFF","OFF","")</f>
        <v/>
      </c>
      <c r="AL82" s="56" t="str">
        <f>IF('⚙ OFF Weekends'!$D$33="OFF","OFF","")</f>
        <v/>
      </c>
      <c r="AM82" s="54" t="str">
        <f>IF('⚙ OFF Weekends'!$D$34="OFF","OFF","")</f>
        <v/>
      </c>
      <c r="AN82" s="56" t="str">
        <f>IF('⚙ OFF Weekends'!$D$35="OFF","OFF","")</f>
        <v/>
      </c>
      <c r="AO82" s="54" t="str">
        <f>IF('⚙ OFF Weekends'!$D$36="OFF","OFF","")</f>
        <v/>
      </c>
      <c r="AP82" s="56" t="str">
        <f>IF('⚙ OFF Weekends'!$D$37="OFF","OFF","")</f>
        <v/>
      </c>
      <c r="AQ82" s="54" t="str">
        <f>IF('⚙ OFF Weekends'!$D$38="OFF","OFF","")</f>
        <v/>
      </c>
      <c r="AR82" s="56" t="str">
        <f>IF('⚙ OFF Weekends'!$D$39="OFF","OFF","")</f>
        <v/>
      </c>
      <c r="AS82" s="54" t="str">
        <f>IF('⚙ OFF Weekends'!$D$40="OFF","OFF","")</f>
        <v/>
      </c>
      <c r="AT82" s="56" t="str">
        <f>IF('⚙ OFF Weekends'!$D$41="OFF","OFF","")</f>
        <v/>
      </c>
      <c r="AU82" s="54" t="str">
        <f>IF('⚙ OFF Weekends'!$D$42="OFF","OFF","")</f>
        <v/>
      </c>
      <c r="AV82" s="56" t="str">
        <f>IF('⚙ OFF Weekends'!$D$43="OFF","OFF","")</f>
        <v/>
      </c>
      <c r="AW82" s="54" t="str">
        <f>IF('⚙ OFF Weekends'!$D$44="OFF","OFF","")</f>
        <v/>
      </c>
      <c r="AX82" s="56" t="str">
        <f>IF('⚙ OFF Weekends'!$D$45="OFF","OFF","")</f>
        <v/>
      </c>
      <c r="AY82" s="54" t="str">
        <f>IF('⚙ OFF Weekends'!$D$46="OFF","OFF","")</f>
        <v/>
      </c>
      <c r="AZ82" s="56" t="str">
        <f>IF('⚙ OFF Weekends'!$D$47="OFF","OFF","")</f>
        <v/>
      </c>
      <c r="BA82" s="54" t="str">
        <f>IF('⚙ OFF Weekends'!$D$48="OFF","OFF","")</f>
        <v/>
      </c>
      <c r="BB82" s="56" t="str">
        <f>IF('⚙ OFF Weekends'!$D$49="OFF","OFF","")</f>
        <v/>
      </c>
      <c r="BC82" s="54" t="str">
        <f>IF('⚙ OFF Weekends'!$D$50="OFF","OFF","")</f>
        <v/>
      </c>
      <c r="BD82" s="56" t="str">
        <f>IF('⚙ OFF Weekends'!$D$51="OFF","OFF","")</f>
        <v/>
      </c>
      <c r="BE82" s="54" t="str">
        <f>IF('⚙ OFF Weekends'!$D$52="OFF","OFF","")</f>
        <v/>
      </c>
      <c r="BF82" s="56" t="str">
        <f>IF('⚙ OFF Weekends'!$D$53="OFF","OFF","")</f>
        <v/>
      </c>
      <c r="BG82" s="54" t="str">
        <f>IF('⚙ OFF Weekends'!$D$54="OFF","OFF","")</f>
        <v/>
      </c>
      <c r="BH82" s="56" t="str">
        <f>IF('⚙ OFF Weekends'!$D$55="OFF","OFF","")</f>
        <v/>
      </c>
      <c r="BI82" s="54" t="str">
        <f>IF('⚙ OFF Weekends'!$D$56="OFF","OFF","")</f>
        <v/>
      </c>
      <c r="BJ82" s="56" t="str">
        <f>IF('⚙ OFF Weekends'!$D$57="OFF","OFF","")</f>
        <v/>
      </c>
      <c r="BK82" s="54" t="str">
        <f>IF('⚙ OFF Weekends'!$D$58="OFF","OFF","")</f>
        <v/>
      </c>
      <c r="BL82" s="56" t="str">
        <f>IF('⚙ OFF Weekends'!$D$59="OFF","OFF","")</f>
        <v/>
      </c>
      <c r="BM82" s="54" t="str">
        <f>IF('⚙ OFF Weekends'!$D$60="OFF","OFF","")</f>
        <v/>
      </c>
      <c r="BN82" s="56" t="str">
        <f>IF('⚙ OFF Weekends'!$D$61="OFF","OFF","")</f>
        <v/>
      </c>
      <c r="BO82" s="54" t="str">
        <f>IF('⚙ OFF Weekends'!$D$62="OFF","OFF","")</f>
        <v/>
      </c>
      <c r="BP82" s="56" t="str">
        <f>IF('⚙ OFF Weekends'!$D$63="OFF","OFF","")</f>
        <v/>
      </c>
      <c r="BQ82" s="54" t="str">
        <f>IF('⚙ OFF Weekends'!$D$64="OFF","OFF","")</f>
        <v/>
      </c>
      <c r="BR82" s="56" t="str">
        <f>IF('⚙ OFF Weekends'!$D$65="OFF","OFF","")</f>
        <v/>
      </c>
      <c r="BS82" s="54" t="str">
        <f>IF('⚙ OFF Weekends'!$D$66="OFF","OFF","")</f>
        <v/>
      </c>
      <c r="BT82" s="56" t="str">
        <f>IF('⚙ OFF Weekends'!$D$67="OFF","OFF","")</f>
        <v/>
      </c>
      <c r="BU82" s="54" t="str">
        <f>IF('⚙ OFF Weekends'!$D$68="OFF","OFF","")</f>
        <v/>
      </c>
      <c r="BV82" s="56" t="str">
        <f>IF('⚙ OFF Weekends'!$D$69="OFF","OFF","")</f>
        <v/>
      </c>
      <c r="BW82" s="54" t="str">
        <f>IF('⚙ OFF Weekends'!$D$70="OFF","OFF","")</f>
        <v/>
      </c>
      <c r="BX82" s="56" t="str">
        <f>IF('⚙ OFF Weekends'!$D$71="OFF","OFF","")</f>
        <v/>
      </c>
      <c r="BY82" s="54" t="str">
        <f>IF('⚙ OFF Weekends'!$D$72="OFF","OFF","")</f>
        <v/>
      </c>
      <c r="BZ82" s="56" t="str">
        <f>IF('⚙ OFF Weekends'!$D$73="OFF","OFF","")</f>
        <v/>
      </c>
      <c r="CA82" s="54" t="str">
        <f>IF('⚙ OFF Weekends'!$D$74="OFF","OFF","")</f>
        <v/>
      </c>
      <c r="CB82" s="56" t="str">
        <f>IF('⚙ OFF Weekends'!$D$75="OFF","OFF","")</f>
        <v/>
      </c>
      <c r="CC82" s="54" t="str">
        <f>IF('⚙ OFF Weekends'!$D$76="OFF","OFF","")</f>
        <v/>
      </c>
      <c r="CD82" s="56" t="str">
        <f>IF('⚙ OFF Weekends'!$D$77="OFF","OFF","")</f>
        <v/>
      </c>
      <c r="CE82" s="96">
        <f t="shared" si="21"/>
        <v>0</v>
      </c>
      <c r="CF82" s="96">
        <f t="shared" si="22"/>
        <v>12</v>
      </c>
      <c r="CG82" s="96">
        <f t="shared" si="23"/>
        <v>1</v>
      </c>
      <c r="CH82" s="96" t="str">
        <f t="shared" si="24"/>
        <v>0%</v>
      </c>
    </row>
    <row r="83" ht="18.0" customHeight="1">
      <c r="A83" s="95">
        <v>13.0</v>
      </c>
      <c r="B83" s="12" t="s">
        <v>743</v>
      </c>
      <c r="C83" s="14" t="s">
        <v>744</v>
      </c>
      <c r="D83" s="17" t="str">
        <f t="shared" si="19"/>
        <v>📞 Call</v>
      </c>
      <c r="E83" s="19" t="str">
        <f t="shared" si="20"/>
        <v>💬 WhatsApp</v>
      </c>
      <c r="F83" s="10"/>
      <c r="G83" s="10" t="s">
        <v>435</v>
      </c>
      <c r="H83" s="10"/>
      <c r="I83" s="79" t="s">
        <v>223</v>
      </c>
      <c r="J83" s="79" t="s">
        <v>223</v>
      </c>
      <c r="K83" s="49" t="s">
        <v>197</v>
      </c>
      <c r="L83" s="79" t="s">
        <v>223</v>
      </c>
      <c r="M83" s="79" t="s">
        <v>223</v>
      </c>
      <c r="N83" s="79" t="s">
        <v>223</v>
      </c>
      <c r="O83" s="77" t="s">
        <v>198</v>
      </c>
      <c r="P83" s="79" t="s">
        <v>223</v>
      </c>
      <c r="Q83" s="79" t="s">
        <v>223</v>
      </c>
      <c r="R83" s="79" t="s">
        <v>223</v>
      </c>
      <c r="S83" s="52" t="s">
        <v>198</v>
      </c>
      <c r="T83" s="53" t="s">
        <v>198</v>
      </c>
      <c r="U83" s="52" t="s">
        <v>223</v>
      </c>
      <c r="V83" s="53" t="s">
        <v>223</v>
      </c>
      <c r="W83" s="54" t="str">
        <f>IF('⚙ OFF Weekends'!$D$18="OFF","OFF","")</f>
        <v>OFF</v>
      </c>
      <c r="X83" s="53" t="s">
        <v>223</v>
      </c>
      <c r="Y83" s="52" t="s">
        <v>223</v>
      </c>
      <c r="Z83" s="53" t="s">
        <v>223</v>
      </c>
      <c r="AA83" s="52" t="s">
        <v>223</v>
      </c>
      <c r="AB83" s="53" t="s">
        <v>223</v>
      </c>
      <c r="AC83" s="54" t="str">
        <f>IF('⚙ OFF Weekends'!$D$24="OFF","OFF","")</f>
        <v/>
      </c>
      <c r="AD83" s="56" t="str">
        <f>IF('⚙ OFF Weekends'!$D$25="OFF","OFF","")</f>
        <v/>
      </c>
      <c r="AE83" s="54" t="str">
        <f>IF('⚙ OFF Weekends'!$D$26="OFF","OFF","")</f>
        <v/>
      </c>
      <c r="AF83" s="56" t="str">
        <f>IF('⚙ OFF Weekends'!$D$27="OFF","OFF","")</f>
        <v/>
      </c>
      <c r="AG83" s="54" t="str">
        <f>IF('⚙ OFF Weekends'!$D$28="OFF","OFF","")</f>
        <v/>
      </c>
      <c r="AH83" s="56" t="str">
        <f>IF('⚙ OFF Weekends'!$D$29="OFF","OFF","")</f>
        <v/>
      </c>
      <c r="AI83" s="54" t="str">
        <f>IF('⚙ OFF Weekends'!$D$30="OFF","OFF","")</f>
        <v/>
      </c>
      <c r="AJ83" s="56" t="str">
        <f>IF('⚙ OFF Weekends'!$D$31="OFF","OFF","")</f>
        <v/>
      </c>
      <c r="AK83" s="54" t="str">
        <f>IF('⚙ OFF Weekends'!$D$32="OFF","OFF","")</f>
        <v/>
      </c>
      <c r="AL83" s="56" t="str">
        <f>IF('⚙ OFF Weekends'!$D$33="OFF","OFF","")</f>
        <v/>
      </c>
      <c r="AM83" s="54" t="str">
        <f>IF('⚙ OFF Weekends'!$D$34="OFF","OFF","")</f>
        <v/>
      </c>
      <c r="AN83" s="56" t="str">
        <f>IF('⚙ OFF Weekends'!$D$35="OFF","OFF","")</f>
        <v/>
      </c>
      <c r="AO83" s="54" t="str">
        <f>IF('⚙ OFF Weekends'!$D$36="OFF","OFF","")</f>
        <v/>
      </c>
      <c r="AP83" s="56" t="str">
        <f>IF('⚙ OFF Weekends'!$D$37="OFF","OFF","")</f>
        <v/>
      </c>
      <c r="AQ83" s="54" t="str">
        <f>IF('⚙ OFF Weekends'!$D$38="OFF","OFF","")</f>
        <v/>
      </c>
      <c r="AR83" s="56" t="str">
        <f>IF('⚙ OFF Weekends'!$D$39="OFF","OFF","")</f>
        <v/>
      </c>
      <c r="AS83" s="54" t="str">
        <f>IF('⚙ OFF Weekends'!$D$40="OFF","OFF","")</f>
        <v/>
      </c>
      <c r="AT83" s="56" t="str">
        <f>IF('⚙ OFF Weekends'!$D$41="OFF","OFF","")</f>
        <v/>
      </c>
      <c r="AU83" s="54" t="str">
        <f>IF('⚙ OFF Weekends'!$D$42="OFF","OFF","")</f>
        <v/>
      </c>
      <c r="AV83" s="56" t="str">
        <f>IF('⚙ OFF Weekends'!$D$43="OFF","OFF","")</f>
        <v/>
      </c>
      <c r="AW83" s="54" t="str">
        <f>IF('⚙ OFF Weekends'!$D$44="OFF","OFF","")</f>
        <v/>
      </c>
      <c r="AX83" s="56" t="str">
        <f>IF('⚙ OFF Weekends'!$D$45="OFF","OFF","")</f>
        <v/>
      </c>
      <c r="AY83" s="54" t="str">
        <f>IF('⚙ OFF Weekends'!$D$46="OFF","OFF","")</f>
        <v/>
      </c>
      <c r="AZ83" s="56" t="str">
        <f>IF('⚙ OFF Weekends'!$D$47="OFF","OFF","")</f>
        <v/>
      </c>
      <c r="BA83" s="54" t="str">
        <f>IF('⚙ OFF Weekends'!$D$48="OFF","OFF","")</f>
        <v/>
      </c>
      <c r="BB83" s="56" t="str">
        <f>IF('⚙ OFF Weekends'!$D$49="OFF","OFF","")</f>
        <v/>
      </c>
      <c r="BC83" s="54" t="str">
        <f>IF('⚙ OFF Weekends'!$D$50="OFF","OFF","")</f>
        <v/>
      </c>
      <c r="BD83" s="56" t="str">
        <f>IF('⚙ OFF Weekends'!$D$51="OFF","OFF","")</f>
        <v/>
      </c>
      <c r="BE83" s="54" t="str">
        <f>IF('⚙ OFF Weekends'!$D$52="OFF","OFF","")</f>
        <v/>
      </c>
      <c r="BF83" s="56" t="str">
        <f>IF('⚙ OFF Weekends'!$D$53="OFF","OFF","")</f>
        <v/>
      </c>
      <c r="BG83" s="54" t="str">
        <f>IF('⚙ OFF Weekends'!$D$54="OFF","OFF","")</f>
        <v/>
      </c>
      <c r="BH83" s="56" t="str">
        <f>IF('⚙ OFF Weekends'!$D$55="OFF","OFF","")</f>
        <v/>
      </c>
      <c r="BI83" s="54" t="str">
        <f>IF('⚙ OFF Weekends'!$D$56="OFF","OFF","")</f>
        <v/>
      </c>
      <c r="BJ83" s="56" t="str">
        <f>IF('⚙ OFF Weekends'!$D$57="OFF","OFF","")</f>
        <v/>
      </c>
      <c r="BK83" s="54" t="str">
        <f>IF('⚙ OFF Weekends'!$D$58="OFF","OFF","")</f>
        <v/>
      </c>
      <c r="BL83" s="56" t="str">
        <f>IF('⚙ OFF Weekends'!$D$59="OFF","OFF","")</f>
        <v/>
      </c>
      <c r="BM83" s="54" t="str">
        <f>IF('⚙ OFF Weekends'!$D$60="OFF","OFF","")</f>
        <v/>
      </c>
      <c r="BN83" s="56" t="str">
        <f>IF('⚙ OFF Weekends'!$D$61="OFF","OFF","")</f>
        <v/>
      </c>
      <c r="BO83" s="54" t="str">
        <f>IF('⚙ OFF Weekends'!$D$62="OFF","OFF","")</f>
        <v/>
      </c>
      <c r="BP83" s="56" t="str">
        <f>IF('⚙ OFF Weekends'!$D$63="OFF","OFF","")</f>
        <v/>
      </c>
      <c r="BQ83" s="54" t="str">
        <f>IF('⚙ OFF Weekends'!$D$64="OFF","OFF","")</f>
        <v/>
      </c>
      <c r="BR83" s="56" t="str">
        <f>IF('⚙ OFF Weekends'!$D$65="OFF","OFF","")</f>
        <v/>
      </c>
      <c r="BS83" s="54" t="str">
        <f>IF('⚙ OFF Weekends'!$D$66="OFF","OFF","")</f>
        <v/>
      </c>
      <c r="BT83" s="56" t="str">
        <f>IF('⚙ OFF Weekends'!$D$67="OFF","OFF","")</f>
        <v/>
      </c>
      <c r="BU83" s="54" t="str">
        <f>IF('⚙ OFF Weekends'!$D$68="OFF","OFF","")</f>
        <v/>
      </c>
      <c r="BV83" s="56" t="str">
        <f>IF('⚙ OFF Weekends'!$D$69="OFF","OFF","")</f>
        <v/>
      </c>
      <c r="BW83" s="54" t="str">
        <f>IF('⚙ OFF Weekends'!$D$70="OFF","OFF","")</f>
        <v/>
      </c>
      <c r="BX83" s="56" t="str">
        <f>IF('⚙ OFF Weekends'!$D$71="OFF","OFF","")</f>
        <v/>
      </c>
      <c r="BY83" s="54" t="str">
        <f>IF('⚙ OFF Weekends'!$D$72="OFF","OFF","")</f>
        <v/>
      </c>
      <c r="BZ83" s="56" t="str">
        <f>IF('⚙ OFF Weekends'!$D$73="OFF","OFF","")</f>
        <v/>
      </c>
      <c r="CA83" s="54" t="str">
        <f>IF('⚙ OFF Weekends'!$D$74="OFF","OFF","")</f>
        <v/>
      </c>
      <c r="CB83" s="56" t="str">
        <f>IF('⚙ OFF Weekends'!$D$75="OFF","OFF","")</f>
        <v/>
      </c>
      <c r="CC83" s="54" t="str">
        <f>IF('⚙ OFF Weekends'!$D$76="OFF","OFF","")</f>
        <v/>
      </c>
      <c r="CD83" s="56" t="str">
        <f>IF('⚙ OFF Weekends'!$D$77="OFF","OFF","")</f>
        <v/>
      </c>
      <c r="CE83" s="95">
        <f t="shared" si="21"/>
        <v>0</v>
      </c>
      <c r="CF83" s="95">
        <f t="shared" si="22"/>
        <v>15</v>
      </c>
      <c r="CG83" s="95">
        <f t="shared" si="23"/>
        <v>3</v>
      </c>
      <c r="CH83" s="95" t="str">
        <f t="shared" si="24"/>
        <v>0%</v>
      </c>
    </row>
    <row r="84" ht="18.0" customHeight="1">
      <c r="A84" s="96">
        <v>14.0</v>
      </c>
      <c r="B84" s="22" t="s">
        <v>747</v>
      </c>
      <c r="C84" s="23" t="s">
        <v>748</v>
      </c>
      <c r="D84" s="24" t="str">
        <f t="shared" si="19"/>
        <v>📞 Call</v>
      </c>
      <c r="E84" s="41" t="str">
        <f t="shared" si="20"/>
        <v>💬 WhatsApp</v>
      </c>
      <c r="F84" s="20"/>
      <c r="G84" s="20" t="s">
        <v>634</v>
      </c>
      <c r="H84" s="20" t="s">
        <v>518</v>
      </c>
      <c r="I84" s="79" t="s">
        <v>223</v>
      </c>
      <c r="J84" s="50" t="s">
        <v>37</v>
      </c>
      <c r="K84" s="49" t="s">
        <v>197</v>
      </c>
      <c r="L84" s="50" t="s">
        <v>37</v>
      </c>
      <c r="M84" s="50" t="s">
        <v>37</v>
      </c>
      <c r="N84" s="79" t="s">
        <v>223</v>
      </c>
      <c r="O84" s="50" t="s">
        <v>37</v>
      </c>
      <c r="P84" s="50" t="s">
        <v>37</v>
      </c>
      <c r="Q84" s="79" t="s">
        <v>223</v>
      </c>
      <c r="R84" s="79" t="s">
        <v>223</v>
      </c>
      <c r="S84" s="52" t="s">
        <v>223</v>
      </c>
      <c r="T84" s="98" t="s">
        <v>196</v>
      </c>
      <c r="U84" s="52" t="s">
        <v>223</v>
      </c>
      <c r="V84" s="53" t="s">
        <v>196</v>
      </c>
      <c r="W84" s="54" t="str">
        <f>IF('⚙ OFF Weekends'!$D$18="OFF","OFF","")</f>
        <v>OFF</v>
      </c>
      <c r="X84" s="53" t="s">
        <v>37</v>
      </c>
      <c r="Y84" s="52" t="s">
        <v>223</v>
      </c>
      <c r="Z84" s="53" t="s">
        <v>223</v>
      </c>
      <c r="AA84" s="52" t="s">
        <v>223</v>
      </c>
      <c r="AB84" s="53" t="s">
        <v>37</v>
      </c>
      <c r="AC84" s="54" t="str">
        <f>IF('⚙ OFF Weekends'!$D$24="OFF","OFF","")</f>
        <v/>
      </c>
      <c r="AD84" s="56" t="str">
        <f>IF('⚙ OFF Weekends'!$D$25="OFF","OFF","")</f>
        <v/>
      </c>
      <c r="AE84" s="54" t="str">
        <f>IF('⚙ OFF Weekends'!$D$26="OFF","OFF","")</f>
        <v/>
      </c>
      <c r="AF84" s="56" t="str">
        <f>IF('⚙ OFF Weekends'!$D$27="OFF","OFF","")</f>
        <v/>
      </c>
      <c r="AG84" s="54" t="str">
        <f>IF('⚙ OFF Weekends'!$D$28="OFF","OFF","")</f>
        <v/>
      </c>
      <c r="AH84" s="56" t="str">
        <f>IF('⚙ OFF Weekends'!$D$29="OFF","OFF","")</f>
        <v/>
      </c>
      <c r="AI84" s="54" t="str">
        <f>IF('⚙ OFF Weekends'!$D$30="OFF","OFF","")</f>
        <v/>
      </c>
      <c r="AJ84" s="56" t="str">
        <f>IF('⚙ OFF Weekends'!$D$31="OFF","OFF","")</f>
        <v/>
      </c>
      <c r="AK84" s="54" t="str">
        <f>IF('⚙ OFF Weekends'!$D$32="OFF","OFF","")</f>
        <v/>
      </c>
      <c r="AL84" s="56" t="str">
        <f>IF('⚙ OFF Weekends'!$D$33="OFF","OFF","")</f>
        <v/>
      </c>
      <c r="AM84" s="54" t="str">
        <f>IF('⚙ OFF Weekends'!$D$34="OFF","OFF","")</f>
        <v/>
      </c>
      <c r="AN84" s="56" t="str">
        <f>IF('⚙ OFF Weekends'!$D$35="OFF","OFF","")</f>
        <v/>
      </c>
      <c r="AO84" s="54" t="str">
        <f>IF('⚙ OFF Weekends'!$D$36="OFF","OFF","")</f>
        <v/>
      </c>
      <c r="AP84" s="56" t="str">
        <f>IF('⚙ OFF Weekends'!$D$37="OFF","OFF","")</f>
        <v/>
      </c>
      <c r="AQ84" s="54" t="str">
        <f>IF('⚙ OFF Weekends'!$D$38="OFF","OFF","")</f>
        <v/>
      </c>
      <c r="AR84" s="56" t="str">
        <f>IF('⚙ OFF Weekends'!$D$39="OFF","OFF","")</f>
        <v/>
      </c>
      <c r="AS84" s="54" t="str">
        <f>IF('⚙ OFF Weekends'!$D$40="OFF","OFF","")</f>
        <v/>
      </c>
      <c r="AT84" s="56" t="str">
        <f>IF('⚙ OFF Weekends'!$D$41="OFF","OFF","")</f>
        <v/>
      </c>
      <c r="AU84" s="54" t="str">
        <f>IF('⚙ OFF Weekends'!$D$42="OFF","OFF","")</f>
        <v/>
      </c>
      <c r="AV84" s="56" t="str">
        <f>IF('⚙ OFF Weekends'!$D$43="OFF","OFF","")</f>
        <v/>
      </c>
      <c r="AW84" s="54" t="str">
        <f>IF('⚙ OFF Weekends'!$D$44="OFF","OFF","")</f>
        <v/>
      </c>
      <c r="AX84" s="56" t="str">
        <f>IF('⚙ OFF Weekends'!$D$45="OFF","OFF","")</f>
        <v/>
      </c>
      <c r="AY84" s="54" t="str">
        <f>IF('⚙ OFF Weekends'!$D$46="OFF","OFF","")</f>
        <v/>
      </c>
      <c r="AZ84" s="56" t="str">
        <f>IF('⚙ OFF Weekends'!$D$47="OFF","OFF","")</f>
        <v/>
      </c>
      <c r="BA84" s="54" t="str">
        <f>IF('⚙ OFF Weekends'!$D$48="OFF","OFF","")</f>
        <v/>
      </c>
      <c r="BB84" s="56" t="str">
        <f>IF('⚙ OFF Weekends'!$D$49="OFF","OFF","")</f>
        <v/>
      </c>
      <c r="BC84" s="54" t="str">
        <f>IF('⚙ OFF Weekends'!$D$50="OFF","OFF","")</f>
        <v/>
      </c>
      <c r="BD84" s="56" t="str">
        <f>IF('⚙ OFF Weekends'!$D$51="OFF","OFF","")</f>
        <v/>
      </c>
      <c r="BE84" s="54" t="str">
        <f>IF('⚙ OFF Weekends'!$D$52="OFF","OFF","")</f>
        <v/>
      </c>
      <c r="BF84" s="56" t="str">
        <f>IF('⚙ OFF Weekends'!$D$53="OFF","OFF","")</f>
        <v/>
      </c>
      <c r="BG84" s="54" t="str">
        <f>IF('⚙ OFF Weekends'!$D$54="OFF","OFF","")</f>
        <v/>
      </c>
      <c r="BH84" s="56" t="str">
        <f>IF('⚙ OFF Weekends'!$D$55="OFF","OFF","")</f>
        <v/>
      </c>
      <c r="BI84" s="54" t="str">
        <f>IF('⚙ OFF Weekends'!$D$56="OFF","OFF","")</f>
        <v/>
      </c>
      <c r="BJ84" s="56" t="str">
        <f>IF('⚙ OFF Weekends'!$D$57="OFF","OFF","")</f>
        <v/>
      </c>
      <c r="BK84" s="54" t="str">
        <f>IF('⚙ OFF Weekends'!$D$58="OFF","OFF","")</f>
        <v/>
      </c>
      <c r="BL84" s="56" t="str">
        <f>IF('⚙ OFF Weekends'!$D$59="OFF","OFF","")</f>
        <v/>
      </c>
      <c r="BM84" s="54" t="str">
        <f>IF('⚙ OFF Weekends'!$D$60="OFF","OFF","")</f>
        <v/>
      </c>
      <c r="BN84" s="56" t="str">
        <f>IF('⚙ OFF Weekends'!$D$61="OFF","OFF","")</f>
        <v/>
      </c>
      <c r="BO84" s="54" t="str">
        <f>IF('⚙ OFF Weekends'!$D$62="OFF","OFF","")</f>
        <v/>
      </c>
      <c r="BP84" s="56" t="str">
        <f>IF('⚙ OFF Weekends'!$D$63="OFF","OFF","")</f>
        <v/>
      </c>
      <c r="BQ84" s="54" t="str">
        <f>IF('⚙ OFF Weekends'!$D$64="OFF","OFF","")</f>
        <v/>
      </c>
      <c r="BR84" s="56" t="str">
        <f>IF('⚙ OFF Weekends'!$D$65="OFF","OFF","")</f>
        <v/>
      </c>
      <c r="BS84" s="54" t="str">
        <f>IF('⚙ OFF Weekends'!$D$66="OFF","OFF","")</f>
        <v/>
      </c>
      <c r="BT84" s="56" t="str">
        <f>IF('⚙ OFF Weekends'!$D$67="OFF","OFF","")</f>
        <v/>
      </c>
      <c r="BU84" s="54" t="str">
        <f>IF('⚙ OFF Weekends'!$D$68="OFF","OFF","")</f>
        <v/>
      </c>
      <c r="BV84" s="56" t="str">
        <f>IF('⚙ OFF Weekends'!$D$69="OFF","OFF","")</f>
        <v/>
      </c>
      <c r="BW84" s="54" t="str">
        <f>IF('⚙ OFF Weekends'!$D$70="OFF","OFF","")</f>
        <v/>
      </c>
      <c r="BX84" s="56" t="str">
        <f>IF('⚙ OFF Weekends'!$D$71="OFF","OFF","")</f>
        <v/>
      </c>
      <c r="BY84" s="54" t="str">
        <f>IF('⚙ OFF Weekends'!$D$72="OFF","OFF","")</f>
        <v/>
      </c>
      <c r="BZ84" s="56" t="str">
        <f>IF('⚙ OFF Weekends'!$D$73="OFF","OFF","")</f>
        <v/>
      </c>
      <c r="CA84" s="54" t="str">
        <f>IF('⚙ OFF Weekends'!$D$74="OFF","OFF","")</f>
        <v/>
      </c>
      <c r="CB84" s="56" t="str">
        <f>IF('⚙ OFF Weekends'!$D$75="OFF","OFF","")</f>
        <v/>
      </c>
      <c r="CC84" s="54" t="str">
        <f>IF('⚙ OFF Weekends'!$D$76="OFF","OFF","")</f>
        <v/>
      </c>
      <c r="CD84" s="56" t="str">
        <f>IF('⚙ OFF Weekends'!$D$77="OFF","OFF","")</f>
        <v/>
      </c>
      <c r="CE84" s="96">
        <f t="shared" si="21"/>
        <v>9</v>
      </c>
      <c r="CF84" s="96">
        <f t="shared" si="22"/>
        <v>9</v>
      </c>
      <c r="CG84" s="96">
        <f t="shared" si="23"/>
        <v>0</v>
      </c>
      <c r="CH84" s="96" t="str">
        <f t="shared" si="24"/>
        <v>50%</v>
      </c>
    </row>
    <row r="85" ht="18.0" customHeight="1">
      <c r="A85" s="95">
        <v>15.0</v>
      </c>
      <c r="B85" s="12" t="s">
        <v>671</v>
      </c>
      <c r="C85" s="14" t="s">
        <v>751</v>
      </c>
      <c r="D85" s="17" t="str">
        <f t="shared" si="19"/>
        <v>📞 Call</v>
      </c>
      <c r="E85" s="19" t="str">
        <f t="shared" si="20"/>
        <v>💬 WhatsApp</v>
      </c>
      <c r="F85" s="10"/>
      <c r="G85" s="10"/>
      <c r="H85" s="10"/>
      <c r="I85" s="79" t="s">
        <v>223</v>
      </c>
      <c r="J85" s="79" t="s">
        <v>223</v>
      </c>
      <c r="K85" s="49" t="s">
        <v>197</v>
      </c>
      <c r="L85" s="48" t="s">
        <v>196</v>
      </c>
      <c r="M85" s="79" t="s">
        <v>223</v>
      </c>
      <c r="N85" s="79" t="s">
        <v>223</v>
      </c>
      <c r="O85" s="77" t="s">
        <v>198</v>
      </c>
      <c r="P85" s="77" t="s">
        <v>198</v>
      </c>
      <c r="Q85" s="79" t="s">
        <v>223</v>
      </c>
      <c r="R85" s="79" t="s">
        <v>223</v>
      </c>
      <c r="S85" s="52" t="s">
        <v>223</v>
      </c>
      <c r="T85" s="98" t="s">
        <v>223</v>
      </c>
      <c r="U85" s="52" t="s">
        <v>223</v>
      </c>
      <c r="V85" s="53" t="s">
        <v>223</v>
      </c>
      <c r="W85" s="54" t="str">
        <f>IF('⚙ OFF Weekends'!$D$18="OFF","OFF","")</f>
        <v>OFF</v>
      </c>
      <c r="X85" s="53" t="s">
        <v>223</v>
      </c>
      <c r="Y85" s="52" t="s">
        <v>223</v>
      </c>
      <c r="Z85" s="53" t="s">
        <v>223</v>
      </c>
      <c r="AA85" s="52" t="s">
        <v>223</v>
      </c>
      <c r="AB85" s="53" t="s">
        <v>223</v>
      </c>
      <c r="AC85" s="54" t="str">
        <f>IF('⚙ OFF Weekends'!$D$24="OFF","OFF","")</f>
        <v/>
      </c>
      <c r="AD85" s="56" t="str">
        <f>IF('⚙ OFF Weekends'!$D$25="OFF","OFF","")</f>
        <v/>
      </c>
      <c r="AE85" s="54" t="str">
        <f>IF('⚙ OFF Weekends'!$D$26="OFF","OFF","")</f>
        <v/>
      </c>
      <c r="AF85" s="56" t="str">
        <f>IF('⚙ OFF Weekends'!$D$27="OFF","OFF","")</f>
        <v/>
      </c>
      <c r="AG85" s="54" t="str">
        <f>IF('⚙ OFF Weekends'!$D$28="OFF","OFF","")</f>
        <v/>
      </c>
      <c r="AH85" s="56" t="str">
        <f>IF('⚙ OFF Weekends'!$D$29="OFF","OFF","")</f>
        <v/>
      </c>
      <c r="AI85" s="54" t="str">
        <f>IF('⚙ OFF Weekends'!$D$30="OFF","OFF","")</f>
        <v/>
      </c>
      <c r="AJ85" s="56" t="str">
        <f>IF('⚙ OFF Weekends'!$D$31="OFF","OFF","")</f>
        <v/>
      </c>
      <c r="AK85" s="54" t="str">
        <f>IF('⚙ OFF Weekends'!$D$32="OFF","OFF","")</f>
        <v/>
      </c>
      <c r="AL85" s="56" t="str">
        <f>IF('⚙ OFF Weekends'!$D$33="OFF","OFF","")</f>
        <v/>
      </c>
      <c r="AM85" s="54" t="str">
        <f>IF('⚙ OFF Weekends'!$D$34="OFF","OFF","")</f>
        <v/>
      </c>
      <c r="AN85" s="56" t="str">
        <f>IF('⚙ OFF Weekends'!$D$35="OFF","OFF","")</f>
        <v/>
      </c>
      <c r="AO85" s="54" t="str">
        <f>IF('⚙ OFF Weekends'!$D$36="OFF","OFF","")</f>
        <v/>
      </c>
      <c r="AP85" s="56" t="str">
        <f>IF('⚙ OFF Weekends'!$D$37="OFF","OFF","")</f>
        <v/>
      </c>
      <c r="AQ85" s="54" t="str">
        <f>IF('⚙ OFF Weekends'!$D$38="OFF","OFF","")</f>
        <v/>
      </c>
      <c r="AR85" s="56" t="str">
        <f>IF('⚙ OFF Weekends'!$D$39="OFF","OFF","")</f>
        <v/>
      </c>
      <c r="AS85" s="54" t="str">
        <f>IF('⚙ OFF Weekends'!$D$40="OFF","OFF","")</f>
        <v/>
      </c>
      <c r="AT85" s="56" t="str">
        <f>IF('⚙ OFF Weekends'!$D$41="OFF","OFF","")</f>
        <v/>
      </c>
      <c r="AU85" s="54" t="str">
        <f>IF('⚙ OFF Weekends'!$D$42="OFF","OFF","")</f>
        <v/>
      </c>
      <c r="AV85" s="56" t="str">
        <f>IF('⚙ OFF Weekends'!$D$43="OFF","OFF","")</f>
        <v/>
      </c>
      <c r="AW85" s="54" t="str">
        <f>IF('⚙ OFF Weekends'!$D$44="OFF","OFF","")</f>
        <v/>
      </c>
      <c r="AX85" s="56" t="str">
        <f>IF('⚙ OFF Weekends'!$D$45="OFF","OFF","")</f>
        <v/>
      </c>
      <c r="AY85" s="54" t="str">
        <f>IF('⚙ OFF Weekends'!$D$46="OFF","OFF","")</f>
        <v/>
      </c>
      <c r="AZ85" s="56" t="str">
        <f>IF('⚙ OFF Weekends'!$D$47="OFF","OFF","")</f>
        <v/>
      </c>
      <c r="BA85" s="54" t="str">
        <f>IF('⚙ OFF Weekends'!$D$48="OFF","OFF","")</f>
        <v/>
      </c>
      <c r="BB85" s="56" t="str">
        <f>IF('⚙ OFF Weekends'!$D$49="OFF","OFF","")</f>
        <v/>
      </c>
      <c r="BC85" s="54" t="str">
        <f>IF('⚙ OFF Weekends'!$D$50="OFF","OFF","")</f>
        <v/>
      </c>
      <c r="BD85" s="56" t="str">
        <f>IF('⚙ OFF Weekends'!$D$51="OFF","OFF","")</f>
        <v/>
      </c>
      <c r="BE85" s="54" t="str">
        <f>IF('⚙ OFF Weekends'!$D$52="OFF","OFF","")</f>
        <v/>
      </c>
      <c r="BF85" s="56" t="str">
        <f>IF('⚙ OFF Weekends'!$D$53="OFF","OFF","")</f>
        <v/>
      </c>
      <c r="BG85" s="54" t="str">
        <f>IF('⚙ OFF Weekends'!$D$54="OFF","OFF","")</f>
        <v/>
      </c>
      <c r="BH85" s="56" t="str">
        <f>IF('⚙ OFF Weekends'!$D$55="OFF","OFF","")</f>
        <v/>
      </c>
      <c r="BI85" s="54" t="str">
        <f>IF('⚙ OFF Weekends'!$D$56="OFF","OFF","")</f>
        <v/>
      </c>
      <c r="BJ85" s="56" t="str">
        <f>IF('⚙ OFF Weekends'!$D$57="OFF","OFF","")</f>
        <v/>
      </c>
      <c r="BK85" s="54" t="str">
        <f>IF('⚙ OFF Weekends'!$D$58="OFF","OFF","")</f>
        <v/>
      </c>
      <c r="BL85" s="56" t="str">
        <f>IF('⚙ OFF Weekends'!$D$59="OFF","OFF","")</f>
        <v/>
      </c>
      <c r="BM85" s="54" t="str">
        <f>IF('⚙ OFF Weekends'!$D$60="OFF","OFF","")</f>
        <v/>
      </c>
      <c r="BN85" s="56" t="str">
        <f>IF('⚙ OFF Weekends'!$D$61="OFF","OFF","")</f>
        <v/>
      </c>
      <c r="BO85" s="54" t="str">
        <f>IF('⚙ OFF Weekends'!$D$62="OFF","OFF","")</f>
        <v/>
      </c>
      <c r="BP85" s="56" t="str">
        <f>IF('⚙ OFF Weekends'!$D$63="OFF","OFF","")</f>
        <v/>
      </c>
      <c r="BQ85" s="54" t="str">
        <f>IF('⚙ OFF Weekends'!$D$64="OFF","OFF","")</f>
        <v/>
      </c>
      <c r="BR85" s="56" t="str">
        <f>IF('⚙ OFF Weekends'!$D$65="OFF","OFF","")</f>
        <v/>
      </c>
      <c r="BS85" s="54" t="str">
        <f>IF('⚙ OFF Weekends'!$D$66="OFF","OFF","")</f>
        <v/>
      </c>
      <c r="BT85" s="56" t="str">
        <f>IF('⚙ OFF Weekends'!$D$67="OFF","OFF","")</f>
        <v/>
      </c>
      <c r="BU85" s="54" t="str">
        <f>IF('⚙ OFF Weekends'!$D$68="OFF","OFF","")</f>
        <v/>
      </c>
      <c r="BV85" s="56" t="str">
        <f>IF('⚙ OFF Weekends'!$D$69="OFF","OFF","")</f>
        <v/>
      </c>
      <c r="BW85" s="54" t="str">
        <f>IF('⚙ OFF Weekends'!$D$70="OFF","OFF","")</f>
        <v/>
      </c>
      <c r="BX85" s="56" t="str">
        <f>IF('⚙ OFF Weekends'!$D$71="OFF","OFF","")</f>
        <v/>
      </c>
      <c r="BY85" s="54" t="str">
        <f>IF('⚙ OFF Weekends'!$D$72="OFF","OFF","")</f>
        <v/>
      </c>
      <c r="BZ85" s="56" t="str">
        <f>IF('⚙ OFF Weekends'!$D$73="OFF","OFF","")</f>
        <v/>
      </c>
      <c r="CA85" s="54" t="str">
        <f>IF('⚙ OFF Weekends'!$D$74="OFF","OFF","")</f>
        <v/>
      </c>
      <c r="CB85" s="56" t="str">
        <f>IF('⚙ OFF Weekends'!$D$75="OFF","OFF","")</f>
        <v/>
      </c>
      <c r="CC85" s="54" t="str">
        <f>IF('⚙ OFF Weekends'!$D$76="OFF","OFF","")</f>
        <v/>
      </c>
      <c r="CD85" s="56" t="str">
        <f>IF('⚙ OFF Weekends'!$D$77="OFF","OFF","")</f>
        <v/>
      </c>
      <c r="CE85" s="95">
        <f t="shared" si="21"/>
        <v>1</v>
      </c>
      <c r="CF85" s="95">
        <f t="shared" si="22"/>
        <v>15</v>
      </c>
      <c r="CG85" s="95">
        <f t="shared" si="23"/>
        <v>2</v>
      </c>
      <c r="CH85" s="95" t="str">
        <f t="shared" si="24"/>
        <v>6%</v>
      </c>
    </row>
    <row r="86" ht="18.0" customHeight="1">
      <c r="A86" s="96">
        <v>16.0</v>
      </c>
      <c r="B86" s="22" t="s">
        <v>754</v>
      </c>
      <c r="C86" s="23" t="s">
        <v>755</v>
      </c>
      <c r="D86" s="24" t="str">
        <f t="shared" si="19"/>
        <v>📞 Call</v>
      </c>
      <c r="E86" s="41" t="str">
        <f t="shared" si="20"/>
        <v>💬 WhatsApp</v>
      </c>
      <c r="F86" s="20"/>
      <c r="G86" s="20" t="s">
        <v>275</v>
      </c>
      <c r="H86" s="20"/>
      <c r="I86" s="79" t="s">
        <v>223</v>
      </c>
      <c r="J86" s="79" t="s">
        <v>223</v>
      </c>
      <c r="K86" s="49" t="s">
        <v>197</v>
      </c>
      <c r="L86" s="56" t="str">
        <f>IF('⚙ OFF Weekends'!$D$7="OFF","OFF","")</f>
        <v/>
      </c>
      <c r="M86" s="54" t="str">
        <f>IF('⚙ OFF Weekends'!$D$8="OFF","OFF","")</f>
        <v/>
      </c>
      <c r="N86" s="56" t="str">
        <f>IF('⚙ OFF Weekends'!$D$9="OFF","OFF","")</f>
        <v/>
      </c>
      <c r="O86" s="79" t="s">
        <v>223</v>
      </c>
      <c r="P86" s="79" t="s">
        <v>223</v>
      </c>
      <c r="Q86" s="79" t="s">
        <v>223</v>
      </c>
      <c r="R86" s="79" t="s">
        <v>223</v>
      </c>
      <c r="S86" s="52" t="s">
        <v>223</v>
      </c>
      <c r="T86" s="98" t="s">
        <v>223</v>
      </c>
      <c r="U86" s="52" t="s">
        <v>223</v>
      </c>
      <c r="V86" s="53" t="s">
        <v>223</v>
      </c>
      <c r="W86" s="54" t="str">
        <f>IF('⚙ OFF Weekends'!$D$18="OFF","OFF","")</f>
        <v>OFF</v>
      </c>
      <c r="X86" s="53" t="s">
        <v>223</v>
      </c>
      <c r="Y86" s="52" t="s">
        <v>223</v>
      </c>
      <c r="Z86" s="53" t="s">
        <v>223</v>
      </c>
      <c r="AA86" s="52" t="s">
        <v>223</v>
      </c>
      <c r="AB86" s="53" t="s">
        <v>223</v>
      </c>
      <c r="AC86" s="54" t="str">
        <f>IF('⚙ OFF Weekends'!$D$24="OFF","OFF","")</f>
        <v/>
      </c>
      <c r="AD86" s="56" t="str">
        <f>IF('⚙ OFF Weekends'!$D$25="OFF","OFF","")</f>
        <v/>
      </c>
      <c r="AE86" s="54" t="str">
        <f>IF('⚙ OFF Weekends'!$D$26="OFF","OFF","")</f>
        <v/>
      </c>
      <c r="AF86" s="56" t="str">
        <f>IF('⚙ OFF Weekends'!$D$27="OFF","OFF","")</f>
        <v/>
      </c>
      <c r="AG86" s="54" t="str">
        <f>IF('⚙ OFF Weekends'!$D$28="OFF","OFF","")</f>
        <v/>
      </c>
      <c r="AH86" s="56" t="str">
        <f>IF('⚙ OFF Weekends'!$D$29="OFF","OFF","")</f>
        <v/>
      </c>
      <c r="AI86" s="54" t="str">
        <f>IF('⚙ OFF Weekends'!$D$30="OFF","OFF","")</f>
        <v/>
      </c>
      <c r="AJ86" s="56" t="str">
        <f>IF('⚙ OFF Weekends'!$D$31="OFF","OFF","")</f>
        <v/>
      </c>
      <c r="AK86" s="54" t="str">
        <f>IF('⚙ OFF Weekends'!$D$32="OFF","OFF","")</f>
        <v/>
      </c>
      <c r="AL86" s="56" t="str">
        <f>IF('⚙ OFF Weekends'!$D$33="OFF","OFF","")</f>
        <v/>
      </c>
      <c r="AM86" s="54" t="str">
        <f>IF('⚙ OFF Weekends'!$D$34="OFF","OFF","")</f>
        <v/>
      </c>
      <c r="AN86" s="56" t="str">
        <f>IF('⚙ OFF Weekends'!$D$35="OFF","OFF","")</f>
        <v/>
      </c>
      <c r="AO86" s="54" t="str">
        <f>IF('⚙ OFF Weekends'!$D$36="OFF","OFF","")</f>
        <v/>
      </c>
      <c r="AP86" s="56" t="str">
        <f>IF('⚙ OFF Weekends'!$D$37="OFF","OFF","")</f>
        <v/>
      </c>
      <c r="AQ86" s="54" t="str">
        <f>IF('⚙ OFF Weekends'!$D$38="OFF","OFF","")</f>
        <v/>
      </c>
      <c r="AR86" s="56" t="str">
        <f>IF('⚙ OFF Weekends'!$D$39="OFF","OFF","")</f>
        <v/>
      </c>
      <c r="AS86" s="54" t="str">
        <f>IF('⚙ OFF Weekends'!$D$40="OFF","OFF","")</f>
        <v/>
      </c>
      <c r="AT86" s="56" t="str">
        <f>IF('⚙ OFF Weekends'!$D$41="OFF","OFF","")</f>
        <v/>
      </c>
      <c r="AU86" s="54" t="str">
        <f>IF('⚙ OFF Weekends'!$D$42="OFF","OFF","")</f>
        <v/>
      </c>
      <c r="AV86" s="56" t="str">
        <f>IF('⚙ OFF Weekends'!$D$43="OFF","OFF","")</f>
        <v/>
      </c>
      <c r="AW86" s="54" t="str">
        <f>IF('⚙ OFF Weekends'!$D$44="OFF","OFF","")</f>
        <v/>
      </c>
      <c r="AX86" s="56" t="str">
        <f>IF('⚙ OFF Weekends'!$D$45="OFF","OFF","")</f>
        <v/>
      </c>
      <c r="AY86" s="54" t="str">
        <f>IF('⚙ OFF Weekends'!$D$46="OFF","OFF","")</f>
        <v/>
      </c>
      <c r="AZ86" s="56" t="str">
        <f>IF('⚙ OFF Weekends'!$D$47="OFF","OFF","")</f>
        <v/>
      </c>
      <c r="BA86" s="54" t="str">
        <f>IF('⚙ OFF Weekends'!$D$48="OFF","OFF","")</f>
        <v/>
      </c>
      <c r="BB86" s="56" t="str">
        <f>IF('⚙ OFF Weekends'!$D$49="OFF","OFF","")</f>
        <v/>
      </c>
      <c r="BC86" s="54" t="str">
        <f>IF('⚙ OFF Weekends'!$D$50="OFF","OFF","")</f>
        <v/>
      </c>
      <c r="BD86" s="56" t="str">
        <f>IF('⚙ OFF Weekends'!$D$51="OFF","OFF","")</f>
        <v/>
      </c>
      <c r="BE86" s="54" t="str">
        <f>IF('⚙ OFF Weekends'!$D$52="OFF","OFF","")</f>
        <v/>
      </c>
      <c r="BF86" s="56" t="str">
        <f>IF('⚙ OFF Weekends'!$D$53="OFF","OFF","")</f>
        <v/>
      </c>
      <c r="BG86" s="54" t="str">
        <f>IF('⚙ OFF Weekends'!$D$54="OFF","OFF","")</f>
        <v/>
      </c>
      <c r="BH86" s="56" t="str">
        <f>IF('⚙ OFF Weekends'!$D$55="OFF","OFF","")</f>
        <v/>
      </c>
      <c r="BI86" s="54" t="str">
        <f>IF('⚙ OFF Weekends'!$D$56="OFF","OFF","")</f>
        <v/>
      </c>
      <c r="BJ86" s="56" t="str">
        <f>IF('⚙ OFF Weekends'!$D$57="OFF","OFF","")</f>
        <v/>
      </c>
      <c r="BK86" s="54" t="str">
        <f>IF('⚙ OFF Weekends'!$D$58="OFF","OFF","")</f>
        <v/>
      </c>
      <c r="BL86" s="56" t="str">
        <f>IF('⚙ OFF Weekends'!$D$59="OFF","OFF","")</f>
        <v/>
      </c>
      <c r="BM86" s="54" t="str">
        <f>IF('⚙ OFF Weekends'!$D$60="OFF","OFF","")</f>
        <v/>
      </c>
      <c r="BN86" s="56" t="str">
        <f>IF('⚙ OFF Weekends'!$D$61="OFF","OFF","")</f>
        <v/>
      </c>
      <c r="BO86" s="54" t="str">
        <f>IF('⚙ OFF Weekends'!$D$62="OFF","OFF","")</f>
        <v/>
      </c>
      <c r="BP86" s="56" t="str">
        <f>IF('⚙ OFF Weekends'!$D$63="OFF","OFF","")</f>
        <v/>
      </c>
      <c r="BQ86" s="54" t="str">
        <f>IF('⚙ OFF Weekends'!$D$64="OFF","OFF","")</f>
        <v/>
      </c>
      <c r="BR86" s="56" t="str">
        <f>IF('⚙ OFF Weekends'!$D$65="OFF","OFF","")</f>
        <v/>
      </c>
      <c r="BS86" s="54" t="str">
        <f>IF('⚙ OFF Weekends'!$D$66="OFF","OFF","")</f>
        <v/>
      </c>
      <c r="BT86" s="56" t="str">
        <f>IF('⚙ OFF Weekends'!$D$67="OFF","OFF","")</f>
        <v/>
      </c>
      <c r="BU86" s="54" t="str">
        <f>IF('⚙ OFF Weekends'!$D$68="OFF","OFF","")</f>
        <v/>
      </c>
      <c r="BV86" s="56" t="str">
        <f>IF('⚙ OFF Weekends'!$D$69="OFF","OFF","")</f>
        <v/>
      </c>
      <c r="BW86" s="54" t="str">
        <f>IF('⚙ OFF Weekends'!$D$70="OFF","OFF","")</f>
        <v/>
      </c>
      <c r="BX86" s="56" t="str">
        <f>IF('⚙ OFF Weekends'!$D$71="OFF","OFF","")</f>
        <v/>
      </c>
      <c r="BY86" s="54" t="str">
        <f>IF('⚙ OFF Weekends'!$D$72="OFF","OFF","")</f>
        <v/>
      </c>
      <c r="BZ86" s="56" t="str">
        <f>IF('⚙ OFF Weekends'!$D$73="OFF","OFF","")</f>
        <v/>
      </c>
      <c r="CA86" s="54" t="str">
        <f>IF('⚙ OFF Weekends'!$D$74="OFF","OFF","")</f>
        <v/>
      </c>
      <c r="CB86" s="56" t="str">
        <f>IF('⚙ OFF Weekends'!$D$75="OFF","OFF","")</f>
        <v/>
      </c>
      <c r="CC86" s="54" t="str">
        <f>IF('⚙ OFF Weekends'!$D$76="OFF","OFF","")</f>
        <v/>
      </c>
      <c r="CD86" s="56" t="str">
        <f>IF('⚙ OFF Weekends'!$D$77="OFF","OFF","")</f>
        <v/>
      </c>
      <c r="CE86" s="96">
        <f t="shared" si="21"/>
        <v>0</v>
      </c>
      <c r="CF86" s="96">
        <f t="shared" si="22"/>
        <v>15</v>
      </c>
      <c r="CG86" s="96">
        <f t="shared" si="23"/>
        <v>0</v>
      </c>
      <c r="CH86" s="96" t="str">
        <f t="shared" si="24"/>
        <v>0%</v>
      </c>
    </row>
    <row r="87" ht="18.0" customHeight="1">
      <c r="A87" s="95">
        <v>17.0</v>
      </c>
      <c r="B87" s="12" t="s">
        <v>758</v>
      </c>
      <c r="C87" s="14" t="s">
        <v>759</v>
      </c>
      <c r="D87" s="17" t="str">
        <f t="shared" si="19"/>
        <v>📞 Call</v>
      </c>
      <c r="E87" s="19" t="str">
        <f t="shared" si="20"/>
        <v>💬 WhatsApp</v>
      </c>
      <c r="F87" s="10"/>
      <c r="G87" s="10" t="s">
        <v>381</v>
      </c>
      <c r="H87" s="10"/>
      <c r="I87" s="79" t="s">
        <v>223</v>
      </c>
      <c r="J87" s="79" t="s">
        <v>223</v>
      </c>
      <c r="K87" s="49" t="s">
        <v>197</v>
      </c>
      <c r="L87" s="79" t="s">
        <v>223</v>
      </c>
      <c r="M87" s="54" t="str">
        <f>IF('⚙ OFF Weekends'!$D$8="OFF","OFF","")</f>
        <v/>
      </c>
      <c r="N87" s="56" t="str">
        <f>IF('⚙ OFF Weekends'!$D$9="OFF","OFF","")</f>
        <v/>
      </c>
      <c r="O87" s="54" t="str">
        <f>IF('⚙ OFF Weekends'!$D$10="OFF","OFF","")</f>
        <v/>
      </c>
      <c r="P87" s="56" t="str">
        <f>IF('⚙ OFF Weekends'!$D$11="OFF","OFF","")</f>
        <v/>
      </c>
      <c r="Q87" s="79" t="s">
        <v>223</v>
      </c>
      <c r="R87" s="56" t="str">
        <f>IF('⚙ OFF Weekends'!$D$13="OFF","OFF","")</f>
        <v/>
      </c>
      <c r="S87" s="52" t="s">
        <v>296</v>
      </c>
      <c r="T87" s="98" t="s">
        <v>223</v>
      </c>
      <c r="U87" s="52" t="s">
        <v>223</v>
      </c>
      <c r="V87" s="53" t="s">
        <v>223</v>
      </c>
      <c r="W87" s="54" t="str">
        <f>IF('⚙ OFF Weekends'!$D$18="OFF","OFF","")</f>
        <v>OFF</v>
      </c>
      <c r="X87" s="53" t="s">
        <v>223</v>
      </c>
      <c r="Y87" s="52" t="s">
        <v>223</v>
      </c>
      <c r="Z87" s="53" t="s">
        <v>223</v>
      </c>
      <c r="AA87" s="52" t="s">
        <v>223</v>
      </c>
      <c r="AB87" s="53" t="s">
        <v>223</v>
      </c>
      <c r="AC87" s="54" t="str">
        <f>IF('⚙ OFF Weekends'!$D$24="OFF","OFF","")</f>
        <v/>
      </c>
      <c r="AD87" s="56" t="str">
        <f>IF('⚙ OFF Weekends'!$D$25="OFF","OFF","")</f>
        <v/>
      </c>
      <c r="AE87" s="54" t="str">
        <f>IF('⚙ OFF Weekends'!$D$26="OFF","OFF","")</f>
        <v/>
      </c>
      <c r="AF87" s="56" t="str">
        <f>IF('⚙ OFF Weekends'!$D$27="OFF","OFF","")</f>
        <v/>
      </c>
      <c r="AG87" s="54" t="str">
        <f>IF('⚙ OFF Weekends'!$D$28="OFF","OFF","")</f>
        <v/>
      </c>
      <c r="AH87" s="56" t="str">
        <f>IF('⚙ OFF Weekends'!$D$29="OFF","OFF","")</f>
        <v/>
      </c>
      <c r="AI87" s="54" t="str">
        <f>IF('⚙ OFF Weekends'!$D$30="OFF","OFF","")</f>
        <v/>
      </c>
      <c r="AJ87" s="56" t="str">
        <f>IF('⚙ OFF Weekends'!$D$31="OFF","OFF","")</f>
        <v/>
      </c>
      <c r="AK87" s="54" t="str">
        <f>IF('⚙ OFF Weekends'!$D$32="OFF","OFF","")</f>
        <v/>
      </c>
      <c r="AL87" s="56" t="str">
        <f>IF('⚙ OFF Weekends'!$D$33="OFF","OFF","")</f>
        <v/>
      </c>
      <c r="AM87" s="54" t="str">
        <f>IF('⚙ OFF Weekends'!$D$34="OFF","OFF","")</f>
        <v/>
      </c>
      <c r="AN87" s="56" t="str">
        <f>IF('⚙ OFF Weekends'!$D$35="OFF","OFF","")</f>
        <v/>
      </c>
      <c r="AO87" s="54" t="str">
        <f>IF('⚙ OFF Weekends'!$D$36="OFF","OFF","")</f>
        <v/>
      </c>
      <c r="AP87" s="56" t="str">
        <f>IF('⚙ OFF Weekends'!$D$37="OFF","OFF","")</f>
        <v/>
      </c>
      <c r="AQ87" s="54" t="str">
        <f>IF('⚙ OFF Weekends'!$D$38="OFF","OFF","")</f>
        <v/>
      </c>
      <c r="AR87" s="56" t="str">
        <f>IF('⚙ OFF Weekends'!$D$39="OFF","OFF","")</f>
        <v/>
      </c>
      <c r="AS87" s="54" t="str">
        <f>IF('⚙ OFF Weekends'!$D$40="OFF","OFF","")</f>
        <v/>
      </c>
      <c r="AT87" s="56" t="str">
        <f>IF('⚙ OFF Weekends'!$D$41="OFF","OFF","")</f>
        <v/>
      </c>
      <c r="AU87" s="54" t="str">
        <f>IF('⚙ OFF Weekends'!$D$42="OFF","OFF","")</f>
        <v/>
      </c>
      <c r="AV87" s="56" t="str">
        <f>IF('⚙ OFF Weekends'!$D$43="OFF","OFF","")</f>
        <v/>
      </c>
      <c r="AW87" s="54" t="str">
        <f>IF('⚙ OFF Weekends'!$D$44="OFF","OFF","")</f>
        <v/>
      </c>
      <c r="AX87" s="56" t="str">
        <f>IF('⚙ OFF Weekends'!$D$45="OFF","OFF","")</f>
        <v/>
      </c>
      <c r="AY87" s="54" t="str">
        <f>IF('⚙ OFF Weekends'!$D$46="OFF","OFF","")</f>
        <v/>
      </c>
      <c r="AZ87" s="56" t="str">
        <f>IF('⚙ OFF Weekends'!$D$47="OFF","OFF","")</f>
        <v/>
      </c>
      <c r="BA87" s="54" t="str">
        <f>IF('⚙ OFF Weekends'!$D$48="OFF","OFF","")</f>
        <v/>
      </c>
      <c r="BB87" s="56" t="str">
        <f>IF('⚙ OFF Weekends'!$D$49="OFF","OFF","")</f>
        <v/>
      </c>
      <c r="BC87" s="54" t="str">
        <f>IF('⚙ OFF Weekends'!$D$50="OFF","OFF","")</f>
        <v/>
      </c>
      <c r="BD87" s="56" t="str">
        <f>IF('⚙ OFF Weekends'!$D$51="OFF","OFF","")</f>
        <v/>
      </c>
      <c r="BE87" s="54" t="str">
        <f>IF('⚙ OFF Weekends'!$D$52="OFF","OFF","")</f>
        <v/>
      </c>
      <c r="BF87" s="56" t="str">
        <f>IF('⚙ OFF Weekends'!$D$53="OFF","OFF","")</f>
        <v/>
      </c>
      <c r="BG87" s="54" t="str">
        <f>IF('⚙ OFF Weekends'!$D$54="OFF","OFF","")</f>
        <v/>
      </c>
      <c r="BH87" s="56" t="str">
        <f>IF('⚙ OFF Weekends'!$D$55="OFF","OFF","")</f>
        <v/>
      </c>
      <c r="BI87" s="54" t="str">
        <f>IF('⚙ OFF Weekends'!$D$56="OFF","OFF","")</f>
        <v/>
      </c>
      <c r="BJ87" s="56" t="str">
        <f>IF('⚙ OFF Weekends'!$D$57="OFF","OFF","")</f>
        <v/>
      </c>
      <c r="BK87" s="54" t="str">
        <f>IF('⚙ OFF Weekends'!$D$58="OFF","OFF","")</f>
        <v/>
      </c>
      <c r="BL87" s="56" t="str">
        <f>IF('⚙ OFF Weekends'!$D$59="OFF","OFF","")</f>
        <v/>
      </c>
      <c r="BM87" s="54" t="str">
        <f>IF('⚙ OFF Weekends'!$D$60="OFF","OFF","")</f>
        <v/>
      </c>
      <c r="BN87" s="56" t="str">
        <f>IF('⚙ OFF Weekends'!$D$61="OFF","OFF","")</f>
        <v/>
      </c>
      <c r="BO87" s="54" t="str">
        <f>IF('⚙ OFF Weekends'!$D$62="OFF","OFF","")</f>
        <v/>
      </c>
      <c r="BP87" s="56" t="str">
        <f>IF('⚙ OFF Weekends'!$D$63="OFF","OFF","")</f>
        <v/>
      </c>
      <c r="BQ87" s="54" t="str">
        <f>IF('⚙ OFF Weekends'!$D$64="OFF","OFF","")</f>
        <v/>
      </c>
      <c r="BR87" s="56" t="str">
        <f>IF('⚙ OFF Weekends'!$D$65="OFF","OFF","")</f>
        <v/>
      </c>
      <c r="BS87" s="54" t="str">
        <f>IF('⚙ OFF Weekends'!$D$66="OFF","OFF","")</f>
        <v/>
      </c>
      <c r="BT87" s="56" t="str">
        <f>IF('⚙ OFF Weekends'!$D$67="OFF","OFF","")</f>
        <v/>
      </c>
      <c r="BU87" s="54" t="str">
        <f>IF('⚙ OFF Weekends'!$D$68="OFF","OFF","")</f>
        <v/>
      </c>
      <c r="BV87" s="56" t="str">
        <f>IF('⚙ OFF Weekends'!$D$69="OFF","OFF","")</f>
        <v/>
      </c>
      <c r="BW87" s="54" t="str">
        <f>IF('⚙ OFF Weekends'!$D$70="OFF","OFF","")</f>
        <v/>
      </c>
      <c r="BX87" s="56" t="str">
        <f>IF('⚙ OFF Weekends'!$D$71="OFF","OFF","")</f>
        <v/>
      </c>
      <c r="BY87" s="54" t="str">
        <f>IF('⚙ OFF Weekends'!$D$72="OFF","OFF","")</f>
        <v/>
      </c>
      <c r="BZ87" s="56" t="str">
        <f>IF('⚙ OFF Weekends'!$D$73="OFF","OFF","")</f>
        <v/>
      </c>
      <c r="CA87" s="54" t="str">
        <f>IF('⚙ OFF Weekends'!$D$74="OFF","OFF","")</f>
        <v/>
      </c>
      <c r="CB87" s="56" t="str">
        <f>IF('⚙ OFF Weekends'!$D$75="OFF","OFF","")</f>
        <v/>
      </c>
      <c r="CC87" s="54" t="str">
        <f>IF('⚙ OFF Weekends'!$D$76="OFF","OFF","")</f>
        <v/>
      </c>
      <c r="CD87" s="56" t="str">
        <f>IF('⚙ OFF Weekends'!$D$77="OFF","OFF","")</f>
        <v/>
      </c>
      <c r="CE87" s="95">
        <f t="shared" si="21"/>
        <v>0</v>
      </c>
      <c r="CF87" s="95">
        <f t="shared" si="22"/>
        <v>12</v>
      </c>
      <c r="CG87" s="95">
        <f t="shared" si="23"/>
        <v>0</v>
      </c>
      <c r="CH87" s="95" t="str">
        <f t="shared" si="24"/>
        <v>0%</v>
      </c>
    </row>
    <row r="88" ht="18.0" customHeight="1">
      <c r="A88" s="96">
        <v>18.0</v>
      </c>
      <c r="B88" s="22" t="s">
        <v>764</v>
      </c>
      <c r="C88" s="23" t="s">
        <v>765</v>
      </c>
      <c r="D88" s="24" t="str">
        <f t="shared" si="19"/>
        <v>📞 Call</v>
      </c>
      <c r="E88" s="41" t="str">
        <f t="shared" si="20"/>
        <v>💬 WhatsApp</v>
      </c>
      <c r="F88" s="20"/>
      <c r="G88" s="20"/>
      <c r="H88" s="20"/>
      <c r="I88" s="54" t="str">
        <f>IF('⚙ OFF Weekends'!$D$4="OFF","OFF","")</f>
        <v/>
      </c>
      <c r="J88" s="56" t="str">
        <f>IF('⚙ OFF Weekends'!$D$5="OFF","OFF","")</f>
        <v/>
      </c>
      <c r="K88" s="49" t="s">
        <v>197</v>
      </c>
      <c r="L88" s="56" t="str">
        <f>IF('⚙ OFF Weekends'!$D$7="OFF","OFF","")</f>
        <v/>
      </c>
      <c r="M88" s="54" t="str">
        <f>IF('⚙ OFF Weekends'!$D$8="OFF","OFF","")</f>
        <v/>
      </c>
      <c r="N88" s="50" t="s">
        <v>37</v>
      </c>
      <c r="O88" s="50" t="s">
        <v>37</v>
      </c>
      <c r="P88" s="50" t="s">
        <v>37</v>
      </c>
      <c r="Q88" s="79" t="s">
        <v>223</v>
      </c>
      <c r="R88" s="79" t="s">
        <v>223</v>
      </c>
      <c r="S88" s="52" t="s">
        <v>198</v>
      </c>
      <c r="T88" s="53" t="s">
        <v>198</v>
      </c>
      <c r="U88" s="52" t="s">
        <v>37</v>
      </c>
      <c r="V88" s="53" t="s">
        <v>196</v>
      </c>
      <c r="W88" s="54" t="str">
        <f>IF('⚙ OFF Weekends'!$D$18="OFF","OFF","")</f>
        <v>OFF</v>
      </c>
      <c r="X88" s="53" t="s">
        <v>37</v>
      </c>
      <c r="Y88" s="52" t="s">
        <v>37</v>
      </c>
      <c r="Z88" s="53" t="s">
        <v>37</v>
      </c>
      <c r="AA88" s="52" t="s">
        <v>196</v>
      </c>
      <c r="AB88" s="53" t="s">
        <v>198</v>
      </c>
      <c r="AC88" s="54" t="str">
        <f>IF('⚙ OFF Weekends'!$D$24="OFF","OFF","")</f>
        <v/>
      </c>
      <c r="AD88" s="56" t="str">
        <f>IF('⚙ OFF Weekends'!$D$25="OFF","OFF","")</f>
        <v/>
      </c>
      <c r="AE88" s="54" t="str">
        <f>IF('⚙ OFF Weekends'!$D$26="OFF","OFF","")</f>
        <v/>
      </c>
      <c r="AF88" s="56" t="str">
        <f>IF('⚙ OFF Weekends'!$D$27="OFF","OFF","")</f>
        <v/>
      </c>
      <c r="AG88" s="54" t="str">
        <f>IF('⚙ OFF Weekends'!$D$28="OFF","OFF","")</f>
        <v/>
      </c>
      <c r="AH88" s="56" t="str">
        <f>IF('⚙ OFF Weekends'!$D$29="OFF","OFF","")</f>
        <v/>
      </c>
      <c r="AI88" s="54" t="str">
        <f>IF('⚙ OFF Weekends'!$D$30="OFF","OFF","")</f>
        <v/>
      </c>
      <c r="AJ88" s="56" t="str">
        <f>IF('⚙ OFF Weekends'!$D$31="OFF","OFF","")</f>
        <v/>
      </c>
      <c r="AK88" s="54" t="str">
        <f>IF('⚙ OFF Weekends'!$D$32="OFF","OFF","")</f>
        <v/>
      </c>
      <c r="AL88" s="56" t="str">
        <f>IF('⚙ OFF Weekends'!$D$33="OFF","OFF","")</f>
        <v/>
      </c>
      <c r="AM88" s="54" t="str">
        <f>IF('⚙ OFF Weekends'!$D$34="OFF","OFF","")</f>
        <v/>
      </c>
      <c r="AN88" s="56" t="str">
        <f>IF('⚙ OFF Weekends'!$D$35="OFF","OFF","")</f>
        <v/>
      </c>
      <c r="AO88" s="54" t="str">
        <f>IF('⚙ OFF Weekends'!$D$36="OFF","OFF","")</f>
        <v/>
      </c>
      <c r="AP88" s="56" t="str">
        <f>IF('⚙ OFF Weekends'!$D$37="OFF","OFF","")</f>
        <v/>
      </c>
      <c r="AQ88" s="54" t="str">
        <f>IF('⚙ OFF Weekends'!$D$38="OFF","OFF","")</f>
        <v/>
      </c>
      <c r="AR88" s="56" t="str">
        <f>IF('⚙ OFF Weekends'!$D$39="OFF","OFF","")</f>
        <v/>
      </c>
      <c r="AS88" s="54" t="str">
        <f>IF('⚙ OFF Weekends'!$D$40="OFF","OFF","")</f>
        <v/>
      </c>
      <c r="AT88" s="56" t="str">
        <f>IF('⚙ OFF Weekends'!$D$41="OFF","OFF","")</f>
        <v/>
      </c>
      <c r="AU88" s="54" t="str">
        <f>IF('⚙ OFF Weekends'!$D$42="OFF","OFF","")</f>
        <v/>
      </c>
      <c r="AV88" s="56" t="str">
        <f>IF('⚙ OFF Weekends'!$D$43="OFF","OFF","")</f>
        <v/>
      </c>
      <c r="AW88" s="54" t="str">
        <f>IF('⚙ OFF Weekends'!$D$44="OFF","OFF","")</f>
        <v/>
      </c>
      <c r="AX88" s="56" t="str">
        <f>IF('⚙ OFF Weekends'!$D$45="OFF","OFF","")</f>
        <v/>
      </c>
      <c r="AY88" s="54" t="str">
        <f>IF('⚙ OFF Weekends'!$D$46="OFF","OFF","")</f>
        <v/>
      </c>
      <c r="AZ88" s="56" t="str">
        <f>IF('⚙ OFF Weekends'!$D$47="OFF","OFF","")</f>
        <v/>
      </c>
      <c r="BA88" s="54" t="str">
        <f>IF('⚙ OFF Weekends'!$D$48="OFF","OFF","")</f>
        <v/>
      </c>
      <c r="BB88" s="56" t="str">
        <f>IF('⚙ OFF Weekends'!$D$49="OFF","OFF","")</f>
        <v/>
      </c>
      <c r="BC88" s="54" t="str">
        <f>IF('⚙ OFF Weekends'!$D$50="OFF","OFF","")</f>
        <v/>
      </c>
      <c r="BD88" s="56" t="str">
        <f>IF('⚙ OFF Weekends'!$D$51="OFF","OFF","")</f>
        <v/>
      </c>
      <c r="BE88" s="54" t="str">
        <f>IF('⚙ OFF Weekends'!$D$52="OFF","OFF","")</f>
        <v/>
      </c>
      <c r="BF88" s="56" t="str">
        <f>IF('⚙ OFF Weekends'!$D$53="OFF","OFF","")</f>
        <v/>
      </c>
      <c r="BG88" s="54" t="str">
        <f>IF('⚙ OFF Weekends'!$D$54="OFF","OFF","")</f>
        <v/>
      </c>
      <c r="BH88" s="56" t="str">
        <f>IF('⚙ OFF Weekends'!$D$55="OFF","OFF","")</f>
        <v/>
      </c>
      <c r="BI88" s="54" t="str">
        <f>IF('⚙ OFF Weekends'!$D$56="OFF","OFF","")</f>
        <v/>
      </c>
      <c r="BJ88" s="56" t="str">
        <f>IF('⚙ OFF Weekends'!$D$57="OFF","OFF","")</f>
        <v/>
      </c>
      <c r="BK88" s="54" t="str">
        <f>IF('⚙ OFF Weekends'!$D$58="OFF","OFF","")</f>
        <v/>
      </c>
      <c r="BL88" s="56" t="str">
        <f>IF('⚙ OFF Weekends'!$D$59="OFF","OFF","")</f>
        <v/>
      </c>
      <c r="BM88" s="54" t="str">
        <f>IF('⚙ OFF Weekends'!$D$60="OFF","OFF","")</f>
        <v/>
      </c>
      <c r="BN88" s="56" t="str">
        <f>IF('⚙ OFF Weekends'!$D$61="OFF","OFF","")</f>
        <v/>
      </c>
      <c r="BO88" s="54" t="str">
        <f>IF('⚙ OFF Weekends'!$D$62="OFF","OFF","")</f>
        <v/>
      </c>
      <c r="BP88" s="56" t="str">
        <f>IF('⚙ OFF Weekends'!$D$63="OFF","OFF","")</f>
        <v/>
      </c>
      <c r="BQ88" s="54" t="str">
        <f>IF('⚙ OFF Weekends'!$D$64="OFF","OFF","")</f>
        <v/>
      </c>
      <c r="BR88" s="56" t="str">
        <f>IF('⚙ OFF Weekends'!$D$65="OFF","OFF","")</f>
        <v/>
      </c>
      <c r="BS88" s="54" t="str">
        <f>IF('⚙ OFF Weekends'!$D$66="OFF","OFF","")</f>
        <v/>
      </c>
      <c r="BT88" s="56" t="str">
        <f>IF('⚙ OFF Weekends'!$D$67="OFF","OFF","")</f>
        <v/>
      </c>
      <c r="BU88" s="54" t="str">
        <f>IF('⚙ OFF Weekends'!$D$68="OFF","OFF","")</f>
        <v/>
      </c>
      <c r="BV88" s="56" t="str">
        <f>IF('⚙ OFF Weekends'!$D$69="OFF","OFF","")</f>
        <v/>
      </c>
      <c r="BW88" s="54" t="str">
        <f>IF('⚙ OFF Weekends'!$D$70="OFF","OFF","")</f>
        <v/>
      </c>
      <c r="BX88" s="56" t="str">
        <f>IF('⚙ OFF Weekends'!$D$71="OFF","OFF","")</f>
        <v/>
      </c>
      <c r="BY88" s="54" t="str">
        <f>IF('⚙ OFF Weekends'!$D$72="OFF","OFF","")</f>
        <v/>
      </c>
      <c r="BZ88" s="56" t="str">
        <f>IF('⚙ OFF Weekends'!$D$73="OFF","OFF","")</f>
        <v/>
      </c>
      <c r="CA88" s="54" t="str">
        <f>IF('⚙ OFF Weekends'!$D$74="OFF","OFF","")</f>
        <v/>
      </c>
      <c r="CB88" s="56" t="str">
        <f>IF('⚙ OFF Weekends'!$D$75="OFF","OFF","")</f>
        <v/>
      </c>
      <c r="CC88" s="54" t="str">
        <f>IF('⚙ OFF Weekends'!$D$76="OFF","OFF","")</f>
        <v/>
      </c>
      <c r="CD88" s="56" t="str">
        <f>IF('⚙ OFF Weekends'!$D$77="OFF","OFF","")</f>
        <v/>
      </c>
      <c r="CE88" s="96">
        <f t="shared" si="21"/>
        <v>9</v>
      </c>
      <c r="CF88" s="96">
        <f t="shared" si="22"/>
        <v>2</v>
      </c>
      <c r="CG88" s="96">
        <f t="shared" si="23"/>
        <v>3</v>
      </c>
      <c r="CH88" s="96" t="str">
        <f t="shared" si="24"/>
        <v>82%</v>
      </c>
    </row>
    <row r="89" ht="18.0" customHeight="1">
      <c r="A89" s="95">
        <v>19.0</v>
      </c>
      <c r="B89" s="12" t="s">
        <v>769</v>
      </c>
      <c r="C89" s="14"/>
      <c r="D89" s="17" t="str">
        <f t="shared" si="19"/>
        <v/>
      </c>
      <c r="E89" s="28" t="str">
        <f t="shared" si="20"/>
        <v/>
      </c>
      <c r="F89" s="10"/>
      <c r="G89" s="10"/>
      <c r="H89" s="10"/>
      <c r="I89" s="54" t="str">
        <f>IF('⚙ OFF Weekends'!$D$4="OFF","OFF","")</f>
        <v/>
      </c>
      <c r="J89" s="56" t="str">
        <f>IF('⚙ OFF Weekends'!$D$5="OFF","OFF","")</f>
        <v/>
      </c>
      <c r="K89" s="49" t="s">
        <v>197</v>
      </c>
      <c r="L89" s="56" t="str">
        <f>IF('⚙ OFF Weekends'!$D$7="OFF","OFF","")</f>
        <v/>
      </c>
      <c r="M89" s="54" t="str">
        <f>IF('⚙ OFF Weekends'!$D$8="OFF","OFF","")</f>
        <v/>
      </c>
      <c r="N89" s="56" t="str">
        <f>IF('⚙ OFF Weekends'!$D$9="OFF","OFF","")</f>
        <v/>
      </c>
      <c r="O89" s="50" t="s">
        <v>37</v>
      </c>
      <c r="P89" s="50" t="s">
        <v>37</v>
      </c>
      <c r="Q89" s="48" t="s">
        <v>196</v>
      </c>
      <c r="R89" s="48" t="s">
        <v>196</v>
      </c>
      <c r="S89" s="52" t="s">
        <v>37</v>
      </c>
      <c r="T89" s="98" t="s">
        <v>196</v>
      </c>
      <c r="U89" s="52" t="s">
        <v>37</v>
      </c>
      <c r="V89" s="53" t="s">
        <v>223</v>
      </c>
      <c r="W89" s="54" t="str">
        <f>IF('⚙ OFF Weekends'!$D$18="OFF","OFF","")</f>
        <v>OFF</v>
      </c>
      <c r="X89" s="53" t="s">
        <v>37</v>
      </c>
      <c r="Y89" s="52" t="s">
        <v>223</v>
      </c>
      <c r="Z89" s="53" t="s">
        <v>223</v>
      </c>
      <c r="AA89" s="52" t="s">
        <v>196</v>
      </c>
      <c r="AB89" s="53" t="s">
        <v>37</v>
      </c>
      <c r="AC89" s="54" t="str">
        <f>IF('⚙ OFF Weekends'!$D$24="OFF","OFF","")</f>
        <v/>
      </c>
      <c r="AD89" s="56" t="str">
        <f>IF('⚙ OFF Weekends'!$D$25="OFF","OFF","")</f>
        <v/>
      </c>
      <c r="AE89" s="54" t="str">
        <f>IF('⚙ OFF Weekends'!$D$26="OFF","OFF","")</f>
        <v/>
      </c>
      <c r="AF89" s="56" t="str">
        <f>IF('⚙ OFF Weekends'!$D$27="OFF","OFF","")</f>
        <v/>
      </c>
      <c r="AG89" s="54" t="str">
        <f>IF('⚙ OFF Weekends'!$D$28="OFF","OFF","")</f>
        <v/>
      </c>
      <c r="AH89" s="56" t="str">
        <f>IF('⚙ OFF Weekends'!$D$29="OFF","OFF","")</f>
        <v/>
      </c>
      <c r="AI89" s="54" t="str">
        <f>IF('⚙ OFF Weekends'!$D$30="OFF","OFF","")</f>
        <v/>
      </c>
      <c r="AJ89" s="56" t="str">
        <f>IF('⚙ OFF Weekends'!$D$31="OFF","OFF","")</f>
        <v/>
      </c>
      <c r="AK89" s="54" t="str">
        <f>IF('⚙ OFF Weekends'!$D$32="OFF","OFF","")</f>
        <v/>
      </c>
      <c r="AL89" s="56" t="str">
        <f>IF('⚙ OFF Weekends'!$D$33="OFF","OFF","")</f>
        <v/>
      </c>
      <c r="AM89" s="54" t="str">
        <f>IF('⚙ OFF Weekends'!$D$34="OFF","OFF","")</f>
        <v/>
      </c>
      <c r="AN89" s="56" t="str">
        <f>IF('⚙ OFF Weekends'!$D$35="OFF","OFF","")</f>
        <v/>
      </c>
      <c r="AO89" s="54" t="str">
        <f>IF('⚙ OFF Weekends'!$D$36="OFF","OFF","")</f>
        <v/>
      </c>
      <c r="AP89" s="56" t="str">
        <f>IF('⚙ OFF Weekends'!$D$37="OFF","OFF","")</f>
        <v/>
      </c>
      <c r="AQ89" s="54" t="str">
        <f>IF('⚙ OFF Weekends'!$D$38="OFF","OFF","")</f>
        <v/>
      </c>
      <c r="AR89" s="56" t="str">
        <f>IF('⚙ OFF Weekends'!$D$39="OFF","OFF","")</f>
        <v/>
      </c>
      <c r="AS89" s="54" t="str">
        <f>IF('⚙ OFF Weekends'!$D$40="OFF","OFF","")</f>
        <v/>
      </c>
      <c r="AT89" s="56" t="str">
        <f>IF('⚙ OFF Weekends'!$D$41="OFF","OFF","")</f>
        <v/>
      </c>
      <c r="AU89" s="54" t="str">
        <f>IF('⚙ OFF Weekends'!$D$42="OFF","OFF","")</f>
        <v/>
      </c>
      <c r="AV89" s="56" t="str">
        <f>IF('⚙ OFF Weekends'!$D$43="OFF","OFF","")</f>
        <v/>
      </c>
      <c r="AW89" s="54" t="str">
        <f>IF('⚙ OFF Weekends'!$D$44="OFF","OFF","")</f>
        <v/>
      </c>
      <c r="AX89" s="56" t="str">
        <f>IF('⚙ OFF Weekends'!$D$45="OFF","OFF","")</f>
        <v/>
      </c>
      <c r="AY89" s="54" t="str">
        <f>IF('⚙ OFF Weekends'!$D$46="OFF","OFF","")</f>
        <v/>
      </c>
      <c r="AZ89" s="56" t="str">
        <f>IF('⚙ OFF Weekends'!$D$47="OFF","OFF","")</f>
        <v/>
      </c>
      <c r="BA89" s="54" t="str">
        <f>IF('⚙ OFF Weekends'!$D$48="OFF","OFF","")</f>
        <v/>
      </c>
      <c r="BB89" s="56" t="str">
        <f>IF('⚙ OFF Weekends'!$D$49="OFF","OFF","")</f>
        <v/>
      </c>
      <c r="BC89" s="54" t="str">
        <f>IF('⚙ OFF Weekends'!$D$50="OFF","OFF","")</f>
        <v/>
      </c>
      <c r="BD89" s="56" t="str">
        <f>IF('⚙ OFF Weekends'!$D$51="OFF","OFF","")</f>
        <v/>
      </c>
      <c r="BE89" s="54" t="str">
        <f>IF('⚙ OFF Weekends'!$D$52="OFF","OFF","")</f>
        <v/>
      </c>
      <c r="BF89" s="56" t="str">
        <f>IF('⚙ OFF Weekends'!$D$53="OFF","OFF","")</f>
        <v/>
      </c>
      <c r="BG89" s="54" t="str">
        <f>IF('⚙ OFF Weekends'!$D$54="OFF","OFF","")</f>
        <v/>
      </c>
      <c r="BH89" s="56" t="str">
        <f>IF('⚙ OFF Weekends'!$D$55="OFF","OFF","")</f>
        <v/>
      </c>
      <c r="BI89" s="54" t="str">
        <f>IF('⚙ OFF Weekends'!$D$56="OFF","OFF","")</f>
        <v/>
      </c>
      <c r="BJ89" s="56" t="str">
        <f>IF('⚙ OFF Weekends'!$D$57="OFF","OFF","")</f>
        <v/>
      </c>
      <c r="BK89" s="54" t="str">
        <f>IF('⚙ OFF Weekends'!$D$58="OFF","OFF","")</f>
        <v/>
      </c>
      <c r="BL89" s="56" t="str">
        <f>IF('⚙ OFF Weekends'!$D$59="OFF","OFF","")</f>
        <v/>
      </c>
      <c r="BM89" s="54" t="str">
        <f>IF('⚙ OFF Weekends'!$D$60="OFF","OFF","")</f>
        <v/>
      </c>
      <c r="BN89" s="56" t="str">
        <f>IF('⚙ OFF Weekends'!$D$61="OFF","OFF","")</f>
        <v/>
      </c>
      <c r="BO89" s="54" t="str">
        <f>IF('⚙ OFF Weekends'!$D$62="OFF","OFF","")</f>
        <v/>
      </c>
      <c r="BP89" s="56" t="str">
        <f>IF('⚙ OFF Weekends'!$D$63="OFF","OFF","")</f>
        <v/>
      </c>
      <c r="BQ89" s="54" t="str">
        <f>IF('⚙ OFF Weekends'!$D$64="OFF","OFF","")</f>
        <v/>
      </c>
      <c r="BR89" s="56" t="str">
        <f>IF('⚙ OFF Weekends'!$D$65="OFF","OFF","")</f>
        <v/>
      </c>
      <c r="BS89" s="54" t="str">
        <f>IF('⚙ OFF Weekends'!$D$66="OFF","OFF","")</f>
        <v/>
      </c>
      <c r="BT89" s="56" t="str">
        <f>IF('⚙ OFF Weekends'!$D$67="OFF","OFF","")</f>
        <v/>
      </c>
      <c r="BU89" s="54" t="str">
        <f>IF('⚙ OFF Weekends'!$D$68="OFF","OFF","")</f>
        <v/>
      </c>
      <c r="BV89" s="56" t="str">
        <f>IF('⚙ OFF Weekends'!$D$69="OFF","OFF","")</f>
        <v/>
      </c>
      <c r="BW89" s="54" t="str">
        <f>IF('⚙ OFF Weekends'!$D$70="OFF","OFF","")</f>
        <v/>
      </c>
      <c r="BX89" s="56" t="str">
        <f>IF('⚙ OFF Weekends'!$D$71="OFF","OFF","")</f>
        <v/>
      </c>
      <c r="BY89" s="54" t="str">
        <f>IF('⚙ OFF Weekends'!$D$72="OFF","OFF","")</f>
        <v/>
      </c>
      <c r="BZ89" s="56" t="str">
        <f>IF('⚙ OFF Weekends'!$D$73="OFF","OFF","")</f>
        <v/>
      </c>
      <c r="CA89" s="54" t="str">
        <f>IF('⚙ OFF Weekends'!$D$74="OFF","OFF","")</f>
        <v/>
      </c>
      <c r="CB89" s="56" t="str">
        <f>IF('⚙ OFF Weekends'!$D$75="OFF","OFF","")</f>
        <v/>
      </c>
      <c r="CC89" s="54" t="str">
        <f>IF('⚙ OFF Weekends'!$D$76="OFF","OFF","")</f>
        <v/>
      </c>
      <c r="CD89" s="56" t="str">
        <f>IF('⚙ OFF Weekends'!$D$77="OFF","OFF","")</f>
        <v/>
      </c>
      <c r="CE89" s="95">
        <f t="shared" si="21"/>
        <v>10</v>
      </c>
      <c r="CF89" s="95">
        <f t="shared" si="22"/>
        <v>3</v>
      </c>
      <c r="CG89" s="95">
        <f t="shared" si="23"/>
        <v>0</v>
      </c>
      <c r="CH89" s="95" t="str">
        <f t="shared" si="24"/>
        <v>77%</v>
      </c>
    </row>
    <row r="90" ht="18.0" customHeight="1">
      <c r="A90" s="96">
        <v>20.0</v>
      </c>
      <c r="B90" s="22" t="s">
        <v>772</v>
      </c>
      <c r="C90" s="23"/>
      <c r="D90" s="24" t="str">
        <f t="shared" si="19"/>
        <v/>
      </c>
      <c r="E90" s="26" t="str">
        <f t="shared" si="20"/>
        <v/>
      </c>
      <c r="F90" s="20"/>
      <c r="G90" s="20"/>
      <c r="H90" s="20"/>
      <c r="I90" s="54" t="str">
        <f>IF('⚙ OFF Weekends'!$D$4="OFF","OFF","")</f>
        <v/>
      </c>
      <c r="J90" s="56" t="str">
        <f>IF('⚙ OFF Weekends'!$D$5="OFF","OFF","")</f>
        <v/>
      </c>
      <c r="K90" s="49" t="s">
        <v>197</v>
      </c>
      <c r="L90" s="56" t="str">
        <f>IF('⚙ OFF Weekends'!$D$7="OFF","OFF","")</f>
        <v/>
      </c>
      <c r="M90" s="54" t="str">
        <f>IF('⚙ OFF Weekends'!$D$8="OFF","OFF","")</f>
        <v/>
      </c>
      <c r="N90" s="56" t="str">
        <f>IF('⚙ OFF Weekends'!$D$9="OFF","OFF","")</f>
        <v/>
      </c>
      <c r="O90" s="50" t="s">
        <v>37</v>
      </c>
      <c r="P90" s="50" t="s">
        <v>37</v>
      </c>
      <c r="Q90" s="48" t="s">
        <v>196</v>
      </c>
      <c r="R90" s="79" t="s">
        <v>223</v>
      </c>
      <c r="S90" s="52" t="s">
        <v>37</v>
      </c>
      <c r="T90" s="98" t="s">
        <v>196</v>
      </c>
      <c r="U90" s="52" t="s">
        <v>198</v>
      </c>
      <c r="V90" s="53" t="s">
        <v>198</v>
      </c>
      <c r="W90" s="54" t="str">
        <f>IF('⚙ OFF Weekends'!$D$18="OFF","OFF","")</f>
        <v>OFF</v>
      </c>
      <c r="X90" s="53" t="s">
        <v>37</v>
      </c>
      <c r="Y90" s="52" t="s">
        <v>37</v>
      </c>
      <c r="Z90" s="53" t="s">
        <v>37</v>
      </c>
      <c r="AA90" s="52" t="s">
        <v>223</v>
      </c>
      <c r="AB90" s="53" t="s">
        <v>223</v>
      </c>
      <c r="AC90" s="54" t="str">
        <f>IF('⚙ OFF Weekends'!$D$24="OFF","OFF","")</f>
        <v/>
      </c>
      <c r="AD90" s="56" t="str">
        <f>IF('⚙ OFF Weekends'!$D$25="OFF","OFF","")</f>
        <v/>
      </c>
      <c r="AE90" s="54" t="str">
        <f>IF('⚙ OFF Weekends'!$D$26="OFF","OFF","")</f>
        <v/>
      </c>
      <c r="AF90" s="56" t="str">
        <f>IF('⚙ OFF Weekends'!$D$27="OFF","OFF","")</f>
        <v/>
      </c>
      <c r="AG90" s="54" t="str">
        <f>IF('⚙ OFF Weekends'!$D$28="OFF","OFF","")</f>
        <v/>
      </c>
      <c r="AH90" s="56" t="str">
        <f>IF('⚙ OFF Weekends'!$D$29="OFF","OFF","")</f>
        <v/>
      </c>
      <c r="AI90" s="54" t="str">
        <f>IF('⚙ OFF Weekends'!$D$30="OFF","OFF","")</f>
        <v/>
      </c>
      <c r="AJ90" s="56" t="str">
        <f>IF('⚙ OFF Weekends'!$D$31="OFF","OFF","")</f>
        <v/>
      </c>
      <c r="AK90" s="54" t="str">
        <f>IF('⚙ OFF Weekends'!$D$32="OFF","OFF","")</f>
        <v/>
      </c>
      <c r="AL90" s="56" t="str">
        <f>IF('⚙ OFF Weekends'!$D$33="OFF","OFF","")</f>
        <v/>
      </c>
      <c r="AM90" s="54" t="str">
        <f>IF('⚙ OFF Weekends'!$D$34="OFF","OFF","")</f>
        <v/>
      </c>
      <c r="AN90" s="56" t="str">
        <f>IF('⚙ OFF Weekends'!$D$35="OFF","OFF","")</f>
        <v/>
      </c>
      <c r="AO90" s="54" t="str">
        <f>IF('⚙ OFF Weekends'!$D$36="OFF","OFF","")</f>
        <v/>
      </c>
      <c r="AP90" s="56" t="str">
        <f>IF('⚙ OFF Weekends'!$D$37="OFF","OFF","")</f>
        <v/>
      </c>
      <c r="AQ90" s="54" t="str">
        <f>IF('⚙ OFF Weekends'!$D$38="OFF","OFF","")</f>
        <v/>
      </c>
      <c r="AR90" s="56" t="str">
        <f>IF('⚙ OFF Weekends'!$D$39="OFF","OFF","")</f>
        <v/>
      </c>
      <c r="AS90" s="54" t="str">
        <f>IF('⚙ OFF Weekends'!$D$40="OFF","OFF","")</f>
        <v/>
      </c>
      <c r="AT90" s="56" t="str">
        <f>IF('⚙ OFF Weekends'!$D$41="OFF","OFF","")</f>
        <v/>
      </c>
      <c r="AU90" s="54" t="str">
        <f>IF('⚙ OFF Weekends'!$D$42="OFF","OFF","")</f>
        <v/>
      </c>
      <c r="AV90" s="56" t="str">
        <f>IF('⚙ OFF Weekends'!$D$43="OFF","OFF","")</f>
        <v/>
      </c>
      <c r="AW90" s="54" t="str">
        <f>IF('⚙ OFF Weekends'!$D$44="OFF","OFF","")</f>
        <v/>
      </c>
      <c r="AX90" s="56" t="str">
        <f>IF('⚙ OFF Weekends'!$D$45="OFF","OFF","")</f>
        <v/>
      </c>
      <c r="AY90" s="54" t="str">
        <f>IF('⚙ OFF Weekends'!$D$46="OFF","OFF","")</f>
        <v/>
      </c>
      <c r="AZ90" s="56" t="str">
        <f>IF('⚙ OFF Weekends'!$D$47="OFF","OFF","")</f>
        <v/>
      </c>
      <c r="BA90" s="54" t="str">
        <f>IF('⚙ OFF Weekends'!$D$48="OFF","OFF","")</f>
        <v/>
      </c>
      <c r="BB90" s="56" t="str">
        <f>IF('⚙ OFF Weekends'!$D$49="OFF","OFF","")</f>
        <v/>
      </c>
      <c r="BC90" s="54" t="str">
        <f>IF('⚙ OFF Weekends'!$D$50="OFF","OFF","")</f>
        <v/>
      </c>
      <c r="BD90" s="56" t="str">
        <f>IF('⚙ OFF Weekends'!$D$51="OFF","OFF","")</f>
        <v/>
      </c>
      <c r="BE90" s="54" t="str">
        <f>IF('⚙ OFF Weekends'!$D$52="OFF","OFF","")</f>
        <v/>
      </c>
      <c r="BF90" s="56" t="str">
        <f>IF('⚙ OFF Weekends'!$D$53="OFF","OFF","")</f>
        <v/>
      </c>
      <c r="BG90" s="54" t="str">
        <f>IF('⚙ OFF Weekends'!$D$54="OFF","OFF","")</f>
        <v/>
      </c>
      <c r="BH90" s="56" t="str">
        <f>IF('⚙ OFF Weekends'!$D$55="OFF","OFF","")</f>
        <v/>
      </c>
      <c r="BI90" s="54" t="str">
        <f>IF('⚙ OFF Weekends'!$D$56="OFF","OFF","")</f>
        <v/>
      </c>
      <c r="BJ90" s="56" t="str">
        <f>IF('⚙ OFF Weekends'!$D$57="OFF","OFF","")</f>
        <v/>
      </c>
      <c r="BK90" s="54" t="str">
        <f>IF('⚙ OFF Weekends'!$D$58="OFF","OFF","")</f>
        <v/>
      </c>
      <c r="BL90" s="56" t="str">
        <f>IF('⚙ OFF Weekends'!$D$59="OFF","OFF","")</f>
        <v/>
      </c>
      <c r="BM90" s="54" t="str">
        <f>IF('⚙ OFF Weekends'!$D$60="OFF","OFF","")</f>
        <v/>
      </c>
      <c r="BN90" s="56" t="str">
        <f>IF('⚙ OFF Weekends'!$D$61="OFF","OFF","")</f>
        <v/>
      </c>
      <c r="BO90" s="54" t="str">
        <f>IF('⚙ OFF Weekends'!$D$62="OFF","OFF","")</f>
        <v/>
      </c>
      <c r="BP90" s="56" t="str">
        <f>IF('⚙ OFF Weekends'!$D$63="OFF","OFF","")</f>
        <v/>
      </c>
      <c r="BQ90" s="54" t="str">
        <f>IF('⚙ OFF Weekends'!$D$64="OFF","OFF","")</f>
        <v/>
      </c>
      <c r="BR90" s="56" t="str">
        <f>IF('⚙ OFF Weekends'!$D$65="OFF","OFF","")</f>
        <v/>
      </c>
      <c r="BS90" s="54" t="str">
        <f>IF('⚙ OFF Weekends'!$D$66="OFF","OFF","")</f>
        <v/>
      </c>
      <c r="BT90" s="56" t="str">
        <f>IF('⚙ OFF Weekends'!$D$67="OFF","OFF","")</f>
        <v/>
      </c>
      <c r="BU90" s="54" t="str">
        <f>IF('⚙ OFF Weekends'!$D$68="OFF","OFF","")</f>
        <v/>
      </c>
      <c r="BV90" s="56" t="str">
        <f>IF('⚙ OFF Weekends'!$D$69="OFF","OFF","")</f>
        <v/>
      </c>
      <c r="BW90" s="54" t="str">
        <f>IF('⚙ OFF Weekends'!$D$70="OFF","OFF","")</f>
        <v/>
      </c>
      <c r="BX90" s="56" t="str">
        <f>IF('⚙ OFF Weekends'!$D$71="OFF","OFF","")</f>
        <v/>
      </c>
      <c r="BY90" s="54" t="str">
        <f>IF('⚙ OFF Weekends'!$D$72="OFF","OFF","")</f>
        <v/>
      </c>
      <c r="BZ90" s="56" t="str">
        <f>IF('⚙ OFF Weekends'!$D$73="OFF","OFF","")</f>
        <v/>
      </c>
      <c r="CA90" s="54" t="str">
        <f>IF('⚙ OFF Weekends'!$D$74="OFF","OFF","")</f>
        <v/>
      </c>
      <c r="CB90" s="56" t="str">
        <f>IF('⚙ OFF Weekends'!$D$75="OFF","OFF","")</f>
        <v/>
      </c>
      <c r="CC90" s="54" t="str">
        <f>IF('⚙ OFF Weekends'!$D$76="OFF","OFF","")</f>
        <v/>
      </c>
      <c r="CD90" s="56" t="str">
        <f>IF('⚙ OFF Weekends'!$D$77="OFF","OFF","")</f>
        <v/>
      </c>
      <c r="CE90" s="96">
        <f t="shared" si="21"/>
        <v>8</v>
      </c>
      <c r="CF90" s="96">
        <f t="shared" si="22"/>
        <v>3</v>
      </c>
      <c r="CG90" s="96">
        <f t="shared" si="23"/>
        <v>2</v>
      </c>
      <c r="CH90" s="96" t="str">
        <f t="shared" si="24"/>
        <v>73%</v>
      </c>
    </row>
    <row r="91" ht="18.0" customHeight="1">
      <c r="A91" s="95">
        <v>21.0</v>
      </c>
      <c r="B91" s="12" t="s">
        <v>776</v>
      </c>
      <c r="C91" s="14"/>
      <c r="D91" s="17" t="str">
        <f t="shared" si="19"/>
        <v/>
      </c>
      <c r="E91" s="28" t="str">
        <f t="shared" si="20"/>
        <v/>
      </c>
      <c r="F91" s="10"/>
      <c r="G91" s="10"/>
      <c r="H91" s="10"/>
      <c r="I91" s="54" t="str">
        <f>IF('⚙ OFF Weekends'!$D$4="OFF","OFF","")</f>
        <v/>
      </c>
      <c r="J91" s="56" t="str">
        <f>IF('⚙ OFF Weekends'!$D$5="OFF","OFF","")</f>
        <v/>
      </c>
      <c r="K91" s="49" t="s">
        <v>197</v>
      </c>
      <c r="L91" s="56" t="str">
        <f>IF('⚙ OFF Weekends'!$D$7="OFF","OFF","")</f>
        <v/>
      </c>
      <c r="M91" s="54" t="str">
        <f>IF('⚙ OFF Weekends'!$D$8="OFF","OFF","")</f>
        <v/>
      </c>
      <c r="N91" s="56" t="str">
        <f>IF('⚙ OFF Weekends'!$D$9="OFF","OFF","")</f>
        <v/>
      </c>
      <c r="O91" s="54" t="str">
        <f>IF('⚙ OFF Weekends'!$D$10="OFF","OFF","")</f>
        <v/>
      </c>
      <c r="P91" s="50" t="s">
        <v>37</v>
      </c>
      <c r="Q91" s="50" t="s">
        <v>37</v>
      </c>
      <c r="R91" s="79" t="s">
        <v>223</v>
      </c>
      <c r="S91" s="52" t="s">
        <v>223</v>
      </c>
      <c r="T91" s="98" t="s">
        <v>223</v>
      </c>
      <c r="U91" s="52" t="s">
        <v>223</v>
      </c>
      <c r="V91" s="53" t="s">
        <v>223</v>
      </c>
      <c r="W91" s="54" t="str">
        <f>IF('⚙ OFF Weekends'!$D$18="OFF","OFF","")</f>
        <v>OFF</v>
      </c>
      <c r="X91" s="53" t="s">
        <v>223</v>
      </c>
      <c r="Y91" s="52" t="s">
        <v>223</v>
      </c>
      <c r="Z91" s="53" t="s">
        <v>223</v>
      </c>
      <c r="AA91" s="52" t="s">
        <v>223</v>
      </c>
      <c r="AB91" s="53" t="s">
        <v>223</v>
      </c>
      <c r="AC91" s="54" t="str">
        <f>IF('⚙ OFF Weekends'!$D$24="OFF","OFF","")</f>
        <v/>
      </c>
      <c r="AD91" s="56" t="str">
        <f>IF('⚙ OFF Weekends'!$D$25="OFF","OFF","")</f>
        <v/>
      </c>
      <c r="AE91" s="54" t="str">
        <f>IF('⚙ OFF Weekends'!$D$26="OFF","OFF","")</f>
        <v/>
      </c>
      <c r="AF91" s="56" t="str">
        <f>IF('⚙ OFF Weekends'!$D$27="OFF","OFF","")</f>
        <v/>
      </c>
      <c r="AG91" s="54" t="str">
        <f>IF('⚙ OFF Weekends'!$D$28="OFF","OFF","")</f>
        <v/>
      </c>
      <c r="AH91" s="56" t="str">
        <f>IF('⚙ OFF Weekends'!$D$29="OFF","OFF","")</f>
        <v/>
      </c>
      <c r="AI91" s="54" t="str">
        <f>IF('⚙ OFF Weekends'!$D$30="OFF","OFF","")</f>
        <v/>
      </c>
      <c r="AJ91" s="56" t="str">
        <f>IF('⚙ OFF Weekends'!$D$31="OFF","OFF","")</f>
        <v/>
      </c>
      <c r="AK91" s="54" t="str">
        <f>IF('⚙ OFF Weekends'!$D$32="OFF","OFF","")</f>
        <v/>
      </c>
      <c r="AL91" s="56" t="str">
        <f>IF('⚙ OFF Weekends'!$D$33="OFF","OFF","")</f>
        <v/>
      </c>
      <c r="AM91" s="54" t="str">
        <f>IF('⚙ OFF Weekends'!$D$34="OFF","OFF","")</f>
        <v/>
      </c>
      <c r="AN91" s="56" t="str">
        <f>IF('⚙ OFF Weekends'!$D$35="OFF","OFF","")</f>
        <v/>
      </c>
      <c r="AO91" s="54" t="str">
        <f>IF('⚙ OFF Weekends'!$D$36="OFF","OFF","")</f>
        <v/>
      </c>
      <c r="AP91" s="56" t="str">
        <f>IF('⚙ OFF Weekends'!$D$37="OFF","OFF","")</f>
        <v/>
      </c>
      <c r="AQ91" s="54" t="str">
        <f>IF('⚙ OFF Weekends'!$D$38="OFF","OFF","")</f>
        <v/>
      </c>
      <c r="AR91" s="56" t="str">
        <f>IF('⚙ OFF Weekends'!$D$39="OFF","OFF","")</f>
        <v/>
      </c>
      <c r="AS91" s="54" t="str">
        <f>IF('⚙ OFF Weekends'!$D$40="OFF","OFF","")</f>
        <v/>
      </c>
      <c r="AT91" s="56" t="str">
        <f>IF('⚙ OFF Weekends'!$D$41="OFF","OFF","")</f>
        <v/>
      </c>
      <c r="AU91" s="54" t="str">
        <f>IF('⚙ OFF Weekends'!$D$42="OFF","OFF","")</f>
        <v/>
      </c>
      <c r="AV91" s="56" t="str">
        <f>IF('⚙ OFF Weekends'!$D$43="OFF","OFF","")</f>
        <v/>
      </c>
      <c r="AW91" s="54" t="str">
        <f>IF('⚙ OFF Weekends'!$D$44="OFF","OFF","")</f>
        <v/>
      </c>
      <c r="AX91" s="56" t="str">
        <f>IF('⚙ OFF Weekends'!$D$45="OFF","OFF","")</f>
        <v/>
      </c>
      <c r="AY91" s="54" t="str">
        <f>IF('⚙ OFF Weekends'!$D$46="OFF","OFF","")</f>
        <v/>
      </c>
      <c r="AZ91" s="56" t="str">
        <f>IF('⚙ OFF Weekends'!$D$47="OFF","OFF","")</f>
        <v/>
      </c>
      <c r="BA91" s="54" t="str">
        <f>IF('⚙ OFF Weekends'!$D$48="OFF","OFF","")</f>
        <v/>
      </c>
      <c r="BB91" s="56" t="str">
        <f>IF('⚙ OFF Weekends'!$D$49="OFF","OFF","")</f>
        <v/>
      </c>
      <c r="BC91" s="54" t="str">
        <f>IF('⚙ OFF Weekends'!$D$50="OFF","OFF","")</f>
        <v/>
      </c>
      <c r="BD91" s="56" t="str">
        <f>IF('⚙ OFF Weekends'!$D$51="OFF","OFF","")</f>
        <v/>
      </c>
      <c r="BE91" s="54" t="str">
        <f>IF('⚙ OFF Weekends'!$D$52="OFF","OFF","")</f>
        <v/>
      </c>
      <c r="BF91" s="56" t="str">
        <f>IF('⚙ OFF Weekends'!$D$53="OFF","OFF","")</f>
        <v/>
      </c>
      <c r="BG91" s="54" t="str">
        <f>IF('⚙ OFF Weekends'!$D$54="OFF","OFF","")</f>
        <v/>
      </c>
      <c r="BH91" s="56" t="str">
        <f>IF('⚙ OFF Weekends'!$D$55="OFF","OFF","")</f>
        <v/>
      </c>
      <c r="BI91" s="54" t="str">
        <f>IF('⚙ OFF Weekends'!$D$56="OFF","OFF","")</f>
        <v/>
      </c>
      <c r="BJ91" s="56" t="str">
        <f>IF('⚙ OFF Weekends'!$D$57="OFF","OFF","")</f>
        <v/>
      </c>
      <c r="BK91" s="54" t="str">
        <f>IF('⚙ OFF Weekends'!$D$58="OFF","OFF","")</f>
        <v/>
      </c>
      <c r="BL91" s="56" t="str">
        <f>IF('⚙ OFF Weekends'!$D$59="OFF","OFF","")</f>
        <v/>
      </c>
      <c r="BM91" s="54" t="str">
        <f>IF('⚙ OFF Weekends'!$D$60="OFF","OFF","")</f>
        <v/>
      </c>
      <c r="BN91" s="56" t="str">
        <f>IF('⚙ OFF Weekends'!$D$61="OFF","OFF","")</f>
        <v/>
      </c>
      <c r="BO91" s="54" t="str">
        <f>IF('⚙ OFF Weekends'!$D$62="OFF","OFF","")</f>
        <v/>
      </c>
      <c r="BP91" s="56" t="str">
        <f>IF('⚙ OFF Weekends'!$D$63="OFF","OFF","")</f>
        <v/>
      </c>
      <c r="BQ91" s="54" t="str">
        <f>IF('⚙ OFF Weekends'!$D$64="OFF","OFF","")</f>
        <v/>
      </c>
      <c r="BR91" s="56" t="str">
        <f>IF('⚙ OFF Weekends'!$D$65="OFF","OFF","")</f>
        <v/>
      </c>
      <c r="BS91" s="54" t="str">
        <f>IF('⚙ OFF Weekends'!$D$66="OFF","OFF","")</f>
        <v/>
      </c>
      <c r="BT91" s="56" t="str">
        <f>IF('⚙ OFF Weekends'!$D$67="OFF","OFF","")</f>
        <v/>
      </c>
      <c r="BU91" s="54" t="str">
        <f>IF('⚙ OFF Weekends'!$D$68="OFF","OFF","")</f>
        <v/>
      </c>
      <c r="BV91" s="56" t="str">
        <f>IF('⚙ OFF Weekends'!$D$69="OFF","OFF","")</f>
        <v/>
      </c>
      <c r="BW91" s="54" t="str">
        <f>IF('⚙ OFF Weekends'!$D$70="OFF","OFF","")</f>
        <v/>
      </c>
      <c r="BX91" s="56" t="str">
        <f>IF('⚙ OFF Weekends'!$D$71="OFF","OFF","")</f>
        <v/>
      </c>
      <c r="BY91" s="54" t="str">
        <f>IF('⚙ OFF Weekends'!$D$72="OFF","OFF","")</f>
        <v/>
      </c>
      <c r="BZ91" s="56" t="str">
        <f>IF('⚙ OFF Weekends'!$D$73="OFF","OFF","")</f>
        <v/>
      </c>
      <c r="CA91" s="54" t="str">
        <f>IF('⚙ OFF Weekends'!$D$74="OFF","OFF","")</f>
        <v/>
      </c>
      <c r="CB91" s="56" t="str">
        <f>IF('⚙ OFF Weekends'!$D$75="OFF","OFF","")</f>
        <v/>
      </c>
      <c r="CC91" s="54" t="str">
        <f>IF('⚙ OFF Weekends'!$D$76="OFF","OFF","")</f>
        <v/>
      </c>
      <c r="CD91" s="56" t="str">
        <f>IF('⚙ OFF Weekends'!$D$77="OFF","OFF","")</f>
        <v/>
      </c>
      <c r="CE91" s="95">
        <f t="shared" si="21"/>
        <v>2</v>
      </c>
      <c r="CF91" s="95">
        <f t="shared" si="22"/>
        <v>10</v>
      </c>
      <c r="CG91" s="95">
        <f t="shared" si="23"/>
        <v>0</v>
      </c>
      <c r="CH91" s="95" t="str">
        <f t="shared" si="24"/>
        <v>17%</v>
      </c>
    </row>
    <row r="92" ht="18.0" customHeight="1">
      <c r="A92" s="107">
        <v>22.0</v>
      </c>
      <c r="B92" s="158" t="s">
        <v>780</v>
      </c>
      <c r="C92" s="108"/>
      <c r="D92" s="109" t="str">
        <f t="shared" si="19"/>
        <v/>
      </c>
      <c r="E92" s="110" t="str">
        <f t="shared" si="20"/>
        <v/>
      </c>
      <c r="F92" s="108"/>
      <c r="G92" s="108"/>
      <c r="H92" s="108"/>
      <c r="I92" s="111" t="str">
        <f>IF('⚙ OFF Weekends'!$D$4="OFF","OFF","")</f>
        <v/>
      </c>
      <c r="J92" s="111" t="str">
        <f>IF('⚙ OFF Weekends'!$D$5="OFF","OFF","")</f>
        <v/>
      </c>
      <c r="K92" s="111" t="str">
        <f>IF('⚙ OFF Weekends'!$D$6="OFF","OFF","")</f>
        <v/>
      </c>
      <c r="L92" s="111" t="str">
        <f>IF('⚙ OFF Weekends'!$D$7="OFF","OFF","")</f>
        <v/>
      </c>
      <c r="M92" s="111" t="str">
        <f>IF('⚙ OFF Weekends'!$D$8="OFF","OFF","")</f>
        <v/>
      </c>
      <c r="N92" s="111" t="str">
        <f>IF('⚙ OFF Weekends'!$D$9="OFF","OFF","")</f>
        <v/>
      </c>
      <c r="O92" s="111" t="str">
        <f>IF('⚙ OFF Weekends'!$D$10="OFF","OFF","")</f>
        <v/>
      </c>
      <c r="P92" s="111" t="str">
        <f>IF('⚙ OFF Weekends'!$D$11="OFF","OFF","")</f>
        <v/>
      </c>
      <c r="Q92" s="111" t="str">
        <f>IF('⚙ OFF Weekends'!$D$12="OFF","OFF","")</f>
        <v/>
      </c>
      <c r="R92" s="111" t="str">
        <f>IF('⚙ OFF Weekends'!$D$13="OFF","OFF","")</f>
        <v/>
      </c>
      <c r="S92" s="111" t="str">
        <f>IF('⚙ OFF Weekends'!$D$14="OFF","OFF","")</f>
        <v/>
      </c>
      <c r="T92" s="121" t="s">
        <v>196</v>
      </c>
      <c r="U92" s="121" t="s">
        <v>223</v>
      </c>
      <c r="V92" s="121" t="s">
        <v>223</v>
      </c>
      <c r="W92" s="111" t="str">
        <f>IF('⚙ OFF Weekends'!$D$18="OFF","OFF","")</f>
        <v>OFF</v>
      </c>
      <c r="X92" s="121" t="s">
        <v>223</v>
      </c>
      <c r="Y92" s="121" t="s">
        <v>37</v>
      </c>
      <c r="Z92" s="121" t="s">
        <v>37</v>
      </c>
      <c r="AA92" s="121" t="s">
        <v>223</v>
      </c>
      <c r="AB92" s="121" t="s">
        <v>37</v>
      </c>
      <c r="AC92" s="111" t="str">
        <f>IF('⚙ OFF Weekends'!$D$24="OFF","OFF","")</f>
        <v/>
      </c>
      <c r="AD92" s="111" t="str">
        <f>IF('⚙ OFF Weekends'!$D$25="OFF","OFF","")</f>
        <v/>
      </c>
      <c r="AE92" s="111" t="str">
        <f>IF('⚙ OFF Weekends'!$D$26="OFF","OFF","")</f>
        <v/>
      </c>
      <c r="AF92" s="111" t="str">
        <f>IF('⚙ OFF Weekends'!$D$27="OFF","OFF","")</f>
        <v/>
      </c>
      <c r="AG92" s="111" t="str">
        <f>IF('⚙ OFF Weekends'!$D$28="OFF","OFF","")</f>
        <v/>
      </c>
      <c r="AH92" s="111" t="str">
        <f>IF('⚙ OFF Weekends'!$D$29="OFF","OFF","")</f>
        <v/>
      </c>
      <c r="AI92" s="111" t="str">
        <f>IF('⚙ OFF Weekends'!$D$30="OFF","OFF","")</f>
        <v/>
      </c>
      <c r="AJ92" s="111" t="str">
        <f>IF('⚙ OFF Weekends'!$D$31="OFF","OFF","")</f>
        <v/>
      </c>
      <c r="AK92" s="111" t="str">
        <f>IF('⚙ OFF Weekends'!$D$32="OFF","OFF","")</f>
        <v/>
      </c>
      <c r="AL92" s="111" t="str">
        <f>IF('⚙ OFF Weekends'!$D$33="OFF","OFF","")</f>
        <v/>
      </c>
      <c r="AM92" s="111" t="str">
        <f>IF('⚙ OFF Weekends'!$D$34="OFF","OFF","")</f>
        <v/>
      </c>
      <c r="AN92" s="111" t="str">
        <f>IF('⚙ OFF Weekends'!$D$35="OFF","OFF","")</f>
        <v/>
      </c>
      <c r="AO92" s="111" t="str">
        <f>IF('⚙ OFF Weekends'!$D$36="OFF","OFF","")</f>
        <v/>
      </c>
      <c r="AP92" s="111" t="str">
        <f>IF('⚙ OFF Weekends'!$D$37="OFF","OFF","")</f>
        <v/>
      </c>
      <c r="AQ92" s="111" t="str">
        <f>IF('⚙ OFF Weekends'!$D$38="OFF","OFF","")</f>
        <v/>
      </c>
      <c r="AR92" s="111" t="str">
        <f>IF('⚙ OFF Weekends'!$D$39="OFF","OFF","")</f>
        <v/>
      </c>
      <c r="AS92" s="111" t="str">
        <f>IF('⚙ OFF Weekends'!$D$40="OFF","OFF","")</f>
        <v/>
      </c>
      <c r="AT92" s="111" t="str">
        <f>IF('⚙ OFF Weekends'!$D$41="OFF","OFF","")</f>
        <v/>
      </c>
      <c r="AU92" s="111" t="str">
        <f>IF('⚙ OFF Weekends'!$D$42="OFF","OFF","")</f>
        <v/>
      </c>
      <c r="AV92" s="111" t="str">
        <f>IF('⚙ OFF Weekends'!$D$43="OFF","OFF","")</f>
        <v/>
      </c>
      <c r="AW92" s="111" t="str">
        <f>IF('⚙ OFF Weekends'!$D$44="OFF","OFF","")</f>
        <v/>
      </c>
      <c r="AX92" s="111" t="str">
        <f>IF('⚙ OFF Weekends'!$D$45="OFF","OFF","")</f>
        <v/>
      </c>
      <c r="AY92" s="111" t="str">
        <f>IF('⚙ OFF Weekends'!$D$46="OFF","OFF","")</f>
        <v/>
      </c>
      <c r="AZ92" s="111" t="str">
        <f>IF('⚙ OFF Weekends'!$D$47="OFF","OFF","")</f>
        <v/>
      </c>
      <c r="BA92" s="111" t="str">
        <f>IF('⚙ OFF Weekends'!$D$48="OFF","OFF","")</f>
        <v/>
      </c>
      <c r="BB92" s="111" t="str">
        <f>IF('⚙ OFF Weekends'!$D$49="OFF","OFF","")</f>
        <v/>
      </c>
      <c r="BC92" s="111" t="str">
        <f>IF('⚙ OFF Weekends'!$D$50="OFF","OFF","")</f>
        <v/>
      </c>
      <c r="BD92" s="111" t="str">
        <f>IF('⚙ OFF Weekends'!$D$51="OFF","OFF","")</f>
        <v/>
      </c>
      <c r="BE92" s="111" t="str">
        <f>IF('⚙ OFF Weekends'!$D$52="OFF","OFF","")</f>
        <v/>
      </c>
      <c r="BF92" s="111" t="str">
        <f>IF('⚙ OFF Weekends'!$D$53="OFF","OFF","")</f>
        <v/>
      </c>
      <c r="BG92" s="111" t="str">
        <f>IF('⚙ OFF Weekends'!$D$54="OFF","OFF","")</f>
        <v/>
      </c>
      <c r="BH92" s="111" t="str">
        <f>IF('⚙ OFF Weekends'!$D$55="OFF","OFF","")</f>
        <v/>
      </c>
      <c r="BI92" s="111" t="str">
        <f>IF('⚙ OFF Weekends'!$D$56="OFF","OFF","")</f>
        <v/>
      </c>
      <c r="BJ92" s="111" t="str">
        <f>IF('⚙ OFF Weekends'!$D$57="OFF","OFF","")</f>
        <v/>
      </c>
      <c r="BK92" s="111" t="str">
        <f>IF('⚙ OFF Weekends'!$D$58="OFF","OFF","")</f>
        <v/>
      </c>
      <c r="BL92" s="111" t="str">
        <f>IF('⚙ OFF Weekends'!$D$59="OFF","OFF","")</f>
        <v/>
      </c>
      <c r="BM92" s="111" t="str">
        <f>IF('⚙ OFF Weekends'!$D$60="OFF","OFF","")</f>
        <v/>
      </c>
      <c r="BN92" s="111" t="str">
        <f>IF('⚙ OFF Weekends'!$D$61="OFF","OFF","")</f>
        <v/>
      </c>
      <c r="BO92" s="111" t="str">
        <f>IF('⚙ OFF Weekends'!$D$62="OFF","OFF","")</f>
        <v/>
      </c>
      <c r="BP92" s="111" t="str">
        <f>IF('⚙ OFF Weekends'!$D$63="OFF","OFF","")</f>
        <v/>
      </c>
      <c r="BQ92" s="111" t="str">
        <f>IF('⚙ OFF Weekends'!$D$64="OFF","OFF","")</f>
        <v/>
      </c>
      <c r="BR92" s="111" t="str">
        <f>IF('⚙ OFF Weekends'!$D$65="OFF","OFF","")</f>
        <v/>
      </c>
      <c r="BS92" s="111" t="str">
        <f>IF('⚙ OFF Weekends'!$D$66="OFF","OFF","")</f>
        <v/>
      </c>
      <c r="BT92" s="111" t="str">
        <f>IF('⚙ OFF Weekends'!$D$67="OFF","OFF","")</f>
        <v/>
      </c>
      <c r="BU92" s="111" t="str">
        <f>IF('⚙ OFF Weekends'!$D$68="OFF","OFF","")</f>
        <v/>
      </c>
      <c r="BV92" s="111" t="str">
        <f>IF('⚙ OFF Weekends'!$D$69="OFF","OFF","")</f>
        <v/>
      </c>
      <c r="BW92" s="111" t="str">
        <f>IF('⚙ OFF Weekends'!$D$70="OFF","OFF","")</f>
        <v/>
      </c>
      <c r="BX92" s="111" t="str">
        <f>IF('⚙ OFF Weekends'!$D$71="OFF","OFF","")</f>
        <v/>
      </c>
      <c r="BY92" s="111" t="str">
        <f>IF('⚙ OFF Weekends'!$D$72="OFF","OFF","")</f>
        <v/>
      </c>
      <c r="BZ92" s="111" t="str">
        <f>IF('⚙ OFF Weekends'!$D$73="OFF","OFF","")</f>
        <v/>
      </c>
      <c r="CA92" s="111" t="str">
        <f>IF('⚙ OFF Weekends'!$D$74="OFF","OFF","")</f>
        <v/>
      </c>
      <c r="CB92" s="111" t="str">
        <f>IF('⚙ OFF Weekends'!$D$75="OFF","OFF","")</f>
        <v/>
      </c>
      <c r="CC92" s="111" t="str">
        <f>IF('⚙ OFF Weekends'!$D$76="OFF","OFF","")</f>
        <v/>
      </c>
      <c r="CD92" s="111" t="str">
        <f>IF('⚙ OFF Weekends'!$D$77="OFF","OFF","")</f>
        <v/>
      </c>
      <c r="CE92" s="112">
        <f t="shared" si="21"/>
        <v>4</v>
      </c>
      <c r="CF92" s="112">
        <f t="shared" si="22"/>
        <v>4</v>
      </c>
      <c r="CG92" s="112">
        <f t="shared" si="23"/>
        <v>0</v>
      </c>
      <c r="CH92" s="112" t="str">
        <f t="shared" si="24"/>
        <v>50%</v>
      </c>
    </row>
    <row r="93" ht="18.0" customHeight="1">
      <c r="A93" s="107">
        <v>23.0</v>
      </c>
      <c r="B93" s="144" t="s">
        <v>783</v>
      </c>
      <c r="C93" s="108"/>
      <c r="D93" s="109" t="str">
        <f t="shared" si="19"/>
        <v/>
      </c>
      <c r="E93" s="110" t="str">
        <f t="shared" si="20"/>
        <v/>
      </c>
      <c r="F93" s="108"/>
      <c r="G93" s="108"/>
      <c r="H93" s="108"/>
      <c r="I93" s="111" t="str">
        <f>IF('⚙ OFF Weekends'!$D$4="OFF","OFF","")</f>
        <v/>
      </c>
      <c r="J93" s="111" t="str">
        <f>IF('⚙ OFF Weekends'!$D$5="OFF","OFF","")</f>
        <v/>
      </c>
      <c r="K93" s="111" t="str">
        <f>IF('⚙ OFF Weekends'!$D$6="OFF","OFF","")</f>
        <v/>
      </c>
      <c r="L93" s="111" t="str">
        <f>IF('⚙ OFF Weekends'!$D$7="OFF","OFF","")</f>
        <v/>
      </c>
      <c r="M93" s="111" t="str">
        <f>IF('⚙ OFF Weekends'!$D$8="OFF","OFF","")</f>
        <v/>
      </c>
      <c r="N93" s="111" t="str">
        <f>IF('⚙ OFF Weekends'!$D$9="OFF","OFF","")</f>
        <v/>
      </c>
      <c r="O93" s="111" t="str">
        <f>IF('⚙ OFF Weekends'!$D$10="OFF","OFF","")</f>
        <v/>
      </c>
      <c r="P93" s="111" t="str">
        <f>IF('⚙ OFF Weekends'!$D$11="OFF","OFF","")</f>
        <v/>
      </c>
      <c r="Q93" s="111" t="str">
        <f>IF('⚙ OFF Weekends'!$D$12="OFF","OFF","")</f>
        <v/>
      </c>
      <c r="R93" s="111" t="str">
        <f>IF('⚙ OFF Weekends'!$D$13="OFF","OFF","")</f>
        <v/>
      </c>
      <c r="S93" s="111" t="str">
        <f>IF('⚙ OFF Weekends'!$D$14="OFF","OFF","")</f>
        <v/>
      </c>
      <c r="T93" s="111" t="str">
        <f>IF('⚙ OFF Weekends'!$D$15="OFF","OFF","")</f>
        <v/>
      </c>
      <c r="U93" s="111" t="str">
        <f>IF('⚙ OFF Weekends'!$D$16="OFF","OFF","")</f>
        <v/>
      </c>
      <c r="V93" s="111" t="str">
        <f>IF('⚙ OFF Weekends'!$D$17="OFF","OFF","")</f>
        <v/>
      </c>
      <c r="W93" s="111" t="str">
        <f>IF('⚙ OFF Weekends'!$D$18="OFF","OFF","")</f>
        <v>OFF</v>
      </c>
      <c r="X93" s="111" t="str">
        <f>IF('⚙ OFF Weekends'!$D$19="OFF","OFF","")</f>
        <v/>
      </c>
      <c r="Y93" s="121" t="s">
        <v>196</v>
      </c>
      <c r="Z93" s="121" t="s">
        <v>37</v>
      </c>
      <c r="AA93" s="121" t="s">
        <v>223</v>
      </c>
      <c r="AB93" s="121" t="s">
        <v>223</v>
      </c>
      <c r="AC93" s="111" t="str">
        <f>IF('⚙ OFF Weekends'!$D$24="OFF","OFF","")</f>
        <v/>
      </c>
      <c r="AD93" s="111" t="str">
        <f>IF('⚙ OFF Weekends'!$D$25="OFF","OFF","")</f>
        <v/>
      </c>
      <c r="AE93" s="111" t="str">
        <f>IF('⚙ OFF Weekends'!$D$26="OFF","OFF","")</f>
        <v/>
      </c>
      <c r="AF93" s="111" t="str">
        <f>IF('⚙ OFF Weekends'!$D$27="OFF","OFF","")</f>
        <v/>
      </c>
      <c r="AG93" s="111" t="str">
        <f>IF('⚙ OFF Weekends'!$D$28="OFF","OFF","")</f>
        <v/>
      </c>
      <c r="AH93" s="111" t="str">
        <f>IF('⚙ OFF Weekends'!$D$29="OFF","OFF","")</f>
        <v/>
      </c>
      <c r="AI93" s="111" t="str">
        <f>IF('⚙ OFF Weekends'!$D$30="OFF","OFF","")</f>
        <v/>
      </c>
      <c r="AJ93" s="111" t="str">
        <f>IF('⚙ OFF Weekends'!$D$31="OFF","OFF","")</f>
        <v/>
      </c>
      <c r="AK93" s="111" t="str">
        <f>IF('⚙ OFF Weekends'!$D$32="OFF","OFF","")</f>
        <v/>
      </c>
      <c r="AL93" s="111" t="str">
        <f>IF('⚙ OFF Weekends'!$D$33="OFF","OFF","")</f>
        <v/>
      </c>
      <c r="AM93" s="111" t="str">
        <f>IF('⚙ OFF Weekends'!$D$34="OFF","OFF","")</f>
        <v/>
      </c>
      <c r="AN93" s="111" t="str">
        <f>IF('⚙ OFF Weekends'!$D$35="OFF","OFF","")</f>
        <v/>
      </c>
      <c r="AO93" s="111" t="str">
        <f>IF('⚙ OFF Weekends'!$D$36="OFF","OFF","")</f>
        <v/>
      </c>
      <c r="AP93" s="111" t="str">
        <f>IF('⚙ OFF Weekends'!$D$37="OFF","OFF","")</f>
        <v/>
      </c>
      <c r="AQ93" s="111" t="str">
        <f>IF('⚙ OFF Weekends'!$D$38="OFF","OFF","")</f>
        <v/>
      </c>
      <c r="AR93" s="111" t="str">
        <f>IF('⚙ OFF Weekends'!$D$39="OFF","OFF","")</f>
        <v/>
      </c>
      <c r="AS93" s="111" t="str">
        <f>IF('⚙ OFF Weekends'!$D$40="OFF","OFF","")</f>
        <v/>
      </c>
      <c r="AT93" s="111" t="str">
        <f>IF('⚙ OFF Weekends'!$D$41="OFF","OFF","")</f>
        <v/>
      </c>
      <c r="AU93" s="111" t="str">
        <f>IF('⚙ OFF Weekends'!$D$42="OFF","OFF","")</f>
        <v/>
      </c>
      <c r="AV93" s="111" t="str">
        <f>IF('⚙ OFF Weekends'!$D$43="OFF","OFF","")</f>
        <v/>
      </c>
      <c r="AW93" s="111" t="str">
        <f>IF('⚙ OFF Weekends'!$D$44="OFF","OFF","")</f>
        <v/>
      </c>
      <c r="AX93" s="111" t="str">
        <f>IF('⚙ OFF Weekends'!$D$45="OFF","OFF","")</f>
        <v/>
      </c>
      <c r="AY93" s="111" t="str">
        <f>IF('⚙ OFF Weekends'!$D$46="OFF","OFF","")</f>
        <v/>
      </c>
      <c r="AZ93" s="111" t="str">
        <f>IF('⚙ OFF Weekends'!$D$47="OFF","OFF","")</f>
        <v/>
      </c>
      <c r="BA93" s="111" t="str">
        <f>IF('⚙ OFF Weekends'!$D$48="OFF","OFF","")</f>
        <v/>
      </c>
      <c r="BB93" s="111" t="str">
        <f>IF('⚙ OFF Weekends'!$D$49="OFF","OFF","")</f>
        <v/>
      </c>
      <c r="BC93" s="111" t="str">
        <f>IF('⚙ OFF Weekends'!$D$50="OFF","OFF","")</f>
        <v/>
      </c>
      <c r="BD93" s="111" t="str">
        <f>IF('⚙ OFF Weekends'!$D$51="OFF","OFF","")</f>
        <v/>
      </c>
      <c r="BE93" s="111" t="str">
        <f>IF('⚙ OFF Weekends'!$D$52="OFF","OFF","")</f>
        <v/>
      </c>
      <c r="BF93" s="111" t="str">
        <f>IF('⚙ OFF Weekends'!$D$53="OFF","OFF","")</f>
        <v/>
      </c>
      <c r="BG93" s="111" t="str">
        <f>IF('⚙ OFF Weekends'!$D$54="OFF","OFF","")</f>
        <v/>
      </c>
      <c r="BH93" s="111" t="str">
        <f>IF('⚙ OFF Weekends'!$D$55="OFF","OFF","")</f>
        <v/>
      </c>
      <c r="BI93" s="111" t="str">
        <f>IF('⚙ OFF Weekends'!$D$56="OFF","OFF","")</f>
        <v/>
      </c>
      <c r="BJ93" s="111" t="str">
        <f>IF('⚙ OFF Weekends'!$D$57="OFF","OFF","")</f>
        <v/>
      </c>
      <c r="BK93" s="111" t="str">
        <f>IF('⚙ OFF Weekends'!$D$58="OFF","OFF","")</f>
        <v/>
      </c>
      <c r="BL93" s="111" t="str">
        <f>IF('⚙ OFF Weekends'!$D$59="OFF","OFF","")</f>
        <v/>
      </c>
      <c r="BM93" s="111" t="str">
        <f>IF('⚙ OFF Weekends'!$D$60="OFF","OFF","")</f>
        <v/>
      </c>
      <c r="BN93" s="111" t="str">
        <f>IF('⚙ OFF Weekends'!$D$61="OFF","OFF","")</f>
        <v/>
      </c>
      <c r="BO93" s="111" t="str">
        <f>IF('⚙ OFF Weekends'!$D$62="OFF","OFF","")</f>
        <v/>
      </c>
      <c r="BP93" s="111" t="str">
        <f>IF('⚙ OFF Weekends'!$D$63="OFF","OFF","")</f>
        <v/>
      </c>
      <c r="BQ93" s="111" t="str">
        <f>IF('⚙ OFF Weekends'!$D$64="OFF","OFF","")</f>
        <v/>
      </c>
      <c r="BR93" s="111" t="str">
        <f>IF('⚙ OFF Weekends'!$D$65="OFF","OFF","")</f>
        <v/>
      </c>
      <c r="BS93" s="111" t="str">
        <f>IF('⚙ OFF Weekends'!$D$66="OFF","OFF","")</f>
        <v/>
      </c>
      <c r="BT93" s="111" t="str">
        <f>IF('⚙ OFF Weekends'!$D$67="OFF","OFF","")</f>
        <v/>
      </c>
      <c r="BU93" s="111" t="str">
        <f>IF('⚙ OFF Weekends'!$D$68="OFF","OFF","")</f>
        <v/>
      </c>
      <c r="BV93" s="111" t="str">
        <f>IF('⚙ OFF Weekends'!$D$69="OFF","OFF","")</f>
        <v/>
      </c>
      <c r="BW93" s="111" t="str">
        <f>IF('⚙ OFF Weekends'!$D$70="OFF","OFF","")</f>
        <v/>
      </c>
      <c r="BX93" s="111" t="str">
        <f>IF('⚙ OFF Weekends'!$D$71="OFF","OFF","")</f>
        <v/>
      </c>
      <c r="BY93" s="111" t="str">
        <f>IF('⚙ OFF Weekends'!$D$72="OFF","OFF","")</f>
        <v/>
      </c>
      <c r="BZ93" s="111" t="str">
        <f>IF('⚙ OFF Weekends'!$D$73="OFF","OFF","")</f>
        <v/>
      </c>
      <c r="CA93" s="111" t="str">
        <f>IF('⚙ OFF Weekends'!$D$74="OFF","OFF","")</f>
        <v/>
      </c>
      <c r="CB93" s="111" t="str">
        <f>IF('⚙ OFF Weekends'!$D$75="OFF","OFF","")</f>
        <v/>
      </c>
      <c r="CC93" s="111" t="str">
        <f>IF('⚙ OFF Weekends'!$D$76="OFF","OFF","")</f>
        <v/>
      </c>
      <c r="CD93" s="111" t="str">
        <f>IF('⚙ OFF Weekends'!$D$77="OFF","OFF","")</f>
        <v/>
      </c>
      <c r="CE93" s="112">
        <f t="shared" si="21"/>
        <v>2</v>
      </c>
      <c r="CF93" s="112">
        <f t="shared" si="22"/>
        <v>2</v>
      </c>
      <c r="CG93" s="112">
        <f t="shared" si="23"/>
        <v>0</v>
      </c>
      <c r="CH93" s="112" t="str">
        <f t="shared" si="24"/>
        <v>50%</v>
      </c>
    </row>
    <row r="94" ht="18.0" customHeight="1">
      <c r="A94" s="107">
        <v>24.0</v>
      </c>
      <c r="B94" s="108"/>
      <c r="C94" s="108"/>
      <c r="D94" s="109" t="str">
        <f t="shared" si="19"/>
        <v/>
      </c>
      <c r="E94" s="110" t="str">
        <f t="shared" si="20"/>
        <v/>
      </c>
      <c r="F94" s="108"/>
      <c r="G94" s="108"/>
      <c r="H94" s="108"/>
      <c r="I94" s="111" t="str">
        <f>IF('⚙ OFF Weekends'!$D$4="OFF","OFF","")</f>
        <v/>
      </c>
      <c r="J94" s="111" t="str">
        <f>IF('⚙ OFF Weekends'!$D$5="OFF","OFF","")</f>
        <v/>
      </c>
      <c r="K94" s="111" t="str">
        <f>IF('⚙ OFF Weekends'!$D$6="OFF","OFF","")</f>
        <v/>
      </c>
      <c r="L94" s="111" t="str">
        <f>IF('⚙ OFF Weekends'!$D$7="OFF","OFF","")</f>
        <v/>
      </c>
      <c r="M94" s="111" t="str">
        <f>IF('⚙ OFF Weekends'!$D$8="OFF","OFF","")</f>
        <v/>
      </c>
      <c r="N94" s="111" t="str">
        <f>IF('⚙ OFF Weekends'!$D$9="OFF","OFF","")</f>
        <v/>
      </c>
      <c r="O94" s="111" t="str">
        <f>IF('⚙ OFF Weekends'!$D$10="OFF","OFF","")</f>
        <v/>
      </c>
      <c r="P94" s="111" t="str">
        <f>IF('⚙ OFF Weekends'!$D$11="OFF","OFF","")</f>
        <v/>
      </c>
      <c r="Q94" s="111" t="str">
        <f>IF('⚙ OFF Weekends'!$D$12="OFF","OFF","")</f>
        <v/>
      </c>
      <c r="R94" s="111" t="str">
        <f>IF('⚙ OFF Weekends'!$D$13="OFF","OFF","")</f>
        <v/>
      </c>
      <c r="S94" s="111" t="str">
        <f>IF('⚙ OFF Weekends'!$D$14="OFF","OFF","")</f>
        <v/>
      </c>
      <c r="T94" s="111" t="str">
        <f>IF('⚙ OFF Weekends'!$D$15="OFF","OFF","")</f>
        <v/>
      </c>
      <c r="U94" s="111" t="str">
        <f>IF('⚙ OFF Weekends'!$D$16="OFF","OFF","")</f>
        <v/>
      </c>
      <c r="V94" s="111" t="str">
        <f>IF('⚙ OFF Weekends'!$D$17="OFF","OFF","")</f>
        <v/>
      </c>
      <c r="W94" s="111" t="str">
        <f>IF('⚙ OFF Weekends'!$D$18="OFF","OFF","")</f>
        <v>OFF</v>
      </c>
      <c r="X94" s="111" t="str">
        <f>IF('⚙ OFF Weekends'!$D$19="OFF","OFF","")</f>
        <v/>
      </c>
      <c r="Y94" s="111" t="str">
        <f>IF('⚙ OFF Weekends'!$D$20="OFF","OFF","")</f>
        <v/>
      </c>
      <c r="Z94" s="111" t="str">
        <f>IF('⚙ OFF Weekends'!$D$21="OFF","OFF","")</f>
        <v/>
      </c>
      <c r="AA94" s="111" t="str">
        <f>IF('⚙ OFF Weekends'!$D$22="OFF","OFF","")</f>
        <v/>
      </c>
      <c r="AB94" s="111" t="str">
        <f>IF('⚙ OFF Weekends'!$D$23="OFF","OFF","")</f>
        <v/>
      </c>
      <c r="AC94" s="111" t="str">
        <f>IF('⚙ OFF Weekends'!$D$24="OFF","OFF","")</f>
        <v/>
      </c>
      <c r="AD94" s="111" t="str">
        <f>IF('⚙ OFF Weekends'!$D$25="OFF","OFF","")</f>
        <v/>
      </c>
      <c r="AE94" s="111" t="str">
        <f>IF('⚙ OFF Weekends'!$D$26="OFF","OFF","")</f>
        <v/>
      </c>
      <c r="AF94" s="111" t="str">
        <f>IF('⚙ OFF Weekends'!$D$27="OFF","OFF","")</f>
        <v/>
      </c>
      <c r="AG94" s="111" t="str">
        <f>IF('⚙ OFF Weekends'!$D$28="OFF","OFF","")</f>
        <v/>
      </c>
      <c r="AH94" s="111" t="str">
        <f>IF('⚙ OFF Weekends'!$D$29="OFF","OFF","")</f>
        <v/>
      </c>
      <c r="AI94" s="111" t="str">
        <f>IF('⚙ OFF Weekends'!$D$30="OFF","OFF","")</f>
        <v/>
      </c>
      <c r="AJ94" s="111" t="str">
        <f>IF('⚙ OFF Weekends'!$D$31="OFF","OFF","")</f>
        <v/>
      </c>
      <c r="AK94" s="111" t="str">
        <f>IF('⚙ OFF Weekends'!$D$32="OFF","OFF","")</f>
        <v/>
      </c>
      <c r="AL94" s="111" t="str">
        <f>IF('⚙ OFF Weekends'!$D$33="OFF","OFF","")</f>
        <v/>
      </c>
      <c r="AM94" s="111" t="str">
        <f>IF('⚙ OFF Weekends'!$D$34="OFF","OFF","")</f>
        <v/>
      </c>
      <c r="AN94" s="111" t="str">
        <f>IF('⚙ OFF Weekends'!$D$35="OFF","OFF","")</f>
        <v/>
      </c>
      <c r="AO94" s="111" t="str">
        <f>IF('⚙ OFF Weekends'!$D$36="OFF","OFF","")</f>
        <v/>
      </c>
      <c r="AP94" s="111" t="str">
        <f>IF('⚙ OFF Weekends'!$D$37="OFF","OFF","")</f>
        <v/>
      </c>
      <c r="AQ94" s="111" t="str">
        <f>IF('⚙ OFF Weekends'!$D$38="OFF","OFF","")</f>
        <v/>
      </c>
      <c r="AR94" s="111" t="str">
        <f>IF('⚙ OFF Weekends'!$D$39="OFF","OFF","")</f>
        <v/>
      </c>
      <c r="AS94" s="111" t="str">
        <f>IF('⚙ OFF Weekends'!$D$40="OFF","OFF","")</f>
        <v/>
      </c>
      <c r="AT94" s="111" t="str">
        <f>IF('⚙ OFF Weekends'!$D$41="OFF","OFF","")</f>
        <v/>
      </c>
      <c r="AU94" s="111" t="str">
        <f>IF('⚙ OFF Weekends'!$D$42="OFF","OFF","")</f>
        <v/>
      </c>
      <c r="AV94" s="111" t="str">
        <f>IF('⚙ OFF Weekends'!$D$43="OFF","OFF","")</f>
        <v/>
      </c>
      <c r="AW94" s="111" t="str">
        <f>IF('⚙ OFF Weekends'!$D$44="OFF","OFF","")</f>
        <v/>
      </c>
      <c r="AX94" s="111" t="str">
        <f>IF('⚙ OFF Weekends'!$D$45="OFF","OFF","")</f>
        <v/>
      </c>
      <c r="AY94" s="111" t="str">
        <f>IF('⚙ OFF Weekends'!$D$46="OFF","OFF","")</f>
        <v/>
      </c>
      <c r="AZ94" s="111" t="str">
        <f>IF('⚙ OFF Weekends'!$D$47="OFF","OFF","")</f>
        <v/>
      </c>
      <c r="BA94" s="111" t="str">
        <f>IF('⚙ OFF Weekends'!$D$48="OFF","OFF","")</f>
        <v/>
      </c>
      <c r="BB94" s="111" t="str">
        <f>IF('⚙ OFF Weekends'!$D$49="OFF","OFF","")</f>
        <v/>
      </c>
      <c r="BC94" s="111" t="str">
        <f>IF('⚙ OFF Weekends'!$D$50="OFF","OFF","")</f>
        <v/>
      </c>
      <c r="BD94" s="111" t="str">
        <f>IF('⚙ OFF Weekends'!$D$51="OFF","OFF","")</f>
        <v/>
      </c>
      <c r="BE94" s="111" t="str">
        <f>IF('⚙ OFF Weekends'!$D$52="OFF","OFF","")</f>
        <v/>
      </c>
      <c r="BF94" s="111" t="str">
        <f>IF('⚙ OFF Weekends'!$D$53="OFF","OFF","")</f>
        <v/>
      </c>
      <c r="BG94" s="111" t="str">
        <f>IF('⚙ OFF Weekends'!$D$54="OFF","OFF","")</f>
        <v/>
      </c>
      <c r="BH94" s="111" t="str">
        <f>IF('⚙ OFF Weekends'!$D$55="OFF","OFF","")</f>
        <v/>
      </c>
      <c r="BI94" s="111" t="str">
        <f>IF('⚙ OFF Weekends'!$D$56="OFF","OFF","")</f>
        <v/>
      </c>
      <c r="BJ94" s="111" t="str">
        <f>IF('⚙ OFF Weekends'!$D$57="OFF","OFF","")</f>
        <v/>
      </c>
      <c r="BK94" s="111" t="str">
        <f>IF('⚙ OFF Weekends'!$D$58="OFF","OFF","")</f>
        <v/>
      </c>
      <c r="BL94" s="111" t="str">
        <f>IF('⚙ OFF Weekends'!$D$59="OFF","OFF","")</f>
        <v/>
      </c>
      <c r="BM94" s="111" t="str">
        <f>IF('⚙ OFF Weekends'!$D$60="OFF","OFF","")</f>
        <v/>
      </c>
      <c r="BN94" s="111" t="str">
        <f>IF('⚙ OFF Weekends'!$D$61="OFF","OFF","")</f>
        <v/>
      </c>
      <c r="BO94" s="111" t="str">
        <f>IF('⚙ OFF Weekends'!$D$62="OFF","OFF","")</f>
        <v/>
      </c>
      <c r="BP94" s="111" t="str">
        <f>IF('⚙ OFF Weekends'!$D$63="OFF","OFF","")</f>
        <v/>
      </c>
      <c r="BQ94" s="111" t="str">
        <f>IF('⚙ OFF Weekends'!$D$64="OFF","OFF","")</f>
        <v/>
      </c>
      <c r="BR94" s="111" t="str">
        <f>IF('⚙ OFF Weekends'!$D$65="OFF","OFF","")</f>
        <v/>
      </c>
      <c r="BS94" s="111" t="str">
        <f>IF('⚙ OFF Weekends'!$D$66="OFF","OFF","")</f>
        <v/>
      </c>
      <c r="BT94" s="111" t="str">
        <f>IF('⚙ OFF Weekends'!$D$67="OFF","OFF","")</f>
        <v/>
      </c>
      <c r="BU94" s="111" t="str">
        <f>IF('⚙ OFF Weekends'!$D$68="OFF","OFF","")</f>
        <v/>
      </c>
      <c r="BV94" s="111" t="str">
        <f>IF('⚙ OFF Weekends'!$D$69="OFF","OFF","")</f>
        <v/>
      </c>
      <c r="BW94" s="111" t="str">
        <f>IF('⚙ OFF Weekends'!$D$70="OFF","OFF","")</f>
        <v/>
      </c>
      <c r="BX94" s="111" t="str">
        <f>IF('⚙ OFF Weekends'!$D$71="OFF","OFF","")</f>
        <v/>
      </c>
      <c r="BY94" s="111" t="str">
        <f>IF('⚙ OFF Weekends'!$D$72="OFF","OFF","")</f>
        <v/>
      </c>
      <c r="BZ94" s="111" t="str">
        <f>IF('⚙ OFF Weekends'!$D$73="OFF","OFF","")</f>
        <v/>
      </c>
      <c r="CA94" s="111" t="str">
        <f>IF('⚙ OFF Weekends'!$D$74="OFF","OFF","")</f>
        <v/>
      </c>
      <c r="CB94" s="111" t="str">
        <f>IF('⚙ OFF Weekends'!$D$75="OFF","OFF","")</f>
        <v/>
      </c>
      <c r="CC94" s="111" t="str">
        <f>IF('⚙ OFF Weekends'!$D$76="OFF","OFF","")</f>
        <v/>
      </c>
      <c r="CD94" s="111" t="str">
        <f>IF('⚙ OFF Weekends'!$D$77="OFF","OFF","")</f>
        <v/>
      </c>
      <c r="CE94" s="112">
        <f t="shared" si="21"/>
        <v>0</v>
      </c>
      <c r="CF94" s="112">
        <f t="shared" si="22"/>
        <v>0</v>
      </c>
      <c r="CG94" s="112">
        <f t="shared" si="23"/>
        <v>0</v>
      </c>
      <c r="CH94" s="112" t="str">
        <f t="shared" si="24"/>
        <v>0%</v>
      </c>
    </row>
    <row r="95" ht="18.0" customHeight="1">
      <c r="A95" s="107">
        <v>25.0</v>
      </c>
      <c r="B95" s="108"/>
      <c r="C95" s="108"/>
      <c r="D95" s="109" t="str">
        <f t="shared" si="19"/>
        <v/>
      </c>
      <c r="E95" s="110" t="str">
        <f t="shared" si="20"/>
        <v/>
      </c>
      <c r="F95" s="108"/>
      <c r="G95" s="108"/>
      <c r="H95" s="108"/>
      <c r="I95" s="111" t="str">
        <f>IF('⚙ OFF Weekends'!$D$4="OFF","OFF","")</f>
        <v/>
      </c>
      <c r="J95" s="111" t="str">
        <f>IF('⚙ OFF Weekends'!$D$5="OFF","OFF","")</f>
        <v/>
      </c>
      <c r="K95" s="111" t="str">
        <f>IF('⚙ OFF Weekends'!$D$6="OFF","OFF","")</f>
        <v/>
      </c>
      <c r="L95" s="111" t="str">
        <f>IF('⚙ OFF Weekends'!$D$7="OFF","OFF","")</f>
        <v/>
      </c>
      <c r="M95" s="111" t="str">
        <f>IF('⚙ OFF Weekends'!$D$8="OFF","OFF","")</f>
        <v/>
      </c>
      <c r="N95" s="111" t="str">
        <f>IF('⚙ OFF Weekends'!$D$9="OFF","OFF","")</f>
        <v/>
      </c>
      <c r="O95" s="111" t="str">
        <f>IF('⚙ OFF Weekends'!$D$10="OFF","OFF","")</f>
        <v/>
      </c>
      <c r="P95" s="111" t="str">
        <f>IF('⚙ OFF Weekends'!$D$11="OFF","OFF","")</f>
        <v/>
      </c>
      <c r="Q95" s="111" t="str">
        <f>IF('⚙ OFF Weekends'!$D$12="OFF","OFF","")</f>
        <v/>
      </c>
      <c r="R95" s="111" t="str">
        <f>IF('⚙ OFF Weekends'!$D$13="OFF","OFF","")</f>
        <v/>
      </c>
      <c r="S95" s="111" t="str">
        <f>IF('⚙ OFF Weekends'!$D$14="OFF","OFF","")</f>
        <v/>
      </c>
      <c r="T95" s="111" t="str">
        <f>IF('⚙ OFF Weekends'!$D$15="OFF","OFF","")</f>
        <v/>
      </c>
      <c r="U95" s="111" t="str">
        <f>IF('⚙ OFF Weekends'!$D$16="OFF","OFF","")</f>
        <v/>
      </c>
      <c r="V95" s="111" t="str">
        <f>IF('⚙ OFF Weekends'!$D$17="OFF","OFF","")</f>
        <v/>
      </c>
      <c r="W95" s="111" t="str">
        <f>IF('⚙ OFF Weekends'!$D$18="OFF","OFF","")</f>
        <v>OFF</v>
      </c>
      <c r="X95" s="111" t="str">
        <f>IF('⚙ OFF Weekends'!$D$19="OFF","OFF","")</f>
        <v/>
      </c>
      <c r="Y95" s="111" t="str">
        <f>IF('⚙ OFF Weekends'!$D$20="OFF","OFF","")</f>
        <v/>
      </c>
      <c r="Z95" s="111" t="str">
        <f>IF('⚙ OFF Weekends'!$D$21="OFF","OFF","")</f>
        <v/>
      </c>
      <c r="AA95" s="111" t="str">
        <f>IF('⚙ OFF Weekends'!$D$22="OFF","OFF","")</f>
        <v/>
      </c>
      <c r="AB95" s="111" t="str">
        <f>IF('⚙ OFF Weekends'!$D$23="OFF","OFF","")</f>
        <v/>
      </c>
      <c r="AC95" s="111" t="str">
        <f>IF('⚙ OFF Weekends'!$D$24="OFF","OFF","")</f>
        <v/>
      </c>
      <c r="AD95" s="111" t="str">
        <f>IF('⚙ OFF Weekends'!$D$25="OFF","OFF","")</f>
        <v/>
      </c>
      <c r="AE95" s="111" t="str">
        <f>IF('⚙ OFF Weekends'!$D$26="OFF","OFF","")</f>
        <v/>
      </c>
      <c r="AF95" s="111" t="str">
        <f>IF('⚙ OFF Weekends'!$D$27="OFF","OFF","")</f>
        <v/>
      </c>
      <c r="AG95" s="111" t="str">
        <f>IF('⚙ OFF Weekends'!$D$28="OFF","OFF","")</f>
        <v/>
      </c>
      <c r="AH95" s="111" t="str">
        <f>IF('⚙ OFF Weekends'!$D$29="OFF","OFF","")</f>
        <v/>
      </c>
      <c r="AI95" s="111" t="str">
        <f>IF('⚙ OFF Weekends'!$D$30="OFF","OFF","")</f>
        <v/>
      </c>
      <c r="AJ95" s="111" t="str">
        <f>IF('⚙ OFF Weekends'!$D$31="OFF","OFF","")</f>
        <v/>
      </c>
      <c r="AK95" s="111" t="str">
        <f>IF('⚙ OFF Weekends'!$D$32="OFF","OFF","")</f>
        <v/>
      </c>
      <c r="AL95" s="111" t="str">
        <f>IF('⚙ OFF Weekends'!$D$33="OFF","OFF","")</f>
        <v/>
      </c>
      <c r="AM95" s="111" t="str">
        <f>IF('⚙ OFF Weekends'!$D$34="OFF","OFF","")</f>
        <v/>
      </c>
      <c r="AN95" s="111" t="str">
        <f>IF('⚙ OFF Weekends'!$D$35="OFF","OFF","")</f>
        <v/>
      </c>
      <c r="AO95" s="111" t="str">
        <f>IF('⚙ OFF Weekends'!$D$36="OFF","OFF","")</f>
        <v/>
      </c>
      <c r="AP95" s="111" t="str">
        <f>IF('⚙ OFF Weekends'!$D$37="OFF","OFF","")</f>
        <v/>
      </c>
      <c r="AQ95" s="111" t="str">
        <f>IF('⚙ OFF Weekends'!$D$38="OFF","OFF","")</f>
        <v/>
      </c>
      <c r="AR95" s="111" t="str">
        <f>IF('⚙ OFF Weekends'!$D$39="OFF","OFF","")</f>
        <v/>
      </c>
      <c r="AS95" s="111" t="str">
        <f>IF('⚙ OFF Weekends'!$D$40="OFF","OFF","")</f>
        <v/>
      </c>
      <c r="AT95" s="111" t="str">
        <f>IF('⚙ OFF Weekends'!$D$41="OFF","OFF","")</f>
        <v/>
      </c>
      <c r="AU95" s="111" t="str">
        <f>IF('⚙ OFF Weekends'!$D$42="OFF","OFF","")</f>
        <v/>
      </c>
      <c r="AV95" s="111" t="str">
        <f>IF('⚙ OFF Weekends'!$D$43="OFF","OFF","")</f>
        <v/>
      </c>
      <c r="AW95" s="111" t="str">
        <f>IF('⚙ OFF Weekends'!$D$44="OFF","OFF","")</f>
        <v/>
      </c>
      <c r="AX95" s="111" t="str">
        <f>IF('⚙ OFF Weekends'!$D$45="OFF","OFF","")</f>
        <v/>
      </c>
      <c r="AY95" s="111" t="str">
        <f>IF('⚙ OFF Weekends'!$D$46="OFF","OFF","")</f>
        <v/>
      </c>
      <c r="AZ95" s="111" t="str">
        <f>IF('⚙ OFF Weekends'!$D$47="OFF","OFF","")</f>
        <v/>
      </c>
      <c r="BA95" s="111" t="str">
        <f>IF('⚙ OFF Weekends'!$D$48="OFF","OFF","")</f>
        <v/>
      </c>
      <c r="BB95" s="111" t="str">
        <f>IF('⚙ OFF Weekends'!$D$49="OFF","OFF","")</f>
        <v/>
      </c>
      <c r="BC95" s="111" t="str">
        <f>IF('⚙ OFF Weekends'!$D$50="OFF","OFF","")</f>
        <v/>
      </c>
      <c r="BD95" s="111" t="str">
        <f>IF('⚙ OFF Weekends'!$D$51="OFF","OFF","")</f>
        <v/>
      </c>
      <c r="BE95" s="111" t="str">
        <f>IF('⚙ OFF Weekends'!$D$52="OFF","OFF","")</f>
        <v/>
      </c>
      <c r="BF95" s="111" t="str">
        <f>IF('⚙ OFF Weekends'!$D$53="OFF","OFF","")</f>
        <v/>
      </c>
      <c r="BG95" s="111" t="str">
        <f>IF('⚙ OFF Weekends'!$D$54="OFF","OFF","")</f>
        <v/>
      </c>
      <c r="BH95" s="111" t="str">
        <f>IF('⚙ OFF Weekends'!$D$55="OFF","OFF","")</f>
        <v/>
      </c>
      <c r="BI95" s="111" t="str">
        <f>IF('⚙ OFF Weekends'!$D$56="OFF","OFF","")</f>
        <v/>
      </c>
      <c r="BJ95" s="111" t="str">
        <f>IF('⚙ OFF Weekends'!$D$57="OFF","OFF","")</f>
        <v/>
      </c>
      <c r="BK95" s="111" t="str">
        <f>IF('⚙ OFF Weekends'!$D$58="OFF","OFF","")</f>
        <v/>
      </c>
      <c r="BL95" s="111" t="str">
        <f>IF('⚙ OFF Weekends'!$D$59="OFF","OFF","")</f>
        <v/>
      </c>
      <c r="BM95" s="111" t="str">
        <f>IF('⚙ OFF Weekends'!$D$60="OFF","OFF","")</f>
        <v/>
      </c>
      <c r="BN95" s="111" t="str">
        <f>IF('⚙ OFF Weekends'!$D$61="OFF","OFF","")</f>
        <v/>
      </c>
      <c r="BO95" s="111" t="str">
        <f>IF('⚙ OFF Weekends'!$D$62="OFF","OFF","")</f>
        <v/>
      </c>
      <c r="BP95" s="111" t="str">
        <f>IF('⚙ OFF Weekends'!$D$63="OFF","OFF","")</f>
        <v/>
      </c>
      <c r="BQ95" s="111" t="str">
        <f>IF('⚙ OFF Weekends'!$D$64="OFF","OFF","")</f>
        <v/>
      </c>
      <c r="BR95" s="111" t="str">
        <f>IF('⚙ OFF Weekends'!$D$65="OFF","OFF","")</f>
        <v/>
      </c>
      <c r="BS95" s="111" t="str">
        <f>IF('⚙ OFF Weekends'!$D$66="OFF","OFF","")</f>
        <v/>
      </c>
      <c r="BT95" s="111" t="str">
        <f>IF('⚙ OFF Weekends'!$D$67="OFF","OFF","")</f>
        <v/>
      </c>
      <c r="BU95" s="111" t="str">
        <f>IF('⚙ OFF Weekends'!$D$68="OFF","OFF","")</f>
        <v/>
      </c>
      <c r="BV95" s="111" t="str">
        <f>IF('⚙ OFF Weekends'!$D$69="OFF","OFF","")</f>
        <v/>
      </c>
      <c r="BW95" s="111" t="str">
        <f>IF('⚙ OFF Weekends'!$D$70="OFF","OFF","")</f>
        <v/>
      </c>
      <c r="BX95" s="111" t="str">
        <f>IF('⚙ OFF Weekends'!$D$71="OFF","OFF","")</f>
        <v/>
      </c>
      <c r="BY95" s="111" t="str">
        <f>IF('⚙ OFF Weekends'!$D$72="OFF","OFF","")</f>
        <v/>
      </c>
      <c r="BZ95" s="111" t="str">
        <f>IF('⚙ OFF Weekends'!$D$73="OFF","OFF","")</f>
        <v/>
      </c>
      <c r="CA95" s="111" t="str">
        <f>IF('⚙ OFF Weekends'!$D$74="OFF","OFF","")</f>
        <v/>
      </c>
      <c r="CB95" s="111" t="str">
        <f>IF('⚙ OFF Weekends'!$D$75="OFF","OFF","")</f>
        <v/>
      </c>
      <c r="CC95" s="111" t="str">
        <f>IF('⚙ OFF Weekends'!$D$76="OFF","OFF","")</f>
        <v/>
      </c>
      <c r="CD95" s="111" t="str">
        <f>IF('⚙ OFF Weekends'!$D$77="OFF","OFF","")</f>
        <v/>
      </c>
      <c r="CE95" s="112">
        <f t="shared" si="21"/>
        <v>0</v>
      </c>
      <c r="CF95" s="112">
        <f t="shared" si="22"/>
        <v>0</v>
      </c>
      <c r="CG95" s="112">
        <f t="shared" si="23"/>
        <v>0</v>
      </c>
      <c r="CH95" s="112" t="str">
        <f t="shared" si="24"/>
        <v>0%</v>
      </c>
    </row>
    <row r="96" ht="18.0" customHeight="1">
      <c r="A96" s="107">
        <v>26.0</v>
      </c>
      <c r="B96" s="108"/>
      <c r="C96" s="108"/>
      <c r="D96" s="109" t="str">
        <f t="shared" si="19"/>
        <v/>
      </c>
      <c r="E96" s="110" t="str">
        <f t="shared" si="20"/>
        <v/>
      </c>
      <c r="F96" s="108"/>
      <c r="G96" s="108"/>
      <c r="H96" s="108"/>
      <c r="I96" s="111" t="str">
        <f>IF('⚙ OFF Weekends'!$D$4="OFF","OFF","")</f>
        <v/>
      </c>
      <c r="J96" s="111" t="str">
        <f>IF('⚙ OFF Weekends'!$D$5="OFF","OFF","")</f>
        <v/>
      </c>
      <c r="K96" s="111" t="str">
        <f>IF('⚙ OFF Weekends'!$D$6="OFF","OFF","")</f>
        <v/>
      </c>
      <c r="L96" s="111" t="str">
        <f>IF('⚙ OFF Weekends'!$D$7="OFF","OFF","")</f>
        <v/>
      </c>
      <c r="M96" s="111" t="str">
        <f>IF('⚙ OFF Weekends'!$D$8="OFF","OFF","")</f>
        <v/>
      </c>
      <c r="N96" s="111" t="str">
        <f>IF('⚙ OFF Weekends'!$D$9="OFF","OFF","")</f>
        <v/>
      </c>
      <c r="O96" s="111" t="str">
        <f>IF('⚙ OFF Weekends'!$D$10="OFF","OFF","")</f>
        <v/>
      </c>
      <c r="P96" s="111" t="str">
        <f>IF('⚙ OFF Weekends'!$D$11="OFF","OFF","")</f>
        <v/>
      </c>
      <c r="Q96" s="111" t="str">
        <f>IF('⚙ OFF Weekends'!$D$12="OFF","OFF","")</f>
        <v/>
      </c>
      <c r="R96" s="111" t="str">
        <f>IF('⚙ OFF Weekends'!$D$13="OFF","OFF","")</f>
        <v/>
      </c>
      <c r="S96" s="111" t="str">
        <f>IF('⚙ OFF Weekends'!$D$14="OFF","OFF","")</f>
        <v/>
      </c>
      <c r="T96" s="111" t="str">
        <f>IF('⚙ OFF Weekends'!$D$15="OFF","OFF","")</f>
        <v/>
      </c>
      <c r="U96" s="111" t="str">
        <f>IF('⚙ OFF Weekends'!$D$16="OFF","OFF","")</f>
        <v/>
      </c>
      <c r="V96" s="111" t="str">
        <f>IF('⚙ OFF Weekends'!$D$17="OFF","OFF","")</f>
        <v/>
      </c>
      <c r="W96" s="111" t="str">
        <f>IF('⚙ OFF Weekends'!$D$18="OFF","OFF","")</f>
        <v>OFF</v>
      </c>
      <c r="X96" s="111" t="str">
        <f>IF('⚙ OFF Weekends'!$D$19="OFF","OFF","")</f>
        <v/>
      </c>
      <c r="Y96" s="111" t="str">
        <f>IF('⚙ OFF Weekends'!$D$20="OFF","OFF","")</f>
        <v/>
      </c>
      <c r="Z96" s="111" t="str">
        <f>IF('⚙ OFF Weekends'!$D$21="OFF","OFF","")</f>
        <v/>
      </c>
      <c r="AA96" s="111" t="str">
        <f>IF('⚙ OFF Weekends'!$D$22="OFF","OFF","")</f>
        <v/>
      </c>
      <c r="AB96" s="111" t="str">
        <f>IF('⚙ OFF Weekends'!$D$23="OFF","OFF","")</f>
        <v/>
      </c>
      <c r="AC96" s="111" t="str">
        <f>IF('⚙ OFF Weekends'!$D$24="OFF","OFF","")</f>
        <v/>
      </c>
      <c r="AD96" s="111" t="str">
        <f>IF('⚙ OFF Weekends'!$D$25="OFF","OFF","")</f>
        <v/>
      </c>
      <c r="AE96" s="111" t="str">
        <f>IF('⚙ OFF Weekends'!$D$26="OFF","OFF","")</f>
        <v/>
      </c>
      <c r="AF96" s="111" t="str">
        <f>IF('⚙ OFF Weekends'!$D$27="OFF","OFF","")</f>
        <v/>
      </c>
      <c r="AG96" s="111" t="str">
        <f>IF('⚙ OFF Weekends'!$D$28="OFF","OFF","")</f>
        <v/>
      </c>
      <c r="AH96" s="111" t="str">
        <f>IF('⚙ OFF Weekends'!$D$29="OFF","OFF","")</f>
        <v/>
      </c>
      <c r="AI96" s="111" t="str">
        <f>IF('⚙ OFF Weekends'!$D$30="OFF","OFF","")</f>
        <v/>
      </c>
      <c r="AJ96" s="111" t="str">
        <f>IF('⚙ OFF Weekends'!$D$31="OFF","OFF","")</f>
        <v/>
      </c>
      <c r="AK96" s="111" t="str">
        <f>IF('⚙ OFF Weekends'!$D$32="OFF","OFF","")</f>
        <v/>
      </c>
      <c r="AL96" s="111" t="str">
        <f>IF('⚙ OFF Weekends'!$D$33="OFF","OFF","")</f>
        <v/>
      </c>
      <c r="AM96" s="111" t="str">
        <f>IF('⚙ OFF Weekends'!$D$34="OFF","OFF","")</f>
        <v/>
      </c>
      <c r="AN96" s="111" t="str">
        <f>IF('⚙ OFF Weekends'!$D$35="OFF","OFF","")</f>
        <v/>
      </c>
      <c r="AO96" s="111" t="str">
        <f>IF('⚙ OFF Weekends'!$D$36="OFF","OFF","")</f>
        <v/>
      </c>
      <c r="AP96" s="111" t="str">
        <f>IF('⚙ OFF Weekends'!$D$37="OFF","OFF","")</f>
        <v/>
      </c>
      <c r="AQ96" s="111" t="str">
        <f>IF('⚙ OFF Weekends'!$D$38="OFF","OFF","")</f>
        <v/>
      </c>
      <c r="AR96" s="111" t="str">
        <f>IF('⚙ OFF Weekends'!$D$39="OFF","OFF","")</f>
        <v/>
      </c>
      <c r="AS96" s="111" t="str">
        <f>IF('⚙ OFF Weekends'!$D$40="OFF","OFF","")</f>
        <v/>
      </c>
      <c r="AT96" s="111" t="str">
        <f>IF('⚙ OFF Weekends'!$D$41="OFF","OFF","")</f>
        <v/>
      </c>
      <c r="AU96" s="111" t="str">
        <f>IF('⚙ OFF Weekends'!$D$42="OFF","OFF","")</f>
        <v/>
      </c>
      <c r="AV96" s="111" t="str">
        <f>IF('⚙ OFF Weekends'!$D$43="OFF","OFF","")</f>
        <v/>
      </c>
      <c r="AW96" s="111" t="str">
        <f>IF('⚙ OFF Weekends'!$D$44="OFF","OFF","")</f>
        <v/>
      </c>
      <c r="AX96" s="111" t="str">
        <f>IF('⚙ OFF Weekends'!$D$45="OFF","OFF","")</f>
        <v/>
      </c>
      <c r="AY96" s="111" t="str">
        <f>IF('⚙ OFF Weekends'!$D$46="OFF","OFF","")</f>
        <v/>
      </c>
      <c r="AZ96" s="111" t="str">
        <f>IF('⚙ OFF Weekends'!$D$47="OFF","OFF","")</f>
        <v/>
      </c>
      <c r="BA96" s="111" t="str">
        <f>IF('⚙ OFF Weekends'!$D$48="OFF","OFF","")</f>
        <v/>
      </c>
      <c r="BB96" s="111" t="str">
        <f>IF('⚙ OFF Weekends'!$D$49="OFF","OFF","")</f>
        <v/>
      </c>
      <c r="BC96" s="111" t="str">
        <f>IF('⚙ OFF Weekends'!$D$50="OFF","OFF","")</f>
        <v/>
      </c>
      <c r="BD96" s="111" t="str">
        <f>IF('⚙ OFF Weekends'!$D$51="OFF","OFF","")</f>
        <v/>
      </c>
      <c r="BE96" s="111" t="str">
        <f>IF('⚙ OFF Weekends'!$D$52="OFF","OFF","")</f>
        <v/>
      </c>
      <c r="BF96" s="111" t="str">
        <f>IF('⚙ OFF Weekends'!$D$53="OFF","OFF","")</f>
        <v/>
      </c>
      <c r="BG96" s="111" t="str">
        <f>IF('⚙ OFF Weekends'!$D$54="OFF","OFF","")</f>
        <v/>
      </c>
      <c r="BH96" s="111" t="str">
        <f>IF('⚙ OFF Weekends'!$D$55="OFF","OFF","")</f>
        <v/>
      </c>
      <c r="BI96" s="111" t="str">
        <f>IF('⚙ OFF Weekends'!$D$56="OFF","OFF","")</f>
        <v/>
      </c>
      <c r="BJ96" s="111" t="str">
        <f>IF('⚙ OFF Weekends'!$D$57="OFF","OFF","")</f>
        <v/>
      </c>
      <c r="BK96" s="111" t="str">
        <f>IF('⚙ OFF Weekends'!$D$58="OFF","OFF","")</f>
        <v/>
      </c>
      <c r="BL96" s="111" t="str">
        <f>IF('⚙ OFF Weekends'!$D$59="OFF","OFF","")</f>
        <v/>
      </c>
      <c r="BM96" s="111" t="str">
        <f>IF('⚙ OFF Weekends'!$D$60="OFF","OFF","")</f>
        <v/>
      </c>
      <c r="BN96" s="111" t="str">
        <f>IF('⚙ OFF Weekends'!$D$61="OFF","OFF","")</f>
        <v/>
      </c>
      <c r="BO96" s="111" t="str">
        <f>IF('⚙ OFF Weekends'!$D$62="OFF","OFF","")</f>
        <v/>
      </c>
      <c r="BP96" s="111" t="str">
        <f>IF('⚙ OFF Weekends'!$D$63="OFF","OFF","")</f>
        <v/>
      </c>
      <c r="BQ96" s="111" t="str">
        <f>IF('⚙ OFF Weekends'!$D$64="OFF","OFF","")</f>
        <v/>
      </c>
      <c r="BR96" s="111" t="str">
        <f>IF('⚙ OFF Weekends'!$D$65="OFF","OFF","")</f>
        <v/>
      </c>
      <c r="BS96" s="111" t="str">
        <f>IF('⚙ OFF Weekends'!$D$66="OFF","OFF","")</f>
        <v/>
      </c>
      <c r="BT96" s="111" t="str">
        <f>IF('⚙ OFF Weekends'!$D$67="OFF","OFF","")</f>
        <v/>
      </c>
      <c r="BU96" s="111" t="str">
        <f>IF('⚙ OFF Weekends'!$D$68="OFF","OFF","")</f>
        <v/>
      </c>
      <c r="BV96" s="111" t="str">
        <f>IF('⚙ OFF Weekends'!$D$69="OFF","OFF","")</f>
        <v/>
      </c>
      <c r="BW96" s="111" t="str">
        <f>IF('⚙ OFF Weekends'!$D$70="OFF","OFF","")</f>
        <v/>
      </c>
      <c r="BX96" s="111" t="str">
        <f>IF('⚙ OFF Weekends'!$D$71="OFF","OFF","")</f>
        <v/>
      </c>
      <c r="BY96" s="111" t="str">
        <f>IF('⚙ OFF Weekends'!$D$72="OFF","OFF","")</f>
        <v/>
      </c>
      <c r="BZ96" s="111" t="str">
        <f>IF('⚙ OFF Weekends'!$D$73="OFF","OFF","")</f>
        <v/>
      </c>
      <c r="CA96" s="111" t="str">
        <f>IF('⚙ OFF Weekends'!$D$74="OFF","OFF","")</f>
        <v/>
      </c>
      <c r="CB96" s="111" t="str">
        <f>IF('⚙ OFF Weekends'!$D$75="OFF","OFF","")</f>
        <v/>
      </c>
      <c r="CC96" s="111" t="str">
        <f>IF('⚙ OFF Weekends'!$D$76="OFF","OFF","")</f>
        <v/>
      </c>
      <c r="CD96" s="111" t="str">
        <f>IF('⚙ OFF Weekends'!$D$77="OFF","OFF","")</f>
        <v/>
      </c>
      <c r="CE96" s="112">
        <f t="shared" si="21"/>
        <v>0</v>
      </c>
      <c r="CF96" s="112">
        <f t="shared" si="22"/>
        <v>0</v>
      </c>
      <c r="CG96" s="112">
        <f t="shared" si="23"/>
        <v>0</v>
      </c>
      <c r="CH96" s="112" t="str">
        <f t="shared" si="24"/>
        <v>0%</v>
      </c>
    </row>
    <row r="97" ht="15.0" customHeight="1">
      <c r="A97" s="113" t="str">
        <f>"Group Strength: "&amp;COUNTA(B71:B96)</f>
        <v>Group Strength: 23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3"/>
    </row>
    <row r="98" ht="4.5" customHeight="1">
      <c r="A98" s="11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3"/>
    </row>
    <row r="99" ht="15.75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  <c r="AQ99" s="72"/>
      <c r="AR99" s="72"/>
      <c r="AS99" s="72"/>
      <c r="AT99" s="72"/>
      <c r="AU99" s="72"/>
      <c r="AV99" s="72"/>
      <c r="AW99" s="72"/>
      <c r="AX99" s="72"/>
      <c r="AY99" s="72"/>
      <c r="AZ99" s="72"/>
      <c r="BA99" s="72"/>
      <c r="BB99" s="72"/>
      <c r="BC99" s="72"/>
      <c r="BD99" s="72"/>
      <c r="BE99" s="72"/>
      <c r="BF99" s="72"/>
      <c r="BG99" s="72"/>
      <c r="BH99" s="72"/>
      <c r="BI99" s="72"/>
      <c r="BJ99" s="72"/>
      <c r="BK99" s="72"/>
      <c r="BL99" s="72"/>
      <c r="BM99" s="72"/>
      <c r="BN99" s="72"/>
      <c r="BO99" s="72"/>
      <c r="BP99" s="72"/>
      <c r="BQ99" s="72"/>
      <c r="BR99" s="72"/>
      <c r="BS99" s="72"/>
      <c r="BT99" s="72"/>
      <c r="BU99" s="72"/>
      <c r="BV99" s="72"/>
      <c r="BW99" s="72"/>
      <c r="BX99" s="72"/>
      <c r="BY99" s="72"/>
      <c r="BZ99" s="72"/>
      <c r="CA99" s="72"/>
      <c r="CB99" s="72"/>
      <c r="CC99" s="72"/>
      <c r="CD99" s="72"/>
      <c r="CE99" s="72"/>
      <c r="CF99" s="72"/>
      <c r="CG99" s="72"/>
      <c r="CH99" s="72"/>
    </row>
    <row r="100" ht="15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  <c r="AQ100" s="72"/>
      <c r="AR100" s="72"/>
      <c r="AS100" s="72"/>
      <c r="AT100" s="72"/>
      <c r="AU100" s="72"/>
      <c r="AV100" s="72"/>
      <c r="AW100" s="72"/>
      <c r="AX100" s="72"/>
      <c r="AY100" s="72"/>
      <c r="AZ100" s="72"/>
      <c r="BA100" s="72"/>
      <c r="BB100" s="72"/>
      <c r="BC100" s="72"/>
      <c r="BD100" s="72"/>
      <c r="BE100" s="72"/>
      <c r="BF100" s="72"/>
      <c r="BG100" s="72"/>
      <c r="BH100" s="72"/>
      <c r="BI100" s="72"/>
      <c r="BJ100" s="72"/>
      <c r="BK100" s="72"/>
      <c r="BL100" s="72"/>
      <c r="BM100" s="72"/>
      <c r="BN100" s="72"/>
      <c r="BO100" s="72"/>
      <c r="BP100" s="72"/>
      <c r="BQ100" s="72"/>
      <c r="BR100" s="72"/>
      <c r="BS100" s="72"/>
      <c r="BT100" s="72"/>
      <c r="BU100" s="72"/>
      <c r="BV100" s="72"/>
      <c r="BW100" s="72"/>
      <c r="BX100" s="72"/>
      <c r="BY100" s="72"/>
      <c r="BZ100" s="72"/>
      <c r="CA100" s="72"/>
      <c r="CB100" s="72"/>
      <c r="CC100" s="72"/>
      <c r="CD100" s="72"/>
      <c r="CE100" s="72"/>
      <c r="CF100" s="72"/>
      <c r="CG100" s="72"/>
      <c r="CH100" s="72"/>
    </row>
    <row r="101" ht="15.7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  <c r="AV101" s="72"/>
      <c r="AW101" s="72"/>
      <c r="AX101" s="72"/>
      <c r="AY101" s="72"/>
      <c r="AZ101" s="72"/>
      <c r="BA101" s="72"/>
      <c r="BB101" s="72"/>
      <c r="BC101" s="72"/>
      <c r="BD101" s="72"/>
      <c r="BE101" s="72"/>
      <c r="BF101" s="72"/>
      <c r="BG101" s="72"/>
      <c r="BH101" s="72"/>
      <c r="BI101" s="72"/>
      <c r="BJ101" s="72"/>
      <c r="BK101" s="72"/>
      <c r="BL101" s="72"/>
      <c r="BM101" s="72"/>
      <c r="BN101" s="72"/>
      <c r="BO101" s="72"/>
      <c r="BP101" s="72"/>
      <c r="BQ101" s="72"/>
      <c r="BR101" s="72"/>
      <c r="BS101" s="72"/>
      <c r="BT101" s="72"/>
      <c r="BU101" s="72"/>
      <c r="BV101" s="72"/>
      <c r="BW101" s="72"/>
      <c r="BX101" s="72"/>
      <c r="BY101" s="72"/>
      <c r="BZ101" s="72"/>
      <c r="CA101" s="72"/>
      <c r="CB101" s="72"/>
      <c r="CC101" s="72"/>
      <c r="CD101" s="72"/>
      <c r="CE101" s="72"/>
      <c r="CF101" s="72"/>
      <c r="CG101" s="72"/>
      <c r="CH101" s="72"/>
    </row>
    <row r="102" ht="15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  <c r="AQ102" s="72"/>
      <c r="AR102" s="72"/>
      <c r="AS102" s="72"/>
      <c r="AT102" s="72"/>
      <c r="AU102" s="72"/>
      <c r="AV102" s="72"/>
      <c r="AW102" s="72"/>
      <c r="AX102" s="72"/>
      <c r="AY102" s="72"/>
      <c r="AZ102" s="72"/>
      <c r="BA102" s="72"/>
      <c r="BB102" s="72"/>
      <c r="BC102" s="72"/>
      <c r="BD102" s="72"/>
      <c r="BE102" s="72"/>
      <c r="BF102" s="72"/>
      <c r="BG102" s="72"/>
      <c r="BH102" s="72"/>
      <c r="BI102" s="72"/>
      <c r="BJ102" s="72"/>
      <c r="BK102" s="72"/>
      <c r="BL102" s="72"/>
      <c r="BM102" s="72"/>
      <c r="BN102" s="72"/>
      <c r="BO102" s="72"/>
      <c r="BP102" s="72"/>
      <c r="BQ102" s="72"/>
      <c r="BR102" s="72"/>
      <c r="BS102" s="72"/>
      <c r="BT102" s="72"/>
      <c r="BU102" s="72"/>
      <c r="BV102" s="72"/>
      <c r="BW102" s="72"/>
      <c r="BX102" s="72"/>
      <c r="BY102" s="72"/>
      <c r="BZ102" s="72"/>
      <c r="CA102" s="72"/>
      <c r="CB102" s="72"/>
      <c r="CC102" s="72"/>
      <c r="CD102" s="72"/>
      <c r="CE102" s="72"/>
      <c r="CF102" s="72"/>
      <c r="CG102" s="72"/>
      <c r="CH102" s="72"/>
    </row>
    <row r="103" ht="15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  <c r="AQ103" s="72"/>
      <c r="AR103" s="72"/>
      <c r="AS103" s="72"/>
      <c r="AT103" s="72"/>
      <c r="AU103" s="72"/>
      <c r="AV103" s="72"/>
      <c r="AW103" s="72"/>
      <c r="AX103" s="72"/>
      <c r="AY103" s="72"/>
      <c r="AZ103" s="72"/>
      <c r="BA103" s="72"/>
      <c r="BB103" s="72"/>
      <c r="BC103" s="72"/>
      <c r="BD103" s="72"/>
      <c r="BE103" s="72"/>
      <c r="BF103" s="72"/>
      <c r="BG103" s="72"/>
      <c r="BH103" s="72"/>
      <c r="BI103" s="72"/>
      <c r="BJ103" s="72"/>
      <c r="BK103" s="72"/>
      <c r="BL103" s="72"/>
      <c r="BM103" s="72"/>
      <c r="BN103" s="72"/>
      <c r="BO103" s="72"/>
      <c r="BP103" s="72"/>
      <c r="BQ103" s="72"/>
      <c r="BR103" s="72"/>
      <c r="BS103" s="72"/>
      <c r="BT103" s="72"/>
      <c r="BU103" s="72"/>
      <c r="BV103" s="72"/>
      <c r="BW103" s="72"/>
      <c r="BX103" s="72"/>
      <c r="BY103" s="72"/>
      <c r="BZ103" s="72"/>
      <c r="CA103" s="72"/>
      <c r="CB103" s="72"/>
      <c r="CC103" s="72"/>
      <c r="CD103" s="72"/>
      <c r="CE103" s="72"/>
      <c r="CF103" s="72"/>
      <c r="CG103" s="72"/>
      <c r="CH103" s="72"/>
    </row>
    <row r="104" ht="15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  <c r="AQ104" s="72"/>
      <c r="AR104" s="72"/>
      <c r="AS104" s="72"/>
      <c r="AT104" s="72"/>
      <c r="AU104" s="72"/>
      <c r="AV104" s="72"/>
      <c r="AW104" s="72"/>
      <c r="AX104" s="72"/>
      <c r="AY104" s="72"/>
      <c r="AZ104" s="72"/>
      <c r="BA104" s="72"/>
      <c r="BB104" s="72"/>
      <c r="BC104" s="72"/>
      <c r="BD104" s="72"/>
      <c r="BE104" s="72"/>
      <c r="BF104" s="72"/>
      <c r="BG104" s="72"/>
      <c r="BH104" s="72"/>
      <c r="BI104" s="72"/>
      <c r="BJ104" s="72"/>
      <c r="BK104" s="72"/>
      <c r="BL104" s="72"/>
      <c r="BM104" s="72"/>
      <c r="BN104" s="72"/>
      <c r="BO104" s="72"/>
      <c r="BP104" s="72"/>
      <c r="BQ104" s="72"/>
      <c r="BR104" s="72"/>
      <c r="BS104" s="72"/>
      <c r="BT104" s="72"/>
      <c r="BU104" s="72"/>
      <c r="BV104" s="72"/>
      <c r="BW104" s="72"/>
      <c r="BX104" s="72"/>
      <c r="BY104" s="72"/>
      <c r="BZ104" s="72"/>
      <c r="CA104" s="72"/>
      <c r="CB104" s="72"/>
      <c r="CC104" s="72"/>
      <c r="CD104" s="72"/>
      <c r="CE104" s="72"/>
      <c r="CF104" s="72"/>
      <c r="CG104" s="72"/>
      <c r="CH104" s="72"/>
    </row>
    <row r="105" ht="15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2"/>
      <c r="AR105" s="72"/>
      <c r="AS105" s="72"/>
      <c r="AT105" s="72"/>
      <c r="AU105" s="72"/>
      <c r="AV105" s="72"/>
      <c r="AW105" s="72"/>
      <c r="AX105" s="72"/>
      <c r="AY105" s="72"/>
      <c r="AZ105" s="72"/>
      <c r="BA105" s="72"/>
      <c r="BB105" s="72"/>
      <c r="BC105" s="72"/>
      <c r="BD105" s="72"/>
      <c r="BE105" s="72"/>
      <c r="BF105" s="72"/>
      <c r="BG105" s="72"/>
      <c r="BH105" s="72"/>
      <c r="BI105" s="72"/>
      <c r="BJ105" s="72"/>
      <c r="BK105" s="72"/>
      <c r="BL105" s="72"/>
      <c r="BM105" s="72"/>
      <c r="BN105" s="72"/>
      <c r="BO105" s="72"/>
      <c r="BP105" s="72"/>
      <c r="BQ105" s="72"/>
      <c r="BR105" s="72"/>
      <c r="BS105" s="72"/>
      <c r="BT105" s="72"/>
      <c r="BU105" s="72"/>
      <c r="BV105" s="72"/>
      <c r="BW105" s="72"/>
      <c r="BX105" s="72"/>
      <c r="BY105" s="72"/>
      <c r="BZ105" s="72"/>
      <c r="CA105" s="72"/>
      <c r="CB105" s="72"/>
      <c r="CC105" s="72"/>
      <c r="CD105" s="72"/>
      <c r="CE105" s="72"/>
      <c r="CF105" s="72"/>
      <c r="CG105" s="72"/>
      <c r="CH105" s="72"/>
    </row>
    <row r="106" ht="15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  <c r="AQ106" s="72"/>
      <c r="AR106" s="72"/>
      <c r="AS106" s="72"/>
      <c r="AT106" s="72"/>
      <c r="AU106" s="72"/>
      <c r="AV106" s="72"/>
      <c r="AW106" s="72"/>
      <c r="AX106" s="72"/>
      <c r="AY106" s="72"/>
      <c r="AZ106" s="72"/>
      <c r="BA106" s="72"/>
      <c r="BB106" s="72"/>
      <c r="BC106" s="72"/>
      <c r="BD106" s="72"/>
      <c r="BE106" s="72"/>
      <c r="BF106" s="72"/>
      <c r="BG106" s="72"/>
      <c r="BH106" s="72"/>
      <c r="BI106" s="72"/>
      <c r="BJ106" s="72"/>
      <c r="BK106" s="72"/>
      <c r="BL106" s="72"/>
      <c r="BM106" s="72"/>
      <c r="BN106" s="72"/>
      <c r="BO106" s="72"/>
      <c r="BP106" s="72"/>
      <c r="BQ106" s="72"/>
      <c r="BR106" s="72"/>
      <c r="BS106" s="72"/>
      <c r="BT106" s="72"/>
      <c r="BU106" s="72"/>
      <c r="BV106" s="72"/>
      <c r="BW106" s="72"/>
      <c r="BX106" s="72"/>
      <c r="BY106" s="72"/>
      <c r="BZ106" s="72"/>
      <c r="CA106" s="72"/>
      <c r="CB106" s="72"/>
      <c r="CC106" s="72"/>
      <c r="CD106" s="72"/>
      <c r="CE106" s="72"/>
      <c r="CF106" s="72"/>
      <c r="CG106" s="72"/>
      <c r="CH106" s="72"/>
    </row>
    <row r="107" ht="15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  <c r="AQ107" s="72"/>
      <c r="AR107" s="72"/>
      <c r="AS107" s="72"/>
      <c r="AT107" s="72"/>
      <c r="AU107" s="72"/>
      <c r="AV107" s="72"/>
      <c r="AW107" s="72"/>
      <c r="AX107" s="72"/>
      <c r="AY107" s="72"/>
      <c r="AZ107" s="72"/>
      <c r="BA107" s="72"/>
      <c r="BB107" s="72"/>
      <c r="BC107" s="72"/>
      <c r="BD107" s="72"/>
      <c r="BE107" s="72"/>
      <c r="BF107" s="72"/>
      <c r="BG107" s="72"/>
      <c r="BH107" s="72"/>
      <c r="BI107" s="72"/>
      <c r="BJ107" s="72"/>
      <c r="BK107" s="72"/>
      <c r="BL107" s="72"/>
      <c r="BM107" s="72"/>
      <c r="BN107" s="72"/>
      <c r="BO107" s="72"/>
      <c r="BP107" s="72"/>
      <c r="BQ107" s="72"/>
      <c r="BR107" s="72"/>
      <c r="BS107" s="72"/>
      <c r="BT107" s="72"/>
      <c r="BU107" s="72"/>
      <c r="BV107" s="72"/>
      <c r="BW107" s="72"/>
      <c r="BX107" s="72"/>
      <c r="BY107" s="72"/>
      <c r="BZ107" s="72"/>
      <c r="CA107" s="72"/>
      <c r="CB107" s="72"/>
      <c r="CC107" s="72"/>
      <c r="CD107" s="72"/>
      <c r="CE107" s="72"/>
      <c r="CF107" s="72"/>
      <c r="CG107" s="72"/>
      <c r="CH107" s="72"/>
    </row>
    <row r="108" ht="15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  <c r="AQ108" s="72"/>
      <c r="AR108" s="72"/>
      <c r="AS108" s="72"/>
      <c r="AT108" s="72"/>
      <c r="AU108" s="72"/>
      <c r="AV108" s="72"/>
      <c r="AW108" s="72"/>
      <c r="AX108" s="72"/>
      <c r="AY108" s="72"/>
      <c r="AZ108" s="72"/>
      <c r="BA108" s="72"/>
      <c r="BB108" s="72"/>
      <c r="BC108" s="72"/>
      <c r="BD108" s="72"/>
      <c r="BE108" s="72"/>
      <c r="BF108" s="72"/>
      <c r="BG108" s="72"/>
      <c r="BH108" s="72"/>
      <c r="BI108" s="72"/>
      <c r="BJ108" s="72"/>
      <c r="BK108" s="72"/>
      <c r="BL108" s="72"/>
      <c r="BM108" s="72"/>
      <c r="BN108" s="72"/>
      <c r="BO108" s="72"/>
      <c r="BP108" s="72"/>
      <c r="BQ108" s="72"/>
      <c r="BR108" s="72"/>
      <c r="BS108" s="72"/>
      <c r="BT108" s="72"/>
      <c r="BU108" s="72"/>
      <c r="BV108" s="72"/>
      <c r="BW108" s="72"/>
      <c r="BX108" s="72"/>
      <c r="BY108" s="72"/>
      <c r="BZ108" s="72"/>
      <c r="CA108" s="72"/>
      <c r="CB108" s="72"/>
      <c r="CC108" s="72"/>
      <c r="CD108" s="72"/>
      <c r="CE108" s="72"/>
      <c r="CF108" s="72"/>
      <c r="CG108" s="72"/>
      <c r="CH108" s="72"/>
    </row>
    <row r="109" ht="15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  <c r="AQ109" s="72"/>
      <c r="AR109" s="72"/>
      <c r="AS109" s="72"/>
      <c r="AT109" s="72"/>
      <c r="AU109" s="72"/>
      <c r="AV109" s="72"/>
      <c r="AW109" s="72"/>
      <c r="AX109" s="72"/>
      <c r="AY109" s="72"/>
      <c r="AZ109" s="72"/>
      <c r="BA109" s="72"/>
      <c r="BB109" s="72"/>
      <c r="BC109" s="72"/>
      <c r="BD109" s="72"/>
      <c r="BE109" s="72"/>
      <c r="BF109" s="72"/>
      <c r="BG109" s="72"/>
      <c r="BH109" s="72"/>
      <c r="BI109" s="72"/>
      <c r="BJ109" s="72"/>
      <c r="BK109" s="72"/>
      <c r="BL109" s="72"/>
      <c r="BM109" s="72"/>
      <c r="BN109" s="72"/>
      <c r="BO109" s="72"/>
      <c r="BP109" s="72"/>
      <c r="BQ109" s="72"/>
      <c r="BR109" s="72"/>
      <c r="BS109" s="72"/>
      <c r="BT109" s="72"/>
      <c r="BU109" s="72"/>
      <c r="BV109" s="72"/>
      <c r="BW109" s="72"/>
      <c r="BX109" s="72"/>
      <c r="BY109" s="72"/>
      <c r="BZ109" s="72"/>
      <c r="CA109" s="72"/>
      <c r="CB109" s="72"/>
      <c r="CC109" s="72"/>
      <c r="CD109" s="72"/>
      <c r="CE109" s="72"/>
      <c r="CF109" s="72"/>
      <c r="CG109" s="72"/>
      <c r="CH109" s="72"/>
    </row>
    <row r="110" ht="15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s="72"/>
      <c r="AV110" s="72"/>
      <c r="AW110" s="72"/>
      <c r="AX110" s="72"/>
      <c r="AY110" s="72"/>
      <c r="AZ110" s="72"/>
      <c r="BA110" s="72"/>
      <c r="BB110" s="72"/>
      <c r="BC110" s="72"/>
      <c r="BD110" s="72"/>
      <c r="BE110" s="72"/>
      <c r="BF110" s="72"/>
      <c r="BG110" s="72"/>
      <c r="BH110" s="72"/>
      <c r="BI110" s="72"/>
      <c r="BJ110" s="72"/>
      <c r="BK110" s="72"/>
      <c r="BL110" s="72"/>
      <c r="BM110" s="72"/>
      <c r="BN110" s="72"/>
      <c r="BO110" s="72"/>
      <c r="BP110" s="72"/>
      <c r="BQ110" s="72"/>
      <c r="BR110" s="72"/>
      <c r="BS110" s="72"/>
      <c r="BT110" s="72"/>
      <c r="BU110" s="72"/>
      <c r="BV110" s="72"/>
      <c r="BW110" s="72"/>
      <c r="BX110" s="72"/>
      <c r="BY110" s="72"/>
      <c r="BZ110" s="72"/>
      <c r="CA110" s="72"/>
      <c r="CB110" s="72"/>
      <c r="CC110" s="72"/>
      <c r="CD110" s="72"/>
      <c r="CE110" s="72"/>
      <c r="CF110" s="72"/>
      <c r="CG110" s="72"/>
      <c r="CH110" s="72"/>
    </row>
    <row r="111" ht="15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72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  <c r="BM111" s="72"/>
      <c r="BN111" s="72"/>
      <c r="BO111" s="72"/>
      <c r="BP111" s="72"/>
      <c r="BQ111" s="72"/>
      <c r="BR111" s="72"/>
      <c r="BS111" s="72"/>
      <c r="BT111" s="72"/>
      <c r="BU111" s="72"/>
      <c r="BV111" s="72"/>
      <c r="BW111" s="72"/>
      <c r="BX111" s="72"/>
      <c r="BY111" s="72"/>
      <c r="BZ111" s="72"/>
      <c r="CA111" s="72"/>
      <c r="CB111" s="72"/>
      <c r="CC111" s="72"/>
      <c r="CD111" s="72"/>
      <c r="CE111" s="72"/>
      <c r="CF111" s="72"/>
      <c r="CG111" s="72"/>
      <c r="CH111" s="72"/>
    </row>
    <row r="112" ht="15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  <c r="AQ112" s="72"/>
      <c r="AR112" s="72"/>
      <c r="AS112" s="72"/>
      <c r="AT112" s="72"/>
      <c r="AU112" s="72"/>
      <c r="AV112" s="72"/>
      <c r="AW112" s="72"/>
      <c r="AX112" s="72"/>
      <c r="AY112" s="72"/>
      <c r="AZ112" s="72"/>
      <c r="BA112" s="72"/>
      <c r="BB112" s="72"/>
      <c r="BC112" s="72"/>
      <c r="BD112" s="72"/>
      <c r="BE112" s="72"/>
      <c r="BF112" s="72"/>
      <c r="BG112" s="72"/>
      <c r="BH112" s="72"/>
      <c r="BI112" s="72"/>
      <c r="BJ112" s="72"/>
      <c r="BK112" s="72"/>
      <c r="BL112" s="72"/>
      <c r="BM112" s="72"/>
      <c r="BN112" s="72"/>
      <c r="BO112" s="72"/>
      <c r="BP112" s="72"/>
      <c r="BQ112" s="72"/>
      <c r="BR112" s="72"/>
      <c r="BS112" s="72"/>
      <c r="BT112" s="72"/>
      <c r="BU112" s="72"/>
      <c r="BV112" s="72"/>
      <c r="BW112" s="72"/>
      <c r="BX112" s="72"/>
      <c r="BY112" s="72"/>
      <c r="BZ112" s="72"/>
      <c r="CA112" s="72"/>
      <c r="CB112" s="72"/>
      <c r="CC112" s="72"/>
      <c r="CD112" s="72"/>
      <c r="CE112" s="72"/>
      <c r="CF112" s="72"/>
      <c r="CG112" s="72"/>
      <c r="CH112" s="72"/>
    </row>
    <row r="113" ht="15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  <c r="AQ113" s="72"/>
      <c r="AR113" s="72"/>
      <c r="AS113" s="72"/>
      <c r="AT113" s="72"/>
      <c r="AU113" s="72"/>
      <c r="AV113" s="72"/>
      <c r="AW113" s="72"/>
      <c r="AX113" s="72"/>
      <c r="AY113" s="72"/>
      <c r="AZ113" s="72"/>
      <c r="BA113" s="72"/>
      <c r="BB113" s="72"/>
      <c r="BC113" s="72"/>
      <c r="BD113" s="72"/>
      <c r="BE113" s="72"/>
      <c r="BF113" s="72"/>
      <c r="BG113" s="72"/>
      <c r="BH113" s="72"/>
      <c r="BI113" s="72"/>
      <c r="BJ113" s="72"/>
      <c r="BK113" s="72"/>
      <c r="BL113" s="72"/>
      <c r="BM113" s="72"/>
      <c r="BN113" s="72"/>
      <c r="BO113" s="72"/>
      <c r="BP113" s="72"/>
      <c r="BQ113" s="72"/>
      <c r="BR113" s="72"/>
      <c r="BS113" s="72"/>
      <c r="BT113" s="72"/>
      <c r="BU113" s="72"/>
      <c r="BV113" s="72"/>
      <c r="BW113" s="72"/>
      <c r="BX113" s="72"/>
      <c r="BY113" s="72"/>
      <c r="BZ113" s="72"/>
      <c r="CA113" s="72"/>
      <c r="CB113" s="72"/>
      <c r="CC113" s="72"/>
      <c r="CD113" s="72"/>
      <c r="CE113" s="72"/>
      <c r="CF113" s="72"/>
      <c r="CG113" s="72"/>
      <c r="CH113" s="72"/>
    </row>
    <row r="114" ht="15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  <c r="AQ114" s="72"/>
      <c r="AR114" s="72"/>
      <c r="AS114" s="72"/>
      <c r="AT114" s="72"/>
      <c r="AU114" s="72"/>
      <c r="AV114" s="72"/>
      <c r="AW114" s="72"/>
      <c r="AX114" s="72"/>
      <c r="AY114" s="72"/>
      <c r="AZ114" s="72"/>
      <c r="BA114" s="72"/>
      <c r="BB114" s="72"/>
      <c r="BC114" s="72"/>
      <c r="BD114" s="72"/>
      <c r="BE114" s="72"/>
      <c r="BF114" s="72"/>
      <c r="BG114" s="72"/>
      <c r="BH114" s="72"/>
      <c r="BI114" s="72"/>
      <c r="BJ114" s="72"/>
      <c r="BK114" s="72"/>
      <c r="BL114" s="72"/>
      <c r="BM114" s="72"/>
      <c r="BN114" s="72"/>
      <c r="BO114" s="72"/>
      <c r="BP114" s="72"/>
      <c r="BQ114" s="72"/>
      <c r="BR114" s="72"/>
      <c r="BS114" s="72"/>
      <c r="BT114" s="72"/>
      <c r="BU114" s="72"/>
      <c r="BV114" s="72"/>
      <c r="BW114" s="72"/>
      <c r="BX114" s="72"/>
      <c r="BY114" s="72"/>
      <c r="BZ114" s="72"/>
      <c r="CA114" s="72"/>
      <c r="CB114" s="72"/>
      <c r="CC114" s="72"/>
      <c r="CD114" s="72"/>
      <c r="CE114" s="72"/>
      <c r="CF114" s="72"/>
      <c r="CG114" s="72"/>
      <c r="CH114" s="72"/>
    </row>
    <row r="115" ht="15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  <c r="AQ115" s="72"/>
      <c r="AR115" s="72"/>
      <c r="AS115" s="72"/>
      <c r="AT115" s="72"/>
      <c r="AU115" s="72"/>
      <c r="AV115" s="72"/>
      <c r="AW115" s="72"/>
      <c r="AX115" s="72"/>
      <c r="AY115" s="72"/>
      <c r="AZ115" s="72"/>
      <c r="BA115" s="72"/>
      <c r="BB115" s="72"/>
      <c r="BC115" s="72"/>
      <c r="BD115" s="72"/>
      <c r="BE115" s="72"/>
      <c r="BF115" s="72"/>
      <c r="BG115" s="72"/>
      <c r="BH115" s="72"/>
      <c r="BI115" s="72"/>
      <c r="BJ115" s="72"/>
      <c r="BK115" s="72"/>
      <c r="BL115" s="72"/>
      <c r="BM115" s="72"/>
      <c r="BN115" s="72"/>
      <c r="BO115" s="72"/>
      <c r="BP115" s="72"/>
      <c r="BQ115" s="72"/>
      <c r="BR115" s="72"/>
      <c r="BS115" s="72"/>
      <c r="BT115" s="72"/>
      <c r="BU115" s="72"/>
      <c r="BV115" s="72"/>
      <c r="BW115" s="72"/>
      <c r="BX115" s="72"/>
      <c r="BY115" s="72"/>
      <c r="BZ115" s="72"/>
      <c r="CA115" s="72"/>
      <c r="CB115" s="72"/>
      <c r="CC115" s="72"/>
      <c r="CD115" s="72"/>
      <c r="CE115" s="72"/>
      <c r="CF115" s="72"/>
      <c r="CG115" s="72"/>
      <c r="CH115" s="72"/>
    </row>
    <row r="116" ht="15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  <c r="AT116" s="72"/>
      <c r="AU116" s="72"/>
      <c r="AV116" s="72"/>
      <c r="AW116" s="72"/>
      <c r="AX116" s="72"/>
      <c r="AY116" s="72"/>
      <c r="AZ116" s="72"/>
      <c r="BA116" s="72"/>
      <c r="BB116" s="72"/>
      <c r="BC116" s="72"/>
      <c r="BD116" s="72"/>
      <c r="BE116" s="72"/>
      <c r="BF116" s="72"/>
      <c r="BG116" s="72"/>
      <c r="BH116" s="72"/>
      <c r="BI116" s="72"/>
      <c r="BJ116" s="72"/>
      <c r="BK116" s="72"/>
      <c r="BL116" s="72"/>
      <c r="BM116" s="72"/>
      <c r="BN116" s="72"/>
      <c r="BO116" s="72"/>
      <c r="BP116" s="72"/>
      <c r="BQ116" s="72"/>
      <c r="BR116" s="72"/>
      <c r="BS116" s="72"/>
      <c r="BT116" s="72"/>
      <c r="BU116" s="72"/>
      <c r="BV116" s="72"/>
      <c r="BW116" s="72"/>
      <c r="BX116" s="72"/>
      <c r="BY116" s="72"/>
      <c r="BZ116" s="72"/>
      <c r="CA116" s="72"/>
      <c r="CB116" s="72"/>
      <c r="CC116" s="72"/>
      <c r="CD116" s="72"/>
      <c r="CE116" s="72"/>
      <c r="CF116" s="72"/>
      <c r="CG116" s="72"/>
      <c r="CH116" s="72"/>
    </row>
    <row r="117" ht="15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  <c r="AT117" s="72"/>
      <c r="AU117" s="72"/>
      <c r="AV117" s="72"/>
      <c r="AW117" s="72"/>
      <c r="AX117" s="72"/>
      <c r="AY117" s="72"/>
      <c r="AZ117" s="72"/>
      <c r="BA117" s="72"/>
      <c r="BB117" s="72"/>
      <c r="BC117" s="72"/>
      <c r="BD117" s="72"/>
      <c r="BE117" s="72"/>
      <c r="BF117" s="72"/>
      <c r="BG117" s="72"/>
      <c r="BH117" s="72"/>
      <c r="BI117" s="72"/>
      <c r="BJ117" s="72"/>
      <c r="BK117" s="72"/>
      <c r="BL117" s="72"/>
      <c r="BM117" s="72"/>
      <c r="BN117" s="72"/>
      <c r="BO117" s="72"/>
      <c r="BP117" s="72"/>
      <c r="BQ117" s="72"/>
      <c r="BR117" s="72"/>
      <c r="BS117" s="72"/>
      <c r="BT117" s="72"/>
      <c r="BU117" s="72"/>
      <c r="BV117" s="72"/>
      <c r="BW117" s="72"/>
      <c r="BX117" s="72"/>
      <c r="BY117" s="72"/>
      <c r="BZ117" s="72"/>
      <c r="CA117" s="72"/>
      <c r="CB117" s="72"/>
      <c r="CC117" s="72"/>
      <c r="CD117" s="72"/>
      <c r="CE117" s="72"/>
      <c r="CF117" s="72"/>
      <c r="CG117" s="72"/>
      <c r="CH117" s="72"/>
    </row>
    <row r="118" ht="15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  <c r="AT118" s="72"/>
      <c r="AU118" s="72"/>
      <c r="AV118" s="72"/>
      <c r="AW118" s="72"/>
      <c r="AX118" s="72"/>
      <c r="AY118" s="72"/>
      <c r="AZ118" s="72"/>
      <c r="BA118" s="72"/>
      <c r="BB118" s="72"/>
      <c r="BC118" s="72"/>
      <c r="BD118" s="72"/>
      <c r="BE118" s="72"/>
      <c r="BF118" s="72"/>
      <c r="BG118" s="72"/>
      <c r="BH118" s="72"/>
      <c r="BI118" s="72"/>
      <c r="BJ118" s="72"/>
      <c r="BK118" s="72"/>
      <c r="BL118" s="72"/>
      <c r="BM118" s="72"/>
      <c r="BN118" s="72"/>
      <c r="BO118" s="72"/>
      <c r="BP118" s="72"/>
      <c r="BQ118" s="72"/>
      <c r="BR118" s="72"/>
      <c r="BS118" s="72"/>
      <c r="BT118" s="72"/>
      <c r="BU118" s="72"/>
      <c r="BV118" s="72"/>
      <c r="BW118" s="72"/>
      <c r="BX118" s="72"/>
      <c r="BY118" s="72"/>
      <c r="BZ118" s="72"/>
      <c r="CA118" s="72"/>
      <c r="CB118" s="72"/>
      <c r="CC118" s="72"/>
      <c r="CD118" s="72"/>
      <c r="CE118" s="72"/>
      <c r="CF118" s="72"/>
      <c r="CG118" s="72"/>
      <c r="CH118" s="72"/>
    </row>
    <row r="119" ht="15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  <c r="AT119" s="72"/>
      <c r="AU119" s="72"/>
      <c r="AV119" s="72"/>
      <c r="AW119" s="72"/>
      <c r="AX119" s="72"/>
      <c r="AY119" s="72"/>
      <c r="AZ119" s="72"/>
      <c r="BA119" s="72"/>
      <c r="BB119" s="72"/>
      <c r="BC119" s="72"/>
      <c r="BD119" s="72"/>
      <c r="BE119" s="72"/>
      <c r="BF119" s="72"/>
      <c r="BG119" s="72"/>
      <c r="BH119" s="72"/>
      <c r="BI119" s="72"/>
      <c r="BJ119" s="72"/>
      <c r="BK119" s="72"/>
      <c r="BL119" s="72"/>
      <c r="BM119" s="72"/>
      <c r="BN119" s="72"/>
      <c r="BO119" s="72"/>
      <c r="BP119" s="72"/>
      <c r="BQ119" s="72"/>
      <c r="BR119" s="72"/>
      <c r="BS119" s="72"/>
      <c r="BT119" s="72"/>
      <c r="BU119" s="72"/>
      <c r="BV119" s="72"/>
      <c r="BW119" s="72"/>
      <c r="BX119" s="72"/>
      <c r="BY119" s="72"/>
      <c r="BZ119" s="72"/>
      <c r="CA119" s="72"/>
      <c r="CB119" s="72"/>
      <c r="CC119" s="72"/>
      <c r="CD119" s="72"/>
      <c r="CE119" s="72"/>
      <c r="CF119" s="72"/>
      <c r="CG119" s="72"/>
      <c r="CH119" s="72"/>
    </row>
    <row r="120" ht="15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  <c r="AT120" s="72"/>
      <c r="AU120" s="72"/>
      <c r="AV120" s="72"/>
      <c r="AW120" s="72"/>
      <c r="AX120" s="72"/>
      <c r="AY120" s="72"/>
      <c r="AZ120" s="72"/>
      <c r="BA120" s="72"/>
      <c r="BB120" s="72"/>
      <c r="BC120" s="72"/>
      <c r="BD120" s="72"/>
      <c r="BE120" s="72"/>
      <c r="BF120" s="72"/>
      <c r="BG120" s="72"/>
      <c r="BH120" s="72"/>
      <c r="BI120" s="72"/>
      <c r="BJ120" s="72"/>
      <c r="BK120" s="72"/>
      <c r="BL120" s="72"/>
      <c r="BM120" s="72"/>
      <c r="BN120" s="72"/>
      <c r="BO120" s="72"/>
      <c r="BP120" s="72"/>
      <c r="BQ120" s="72"/>
      <c r="BR120" s="72"/>
      <c r="BS120" s="72"/>
      <c r="BT120" s="72"/>
      <c r="BU120" s="72"/>
      <c r="BV120" s="72"/>
      <c r="BW120" s="72"/>
      <c r="BX120" s="72"/>
      <c r="BY120" s="72"/>
      <c r="BZ120" s="72"/>
      <c r="CA120" s="72"/>
      <c r="CB120" s="72"/>
      <c r="CC120" s="72"/>
      <c r="CD120" s="72"/>
      <c r="CE120" s="72"/>
      <c r="CF120" s="72"/>
      <c r="CG120" s="72"/>
      <c r="CH120" s="72"/>
    </row>
    <row r="121" ht="15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  <c r="AT121" s="72"/>
      <c r="AU121" s="72"/>
      <c r="AV121" s="72"/>
      <c r="AW121" s="72"/>
      <c r="AX121" s="72"/>
      <c r="AY121" s="72"/>
      <c r="AZ121" s="72"/>
      <c r="BA121" s="72"/>
      <c r="BB121" s="72"/>
      <c r="BC121" s="72"/>
      <c r="BD121" s="72"/>
      <c r="BE121" s="72"/>
      <c r="BF121" s="72"/>
      <c r="BG121" s="72"/>
      <c r="BH121" s="72"/>
      <c r="BI121" s="72"/>
      <c r="BJ121" s="72"/>
      <c r="BK121" s="72"/>
      <c r="BL121" s="72"/>
      <c r="BM121" s="72"/>
      <c r="BN121" s="72"/>
      <c r="BO121" s="72"/>
      <c r="BP121" s="72"/>
      <c r="BQ121" s="72"/>
      <c r="BR121" s="72"/>
      <c r="BS121" s="72"/>
      <c r="BT121" s="72"/>
      <c r="BU121" s="72"/>
      <c r="BV121" s="72"/>
      <c r="BW121" s="72"/>
      <c r="BX121" s="72"/>
      <c r="BY121" s="72"/>
      <c r="BZ121" s="72"/>
      <c r="CA121" s="72"/>
      <c r="CB121" s="72"/>
      <c r="CC121" s="72"/>
      <c r="CD121" s="72"/>
      <c r="CE121" s="72"/>
      <c r="CF121" s="72"/>
      <c r="CG121" s="72"/>
      <c r="CH121" s="72"/>
    </row>
    <row r="122" ht="15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  <c r="AT122" s="72"/>
      <c r="AU122" s="72"/>
      <c r="AV122" s="72"/>
      <c r="AW122" s="72"/>
      <c r="AX122" s="72"/>
      <c r="AY122" s="72"/>
      <c r="AZ122" s="72"/>
      <c r="BA122" s="72"/>
      <c r="BB122" s="72"/>
      <c r="BC122" s="72"/>
      <c r="BD122" s="72"/>
      <c r="BE122" s="72"/>
      <c r="BF122" s="72"/>
      <c r="BG122" s="72"/>
      <c r="BH122" s="72"/>
      <c r="BI122" s="72"/>
      <c r="BJ122" s="72"/>
      <c r="BK122" s="72"/>
      <c r="BL122" s="72"/>
      <c r="BM122" s="72"/>
      <c r="BN122" s="72"/>
      <c r="BO122" s="72"/>
      <c r="BP122" s="72"/>
      <c r="BQ122" s="72"/>
      <c r="BR122" s="72"/>
      <c r="BS122" s="72"/>
      <c r="BT122" s="72"/>
      <c r="BU122" s="72"/>
      <c r="BV122" s="72"/>
      <c r="BW122" s="72"/>
      <c r="BX122" s="72"/>
      <c r="BY122" s="72"/>
      <c r="BZ122" s="72"/>
      <c r="CA122" s="72"/>
      <c r="CB122" s="72"/>
      <c r="CC122" s="72"/>
      <c r="CD122" s="72"/>
      <c r="CE122" s="72"/>
      <c r="CF122" s="72"/>
      <c r="CG122" s="72"/>
      <c r="CH122" s="72"/>
    </row>
    <row r="123" ht="15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  <c r="AT123" s="72"/>
      <c r="AU123" s="72"/>
      <c r="AV123" s="72"/>
      <c r="AW123" s="72"/>
      <c r="AX123" s="72"/>
      <c r="AY123" s="72"/>
      <c r="AZ123" s="72"/>
      <c r="BA123" s="72"/>
      <c r="BB123" s="72"/>
      <c r="BC123" s="72"/>
      <c r="BD123" s="72"/>
      <c r="BE123" s="72"/>
      <c r="BF123" s="72"/>
      <c r="BG123" s="72"/>
      <c r="BH123" s="72"/>
      <c r="BI123" s="72"/>
      <c r="BJ123" s="72"/>
      <c r="BK123" s="72"/>
      <c r="BL123" s="72"/>
      <c r="BM123" s="72"/>
      <c r="BN123" s="72"/>
      <c r="BO123" s="72"/>
      <c r="BP123" s="72"/>
      <c r="BQ123" s="72"/>
      <c r="BR123" s="72"/>
      <c r="BS123" s="72"/>
      <c r="BT123" s="72"/>
      <c r="BU123" s="72"/>
      <c r="BV123" s="72"/>
      <c r="BW123" s="72"/>
      <c r="BX123" s="72"/>
      <c r="BY123" s="72"/>
      <c r="BZ123" s="72"/>
      <c r="CA123" s="72"/>
      <c r="CB123" s="72"/>
      <c r="CC123" s="72"/>
      <c r="CD123" s="72"/>
      <c r="CE123" s="72"/>
      <c r="CF123" s="72"/>
      <c r="CG123" s="72"/>
      <c r="CH123" s="72"/>
    </row>
    <row r="124" ht="15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  <c r="AT124" s="72"/>
      <c r="AU124" s="72"/>
      <c r="AV124" s="72"/>
      <c r="AW124" s="72"/>
      <c r="AX124" s="72"/>
      <c r="AY124" s="72"/>
      <c r="AZ124" s="72"/>
      <c r="BA124" s="72"/>
      <c r="BB124" s="72"/>
      <c r="BC124" s="72"/>
      <c r="BD124" s="72"/>
      <c r="BE124" s="72"/>
      <c r="BF124" s="72"/>
      <c r="BG124" s="72"/>
      <c r="BH124" s="72"/>
      <c r="BI124" s="72"/>
      <c r="BJ124" s="72"/>
      <c r="BK124" s="72"/>
      <c r="BL124" s="72"/>
      <c r="BM124" s="72"/>
      <c r="BN124" s="72"/>
      <c r="BO124" s="72"/>
      <c r="BP124" s="72"/>
      <c r="BQ124" s="72"/>
      <c r="BR124" s="72"/>
      <c r="BS124" s="72"/>
      <c r="BT124" s="72"/>
      <c r="BU124" s="72"/>
      <c r="BV124" s="72"/>
      <c r="BW124" s="72"/>
      <c r="BX124" s="72"/>
      <c r="BY124" s="72"/>
      <c r="BZ124" s="72"/>
      <c r="CA124" s="72"/>
      <c r="CB124" s="72"/>
      <c r="CC124" s="72"/>
      <c r="CD124" s="72"/>
      <c r="CE124" s="72"/>
      <c r="CF124" s="72"/>
      <c r="CG124" s="72"/>
      <c r="CH124" s="72"/>
    </row>
    <row r="125" ht="15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  <c r="AT125" s="72"/>
      <c r="AU125" s="72"/>
      <c r="AV125" s="72"/>
      <c r="AW125" s="72"/>
      <c r="AX125" s="72"/>
      <c r="AY125" s="72"/>
      <c r="AZ125" s="72"/>
      <c r="BA125" s="72"/>
      <c r="BB125" s="72"/>
      <c r="BC125" s="72"/>
      <c r="BD125" s="72"/>
      <c r="BE125" s="72"/>
      <c r="BF125" s="72"/>
      <c r="BG125" s="72"/>
      <c r="BH125" s="72"/>
      <c r="BI125" s="72"/>
      <c r="BJ125" s="72"/>
      <c r="BK125" s="72"/>
      <c r="BL125" s="72"/>
      <c r="BM125" s="72"/>
      <c r="BN125" s="72"/>
      <c r="BO125" s="72"/>
      <c r="BP125" s="72"/>
      <c r="BQ125" s="72"/>
      <c r="BR125" s="72"/>
      <c r="BS125" s="72"/>
      <c r="BT125" s="72"/>
      <c r="BU125" s="72"/>
      <c r="BV125" s="72"/>
      <c r="BW125" s="72"/>
      <c r="BX125" s="72"/>
      <c r="BY125" s="72"/>
      <c r="BZ125" s="72"/>
      <c r="CA125" s="72"/>
      <c r="CB125" s="72"/>
      <c r="CC125" s="72"/>
      <c r="CD125" s="72"/>
      <c r="CE125" s="72"/>
      <c r="CF125" s="72"/>
      <c r="CG125" s="72"/>
      <c r="CH125" s="72"/>
    </row>
    <row r="126" ht="15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  <c r="AT126" s="72"/>
      <c r="AU126" s="72"/>
      <c r="AV126" s="72"/>
      <c r="AW126" s="72"/>
      <c r="AX126" s="72"/>
      <c r="AY126" s="72"/>
      <c r="AZ126" s="72"/>
      <c r="BA126" s="72"/>
      <c r="BB126" s="72"/>
      <c r="BC126" s="72"/>
      <c r="BD126" s="72"/>
      <c r="BE126" s="72"/>
      <c r="BF126" s="72"/>
      <c r="BG126" s="72"/>
      <c r="BH126" s="72"/>
      <c r="BI126" s="72"/>
      <c r="BJ126" s="72"/>
      <c r="BK126" s="72"/>
      <c r="BL126" s="72"/>
      <c r="BM126" s="72"/>
      <c r="BN126" s="72"/>
      <c r="BO126" s="72"/>
      <c r="BP126" s="72"/>
      <c r="BQ126" s="72"/>
      <c r="BR126" s="72"/>
      <c r="BS126" s="72"/>
      <c r="BT126" s="72"/>
      <c r="BU126" s="72"/>
      <c r="BV126" s="72"/>
      <c r="BW126" s="72"/>
      <c r="BX126" s="72"/>
      <c r="BY126" s="72"/>
      <c r="BZ126" s="72"/>
      <c r="CA126" s="72"/>
      <c r="CB126" s="72"/>
      <c r="CC126" s="72"/>
      <c r="CD126" s="72"/>
      <c r="CE126" s="72"/>
      <c r="CF126" s="72"/>
      <c r="CG126" s="72"/>
      <c r="CH126" s="72"/>
    </row>
    <row r="127" ht="15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  <c r="AT127" s="72"/>
      <c r="AU127" s="72"/>
      <c r="AV127" s="72"/>
      <c r="AW127" s="72"/>
      <c r="AX127" s="72"/>
      <c r="AY127" s="72"/>
      <c r="AZ127" s="72"/>
      <c r="BA127" s="72"/>
      <c r="BB127" s="72"/>
      <c r="BC127" s="72"/>
      <c r="BD127" s="72"/>
      <c r="BE127" s="72"/>
      <c r="BF127" s="72"/>
      <c r="BG127" s="72"/>
      <c r="BH127" s="72"/>
      <c r="BI127" s="72"/>
      <c r="BJ127" s="72"/>
      <c r="BK127" s="72"/>
      <c r="BL127" s="72"/>
      <c r="BM127" s="72"/>
      <c r="BN127" s="72"/>
      <c r="BO127" s="72"/>
      <c r="BP127" s="72"/>
      <c r="BQ127" s="72"/>
      <c r="BR127" s="72"/>
      <c r="BS127" s="72"/>
      <c r="BT127" s="72"/>
      <c r="BU127" s="72"/>
      <c r="BV127" s="72"/>
      <c r="BW127" s="72"/>
      <c r="BX127" s="72"/>
      <c r="BY127" s="72"/>
      <c r="BZ127" s="72"/>
      <c r="CA127" s="72"/>
      <c r="CB127" s="72"/>
      <c r="CC127" s="72"/>
      <c r="CD127" s="72"/>
      <c r="CE127" s="72"/>
      <c r="CF127" s="72"/>
      <c r="CG127" s="72"/>
      <c r="CH127" s="72"/>
    </row>
    <row r="128" ht="15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  <c r="AT128" s="72"/>
      <c r="AU128" s="72"/>
      <c r="AV128" s="72"/>
      <c r="AW128" s="72"/>
      <c r="AX128" s="72"/>
      <c r="AY128" s="72"/>
      <c r="AZ128" s="72"/>
      <c r="BA128" s="72"/>
      <c r="BB128" s="72"/>
      <c r="BC128" s="72"/>
      <c r="BD128" s="72"/>
      <c r="BE128" s="72"/>
      <c r="BF128" s="72"/>
      <c r="BG128" s="72"/>
      <c r="BH128" s="72"/>
      <c r="BI128" s="72"/>
      <c r="BJ128" s="72"/>
      <c r="BK128" s="72"/>
      <c r="BL128" s="72"/>
      <c r="BM128" s="72"/>
      <c r="BN128" s="72"/>
      <c r="BO128" s="72"/>
      <c r="BP128" s="72"/>
      <c r="BQ128" s="72"/>
      <c r="BR128" s="72"/>
      <c r="BS128" s="72"/>
      <c r="BT128" s="72"/>
      <c r="BU128" s="72"/>
      <c r="BV128" s="72"/>
      <c r="BW128" s="72"/>
      <c r="BX128" s="72"/>
      <c r="BY128" s="72"/>
      <c r="BZ128" s="72"/>
      <c r="CA128" s="72"/>
      <c r="CB128" s="72"/>
      <c r="CC128" s="72"/>
      <c r="CD128" s="72"/>
      <c r="CE128" s="72"/>
      <c r="CF128" s="72"/>
      <c r="CG128" s="72"/>
      <c r="CH128" s="72"/>
    </row>
    <row r="129" ht="15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  <c r="AT129" s="72"/>
      <c r="AU129" s="72"/>
      <c r="AV129" s="72"/>
      <c r="AW129" s="72"/>
      <c r="AX129" s="72"/>
      <c r="AY129" s="72"/>
      <c r="AZ129" s="72"/>
      <c r="BA129" s="72"/>
      <c r="BB129" s="72"/>
      <c r="BC129" s="72"/>
      <c r="BD129" s="72"/>
      <c r="BE129" s="72"/>
      <c r="BF129" s="72"/>
      <c r="BG129" s="72"/>
      <c r="BH129" s="72"/>
      <c r="BI129" s="72"/>
      <c r="BJ129" s="72"/>
      <c r="BK129" s="72"/>
      <c r="BL129" s="72"/>
      <c r="BM129" s="72"/>
      <c r="BN129" s="72"/>
      <c r="BO129" s="72"/>
      <c r="BP129" s="72"/>
      <c r="BQ129" s="72"/>
      <c r="BR129" s="72"/>
      <c r="BS129" s="72"/>
      <c r="BT129" s="72"/>
      <c r="BU129" s="72"/>
      <c r="BV129" s="72"/>
      <c r="BW129" s="72"/>
      <c r="BX129" s="72"/>
      <c r="BY129" s="72"/>
      <c r="BZ129" s="72"/>
      <c r="CA129" s="72"/>
      <c r="CB129" s="72"/>
      <c r="CC129" s="72"/>
      <c r="CD129" s="72"/>
      <c r="CE129" s="72"/>
      <c r="CF129" s="72"/>
      <c r="CG129" s="72"/>
      <c r="CH129" s="72"/>
    </row>
    <row r="130" ht="15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  <c r="AT130" s="72"/>
      <c r="AU130" s="72"/>
      <c r="AV130" s="72"/>
      <c r="AW130" s="72"/>
      <c r="AX130" s="72"/>
      <c r="AY130" s="72"/>
      <c r="AZ130" s="72"/>
      <c r="BA130" s="72"/>
      <c r="BB130" s="72"/>
      <c r="BC130" s="72"/>
      <c r="BD130" s="72"/>
      <c r="BE130" s="72"/>
      <c r="BF130" s="72"/>
      <c r="BG130" s="72"/>
      <c r="BH130" s="72"/>
      <c r="BI130" s="72"/>
      <c r="BJ130" s="72"/>
      <c r="BK130" s="72"/>
      <c r="BL130" s="72"/>
      <c r="BM130" s="72"/>
      <c r="BN130" s="72"/>
      <c r="BO130" s="72"/>
      <c r="BP130" s="72"/>
      <c r="BQ130" s="72"/>
      <c r="BR130" s="72"/>
      <c r="BS130" s="72"/>
      <c r="BT130" s="72"/>
      <c r="BU130" s="72"/>
      <c r="BV130" s="72"/>
      <c r="BW130" s="72"/>
      <c r="BX130" s="72"/>
      <c r="BY130" s="72"/>
      <c r="BZ130" s="72"/>
      <c r="CA130" s="72"/>
      <c r="CB130" s="72"/>
      <c r="CC130" s="72"/>
      <c r="CD130" s="72"/>
      <c r="CE130" s="72"/>
      <c r="CF130" s="72"/>
      <c r="CG130" s="72"/>
      <c r="CH130" s="72"/>
    </row>
    <row r="131" ht="15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  <c r="AT131" s="72"/>
      <c r="AU131" s="72"/>
      <c r="AV131" s="72"/>
      <c r="AW131" s="72"/>
      <c r="AX131" s="72"/>
      <c r="AY131" s="72"/>
      <c r="AZ131" s="72"/>
      <c r="BA131" s="72"/>
      <c r="BB131" s="72"/>
      <c r="BC131" s="72"/>
      <c r="BD131" s="72"/>
      <c r="BE131" s="72"/>
      <c r="BF131" s="72"/>
      <c r="BG131" s="72"/>
      <c r="BH131" s="72"/>
      <c r="BI131" s="72"/>
      <c r="BJ131" s="72"/>
      <c r="BK131" s="72"/>
      <c r="BL131" s="72"/>
      <c r="BM131" s="72"/>
      <c r="BN131" s="72"/>
      <c r="BO131" s="72"/>
      <c r="BP131" s="72"/>
      <c r="BQ131" s="72"/>
      <c r="BR131" s="72"/>
      <c r="BS131" s="72"/>
      <c r="BT131" s="72"/>
      <c r="BU131" s="72"/>
      <c r="BV131" s="72"/>
      <c r="BW131" s="72"/>
      <c r="BX131" s="72"/>
      <c r="BY131" s="72"/>
      <c r="BZ131" s="72"/>
      <c r="CA131" s="72"/>
      <c r="CB131" s="72"/>
      <c r="CC131" s="72"/>
      <c r="CD131" s="72"/>
      <c r="CE131" s="72"/>
      <c r="CF131" s="72"/>
      <c r="CG131" s="72"/>
      <c r="CH131" s="72"/>
    </row>
    <row r="132" ht="15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  <c r="BS132" s="72"/>
      <c r="BT132" s="72"/>
      <c r="BU132" s="72"/>
      <c r="BV132" s="72"/>
      <c r="BW132" s="72"/>
      <c r="BX132" s="72"/>
      <c r="BY132" s="72"/>
      <c r="BZ132" s="72"/>
      <c r="CA132" s="72"/>
      <c r="CB132" s="72"/>
      <c r="CC132" s="72"/>
      <c r="CD132" s="72"/>
      <c r="CE132" s="72"/>
      <c r="CF132" s="72"/>
      <c r="CG132" s="72"/>
      <c r="CH132" s="72"/>
    </row>
    <row r="133" ht="15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72"/>
      <c r="BU133" s="72"/>
      <c r="BV133" s="72"/>
      <c r="BW133" s="72"/>
      <c r="BX133" s="72"/>
      <c r="BY133" s="72"/>
      <c r="BZ133" s="72"/>
      <c r="CA133" s="72"/>
      <c r="CB133" s="72"/>
      <c r="CC133" s="72"/>
      <c r="CD133" s="72"/>
      <c r="CE133" s="72"/>
      <c r="CF133" s="72"/>
      <c r="CG133" s="72"/>
      <c r="CH133" s="72"/>
    </row>
    <row r="134" ht="15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  <c r="AT134" s="72"/>
      <c r="AU134" s="72"/>
      <c r="AV134" s="72"/>
      <c r="AW134" s="72"/>
      <c r="AX134" s="72"/>
      <c r="AY134" s="72"/>
      <c r="AZ134" s="72"/>
      <c r="BA134" s="72"/>
      <c r="BB134" s="72"/>
      <c r="BC134" s="72"/>
      <c r="BD134" s="72"/>
      <c r="BE134" s="72"/>
      <c r="BF134" s="72"/>
      <c r="BG134" s="72"/>
      <c r="BH134" s="72"/>
      <c r="BI134" s="72"/>
      <c r="BJ134" s="72"/>
      <c r="BK134" s="72"/>
      <c r="BL134" s="72"/>
      <c r="BM134" s="72"/>
      <c r="BN134" s="72"/>
      <c r="BO134" s="72"/>
      <c r="BP134" s="72"/>
      <c r="BQ134" s="72"/>
      <c r="BR134" s="72"/>
      <c r="BS134" s="72"/>
      <c r="BT134" s="72"/>
      <c r="BU134" s="72"/>
      <c r="BV134" s="72"/>
      <c r="BW134" s="72"/>
      <c r="BX134" s="72"/>
      <c r="BY134" s="72"/>
      <c r="BZ134" s="72"/>
      <c r="CA134" s="72"/>
      <c r="CB134" s="72"/>
      <c r="CC134" s="72"/>
      <c r="CD134" s="72"/>
      <c r="CE134" s="72"/>
      <c r="CF134" s="72"/>
      <c r="CG134" s="72"/>
      <c r="CH134" s="72"/>
    </row>
    <row r="135" ht="15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  <c r="AT135" s="72"/>
      <c r="AU135" s="72"/>
      <c r="AV135" s="72"/>
      <c r="AW135" s="72"/>
      <c r="AX135" s="72"/>
      <c r="AY135" s="72"/>
      <c r="AZ135" s="72"/>
      <c r="BA135" s="72"/>
      <c r="BB135" s="72"/>
      <c r="BC135" s="72"/>
      <c r="BD135" s="72"/>
      <c r="BE135" s="72"/>
      <c r="BF135" s="72"/>
      <c r="BG135" s="72"/>
      <c r="BH135" s="72"/>
      <c r="BI135" s="72"/>
      <c r="BJ135" s="72"/>
      <c r="BK135" s="72"/>
      <c r="BL135" s="72"/>
      <c r="BM135" s="72"/>
      <c r="BN135" s="72"/>
      <c r="BO135" s="72"/>
      <c r="BP135" s="72"/>
      <c r="BQ135" s="72"/>
      <c r="BR135" s="72"/>
      <c r="BS135" s="72"/>
      <c r="BT135" s="72"/>
      <c r="BU135" s="72"/>
      <c r="BV135" s="72"/>
      <c r="BW135" s="72"/>
      <c r="BX135" s="72"/>
      <c r="BY135" s="72"/>
      <c r="BZ135" s="72"/>
      <c r="CA135" s="72"/>
      <c r="CB135" s="72"/>
      <c r="CC135" s="72"/>
      <c r="CD135" s="72"/>
      <c r="CE135" s="72"/>
      <c r="CF135" s="72"/>
      <c r="CG135" s="72"/>
      <c r="CH135" s="72"/>
    </row>
    <row r="136" ht="15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  <c r="AT136" s="72"/>
      <c r="AU136" s="72"/>
      <c r="AV136" s="72"/>
      <c r="AW136" s="72"/>
      <c r="AX136" s="72"/>
      <c r="AY136" s="72"/>
      <c r="AZ136" s="72"/>
      <c r="BA136" s="72"/>
      <c r="BB136" s="72"/>
      <c r="BC136" s="72"/>
      <c r="BD136" s="72"/>
      <c r="BE136" s="72"/>
      <c r="BF136" s="72"/>
      <c r="BG136" s="72"/>
      <c r="BH136" s="72"/>
      <c r="BI136" s="72"/>
      <c r="BJ136" s="72"/>
      <c r="BK136" s="72"/>
      <c r="BL136" s="72"/>
      <c r="BM136" s="72"/>
      <c r="BN136" s="72"/>
      <c r="BO136" s="72"/>
      <c r="BP136" s="72"/>
      <c r="BQ136" s="72"/>
      <c r="BR136" s="72"/>
      <c r="BS136" s="72"/>
      <c r="BT136" s="72"/>
      <c r="BU136" s="72"/>
      <c r="BV136" s="72"/>
      <c r="BW136" s="72"/>
      <c r="BX136" s="72"/>
      <c r="BY136" s="72"/>
      <c r="BZ136" s="72"/>
      <c r="CA136" s="72"/>
      <c r="CB136" s="72"/>
      <c r="CC136" s="72"/>
      <c r="CD136" s="72"/>
      <c r="CE136" s="72"/>
      <c r="CF136" s="72"/>
      <c r="CG136" s="72"/>
      <c r="CH136" s="72"/>
    </row>
    <row r="137" ht="15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  <c r="AT137" s="72"/>
      <c r="AU137" s="72"/>
      <c r="AV137" s="72"/>
      <c r="AW137" s="72"/>
      <c r="AX137" s="72"/>
      <c r="AY137" s="72"/>
      <c r="AZ137" s="72"/>
      <c r="BA137" s="72"/>
      <c r="BB137" s="72"/>
      <c r="BC137" s="72"/>
      <c r="BD137" s="72"/>
      <c r="BE137" s="72"/>
      <c r="BF137" s="72"/>
      <c r="BG137" s="72"/>
      <c r="BH137" s="72"/>
      <c r="BI137" s="72"/>
      <c r="BJ137" s="72"/>
      <c r="BK137" s="72"/>
      <c r="BL137" s="72"/>
      <c r="BM137" s="72"/>
      <c r="BN137" s="72"/>
      <c r="BO137" s="72"/>
      <c r="BP137" s="72"/>
      <c r="BQ137" s="72"/>
      <c r="BR137" s="72"/>
      <c r="BS137" s="72"/>
      <c r="BT137" s="72"/>
      <c r="BU137" s="72"/>
      <c r="BV137" s="72"/>
      <c r="BW137" s="72"/>
      <c r="BX137" s="72"/>
      <c r="BY137" s="72"/>
      <c r="BZ137" s="72"/>
      <c r="CA137" s="72"/>
      <c r="CB137" s="72"/>
      <c r="CC137" s="72"/>
      <c r="CD137" s="72"/>
      <c r="CE137" s="72"/>
      <c r="CF137" s="72"/>
      <c r="CG137" s="72"/>
      <c r="CH137" s="72"/>
    </row>
    <row r="138" ht="15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/>
      <c r="BN138" s="72"/>
      <c r="BO138" s="72"/>
      <c r="BP138" s="72"/>
      <c r="BQ138" s="72"/>
      <c r="BR138" s="72"/>
      <c r="BS138" s="72"/>
      <c r="BT138" s="72"/>
      <c r="BU138" s="72"/>
      <c r="BV138" s="72"/>
      <c r="BW138" s="72"/>
      <c r="BX138" s="72"/>
      <c r="BY138" s="72"/>
      <c r="BZ138" s="72"/>
      <c r="CA138" s="72"/>
      <c r="CB138" s="72"/>
      <c r="CC138" s="72"/>
      <c r="CD138" s="72"/>
      <c r="CE138" s="72"/>
      <c r="CF138" s="72"/>
      <c r="CG138" s="72"/>
      <c r="CH138" s="72"/>
    </row>
    <row r="139" ht="15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/>
      <c r="BN139" s="72"/>
      <c r="BO139" s="72"/>
      <c r="BP139" s="72"/>
      <c r="BQ139" s="72"/>
      <c r="BR139" s="72"/>
      <c r="BS139" s="72"/>
      <c r="BT139" s="72"/>
      <c r="BU139" s="72"/>
      <c r="BV139" s="72"/>
      <c r="BW139" s="72"/>
      <c r="BX139" s="72"/>
      <c r="BY139" s="72"/>
      <c r="BZ139" s="72"/>
      <c r="CA139" s="72"/>
      <c r="CB139" s="72"/>
      <c r="CC139" s="72"/>
      <c r="CD139" s="72"/>
      <c r="CE139" s="72"/>
      <c r="CF139" s="72"/>
      <c r="CG139" s="72"/>
      <c r="CH139" s="72"/>
    </row>
    <row r="140" ht="15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  <c r="AT140" s="72"/>
      <c r="AU140" s="72"/>
      <c r="AV140" s="72"/>
      <c r="AW140" s="72"/>
      <c r="AX140" s="72"/>
      <c r="AY140" s="72"/>
      <c r="AZ140" s="72"/>
      <c r="BA140" s="72"/>
      <c r="BB140" s="72"/>
      <c r="BC140" s="72"/>
      <c r="BD140" s="72"/>
      <c r="BE140" s="72"/>
      <c r="BF140" s="72"/>
      <c r="BG140" s="72"/>
      <c r="BH140" s="72"/>
      <c r="BI140" s="72"/>
      <c r="BJ140" s="72"/>
      <c r="BK140" s="72"/>
      <c r="BL140" s="72"/>
      <c r="BM140" s="72"/>
      <c r="BN140" s="72"/>
      <c r="BO140" s="72"/>
      <c r="BP140" s="72"/>
      <c r="BQ140" s="72"/>
      <c r="BR140" s="72"/>
      <c r="BS140" s="72"/>
      <c r="BT140" s="72"/>
      <c r="BU140" s="72"/>
      <c r="BV140" s="72"/>
      <c r="BW140" s="72"/>
      <c r="BX140" s="72"/>
      <c r="BY140" s="72"/>
      <c r="BZ140" s="72"/>
      <c r="CA140" s="72"/>
      <c r="CB140" s="72"/>
      <c r="CC140" s="72"/>
      <c r="CD140" s="72"/>
      <c r="CE140" s="72"/>
      <c r="CF140" s="72"/>
      <c r="CG140" s="72"/>
      <c r="CH140" s="72"/>
    </row>
    <row r="141" ht="15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  <c r="AT141" s="72"/>
      <c r="AU141" s="72"/>
      <c r="AV141" s="72"/>
      <c r="AW141" s="72"/>
      <c r="AX141" s="72"/>
      <c r="AY141" s="72"/>
      <c r="AZ141" s="72"/>
      <c r="BA141" s="72"/>
      <c r="BB141" s="72"/>
      <c r="BC141" s="72"/>
      <c r="BD141" s="72"/>
      <c r="BE141" s="72"/>
      <c r="BF141" s="72"/>
      <c r="BG141" s="72"/>
      <c r="BH141" s="72"/>
      <c r="BI141" s="72"/>
      <c r="BJ141" s="72"/>
      <c r="BK141" s="72"/>
      <c r="BL141" s="72"/>
      <c r="BM141" s="72"/>
      <c r="BN141" s="72"/>
      <c r="BO141" s="72"/>
      <c r="BP141" s="72"/>
      <c r="BQ141" s="72"/>
      <c r="BR141" s="72"/>
      <c r="BS141" s="72"/>
      <c r="BT141" s="72"/>
      <c r="BU141" s="72"/>
      <c r="BV141" s="72"/>
      <c r="BW141" s="72"/>
      <c r="BX141" s="72"/>
      <c r="BY141" s="72"/>
      <c r="BZ141" s="72"/>
      <c r="CA141" s="72"/>
      <c r="CB141" s="72"/>
      <c r="CC141" s="72"/>
      <c r="CD141" s="72"/>
      <c r="CE141" s="72"/>
      <c r="CF141" s="72"/>
      <c r="CG141" s="72"/>
      <c r="CH141" s="72"/>
    </row>
    <row r="142" ht="15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  <c r="AT142" s="72"/>
      <c r="AU142" s="72"/>
      <c r="AV142" s="72"/>
      <c r="AW142" s="72"/>
      <c r="AX142" s="72"/>
      <c r="AY142" s="72"/>
      <c r="AZ142" s="72"/>
      <c r="BA142" s="72"/>
      <c r="BB142" s="72"/>
      <c r="BC142" s="72"/>
      <c r="BD142" s="72"/>
      <c r="BE142" s="72"/>
      <c r="BF142" s="72"/>
      <c r="BG142" s="72"/>
      <c r="BH142" s="72"/>
      <c r="BI142" s="72"/>
      <c r="BJ142" s="72"/>
      <c r="BK142" s="72"/>
      <c r="BL142" s="72"/>
      <c r="BM142" s="72"/>
      <c r="BN142" s="72"/>
      <c r="BO142" s="72"/>
      <c r="BP142" s="72"/>
      <c r="BQ142" s="72"/>
      <c r="BR142" s="72"/>
      <c r="BS142" s="72"/>
      <c r="BT142" s="72"/>
      <c r="BU142" s="72"/>
      <c r="BV142" s="72"/>
      <c r="BW142" s="72"/>
      <c r="BX142" s="72"/>
      <c r="BY142" s="72"/>
      <c r="BZ142" s="72"/>
      <c r="CA142" s="72"/>
      <c r="CB142" s="72"/>
      <c r="CC142" s="72"/>
      <c r="CD142" s="72"/>
      <c r="CE142" s="72"/>
      <c r="CF142" s="72"/>
      <c r="CG142" s="72"/>
      <c r="CH142" s="72"/>
    </row>
    <row r="143" ht="15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  <c r="AT143" s="72"/>
      <c r="AU143" s="72"/>
      <c r="AV143" s="72"/>
      <c r="AW143" s="72"/>
      <c r="AX143" s="72"/>
      <c r="AY143" s="72"/>
      <c r="AZ143" s="72"/>
      <c r="BA143" s="72"/>
      <c r="BB143" s="72"/>
      <c r="BC143" s="72"/>
      <c r="BD143" s="72"/>
      <c r="BE143" s="72"/>
      <c r="BF143" s="72"/>
      <c r="BG143" s="72"/>
      <c r="BH143" s="72"/>
      <c r="BI143" s="72"/>
      <c r="BJ143" s="72"/>
      <c r="BK143" s="72"/>
      <c r="BL143" s="72"/>
      <c r="BM143" s="72"/>
      <c r="BN143" s="72"/>
      <c r="BO143" s="72"/>
      <c r="BP143" s="72"/>
      <c r="BQ143" s="72"/>
      <c r="BR143" s="72"/>
      <c r="BS143" s="72"/>
      <c r="BT143" s="72"/>
      <c r="BU143" s="72"/>
      <c r="BV143" s="72"/>
      <c r="BW143" s="72"/>
      <c r="BX143" s="72"/>
      <c r="BY143" s="72"/>
      <c r="BZ143" s="72"/>
      <c r="CA143" s="72"/>
      <c r="CB143" s="72"/>
      <c r="CC143" s="72"/>
      <c r="CD143" s="72"/>
      <c r="CE143" s="72"/>
      <c r="CF143" s="72"/>
      <c r="CG143" s="72"/>
      <c r="CH143" s="72"/>
    </row>
    <row r="144" ht="15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  <c r="AT144" s="72"/>
      <c r="AU144" s="72"/>
      <c r="AV144" s="72"/>
      <c r="AW144" s="72"/>
      <c r="AX144" s="72"/>
      <c r="AY144" s="72"/>
      <c r="AZ144" s="72"/>
      <c r="BA144" s="72"/>
      <c r="BB144" s="72"/>
      <c r="BC144" s="72"/>
      <c r="BD144" s="72"/>
      <c r="BE144" s="72"/>
      <c r="BF144" s="72"/>
      <c r="BG144" s="72"/>
      <c r="BH144" s="72"/>
      <c r="BI144" s="72"/>
      <c r="BJ144" s="72"/>
      <c r="BK144" s="72"/>
      <c r="BL144" s="72"/>
      <c r="BM144" s="72"/>
      <c r="BN144" s="72"/>
      <c r="BO144" s="72"/>
      <c r="BP144" s="72"/>
      <c r="BQ144" s="72"/>
      <c r="BR144" s="72"/>
      <c r="BS144" s="72"/>
      <c r="BT144" s="72"/>
      <c r="BU144" s="72"/>
      <c r="BV144" s="72"/>
      <c r="BW144" s="72"/>
      <c r="BX144" s="72"/>
      <c r="BY144" s="72"/>
      <c r="BZ144" s="72"/>
      <c r="CA144" s="72"/>
      <c r="CB144" s="72"/>
      <c r="CC144" s="72"/>
      <c r="CD144" s="72"/>
      <c r="CE144" s="72"/>
      <c r="CF144" s="72"/>
      <c r="CG144" s="72"/>
      <c r="CH144" s="72"/>
    </row>
    <row r="145" ht="15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  <c r="AT145" s="72"/>
      <c r="AU145" s="72"/>
      <c r="AV145" s="72"/>
      <c r="AW145" s="72"/>
      <c r="AX145" s="72"/>
      <c r="AY145" s="72"/>
      <c r="AZ145" s="72"/>
      <c r="BA145" s="72"/>
      <c r="BB145" s="72"/>
      <c r="BC145" s="72"/>
      <c r="BD145" s="72"/>
      <c r="BE145" s="72"/>
      <c r="BF145" s="72"/>
      <c r="BG145" s="72"/>
      <c r="BH145" s="72"/>
      <c r="BI145" s="72"/>
      <c r="BJ145" s="72"/>
      <c r="BK145" s="72"/>
      <c r="BL145" s="72"/>
      <c r="BM145" s="72"/>
      <c r="BN145" s="72"/>
      <c r="BO145" s="72"/>
      <c r="BP145" s="72"/>
      <c r="BQ145" s="72"/>
      <c r="BR145" s="72"/>
      <c r="BS145" s="72"/>
      <c r="BT145" s="72"/>
      <c r="BU145" s="72"/>
      <c r="BV145" s="72"/>
      <c r="BW145" s="72"/>
      <c r="BX145" s="72"/>
      <c r="BY145" s="72"/>
      <c r="BZ145" s="72"/>
      <c r="CA145" s="72"/>
      <c r="CB145" s="72"/>
      <c r="CC145" s="72"/>
      <c r="CD145" s="72"/>
      <c r="CE145" s="72"/>
      <c r="CF145" s="72"/>
      <c r="CG145" s="72"/>
      <c r="CH145" s="72"/>
    </row>
    <row r="146" ht="15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  <c r="AT146" s="72"/>
      <c r="AU146" s="72"/>
      <c r="AV146" s="72"/>
      <c r="AW146" s="72"/>
      <c r="AX146" s="72"/>
      <c r="AY146" s="72"/>
      <c r="AZ146" s="72"/>
      <c r="BA146" s="72"/>
      <c r="BB146" s="72"/>
      <c r="BC146" s="72"/>
      <c r="BD146" s="72"/>
      <c r="BE146" s="72"/>
      <c r="BF146" s="72"/>
      <c r="BG146" s="72"/>
      <c r="BH146" s="72"/>
      <c r="BI146" s="72"/>
      <c r="BJ146" s="72"/>
      <c r="BK146" s="72"/>
      <c r="BL146" s="72"/>
      <c r="BM146" s="72"/>
      <c r="BN146" s="72"/>
      <c r="BO146" s="72"/>
      <c r="BP146" s="72"/>
      <c r="BQ146" s="72"/>
      <c r="BR146" s="72"/>
      <c r="BS146" s="72"/>
      <c r="BT146" s="72"/>
      <c r="BU146" s="72"/>
      <c r="BV146" s="72"/>
      <c r="BW146" s="72"/>
      <c r="BX146" s="72"/>
      <c r="BY146" s="72"/>
      <c r="BZ146" s="72"/>
      <c r="CA146" s="72"/>
      <c r="CB146" s="72"/>
      <c r="CC146" s="72"/>
      <c r="CD146" s="72"/>
      <c r="CE146" s="72"/>
      <c r="CF146" s="72"/>
      <c r="CG146" s="72"/>
      <c r="CH146" s="72"/>
    </row>
    <row r="147" ht="15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  <c r="AT147" s="72"/>
      <c r="AU147" s="72"/>
      <c r="AV147" s="72"/>
      <c r="AW147" s="72"/>
      <c r="AX147" s="72"/>
      <c r="AY147" s="72"/>
      <c r="AZ147" s="72"/>
      <c r="BA147" s="72"/>
      <c r="BB147" s="72"/>
      <c r="BC147" s="72"/>
      <c r="BD147" s="72"/>
      <c r="BE147" s="72"/>
      <c r="BF147" s="72"/>
      <c r="BG147" s="72"/>
      <c r="BH147" s="72"/>
      <c r="BI147" s="72"/>
      <c r="BJ147" s="72"/>
      <c r="BK147" s="72"/>
      <c r="BL147" s="72"/>
      <c r="BM147" s="72"/>
      <c r="BN147" s="72"/>
      <c r="BO147" s="72"/>
      <c r="BP147" s="72"/>
      <c r="BQ147" s="72"/>
      <c r="BR147" s="72"/>
      <c r="BS147" s="72"/>
      <c r="BT147" s="72"/>
      <c r="BU147" s="72"/>
      <c r="BV147" s="72"/>
      <c r="BW147" s="72"/>
      <c r="BX147" s="72"/>
      <c r="BY147" s="72"/>
      <c r="BZ147" s="72"/>
      <c r="CA147" s="72"/>
      <c r="CB147" s="72"/>
      <c r="CC147" s="72"/>
      <c r="CD147" s="72"/>
      <c r="CE147" s="72"/>
      <c r="CF147" s="72"/>
      <c r="CG147" s="72"/>
      <c r="CH147" s="72"/>
    </row>
    <row r="148" ht="15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  <c r="AT148" s="72"/>
      <c r="AU148" s="72"/>
      <c r="AV148" s="72"/>
      <c r="AW148" s="72"/>
      <c r="AX148" s="72"/>
      <c r="AY148" s="72"/>
      <c r="AZ148" s="72"/>
      <c r="BA148" s="72"/>
      <c r="BB148" s="72"/>
      <c r="BC148" s="72"/>
      <c r="BD148" s="72"/>
      <c r="BE148" s="72"/>
      <c r="BF148" s="72"/>
      <c r="BG148" s="72"/>
      <c r="BH148" s="72"/>
      <c r="BI148" s="72"/>
      <c r="BJ148" s="72"/>
      <c r="BK148" s="72"/>
      <c r="BL148" s="72"/>
      <c r="BM148" s="72"/>
      <c r="BN148" s="72"/>
      <c r="BO148" s="72"/>
      <c r="BP148" s="72"/>
      <c r="BQ148" s="72"/>
      <c r="BR148" s="72"/>
      <c r="BS148" s="72"/>
      <c r="BT148" s="72"/>
      <c r="BU148" s="72"/>
      <c r="BV148" s="72"/>
      <c r="BW148" s="72"/>
      <c r="BX148" s="72"/>
      <c r="BY148" s="72"/>
      <c r="BZ148" s="72"/>
      <c r="CA148" s="72"/>
      <c r="CB148" s="72"/>
      <c r="CC148" s="72"/>
      <c r="CD148" s="72"/>
      <c r="CE148" s="72"/>
      <c r="CF148" s="72"/>
      <c r="CG148" s="72"/>
      <c r="CH148" s="72"/>
    </row>
    <row r="149" ht="15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  <c r="AT149" s="72"/>
      <c r="AU149" s="72"/>
      <c r="AV149" s="72"/>
      <c r="AW149" s="72"/>
      <c r="AX149" s="72"/>
      <c r="AY149" s="72"/>
      <c r="AZ149" s="72"/>
      <c r="BA149" s="72"/>
      <c r="BB149" s="72"/>
      <c r="BC149" s="72"/>
      <c r="BD149" s="72"/>
      <c r="BE149" s="72"/>
      <c r="BF149" s="72"/>
      <c r="BG149" s="72"/>
      <c r="BH149" s="72"/>
      <c r="BI149" s="72"/>
      <c r="BJ149" s="72"/>
      <c r="BK149" s="72"/>
      <c r="BL149" s="72"/>
      <c r="BM149" s="72"/>
      <c r="BN149" s="72"/>
      <c r="BO149" s="72"/>
      <c r="BP149" s="72"/>
      <c r="BQ149" s="72"/>
      <c r="BR149" s="72"/>
      <c r="BS149" s="72"/>
      <c r="BT149" s="72"/>
      <c r="BU149" s="72"/>
      <c r="BV149" s="72"/>
      <c r="BW149" s="72"/>
      <c r="BX149" s="72"/>
      <c r="BY149" s="72"/>
      <c r="BZ149" s="72"/>
      <c r="CA149" s="72"/>
      <c r="CB149" s="72"/>
      <c r="CC149" s="72"/>
      <c r="CD149" s="72"/>
      <c r="CE149" s="72"/>
      <c r="CF149" s="72"/>
      <c r="CG149" s="72"/>
      <c r="CH149" s="72"/>
    </row>
    <row r="150" ht="15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  <c r="AT150" s="72"/>
      <c r="AU150" s="72"/>
      <c r="AV150" s="72"/>
      <c r="AW150" s="72"/>
      <c r="AX150" s="72"/>
      <c r="AY150" s="72"/>
      <c r="AZ150" s="72"/>
      <c r="BA150" s="72"/>
      <c r="BB150" s="72"/>
      <c r="BC150" s="72"/>
      <c r="BD150" s="72"/>
      <c r="BE150" s="72"/>
      <c r="BF150" s="72"/>
      <c r="BG150" s="72"/>
      <c r="BH150" s="72"/>
      <c r="BI150" s="72"/>
      <c r="BJ150" s="72"/>
      <c r="BK150" s="72"/>
      <c r="BL150" s="72"/>
      <c r="BM150" s="72"/>
      <c r="BN150" s="72"/>
      <c r="BO150" s="72"/>
      <c r="BP150" s="72"/>
      <c r="BQ150" s="72"/>
      <c r="BR150" s="72"/>
      <c r="BS150" s="72"/>
      <c r="BT150" s="72"/>
      <c r="BU150" s="72"/>
      <c r="BV150" s="72"/>
      <c r="BW150" s="72"/>
      <c r="BX150" s="72"/>
      <c r="BY150" s="72"/>
      <c r="BZ150" s="72"/>
      <c r="CA150" s="72"/>
      <c r="CB150" s="72"/>
      <c r="CC150" s="72"/>
      <c r="CD150" s="72"/>
      <c r="CE150" s="72"/>
      <c r="CF150" s="72"/>
      <c r="CG150" s="72"/>
      <c r="CH150" s="72"/>
    </row>
    <row r="151" ht="15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  <c r="AT151" s="72"/>
      <c r="AU151" s="72"/>
      <c r="AV151" s="72"/>
      <c r="AW151" s="72"/>
      <c r="AX151" s="72"/>
      <c r="AY151" s="72"/>
      <c r="AZ151" s="72"/>
      <c r="BA151" s="72"/>
      <c r="BB151" s="72"/>
      <c r="BC151" s="72"/>
      <c r="BD151" s="72"/>
      <c r="BE151" s="72"/>
      <c r="BF151" s="72"/>
      <c r="BG151" s="72"/>
      <c r="BH151" s="72"/>
      <c r="BI151" s="72"/>
      <c r="BJ151" s="72"/>
      <c r="BK151" s="72"/>
      <c r="BL151" s="72"/>
      <c r="BM151" s="72"/>
      <c r="BN151" s="72"/>
      <c r="BO151" s="72"/>
      <c r="BP151" s="72"/>
      <c r="BQ151" s="72"/>
      <c r="BR151" s="72"/>
      <c r="BS151" s="72"/>
      <c r="BT151" s="72"/>
      <c r="BU151" s="72"/>
      <c r="BV151" s="72"/>
      <c r="BW151" s="72"/>
      <c r="BX151" s="72"/>
      <c r="BY151" s="72"/>
      <c r="BZ151" s="72"/>
      <c r="CA151" s="72"/>
      <c r="CB151" s="72"/>
      <c r="CC151" s="72"/>
      <c r="CD151" s="72"/>
      <c r="CE151" s="72"/>
      <c r="CF151" s="72"/>
      <c r="CG151" s="72"/>
      <c r="CH151" s="72"/>
    </row>
    <row r="152" ht="15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  <c r="AT152" s="72"/>
      <c r="AU152" s="72"/>
      <c r="AV152" s="72"/>
      <c r="AW152" s="72"/>
      <c r="AX152" s="72"/>
      <c r="AY152" s="72"/>
      <c r="AZ152" s="72"/>
      <c r="BA152" s="72"/>
      <c r="BB152" s="72"/>
      <c r="BC152" s="72"/>
      <c r="BD152" s="72"/>
      <c r="BE152" s="72"/>
      <c r="BF152" s="72"/>
      <c r="BG152" s="72"/>
      <c r="BH152" s="72"/>
      <c r="BI152" s="72"/>
      <c r="BJ152" s="72"/>
      <c r="BK152" s="72"/>
      <c r="BL152" s="72"/>
      <c r="BM152" s="72"/>
      <c r="BN152" s="72"/>
      <c r="BO152" s="72"/>
      <c r="BP152" s="72"/>
      <c r="BQ152" s="72"/>
      <c r="BR152" s="72"/>
      <c r="BS152" s="72"/>
      <c r="BT152" s="72"/>
      <c r="BU152" s="72"/>
      <c r="BV152" s="72"/>
      <c r="BW152" s="72"/>
      <c r="BX152" s="72"/>
      <c r="BY152" s="72"/>
      <c r="BZ152" s="72"/>
      <c r="CA152" s="72"/>
      <c r="CB152" s="72"/>
      <c r="CC152" s="72"/>
      <c r="CD152" s="72"/>
      <c r="CE152" s="72"/>
      <c r="CF152" s="72"/>
      <c r="CG152" s="72"/>
      <c r="CH152" s="72"/>
    </row>
    <row r="153" ht="15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/>
      <c r="BM153" s="72"/>
      <c r="BN153" s="72"/>
      <c r="BO153" s="72"/>
      <c r="BP153" s="72"/>
      <c r="BQ153" s="72"/>
      <c r="BR153" s="72"/>
      <c r="BS153" s="72"/>
      <c r="BT153" s="72"/>
      <c r="BU153" s="72"/>
      <c r="BV153" s="72"/>
      <c r="BW153" s="72"/>
      <c r="BX153" s="72"/>
      <c r="BY153" s="72"/>
      <c r="BZ153" s="72"/>
      <c r="CA153" s="72"/>
      <c r="CB153" s="72"/>
      <c r="CC153" s="72"/>
      <c r="CD153" s="72"/>
      <c r="CE153" s="72"/>
      <c r="CF153" s="72"/>
      <c r="CG153" s="72"/>
      <c r="CH153" s="72"/>
    </row>
    <row r="154" ht="15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/>
      <c r="BM154" s="72"/>
      <c r="BN154" s="72"/>
      <c r="BO154" s="72"/>
      <c r="BP154" s="72"/>
      <c r="BQ154" s="72"/>
      <c r="BR154" s="72"/>
      <c r="BS154" s="72"/>
      <c r="BT154" s="72"/>
      <c r="BU154" s="72"/>
      <c r="BV154" s="72"/>
      <c r="BW154" s="72"/>
      <c r="BX154" s="72"/>
      <c r="BY154" s="72"/>
      <c r="BZ154" s="72"/>
      <c r="CA154" s="72"/>
      <c r="CB154" s="72"/>
      <c r="CC154" s="72"/>
      <c r="CD154" s="72"/>
      <c r="CE154" s="72"/>
      <c r="CF154" s="72"/>
      <c r="CG154" s="72"/>
      <c r="CH154" s="72"/>
    </row>
    <row r="155" ht="15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/>
      <c r="BM155" s="72"/>
      <c r="BN155" s="72"/>
      <c r="BO155" s="72"/>
      <c r="BP155" s="72"/>
      <c r="BQ155" s="72"/>
      <c r="BR155" s="72"/>
      <c r="BS155" s="72"/>
      <c r="BT155" s="72"/>
      <c r="BU155" s="72"/>
      <c r="BV155" s="72"/>
      <c r="BW155" s="72"/>
      <c r="BX155" s="72"/>
      <c r="BY155" s="72"/>
      <c r="BZ155" s="72"/>
      <c r="CA155" s="72"/>
      <c r="CB155" s="72"/>
      <c r="CC155" s="72"/>
      <c r="CD155" s="72"/>
      <c r="CE155" s="72"/>
      <c r="CF155" s="72"/>
      <c r="CG155" s="72"/>
      <c r="CH155" s="72"/>
    </row>
    <row r="156" ht="15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/>
      <c r="BM156" s="72"/>
      <c r="BN156" s="72"/>
      <c r="BO156" s="72"/>
      <c r="BP156" s="72"/>
      <c r="BQ156" s="72"/>
      <c r="BR156" s="72"/>
      <c r="BS156" s="72"/>
      <c r="BT156" s="72"/>
      <c r="BU156" s="72"/>
      <c r="BV156" s="72"/>
      <c r="BW156" s="72"/>
      <c r="BX156" s="72"/>
      <c r="BY156" s="72"/>
      <c r="BZ156" s="72"/>
      <c r="CA156" s="72"/>
      <c r="CB156" s="72"/>
      <c r="CC156" s="72"/>
      <c r="CD156" s="72"/>
      <c r="CE156" s="72"/>
      <c r="CF156" s="72"/>
      <c r="CG156" s="72"/>
      <c r="CH156" s="72"/>
    </row>
    <row r="157" ht="15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/>
      <c r="BM157" s="72"/>
      <c r="BN157" s="72"/>
      <c r="BO157" s="72"/>
      <c r="BP157" s="72"/>
      <c r="BQ157" s="72"/>
      <c r="BR157" s="72"/>
      <c r="BS157" s="72"/>
      <c r="BT157" s="72"/>
      <c r="BU157" s="72"/>
      <c r="BV157" s="72"/>
      <c r="BW157" s="72"/>
      <c r="BX157" s="72"/>
      <c r="BY157" s="72"/>
      <c r="BZ157" s="72"/>
      <c r="CA157" s="72"/>
      <c r="CB157" s="72"/>
      <c r="CC157" s="72"/>
      <c r="CD157" s="72"/>
      <c r="CE157" s="72"/>
      <c r="CF157" s="72"/>
      <c r="CG157" s="72"/>
      <c r="CH157" s="72"/>
    </row>
    <row r="158" ht="15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/>
      <c r="BN158" s="72"/>
      <c r="BO158" s="72"/>
      <c r="BP158" s="72"/>
      <c r="BQ158" s="72"/>
      <c r="BR158" s="72"/>
      <c r="BS158" s="72"/>
      <c r="BT158" s="72"/>
      <c r="BU158" s="72"/>
      <c r="BV158" s="72"/>
      <c r="BW158" s="72"/>
      <c r="BX158" s="72"/>
      <c r="BY158" s="72"/>
      <c r="BZ158" s="72"/>
      <c r="CA158" s="72"/>
      <c r="CB158" s="72"/>
      <c r="CC158" s="72"/>
      <c r="CD158" s="72"/>
      <c r="CE158" s="72"/>
      <c r="CF158" s="72"/>
      <c r="CG158" s="72"/>
      <c r="CH158" s="72"/>
    </row>
    <row r="159" ht="15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/>
      <c r="BN159" s="72"/>
      <c r="BO159" s="72"/>
      <c r="BP159" s="72"/>
      <c r="BQ159" s="72"/>
      <c r="BR159" s="72"/>
      <c r="BS159" s="72"/>
      <c r="BT159" s="72"/>
      <c r="BU159" s="72"/>
      <c r="BV159" s="72"/>
      <c r="BW159" s="72"/>
      <c r="BX159" s="72"/>
      <c r="BY159" s="72"/>
      <c r="BZ159" s="72"/>
      <c r="CA159" s="72"/>
      <c r="CB159" s="72"/>
      <c r="CC159" s="72"/>
      <c r="CD159" s="72"/>
      <c r="CE159" s="72"/>
      <c r="CF159" s="72"/>
      <c r="CG159" s="72"/>
      <c r="CH159" s="72"/>
    </row>
    <row r="160" ht="15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/>
      <c r="BN160" s="72"/>
      <c r="BO160" s="72"/>
      <c r="BP160" s="72"/>
      <c r="BQ160" s="72"/>
      <c r="BR160" s="72"/>
      <c r="BS160" s="72"/>
      <c r="BT160" s="72"/>
      <c r="BU160" s="72"/>
      <c r="BV160" s="72"/>
      <c r="BW160" s="72"/>
      <c r="BX160" s="72"/>
      <c r="BY160" s="72"/>
      <c r="BZ160" s="72"/>
      <c r="CA160" s="72"/>
      <c r="CB160" s="72"/>
      <c r="CC160" s="72"/>
      <c r="CD160" s="72"/>
      <c r="CE160" s="72"/>
      <c r="CF160" s="72"/>
      <c r="CG160" s="72"/>
      <c r="CH160" s="72"/>
    </row>
    <row r="161" ht="15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/>
      <c r="BN161" s="72"/>
      <c r="BO161" s="72"/>
      <c r="BP161" s="72"/>
      <c r="BQ161" s="72"/>
      <c r="BR161" s="72"/>
      <c r="BS161" s="72"/>
      <c r="BT161" s="72"/>
      <c r="BU161" s="72"/>
      <c r="BV161" s="72"/>
      <c r="BW161" s="72"/>
      <c r="BX161" s="72"/>
      <c r="BY161" s="72"/>
      <c r="BZ161" s="72"/>
      <c r="CA161" s="72"/>
      <c r="CB161" s="72"/>
      <c r="CC161" s="72"/>
      <c r="CD161" s="72"/>
      <c r="CE161" s="72"/>
      <c r="CF161" s="72"/>
      <c r="CG161" s="72"/>
      <c r="CH161" s="72"/>
    </row>
    <row r="162" ht="15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/>
      <c r="BN162" s="72"/>
      <c r="BO162" s="72"/>
      <c r="BP162" s="72"/>
      <c r="BQ162" s="72"/>
      <c r="BR162" s="72"/>
      <c r="BS162" s="72"/>
      <c r="BT162" s="72"/>
      <c r="BU162" s="72"/>
      <c r="BV162" s="72"/>
      <c r="BW162" s="72"/>
      <c r="BX162" s="72"/>
      <c r="BY162" s="72"/>
      <c r="BZ162" s="72"/>
      <c r="CA162" s="72"/>
      <c r="CB162" s="72"/>
      <c r="CC162" s="72"/>
      <c r="CD162" s="72"/>
      <c r="CE162" s="72"/>
      <c r="CF162" s="72"/>
      <c r="CG162" s="72"/>
      <c r="CH162" s="72"/>
    </row>
    <row r="163" ht="15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/>
      <c r="BN163" s="72"/>
      <c r="BO163" s="72"/>
      <c r="BP163" s="72"/>
      <c r="BQ163" s="72"/>
      <c r="BR163" s="72"/>
      <c r="BS163" s="72"/>
      <c r="BT163" s="72"/>
      <c r="BU163" s="72"/>
      <c r="BV163" s="72"/>
      <c r="BW163" s="72"/>
      <c r="BX163" s="72"/>
      <c r="BY163" s="72"/>
      <c r="BZ163" s="72"/>
      <c r="CA163" s="72"/>
      <c r="CB163" s="72"/>
      <c r="CC163" s="72"/>
      <c r="CD163" s="72"/>
      <c r="CE163" s="72"/>
      <c r="CF163" s="72"/>
      <c r="CG163" s="72"/>
      <c r="CH163" s="72"/>
    </row>
    <row r="164" ht="15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  <c r="BS164" s="72"/>
      <c r="BT164" s="72"/>
      <c r="BU164" s="72"/>
      <c r="BV164" s="72"/>
      <c r="BW164" s="72"/>
      <c r="BX164" s="72"/>
      <c r="BY164" s="72"/>
      <c r="BZ164" s="72"/>
      <c r="CA164" s="72"/>
      <c r="CB164" s="72"/>
      <c r="CC164" s="72"/>
      <c r="CD164" s="72"/>
      <c r="CE164" s="72"/>
      <c r="CF164" s="72"/>
      <c r="CG164" s="72"/>
      <c r="CH164" s="72"/>
    </row>
    <row r="165" ht="15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  <c r="AT165" s="72"/>
      <c r="AU165" s="72"/>
      <c r="AV165" s="72"/>
      <c r="AW165" s="72"/>
      <c r="AX165" s="72"/>
      <c r="AY165" s="72"/>
      <c r="AZ165" s="72"/>
      <c r="BA165" s="72"/>
      <c r="BB165" s="72"/>
      <c r="BC165" s="72"/>
      <c r="BD165" s="72"/>
      <c r="BE165" s="72"/>
      <c r="BF165" s="72"/>
      <c r="BG165" s="72"/>
      <c r="BH165" s="72"/>
      <c r="BI165" s="72"/>
      <c r="BJ165" s="72"/>
      <c r="BK165" s="72"/>
      <c r="BL165" s="72"/>
      <c r="BM165" s="72"/>
      <c r="BN165" s="72"/>
      <c r="BO165" s="72"/>
      <c r="BP165" s="72"/>
      <c r="BQ165" s="72"/>
      <c r="BR165" s="72"/>
      <c r="BS165" s="72"/>
      <c r="BT165" s="72"/>
      <c r="BU165" s="72"/>
      <c r="BV165" s="72"/>
      <c r="BW165" s="72"/>
      <c r="BX165" s="72"/>
      <c r="BY165" s="72"/>
      <c r="BZ165" s="72"/>
      <c r="CA165" s="72"/>
      <c r="CB165" s="72"/>
      <c r="CC165" s="72"/>
      <c r="CD165" s="72"/>
      <c r="CE165" s="72"/>
      <c r="CF165" s="72"/>
      <c r="CG165" s="72"/>
      <c r="CH165" s="72"/>
    </row>
    <row r="166" ht="15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  <c r="AQ166" s="72"/>
      <c r="AR166" s="72"/>
      <c r="AS166" s="72"/>
      <c r="AT166" s="72"/>
      <c r="AU166" s="72"/>
      <c r="AV166" s="72"/>
      <c r="AW166" s="72"/>
      <c r="AX166" s="72"/>
      <c r="AY166" s="72"/>
      <c r="AZ166" s="72"/>
      <c r="BA166" s="72"/>
      <c r="BB166" s="72"/>
      <c r="BC166" s="72"/>
      <c r="BD166" s="72"/>
      <c r="BE166" s="72"/>
      <c r="BF166" s="72"/>
      <c r="BG166" s="72"/>
      <c r="BH166" s="72"/>
      <c r="BI166" s="72"/>
      <c r="BJ166" s="72"/>
      <c r="BK166" s="72"/>
      <c r="BL166" s="72"/>
      <c r="BM166" s="72"/>
      <c r="BN166" s="72"/>
      <c r="BO166" s="72"/>
      <c r="BP166" s="72"/>
      <c r="BQ166" s="72"/>
      <c r="BR166" s="72"/>
      <c r="BS166" s="72"/>
      <c r="BT166" s="72"/>
      <c r="BU166" s="72"/>
      <c r="BV166" s="72"/>
      <c r="BW166" s="72"/>
      <c r="BX166" s="72"/>
      <c r="BY166" s="72"/>
      <c r="BZ166" s="72"/>
      <c r="CA166" s="72"/>
      <c r="CB166" s="72"/>
      <c r="CC166" s="72"/>
      <c r="CD166" s="72"/>
      <c r="CE166" s="72"/>
      <c r="CF166" s="72"/>
      <c r="CG166" s="72"/>
      <c r="CH166" s="72"/>
    </row>
    <row r="167" ht="15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  <c r="AT167" s="72"/>
      <c r="AU167" s="72"/>
      <c r="AV167" s="72"/>
      <c r="AW167" s="72"/>
      <c r="AX167" s="72"/>
      <c r="AY167" s="72"/>
      <c r="AZ167" s="72"/>
      <c r="BA167" s="72"/>
      <c r="BB167" s="72"/>
      <c r="BC167" s="72"/>
      <c r="BD167" s="72"/>
      <c r="BE167" s="72"/>
      <c r="BF167" s="72"/>
      <c r="BG167" s="72"/>
      <c r="BH167" s="72"/>
      <c r="BI167" s="72"/>
      <c r="BJ167" s="72"/>
      <c r="BK167" s="72"/>
      <c r="BL167" s="72"/>
      <c r="BM167" s="72"/>
      <c r="BN167" s="72"/>
      <c r="BO167" s="72"/>
      <c r="BP167" s="72"/>
      <c r="BQ167" s="72"/>
      <c r="BR167" s="72"/>
      <c r="BS167" s="72"/>
      <c r="BT167" s="72"/>
      <c r="BU167" s="72"/>
      <c r="BV167" s="72"/>
      <c r="BW167" s="72"/>
      <c r="BX167" s="72"/>
      <c r="BY167" s="72"/>
      <c r="BZ167" s="72"/>
      <c r="CA167" s="72"/>
      <c r="CB167" s="72"/>
      <c r="CC167" s="72"/>
      <c r="CD167" s="72"/>
      <c r="CE167" s="72"/>
      <c r="CF167" s="72"/>
      <c r="CG167" s="72"/>
      <c r="CH167" s="72"/>
    </row>
    <row r="168" ht="15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  <c r="AT168" s="72"/>
      <c r="AU168" s="72"/>
      <c r="AV168" s="72"/>
      <c r="AW168" s="72"/>
      <c r="AX168" s="72"/>
      <c r="AY168" s="72"/>
      <c r="AZ168" s="72"/>
      <c r="BA168" s="72"/>
      <c r="BB168" s="72"/>
      <c r="BC168" s="72"/>
      <c r="BD168" s="72"/>
      <c r="BE168" s="72"/>
      <c r="BF168" s="72"/>
      <c r="BG168" s="72"/>
      <c r="BH168" s="72"/>
      <c r="BI168" s="72"/>
      <c r="BJ168" s="72"/>
      <c r="BK168" s="72"/>
      <c r="BL168" s="72"/>
      <c r="BM168" s="72"/>
      <c r="BN168" s="72"/>
      <c r="BO168" s="72"/>
      <c r="BP168" s="72"/>
      <c r="BQ168" s="72"/>
      <c r="BR168" s="72"/>
      <c r="BS168" s="72"/>
      <c r="BT168" s="72"/>
      <c r="BU168" s="72"/>
      <c r="BV168" s="72"/>
      <c r="BW168" s="72"/>
      <c r="BX168" s="72"/>
      <c r="BY168" s="72"/>
      <c r="BZ168" s="72"/>
      <c r="CA168" s="72"/>
      <c r="CB168" s="72"/>
      <c r="CC168" s="72"/>
      <c r="CD168" s="72"/>
      <c r="CE168" s="72"/>
      <c r="CF168" s="72"/>
      <c r="CG168" s="72"/>
      <c r="CH168" s="72"/>
    </row>
    <row r="169" ht="15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  <c r="AT169" s="72"/>
      <c r="AU169" s="72"/>
      <c r="AV169" s="72"/>
      <c r="AW169" s="72"/>
      <c r="AX169" s="72"/>
      <c r="AY169" s="72"/>
      <c r="AZ169" s="72"/>
      <c r="BA169" s="72"/>
      <c r="BB169" s="72"/>
      <c r="BC169" s="72"/>
      <c r="BD169" s="72"/>
      <c r="BE169" s="72"/>
      <c r="BF169" s="72"/>
      <c r="BG169" s="72"/>
      <c r="BH169" s="72"/>
      <c r="BI169" s="72"/>
      <c r="BJ169" s="72"/>
      <c r="BK169" s="72"/>
      <c r="BL169" s="72"/>
      <c r="BM169" s="72"/>
      <c r="BN169" s="72"/>
      <c r="BO169" s="72"/>
      <c r="BP169" s="72"/>
      <c r="BQ169" s="72"/>
      <c r="BR169" s="72"/>
      <c r="BS169" s="72"/>
      <c r="BT169" s="72"/>
      <c r="BU169" s="72"/>
      <c r="BV169" s="72"/>
      <c r="BW169" s="72"/>
      <c r="BX169" s="72"/>
      <c r="BY169" s="72"/>
      <c r="BZ169" s="72"/>
      <c r="CA169" s="72"/>
      <c r="CB169" s="72"/>
      <c r="CC169" s="72"/>
      <c r="CD169" s="72"/>
      <c r="CE169" s="72"/>
      <c r="CF169" s="72"/>
      <c r="CG169" s="72"/>
      <c r="CH169" s="72"/>
    </row>
    <row r="170" ht="15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  <c r="AT170" s="72"/>
      <c r="AU170" s="72"/>
      <c r="AV170" s="72"/>
      <c r="AW170" s="72"/>
      <c r="AX170" s="72"/>
      <c r="AY170" s="72"/>
      <c r="AZ170" s="72"/>
      <c r="BA170" s="72"/>
      <c r="BB170" s="72"/>
      <c r="BC170" s="72"/>
      <c r="BD170" s="72"/>
      <c r="BE170" s="72"/>
      <c r="BF170" s="72"/>
      <c r="BG170" s="72"/>
      <c r="BH170" s="72"/>
      <c r="BI170" s="72"/>
      <c r="BJ170" s="72"/>
      <c r="BK170" s="72"/>
      <c r="BL170" s="72"/>
      <c r="BM170" s="72"/>
      <c r="BN170" s="72"/>
      <c r="BO170" s="72"/>
      <c r="BP170" s="72"/>
      <c r="BQ170" s="72"/>
      <c r="BR170" s="72"/>
      <c r="BS170" s="72"/>
      <c r="BT170" s="72"/>
      <c r="BU170" s="72"/>
      <c r="BV170" s="72"/>
      <c r="BW170" s="72"/>
      <c r="BX170" s="72"/>
      <c r="BY170" s="72"/>
      <c r="BZ170" s="72"/>
      <c r="CA170" s="72"/>
      <c r="CB170" s="72"/>
      <c r="CC170" s="72"/>
      <c r="CD170" s="72"/>
      <c r="CE170" s="72"/>
      <c r="CF170" s="72"/>
      <c r="CG170" s="72"/>
      <c r="CH170" s="72"/>
    </row>
    <row r="171" ht="15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  <c r="AT171" s="72"/>
      <c r="AU171" s="72"/>
      <c r="AV171" s="72"/>
      <c r="AW171" s="72"/>
      <c r="AX171" s="72"/>
      <c r="AY171" s="72"/>
      <c r="AZ171" s="72"/>
      <c r="BA171" s="72"/>
      <c r="BB171" s="72"/>
      <c r="BC171" s="72"/>
      <c r="BD171" s="72"/>
      <c r="BE171" s="72"/>
      <c r="BF171" s="72"/>
      <c r="BG171" s="72"/>
      <c r="BH171" s="72"/>
      <c r="BI171" s="72"/>
      <c r="BJ171" s="72"/>
      <c r="BK171" s="72"/>
      <c r="BL171" s="72"/>
      <c r="BM171" s="72"/>
      <c r="BN171" s="72"/>
      <c r="BO171" s="72"/>
      <c r="BP171" s="72"/>
      <c r="BQ171" s="72"/>
      <c r="BR171" s="72"/>
      <c r="BS171" s="72"/>
      <c r="BT171" s="72"/>
      <c r="BU171" s="72"/>
      <c r="BV171" s="72"/>
      <c r="BW171" s="72"/>
      <c r="BX171" s="72"/>
      <c r="BY171" s="72"/>
      <c r="BZ171" s="72"/>
      <c r="CA171" s="72"/>
      <c r="CB171" s="72"/>
      <c r="CC171" s="72"/>
      <c r="CD171" s="72"/>
      <c r="CE171" s="72"/>
      <c r="CF171" s="72"/>
      <c r="CG171" s="72"/>
      <c r="CH171" s="72"/>
    </row>
    <row r="172" ht="15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  <c r="AT172" s="72"/>
      <c r="AU172" s="72"/>
      <c r="AV172" s="72"/>
      <c r="AW172" s="72"/>
      <c r="AX172" s="72"/>
      <c r="AY172" s="72"/>
      <c r="AZ172" s="72"/>
      <c r="BA172" s="72"/>
      <c r="BB172" s="72"/>
      <c r="BC172" s="72"/>
      <c r="BD172" s="72"/>
      <c r="BE172" s="72"/>
      <c r="BF172" s="72"/>
      <c r="BG172" s="72"/>
      <c r="BH172" s="72"/>
      <c r="BI172" s="72"/>
      <c r="BJ172" s="72"/>
      <c r="BK172" s="72"/>
      <c r="BL172" s="72"/>
      <c r="BM172" s="72"/>
      <c r="BN172" s="72"/>
      <c r="BO172" s="72"/>
      <c r="BP172" s="72"/>
      <c r="BQ172" s="72"/>
      <c r="BR172" s="72"/>
      <c r="BS172" s="72"/>
      <c r="BT172" s="72"/>
      <c r="BU172" s="72"/>
      <c r="BV172" s="72"/>
      <c r="BW172" s="72"/>
      <c r="BX172" s="72"/>
      <c r="BY172" s="72"/>
      <c r="BZ172" s="72"/>
      <c r="CA172" s="72"/>
      <c r="CB172" s="72"/>
      <c r="CC172" s="72"/>
      <c r="CD172" s="72"/>
      <c r="CE172" s="72"/>
      <c r="CF172" s="72"/>
      <c r="CG172" s="72"/>
      <c r="CH172" s="72"/>
    </row>
    <row r="173" ht="15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  <c r="AT173" s="72"/>
      <c r="AU173" s="72"/>
      <c r="AV173" s="72"/>
      <c r="AW173" s="72"/>
      <c r="AX173" s="72"/>
      <c r="AY173" s="72"/>
      <c r="AZ173" s="72"/>
      <c r="BA173" s="72"/>
      <c r="BB173" s="72"/>
      <c r="BC173" s="72"/>
      <c r="BD173" s="72"/>
      <c r="BE173" s="72"/>
      <c r="BF173" s="72"/>
      <c r="BG173" s="72"/>
      <c r="BH173" s="72"/>
      <c r="BI173" s="72"/>
      <c r="BJ173" s="72"/>
      <c r="BK173" s="72"/>
      <c r="BL173" s="72"/>
      <c r="BM173" s="72"/>
      <c r="BN173" s="72"/>
      <c r="BO173" s="72"/>
      <c r="BP173" s="72"/>
      <c r="BQ173" s="72"/>
      <c r="BR173" s="72"/>
      <c r="BS173" s="72"/>
      <c r="BT173" s="72"/>
      <c r="BU173" s="72"/>
      <c r="BV173" s="72"/>
      <c r="BW173" s="72"/>
      <c r="BX173" s="72"/>
      <c r="BY173" s="72"/>
      <c r="BZ173" s="72"/>
      <c r="CA173" s="72"/>
      <c r="CB173" s="72"/>
      <c r="CC173" s="72"/>
      <c r="CD173" s="72"/>
      <c r="CE173" s="72"/>
      <c r="CF173" s="72"/>
      <c r="CG173" s="72"/>
      <c r="CH173" s="72"/>
    </row>
    <row r="174" ht="15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  <c r="AT174" s="72"/>
      <c r="AU174" s="72"/>
      <c r="AV174" s="72"/>
      <c r="AW174" s="72"/>
      <c r="AX174" s="72"/>
      <c r="AY174" s="72"/>
      <c r="AZ174" s="72"/>
      <c r="BA174" s="72"/>
      <c r="BB174" s="72"/>
      <c r="BC174" s="72"/>
      <c r="BD174" s="72"/>
      <c r="BE174" s="72"/>
      <c r="BF174" s="72"/>
      <c r="BG174" s="72"/>
      <c r="BH174" s="72"/>
      <c r="BI174" s="72"/>
      <c r="BJ174" s="72"/>
      <c r="BK174" s="72"/>
      <c r="BL174" s="72"/>
      <c r="BM174" s="72"/>
      <c r="BN174" s="72"/>
      <c r="BO174" s="72"/>
      <c r="BP174" s="72"/>
      <c r="BQ174" s="72"/>
      <c r="BR174" s="72"/>
      <c r="BS174" s="72"/>
      <c r="BT174" s="72"/>
      <c r="BU174" s="72"/>
      <c r="BV174" s="72"/>
      <c r="BW174" s="72"/>
      <c r="BX174" s="72"/>
      <c r="BY174" s="72"/>
      <c r="BZ174" s="72"/>
      <c r="CA174" s="72"/>
      <c r="CB174" s="72"/>
      <c r="CC174" s="72"/>
      <c r="CD174" s="72"/>
      <c r="CE174" s="72"/>
      <c r="CF174" s="72"/>
      <c r="CG174" s="72"/>
      <c r="CH174" s="72"/>
    </row>
    <row r="175" ht="15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  <c r="AT175" s="72"/>
      <c r="AU175" s="72"/>
      <c r="AV175" s="72"/>
      <c r="AW175" s="72"/>
      <c r="AX175" s="72"/>
      <c r="AY175" s="72"/>
      <c r="AZ175" s="72"/>
      <c r="BA175" s="72"/>
      <c r="BB175" s="72"/>
      <c r="BC175" s="72"/>
      <c r="BD175" s="72"/>
      <c r="BE175" s="72"/>
      <c r="BF175" s="72"/>
      <c r="BG175" s="72"/>
      <c r="BH175" s="72"/>
      <c r="BI175" s="72"/>
      <c r="BJ175" s="72"/>
      <c r="BK175" s="72"/>
      <c r="BL175" s="72"/>
      <c r="BM175" s="72"/>
      <c r="BN175" s="72"/>
      <c r="BO175" s="72"/>
      <c r="BP175" s="72"/>
      <c r="BQ175" s="72"/>
      <c r="BR175" s="72"/>
      <c r="BS175" s="72"/>
      <c r="BT175" s="72"/>
      <c r="BU175" s="72"/>
      <c r="BV175" s="72"/>
      <c r="BW175" s="72"/>
      <c r="BX175" s="72"/>
      <c r="BY175" s="72"/>
      <c r="BZ175" s="72"/>
      <c r="CA175" s="72"/>
      <c r="CB175" s="72"/>
      <c r="CC175" s="72"/>
      <c r="CD175" s="72"/>
      <c r="CE175" s="72"/>
      <c r="CF175" s="72"/>
      <c r="CG175" s="72"/>
      <c r="CH175" s="72"/>
    </row>
    <row r="176" ht="15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/>
      <c r="BM176" s="72"/>
      <c r="BN176" s="72"/>
      <c r="BO176" s="72"/>
      <c r="BP176" s="72"/>
      <c r="BQ176" s="72"/>
      <c r="BR176" s="72"/>
      <c r="BS176" s="72"/>
      <c r="BT176" s="72"/>
      <c r="BU176" s="72"/>
      <c r="BV176" s="72"/>
      <c r="BW176" s="72"/>
      <c r="BX176" s="72"/>
      <c r="BY176" s="72"/>
      <c r="BZ176" s="72"/>
      <c r="CA176" s="72"/>
      <c r="CB176" s="72"/>
      <c r="CC176" s="72"/>
      <c r="CD176" s="72"/>
      <c r="CE176" s="72"/>
      <c r="CF176" s="72"/>
      <c r="CG176" s="72"/>
      <c r="CH176" s="72"/>
    </row>
    <row r="177" ht="15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  <c r="BM177" s="72"/>
      <c r="BN177" s="72"/>
      <c r="BO177" s="72"/>
      <c r="BP177" s="72"/>
      <c r="BQ177" s="72"/>
      <c r="BR177" s="72"/>
      <c r="BS177" s="72"/>
      <c r="BT177" s="72"/>
      <c r="BU177" s="72"/>
      <c r="BV177" s="72"/>
      <c r="BW177" s="72"/>
      <c r="BX177" s="72"/>
      <c r="BY177" s="72"/>
      <c r="BZ177" s="72"/>
      <c r="CA177" s="72"/>
      <c r="CB177" s="72"/>
      <c r="CC177" s="72"/>
      <c r="CD177" s="72"/>
      <c r="CE177" s="72"/>
      <c r="CF177" s="72"/>
      <c r="CG177" s="72"/>
      <c r="CH177" s="72"/>
    </row>
    <row r="178" ht="15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/>
      <c r="BM178" s="72"/>
      <c r="BN178" s="72"/>
      <c r="BO178" s="72"/>
      <c r="BP178" s="72"/>
      <c r="BQ178" s="72"/>
      <c r="BR178" s="72"/>
      <c r="BS178" s="72"/>
      <c r="BT178" s="72"/>
      <c r="BU178" s="72"/>
      <c r="BV178" s="72"/>
      <c r="BW178" s="72"/>
      <c r="BX178" s="72"/>
      <c r="BY178" s="72"/>
      <c r="BZ178" s="72"/>
      <c r="CA178" s="72"/>
      <c r="CB178" s="72"/>
      <c r="CC178" s="72"/>
      <c r="CD178" s="72"/>
      <c r="CE178" s="72"/>
      <c r="CF178" s="72"/>
      <c r="CG178" s="72"/>
      <c r="CH178" s="72"/>
    </row>
    <row r="179" ht="15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  <c r="BM179" s="72"/>
      <c r="BN179" s="72"/>
      <c r="BO179" s="72"/>
      <c r="BP179" s="72"/>
      <c r="BQ179" s="72"/>
      <c r="BR179" s="72"/>
      <c r="BS179" s="72"/>
      <c r="BT179" s="72"/>
      <c r="BU179" s="72"/>
      <c r="BV179" s="72"/>
      <c r="BW179" s="72"/>
      <c r="BX179" s="72"/>
      <c r="BY179" s="72"/>
      <c r="BZ179" s="72"/>
      <c r="CA179" s="72"/>
      <c r="CB179" s="72"/>
      <c r="CC179" s="72"/>
      <c r="CD179" s="72"/>
      <c r="CE179" s="72"/>
      <c r="CF179" s="72"/>
      <c r="CG179" s="72"/>
      <c r="CH179" s="72"/>
    </row>
    <row r="180" ht="15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  <c r="AT180" s="72"/>
      <c r="AU180" s="72"/>
      <c r="AV180" s="72"/>
      <c r="AW180" s="72"/>
      <c r="AX180" s="72"/>
      <c r="AY180" s="72"/>
      <c r="AZ180" s="72"/>
      <c r="BA180" s="72"/>
      <c r="BB180" s="72"/>
      <c r="BC180" s="72"/>
      <c r="BD180" s="72"/>
      <c r="BE180" s="72"/>
      <c r="BF180" s="72"/>
      <c r="BG180" s="72"/>
      <c r="BH180" s="72"/>
      <c r="BI180" s="72"/>
      <c r="BJ180" s="72"/>
      <c r="BK180" s="72"/>
      <c r="BL180" s="72"/>
      <c r="BM180" s="72"/>
      <c r="BN180" s="72"/>
      <c r="BO180" s="72"/>
      <c r="BP180" s="72"/>
      <c r="BQ180" s="72"/>
      <c r="BR180" s="72"/>
      <c r="BS180" s="72"/>
      <c r="BT180" s="72"/>
      <c r="BU180" s="72"/>
      <c r="BV180" s="72"/>
      <c r="BW180" s="72"/>
      <c r="BX180" s="72"/>
      <c r="BY180" s="72"/>
      <c r="BZ180" s="72"/>
      <c r="CA180" s="72"/>
      <c r="CB180" s="72"/>
      <c r="CC180" s="72"/>
      <c r="CD180" s="72"/>
      <c r="CE180" s="72"/>
      <c r="CF180" s="72"/>
      <c r="CG180" s="72"/>
      <c r="CH180" s="72"/>
    </row>
    <row r="181" ht="15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/>
      <c r="BM181" s="72"/>
      <c r="BN181" s="72"/>
      <c r="BO181" s="72"/>
      <c r="BP181" s="72"/>
      <c r="BQ181" s="72"/>
      <c r="BR181" s="72"/>
      <c r="BS181" s="72"/>
      <c r="BT181" s="72"/>
      <c r="BU181" s="72"/>
      <c r="BV181" s="72"/>
      <c r="BW181" s="72"/>
      <c r="BX181" s="72"/>
      <c r="BY181" s="72"/>
      <c r="BZ181" s="72"/>
      <c r="CA181" s="72"/>
      <c r="CB181" s="72"/>
      <c r="CC181" s="72"/>
      <c r="CD181" s="72"/>
      <c r="CE181" s="72"/>
      <c r="CF181" s="72"/>
      <c r="CG181" s="72"/>
      <c r="CH181" s="72"/>
    </row>
    <row r="182" ht="15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/>
      <c r="BM182" s="72"/>
      <c r="BN182" s="72"/>
      <c r="BO182" s="72"/>
      <c r="BP182" s="72"/>
      <c r="BQ182" s="72"/>
      <c r="BR182" s="72"/>
      <c r="BS182" s="72"/>
      <c r="BT182" s="72"/>
      <c r="BU182" s="72"/>
      <c r="BV182" s="72"/>
      <c r="BW182" s="72"/>
      <c r="BX182" s="72"/>
      <c r="BY182" s="72"/>
      <c r="BZ182" s="72"/>
      <c r="CA182" s="72"/>
      <c r="CB182" s="72"/>
      <c r="CC182" s="72"/>
      <c r="CD182" s="72"/>
      <c r="CE182" s="72"/>
      <c r="CF182" s="72"/>
      <c r="CG182" s="72"/>
      <c r="CH182" s="72"/>
    </row>
    <row r="183" ht="15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  <c r="BM183" s="72"/>
      <c r="BN183" s="72"/>
      <c r="BO183" s="72"/>
      <c r="BP183" s="72"/>
      <c r="BQ183" s="72"/>
      <c r="BR183" s="72"/>
      <c r="BS183" s="72"/>
      <c r="BT183" s="72"/>
      <c r="BU183" s="72"/>
      <c r="BV183" s="72"/>
      <c r="BW183" s="72"/>
      <c r="BX183" s="72"/>
      <c r="BY183" s="72"/>
      <c r="BZ183" s="72"/>
      <c r="CA183" s="72"/>
      <c r="CB183" s="72"/>
      <c r="CC183" s="72"/>
      <c r="CD183" s="72"/>
      <c r="CE183" s="72"/>
      <c r="CF183" s="72"/>
      <c r="CG183" s="72"/>
      <c r="CH183" s="72"/>
    </row>
    <row r="184" ht="15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/>
      <c r="BM184" s="72"/>
      <c r="BN184" s="72"/>
      <c r="BO184" s="72"/>
      <c r="BP184" s="72"/>
      <c r="BQ184" s="72"/>
      <c r="BR184" s="72"/>
      <c r="BS184" s="72"/>
      <c r="BT184" s="72"/>
      <c r="BU184" s="72"/>
      <c r="BV184" s="72"/>
      <c r="BW184" s="72"/>
      <c r="BX184" s="72"/>
      <c r="BY184" s="72"/>
      <c r="BZ184" s="72"/>
      <c r="CA184" s="72"/>
      <c r="CB184" s="72"/>
      <c r="CC184" s="72"/>
      <c r="CD184" s="72"/>
      <c r="CE184" s="72"/>
      <c r="CF184" s="72"/>
      <c r="CG184" s="72"/>
      <c r="CH184" s="72"/>
    </row>
    <row r="185" ht="15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  <c r="AT185" s="72"/>
      <c r="AU185" s="72"/>
      <c r="AV185" s="72"/>
      <c r="AW185" s="72"/>
      <c r="AX185" s="72"/>
      <c r="AY185" s="72"/>
      <c r="AZ185" s="72"/>
      <c r="BA185" s="72"/>
      <c r="BB185" s="72"/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  <c r="BM185" s="72"/>
      <c r="BN185" s="72"/>
      <c r="BO185" s="72"/>
      <c r="BP185" s="72"/>
      <c r="BQ185" s="72"/>
      <c r="BR185" s="72"/>
      <c r="BS185" s="72"/>
      <c r="BT185" s="72"/>
      <c r="BU185" s="72"/>
      <c r="BV185" s="72"/>
      <c r="BW185" s="72"/>
      <c r="BX185" s="72"/>
      <c r="BY185" s="72"/>
      <c r="BZ185" s="72"/>
      <c r="CA185" s="72"/>
      <c r="CB185" s="72"/>
      <c r="CC185" s="72"/>
      <c r="CD185" s="72"/>
      <c r="CE185" s="72"/>
      <c r="CF185" s="72"/>
      <c r="CG185" s="72"/>
      <c r="CH185" s="72"/>
    </row>
    <row r="186" ht="15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  <c r="AT186" s="72"/>
      <c r="AU186" s="72"/>
      <c r="AV186" s="72"/>
      <c r="AW186" s="72"/>
      <c r="AX186" s="72"/>
      <c r="AY186" s="72"/>
      <c r="AZ186" s="72"/>
      <c r="BA186" s="72"/>
      <c r="BB186" s="72"/>
      <c r="BC186" s="72"/>
      <c r="BD186" s="72"/>
      <c r="BE186" s="72"/>
      <c r="BF186" s="72"/>
      <c r="BG186" s="72"/>
      <c r="BH186" s="72"/>
      <c r="BI186" s="72"/>
      <c r="BJ186" s="72"/>
      <c r="BK186" s="72"/>
      <c r="BL186" s="72"/>
      <c r="BM186" s="72"/>
      <c r="BN186" s="72"/>
      <c r="BO186" s="72"/>
      <c r="BP186" s="72"/>
      <c r="BQ186" s="72"/>
      <c r="BR186" s="72"/>
      <c r="BS186" s="72"/>
      <c r="BT186" s="72"/>
      <c r="BU186" s="72"/>
      <c r="BV186" s="72"/>
      <c r="BW186" s="72"/>
      <c r="BX186" s="72"/>
      <c r="BY186" s="72"/>
      <c r="BZ186" s="72"/>
      <c r="CA186" s="72"/>
      <c r="CB186" s="72"/>
      <c r="CC186" s="72"/>
      <c r="CD186" s="72"/>
      <c r="CE186" s="72"/>
      <c r="CF186" s="72"/>
      <c r="CG186" s="72"/>
      <c r="CH186" s="72"/>
    </row>
    <row r="187" ht="15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  <c r="AT187" s="72"/>
      <c r="AU187" s="72"/>
      <c r="AV187" s="72"/>
      <c r="AW187" s="72"/>
      <c r="AX187" s="72"/>
      <c r="AY187" s="72"/>
      <c r="AZ187" s="72"/>
      <c r="BA187" s="72"/>
      <c r="BB187" s="72"/>
      <c r="BC187" s="72"/>
      <c r="BD187" s="72"/>
      <c r="BE187" s="72"/>
      <c r="BF187" s="72"/>
      <c r="BG187" s="72"/>
      <c r="BH187" s="72"/>
      <c r="BI187" s="72"/>
      <c r="BJ187" s="72"/>
      <c r="BK187" s="72"/>
      <c r="BL187" s="72"/>
      <c r="BM187" s="72"/>
      <c r="BN187" s="72"/>
      <c r="BO187" s="72"/>
      <c r="BP187" s="72"/>
      <c r="BQ187" s="72"/>
      <c r="BR187" s="72"/>
      <c r="BS187" s="72"/>
      <c r="BT187" s="72"/>
      <c r="BU187" s="72"/>
      <c r="BV187" s="72"/>
      <c r="BW187" s="72"/>
      <c r="BX187" s="72"/>
      <c r="BY187" s="72"/>
      <c r="BZ187" s="72"/>
      <c r="CA187" s="72"/>
      <c r="CB187" s="72"/>
      <c r="CC187" s="72"/>
      <c r="CD187" s="72"/>
      <c r="CE187" s="72"/>
      <c r="CF187" s="72"/>
      <c r="CG187" s="72"/>
      <c r="CH187" s="72"/>
    </row>
    <row r="188" ht="15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  <c r="AT188" s="72"/>
      <c r="AU188" s="72"/>
      <c r="AV188" s="72"/>
      <c r="AW188" s="72"/>
      <c r="AX188" s="72"/>
      <c r="AY188" s="72"/>
      <c r="AZ188" s="72"/>
      <c r="BA188" s="72"/>
      <c r="BB188" s="72"/>
      <c r="BC188" s="72"/>
      <c r="BD188" s="72"/>
      <c r="BE188" s="72"/>
      <c r="BF188" s="72"/>
      <c r="BG188" s="72"/>
      <c r="BH188" s="72"/>
      <c r="BI188" s="72"/>
      <c r="BJ188" s="72"/>
      <c r="BK188" s="72"/>
      <c r="BL188" s="72"/>
      <c r="BM188" s="72"/>
      <c r="BN188" s="72"/>
      <c r="BO188" s="72"/>
      <c r="BP188" s="72"/>
      <c r="BQ188" s="72"/>
      <c r="BR188" s="72"/>
      <c r="BS188" s="72"/>
      <c r="BT188" s="72"/>
      <c r="BU188" s="72"/>
      <c r="BV188" s="72"/>
      <c r="BW188" s="72"/>
      <c r="BX188" s="72"/>
      <c r="BY188" s="72"/>
      <c r="BZ188" s="72"/>
      <c r="CA188" s="72"/>
      <c r="CB188" s="72"/>
      <c r="CC188" s="72"/>
      <c r="CD188" s="72"/>
      <c r="CE188" s="72"/>
      <c r="CF188" s="72"/>
      <c r="CG188" s="72"/>
      <c r="CH188" s="72"/>
    </row>
    <row r="189" ht="15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  <c r="AT189" s="72"/>
      <c r="AU189" s="72"/>
      <c r="AV189" s="72"/>
      <c r="AW189" s="72"/>
      <c r="AX189" s="72"/>
      <c r="AY189" s="72"/>
      <c r="AZ189" s="72"/>
      <c r="BA189" s="72"/>
      <c r="BB189" s="72"/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  <c r="BM189" s="72"/>
      <c r="BN189" s="72"/>
      <c r="BO189" s="72"/>
      <c r="BP189" s="72"/>
      <c r="BQ189" s="72"/>
      <c r="BR189" s="72"/>
      <c r="BS189" s="72"/>
      <c r="BT189" s="72"/>
      <c r="BU189" s="72"/>
      <c r="BV189" s="72"/>
      <c r="BW189" s="72"/>
      <c r="BX189" s="72"/>
      <c r="BY189" s="72"/>
      <c r="BZ189" s="72"/>
      <c r="CA189" s="72"/>
      <c r="CB189" s="72"/>
      <c r="CC189" s="72"/>
      <c r="CD189" s="72"/>
      <c r="CE189" s="72"/>
      <c r="CF189" s="72"/>
      <c r="CG189" s="72"/>
      <c r="CH189" s="72"/>
    </row>
    <row r="190" ht="15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  <c r="AT190" s="72"/>
      <c r="AU190" s="72"/>
      <c r="AV190" s="72"/>
      <c r="AW190" s="72"/>
      <c r="AX190" s="72"/>
      <c r="AY190" s="72"/>
      <c r="AZ190" s="72"/>
      <c r="BA190" s="72"/>
      <c r="BB190" s="72"/>
      <c r="BC190" s="72"/>
      <c r="BD190" s="72"/>
      <c r="BE190" s="72"/>
      <c r="BF190" s="72"/>
      <c r="BG190" s="72"/>
      <c r="BH190" s="72"/>
      <c r="BI190" s="72"/>
      <c r="BJ190" s="72"/>
      <c r="BK190" s="72"/>
      <c r="BL190" s="72"/>
      <c r="BM190" s="72"/>
      <c r="BN190" s="72"/>
      <c r="BO190" s="72"/>
      <c r="BP190" s="72"/>
      <c r="BQ190" s="72"/>
      <c r="BR190" s="72"/>
      <c r="BS190" s="72"/>
      <c r="BT190" s="72"/>
      <c r="BU190" s="72"/>
      <c r="BV190" s="72"/>
      <c r="BW190" s="72"/>
      <c r="BX190" s="72"/>
      <c r="BY190" s="72"/>
      <c r="BZ190" s="72"/>
      <c r="CA190" s="72"/>
      <c r="CB190" s="72"/>
      <c r="CC190" s="72"/>
      <c r="CD190" s="72"/>
      <c r="CE190" s="72"/>
      <c r="CF190" s="72"/>
      <c r="CG190" s="72"/>
      <c r="CH190" s="72"/>
    </row>
    <row r="191" ht="15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/>
      <c r="BM191" s="72"/>
      <c r="BN191" s="72"/>
      <c r="BO191" s="72"/>
      <c r="BP191" s="72"/>
      <c r="BQ191" s="72"/>
      <c r="BR191" s="72"/>
      <c r="BS191" s="72"/>
      <c r="BT191" s="72"/>
      <c r="BU191" s="72"/>
      <c r="BV191" s="72"/>
      <c r="BW191" s="72"/>
      <c r="BX191" s="72"/>
      <c r="BY191" s="72"/>
      <c r="BZ191" s="72"/>
      <c r="CA191" s="72"/>
      <c r="CB191" s="72"/>
      <c r="CC191" s="72"/>
      <c r="CD191" s="72"/>
      <c r="CE191" s="72"/>
      <c r="CF191" s="72"/>
      <c r="CG191" s="72"/>
      <c r="CH191" s="72"/>
    </row>
    <row r="192" ht="15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  <c r="AT192" s="72"/>
      <c r="AU192" s="72"/>
      <c r="AV192" s="72"/>
      <c r="AW192" s="72"/>
      <c r="AX192" s="72"/>
      <c r="AY192" s="72"/>
      <c r="AZ192" s="72"/>
      <c r="BA192" s="72"/>
      <c r="BB192" s="72"/>
      <c r="BC192" s="72"/>
      <c r="BD192" s="72"/>
      <c r="BE192" s="72"/>
      <c r="BF192" s="72"/>
      <c r="BG192" s="72"/>
      <c r="BH192" s="72"/>
      <c r="BI192" s="72"/>
      <c r="BJ192" s="72"/>
      <c r="BK192" s="72"/>
      <c r="BL192" s="72"/>
      <c r="BM192" s="72"/>
      <c r="BN192" s="72"/>
      <c r="BO192" s="72"/>
      <c r="BP192" s="72"/>
      <c r="BQ192" s="72"/>
      <c r="BR192" s="72"/>
      <c r="BS192" s="72"/>
      <c r="BT192" s="72"/>
      <c r="BU192" s="72"/>
      <c r="BV192" s="72"/>
      <c r="BW192" s="72"/>
      <c r="BX192" s="72"/>
      <c r="BY192" s="72"/>
      <c r="BZ192" s="72"/>
      <c r="CA192" s="72"/>
      <c r="CB192" s="72"/>
      <c r="CC192" s="72"/>
      <c r="CD192" s="72"/>
      <c r="CE192" s="72"/>
      <c r="CF192" s="72"/>
      <c r="CG192" s="72"/>
      <c r="CH192" s="72"/>
    </row>
    <row r="193" ht="15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  <c r="AT193" s="72"/>
      <c r="AU193" s="72"/>
      <c r="AV193" s="72"/>
      <c r="AW193" s="72"/>
      <c r="AX193" s="72"/>
      <c r="AY193" s="72"/>
      <c r="AZ193" s="72"/>
      <c r="BA193" s="72"/>
      <c r="BB193" s="72"/>
      <c r="BC193" s="72"/>
      <c r="BD193" s="72"/>
      <c r="BE193" s="72"/>
      <c r="BF193" s="72"/>
      <c r="BG193" s="72"/>
      <c r="BH193" s="72"/>
      <c r="BI193" s="72"/>
      <c r="BJ193" s="72"/>
      <c r="BK193" s="72"/>
      <c r="BL193" s="72"/>
      <c r="BM193" s="72"/>
      <c r="BN193" s="72"/>
      <c r="BO193" s="72"/>
      <c r="BP193" s="72"/>
      <c r="BQ193" s="72"/>
      <c r="BR193" s="72"/>
      <c r="BS193" s="72"/>
      <c r="BT193" s="72"/>
      <c r="BU193" s="72"/>
      <c r="BV193" s="72"/>
      <c r="BW193" s="72"/>
      <c r="BX193" s="72"/>
      <c r="BY193" s="72"/>
      <c r="BZ193" s="72"/>
      <c r="CA193" s="72"/>
      <c r="CB193" s="72"/>
      <c r="CC193" s="72"/>
      <c r="CD193" s="72"/>
      <c r="CE193" s="72"/>
      <c r="CF193" s="72"/>
      <c r="CG193" s="72"/>
      <c r="CH193" s="72"/>
    </row>
    <row r="194" ht="15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  <c r="AT194" s="72"/>
      <c r="AU194" s="72"/>
      <c r="AV194" s="72"/>
      <c r="AW194" s="72"/>
      <c r="AX194" s="72"/>
      <c r="AY194" s="72"/>
      <c r="AZ194" s="72"/>
      <c r="BA194" s="72"/>
      <c r="BB194" s="72"/>
      <c r="BC194" s="72"/>
      <c r="BD194" s="72"/>
      <c r="BE194" s="72"/>
      <c r="BF194" s="72"/>
      <c r="BG194" s="72"/>
      <c r="BH194" s="72"/>
      <c r="BI194" s="72"/>
      <c r="BJ194" s="72"/>
      <c r="BK194" s="72"/>
      <c r="BL194" s="72"/>
      <c r="BM194" s="72"/>
      <c r="BN194" s="72"/>
      <c r="BO194" s="72"/>
      <c r="BP194" s="72"/>
      <c r="BQ194" s="72"/>
      <c r="BR194" s="72"/>
      <c r="BS194" s="72"/>
      <c r="BT194" s="72"/>
      <c r="BU194" s="72"/>
      <c r="BV194" s="72"/>
      <c r="BW194" s="72"/>
      <c r="BX194" s="72"/>
      <c r="BY194" s="72"/>
      <c r="BZ194" s="72"/>
      <c r="CA194" s="72"/>
      <c r="CB194" s="72"/>
      <c r="CC194" s="72"/>
      <c r="CD194" s="72"/>
      <c r="CE194" s="72"/>
      <c r="CF194" s="72"/>
      <c r="CG194" s="72"/>
      <c r="CH194" s="72"/>
    </row>
    <row r="195" ht="15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  <c r="AT195" s="72"/>
      <c r="AU195" s="72"/>
      <c r="AV195" s="72"/>
      <c r="AW195" s="72"/>
      <c r="AX195" s="72"/>
      <c r="AY195" s="72"/>
      <c r="AZ195" s="72"/>
      <c r="BA195" s="72"/>
      <c r="BB195" s="72"/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  <c r="BM195" s="72"/>
      <c r="BN195" s="72"/>
      <c r="BO195" s="72"/>
      <c r="BP195" s="72"/>
      <c r="BQ195" s="72"/>
      <c r="BR195" s="72"/>
      <c r="BS195" s="72"/>
      <c r="BT195" s="72"/>
      <c r="BU195" s="72"/>
      <c r="BV195" s="72"/>
      <c r="BW195" s="72"/>
      <c r="BX195" s="72"/>
      <c r="BY195" s="72"/>
      <c r="BZ195" s="72"/>
      <c r="CA195" s="72"/>
      <c r="CB195" s="72"/>
      <c r="CC195" s="72"/>
      <c r="CD195" s="72"/>
      <c r="CE195" s="72"/>
      <c r="CF195" s="72"/>
      <c r="CG195" s="72"/>
      <c r="CH195" s="72"/>
    </row>
    <row r="196" ht="15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/>
      <c r="BN196" s="72"/>
      <c r="BO196" s="72"/>
      <c r="BP196" s="72"/>
      <c r="BQ196" s="72"/>
      <c r="BR196" s="72"/>
      <c r="BS196" s="72"/>
      <c r="BT196" s="72"/>
      <c r="BU196" s="72"/>
      <c r="BV196" s="72"/>
      <c r="BW196" s="72"/>
      <c r="BX196" s="72"/>
      <c r="BY196" s="72"/>
      <c r="BZ196" s="72"/>
      <c r="CA196" s="72"/>
      <c r="CB196" s="72"/>
      <c r="CC196" s="72"/>
      <c r="CD196" s="72"/>
      <c r="CE196" s="72"/>
      <c r="CF196" s="72"/>
      <c r="CG196" s="72"/>
      <c r="CH196" s="72"/>
    </row>
    <row r="197" ht="15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/>
      <c r="AR197" s="72"/>
      <c r="AS197" s="72"/>
      <c r="AT197" s="72"/>
      <c r="AU197" s="72"/>
      <c r="AV197" s="72"/>
      <c r="AW197" s="72"/>
      <c r="AX197" s="72"/>
      <c r="AY197" s="72"/>
      <c r="AZ197" s="72"/>
      <c r="BA197" s="72"/>
      <c r="BB197" s="72"/>
      <c r="BC197" s="72"/>
      <c r="BD197" s="72"/>
      <c r="BE197" s="72"/>
      <c r="BF197" s="72"/>
      <c r="BG197" s="72"/>
      <c r="BH197" s="72"/>
      <c r="BI197" s="72"/>
      <c r="BJ197" s="72"/>
      <c r="BK197" s="72"/>
      <c r="BL197" s="72"/>
      <c r="BM197" s="72"/>
      <c r="BN197" s="72"/>
      <c r="BO197" s="72"/>
      <c r="BP197" s="72"/>
      <c r="BQ197" s="72"/>
      <c r="BR197" s="72"/>
      <c r="BS197" s="72"/>
      <c r="BT197" s="72"/>
      <c r="BU197" s="72"/>
      <c r="BV197" s="72"/>
      <c r="BW197" s="72"/>
      <c r="BX197" s="72"/>
      <c r="BY197" s="72"/>
      <c r="BZ197" s="72"/>
      <c r="CA197" s="72"/>
      <c r="CB197" s="72"/>
      <c r="CC197" s="72"/>
      <c r="CD197" s="72"/>
      <c r="CE197" s="72"/>
      <c r="CF197" s="72"/>
      <c r="CG197" s="72"/>
      <c r="CH197" s="72"/>
    </row>
    <row r="198" ht="15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  <c r="AQ198" s="72"/>
      <c r="AR198" s="72"/>
      <c r="AS198" s="72"/>
      <c r="AT198" s="72"/>
      <c r="AU198" s="72"/>
      <c r="AV198" s="72"/>
      <c r="AW198" s="72"/>
      <c r="AX198" s="72"/>
      <c r="AY198" s="72"/>
      <c r="AZ198" s="72"/>
      <c r="BA198" s="72"/>
      <c r="BB198" s="72"/>
      <c r="BC198" s="72"/>
      <c r="BD198" s="72"/>
      <c r="BE198" s="72"/>
      <c r="BF198" s="72"/>
      <c r="BG198" s="72"/>
      <c r="BH198" s="72"/>
      <c r="BI198" s="72"/>
      <c r="BJ198" s="72"/>
      <c r="BK198" s="72"/>
      <c r="BL198" s="72"/>
      <c r="BM198" s="72"/>
      <c r="BN198" s="72"/>
      <c r="BO198" s="72"/>
      <c r="BP198" s="72"/>
      <c r="BQ198" s="72"/>
      <c r="BR198" s="72"/>
      <c r="BS198" s="72"/>
      <c r="BT198" s="72"/>
      <c r="BU198" s="72"/>
      <c r="BV198" s="72"/>
      <c r="BW198" s="72"/>
      <c r="BX198" s="72"/>
      <c r="BY198" s="72"/>
      <c r="BZ198" s="72"/>
      <c r="CA198" s="72"/>
      <c r="CB198" s="72"/>
      <c r="CC198" s="72"/>
      <c r="CD198" s="72"/>
      <c r="CE198" s="72"/>
      <c r="CF198" s="72"/>
      <c r="CG198" s="72"/>
      <c r="CH198" s="72"/>
    </row>
    <row r="199" ht="15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  <c r="AQ199" s="72"/>
      <c r="AR199" s="72"/>
      <c r="AS199" s="72"/>
      <c r="AT199" s="72"/>
      <c r="AU199" s="72"/>
      <c r="AV199" s="72"/>
      <c r="AW199" s="72"/>
      <c r="AX199" s="72"/>
      <c r="AY199" s="72"/>
      <c r="AZ199" s="72"/>
      <c r="BA199" s="72"/>
      <c r="BB199" s="72"/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  <c r="BM199" s="72"/>
      <c r="BN199" s="72"/>
      <c r="BO199" s="72"/>
      <c r="BP199" s="72"/>
      <c r="BQ199" s="72"/>
      <c r="BR199" s="72"/>
      <c r="BS199" s="72"/>
      <c r="BT199" s="72"/>
      <c r="BU199" s="72"/>
      <c r="BV199" s="72"/>
      <c r="BW199" s="72"/>
      <c r="BX199" s="72"/>
      <c r="BY199" s="72"/>
      <c r="BZ199" s="72"/>
      <c r="CA199" s="72"/>
      <c r="CB199" s="72"/>
      <c r="CC199" s="72"/>
      <c r="CD199" s="72"/>
      <c r="CE199" s="72"/>
      <c r="CF199" s="72"/>
      <c r="CG199" s="72"/>
      <c r="CH199" s="72"/>
    </row>
    <row r="200" ht="15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  <c r="AQ200" s="72"/>
      <c r="AR200" s="72"/>
      <c r="AS200" s="72"/>
      <c r="AT200" s="72"/>
      <c r="AU200" s="72"/>
      <c r="AV200" s="72"/>
      <c r="AW200" s="72"/>
      <c r="AX200" s="72"/>
      <c r="AY200" s="72"/>
      <c r="AZ200" s="72"/>
      <c r="BA200" s="72"/>
      <c r="BB200" s="72"/>
      <c r="BC200" s="72"/>
      <c r="BD200" s="72"/>
      <c r="BE200" s="72"/>
      <c r="BF200" s="72"/>
      <c r="BG200" s="72"/>
      <c r="BH200" s="72"/>
      <c r="BI200" s="72"/>
      <c r="BJ200" s="72"/>
      <c r="BK200" s="72"/>
      <c r="BL200" s="72"/>
      <c r="BM200" s="72"/>
      <c r="BN200" s="72"/>
      <c r="BO200" s="72"/>
      <c r="BP200" s="72"/>
      <c r="BQ200" s="72"/>
      <c r="BR200" s="72"/>
      <c r="BS200" s="72"/>
      <c r="BT200" s="72"/>
      <c r="BU200" s="72"/>
      <c r="BV200" s="72"/>
      <c r="BW200" s="72"/>
      <c r="BX200" s="72"/>
      <c r="BY200" s="72"/>
      <c r="BZ200" s="72"/>
      <c r="CA200" s="72"/>
      <c r="CB200" s="72"/>
      <c r="CC200" s="72"/>
      <c r="CD200" s="72"/>
      <c r="CE200" s="72"/>
      <c r="CF200" s="72"/>
      <c r="CG200" s="72"/>
      <c r="CH200" s="72"/>
    </row>
    <row r="201" ht="15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72"/>
      <c r="BO201" s="72"/>
      <c r="BP201" s="72"/>
      <c r="BQ201" s="72"/>
      <c r="BR201" s="72"/>
      <c r="BS201" s="72"/>
      <c r="BT201" s="72"/>
      <c r="BU201" s="72"/>
      <c r="BV201" s="72"/>
      <c r="BW201" s="72"/>
      <c r="BX201" s="72"/>
      <c r="BY201" s="72"/>
      <c r="BZ201" s="72"/>
      <c r="CA201" s="72"/>
      <c r="CB201" s="72"/>
      <c r="CC201" s="72"/>
      <c r="CD201" s="72"/>
      <c r="CE201" s="72"/>
      <c r="CF201" s="72"/>
      <c r="CG201" s="72"/>
      <c r="CH201" s="72"/>
    </row>
    <row r="202" ht="15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72"/>
      <c r="BO202" s="72"/>
      <c r="BP202" s="72"/>
      <c r="BQ202" s="72"/>
      <c r="BR202" s="72"/>
      <c r="BS202" s="72"/>
      <c r="BT202" s="72"/>
      <c r="BU202" s="72"/>
      <c r="BV202" s="72"/>
      <c r="BW202" s="72"/>
      <c r="BX202" s="72"/>
      <c r="BY202" s="72"/>
      <c r="BZ202" s="72"/>
      <c r="CA202" s="72"/>
      <c r="CB202" s="72"/>
      <c r="CC202" s="72"/>
      <c r="CD202" s="72"/>
      <c r="CE202" s="72"/>
      <c r="CF202" s="72"/>
      <c r="CG202" s="72"/>
      <c r="CH202" s="72"/>
    </row>
    <row r="203" ht="15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72"/>
      <c r="BO203" s="72"/>
      <c r="BP203" s="72"/>
      <c r="BQ203" s="72"/>
      <c r="BR203" s="72"/>
      <c r="BS203" s="72"/>
      <c r="BT203" s="72"/>
      <c r="BU203" s="72"/>
      <c r="BV203" s="72"/>
      <c r="BW203" s="72"/>
      <c r="BX203" s="72"/>
      <c r="BY203" s="72"/>
      <c r="BZ203" s="72"/>
      <c r="CA203" s="72"/>
      <c r="CB203" s="72"/>
      <c r="CC203" s="72"/>
      <c r="CD203" s="72"/>
      <c r="CE203" s="72"/>
      <c r="CF203" s="72"/>
      <c r="CG203" s="72"/>
      <c r="CH203" s="72"/>
    </row>
    <row r="204" ht="15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72"/>
      <c r="BO204" s="72"/>
      <c r="BP204" s="72"/>
      <c r="BQ204" s="72"/>
      <c r="BR204" s="72"/>
      <c r="BS204" s="72"/>
      <c r="BT204" s="72"/>
      <c r="BU204" s="72"/>
      <c r="BV204" s="72"/>
      <c r="BW204" s="72"/>
      <c r="BX204" s="72"/>
      <c r="BY204" s="72"/>
      <c r="BZ204" s="72"/>
      <c r="CA204" s="72"/>
      <c r="CB204" s="72"/>
      <c r="CC204" s="72"/>
      <c r="CD204" s="72"/>
      <c r="CE204" s="72"/>
      <c r="CF204" s="72"/>
      <c r="CG204" s="72"/>
      <c r="CH204" s="72"/>
    </row>
    <row r="205" ht="15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72"/>
      <c r="BO205" s="72"/>
      <c r="BP205" s="72"/>
      <c r="BQ205" s="72"/>
      <c r="BR205" s="72"/>
      <c r="BS205" s="72"/>
      <c r="BT205" s="72"/>
      <c r="BU205" s="72"/>
      <c r="BV205" s="72"/>
      <c r="BW205" s="72"/>
      <c r="BX205" s="72"/>
      <c r="BY205" s="72"/>
      <c r="BZ205" s="72"/>
      <c r="CA205" s="72"/>
      <c r="CB205" s="72"/>
      <c r="CC205" s="72"/>
      <c r="CD205" s="72"/>
      <c r="CE205" s="72"/>
      <c r="CF205" s="72"/>
      <c r="CG205" s="72"/>
      <c r="CH205" s="72"/>
    </row>
    <row r="206" ht="15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72"/>
      <c r="BO206" s="72"/>
      <c r="BP206" s="72"/>
      <c r="BQ206" s="72"/>
      <c r="BR206" s="72"/>
      <c r="BS206" s="72"/>
      <c r="BT206" s="72"/>
      <c r="BU206" s="72"/>
      <c r="BV206" s="72"/>
      <c r="BW206" s="72"/>
      <c r="BX206" s="72"/>
      <c r="BY206" s="72"/>
      <c r="BZ206" s="72"/>
      <c r="CA206" s="72"/>
      <c r="CB206" s="72"/>
      <c r="CC206" s="72"/>
      <c r="CD206" s="72"/>
      <c r="CE206" s="72"/>
      <c r="CF206" s="72"/>
      <c r="CG206" s="72"/>
      <c r="CH206" s="72"/>
    </row>
    <row r="207" ht="15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72"/>
      <c r="BO207" s="72"/>
      <c r="BP207" s="72"/>
      <c r="BQ207" s="72"/>
      <c r="BR207" s="72"/>
      <c r="BS207" s="72"/>
      <c r="BT207" s="72"/>
      <c r="BU207" s="72"/>
      <c r="BV207" s="72"/>
      <c r="BW207" s="72"/>
      <c r="BX207" s="72"/>
      <c r="BY207" s="72"/>
      <c r="BZ207" s="72"/>
      <c r="CA207" s="72"/>
      <c r="CB207" s="72"/>
      <c r="CC207" s="72"/>
      <c r="CD207" s="72"/>
      <c r="CE207" s="72"/>
      <c r="CF207" s="72"/>
      <c r="CG207" s="72"/>
      <c r="CH207" s="72"/>
    </row>
    <row r="208" ht="15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72"/>
      <c r="BO208" s="72"/>
      <c r="BP208" s="72"/>
      <c r="BQ208" s="72"/>
      <c r="BR208" s="72"/>
      <c r="BS208" s="72"/>
      <c r="BT208" s="72"/>
      <c r="BU208" s="72"/>
      <c r="BV208" s="72"/>
      <c r="BW208" s="72"/>
      <c r="BX208" s="72"/>
      <c r="BY208" s="72"/>
      <c r="BZ208" s="72"/>
      <c r="CA208" s="72"/>
      <c r="CB208" s="72"/>
      <c r="CC208" s="72"/>
      <c r="CD208" s="72"/>
      <c r="CE208" s="72"/>
      <c r="CF208" s="72"/>
      <c r="CG208" s="72"/>
      <c r="CH208" s="72"/>
    </row>
    <row r="209" ht="15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72"/>
      <c r="BO209" s="72"/>
      <c r="BP209" s="72"/>
      <c r="BQ209" s="72"/>
      <c r="BR209" s="72"/>
      <c r="BS209" s="72"/>
      <c r="BT209" s="72"/>
      <c r="BU209" s="72"/>
      <c r="BV209" s="72"/>
      <c r="BW209" s="72"/>
      <c r="BX209" s="72"/>
      <c r="BY209" s="72"/>
      <c r="BZ209" s="72"/>
      <c r="CA209" s="72"/>
      <c r="CB209" s="72"/>
      <c r="CC209" s="72"/>
      <c r="CD209" s="72"/>
      <c r="CE209" s="72"/>
      <c r="CF209" s="72"/>
      <c r="CG209" s="72"/>
      <c r="CH209" s="72"/>
    </row>
    <row r="210" ht="15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72"/>
      <c r="BO210" s="72"/>
      <c r="BP210" s="72"/>
      <c r="BQ210" s="72"/>
      <c r="BR210" s="72"/>
      <c r="BS210" s="72"/>
      <c r="BT210" s="72"/>
      <c r="BU210" s="72"/>
      <c r="BV210" s="72"/>
      <c r="BW210" s="72"/>
      <c r="BX210" s="72"/>
      <c r="BY210" s="72"/>
      <c r="BZ210" s="72"/>
      <c r="CA210" s="72"/>
      <c r="CB210" s="72"/>
      <c r="CC210" s="72"/>
      <c r="CD210" s="72"/>
      <c r="CE210" s="72"/>
      <c r="CF210" s="72"/>
      <c r="CG210" s="72"/>
      <c r="CH210" s="72"/>
    </row>
    <row r="211" ht="15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  <c r="AQ211" s="72"/>
      <c r="AR211" s="72"/>
      <c r="AS211" s="72"/>
      <c r="AT211" s="72"/>
      <c r="AU211" s="72"/>
      <c r="AV211" s="72"/>
      <c r="AW211" s="72"/>
      <c r="AX211" s="72"/>
      <c r="AY211" s="72"/>
      <c r="AZ211" s="72"/>
      <c r="BA211" s="72"/>
      <c r="BB211" s="72"/>
      <c r="BC211" s="72"/>
      <c r="BD211" s="72"/>
      <c r="BE211" s="72"/>
      <c r="BF211" s="72"/>
      <c r="BG211" s="72"/>
      <c r="BH211" s="72"/>
      <c r="BI211" s="72"/>
      <c r="BJ211" s="72"/>
      <c r="BK211" s="72"/>
      <c r="BL211" s="72"/>
      <c r="BM211" s="72"/>
      <c r="BN211" s="72"/>
      <c r="BO211" s="72"/>
      <c r="BP211" s="72"/>
      <c r="BQ211" s="72"/>
      <c r="BR211" s="72"/>
      <c r="BS211" s="72"/>
      <c r="BT211" s="72"/>
      <c r="BU211" s="72"/>
      <c r="BV211" s="72"/>
      <c r="BW211" s="72"/>
      <c r="BX211" s="72"/>
      <c r="BY211" s="72"/>
      <c r="BZ211" s="72"/>
      <c r="CA211" s="72"/>
      <c r="CB211" s="72"/>
      <c r="CC211" s="72"/>
      <c r="CD211" s="72"/>
      <c r="CE211" s="72"/>
      <c r="CF211" s="72"/>
      <c r="CG211" s="72"/>
      <c r="CH211" s="72"/>
    </row>
    <row r="212" ht="15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  <c r="AQ212" s="72"/>
      <c r="AR212" s="72"/>
      <c r="AS212" s="72"/>
      <c r="AT212" s="72"/>
      <c r="AU212" s="72"/>
      <c r="AV212" s="72"/>
      <c r="AW212" s="72"/>
      <c r="AX212" s="72"/>
      <c r="AY212" s="72"/>
      <c r="AZ212" s="72"/>
      <c r="BA212" s="72"/>
      <c r="BB212" s="72"/>
      <c r="BC212" s="72"/>
      <c r="BD212" s="72"/>
      <c r="BE212" s="72"/>
      <c r="BF212" s="72"/>
      <c r="BG212" s="72"/>
      <c r="BH212" s="72"/>
      <c r="BI212" s="72"/>
      <c r="BJ212" s="72"/>
      <c r="BK212" s="72"/>
      <c r="BL212" s="72"/>
      <c r="BM212" s="72"/>
      <c r="BN212" s="72"/>
      <c r="BO212" s="72"/>
      <c r="BP212" s="72"/>
      <c r="BQ212" s="72"/>
      <c r="BR212" s="72"/>
      <c r="BS212" s="72"/>
      <c r="BT212" s="72"/>
      <c r="BU212" s="72"/>
      <c r="BV212" s="72"/>
      <c r="BW212" s="72"/>
      <c r="BX212" s="72"/>
      <c r="BY212" s="72"/>
      <c r="BZ212" s="72"/>
      <c r="CA212" s="72"/>
      <c r="CB212" s="72"/>
      <c r="CC212" s="72"/>
      <c r="CD212" s="72"/>
      <c r="CE212" s="72"/>
      <c r="CF212" s="72"/>
      <c r="CG212" s="72"/>
      <c r="CH212" s="72"/>
    </row>
    <row r="213" ht="15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  <c r="AQ213" s="72"/>
      <c r="AR213" s="72"/>
      <c r="AS213" s="72"/>
      <c r="AT213" s="72"/>
      <c r="AU213" s="72"/>
      <c r="AV213" s="72"/>
      <c r="AW213" s="72"/>
      <c r="AX213" s="72"/>
      <c r="AY213" s="72"/>
      <c r="AZ213" s="72"/>
      <c r="BA213" s="72"/>
      <c r="BB213" s="72"/>
      <c r="BC213" s="72"/>
      <c r="BD213" s="72"/>
      <c r="BE213" s="72"/>
      <c r="BF213" s="72"/>
      <c r="BG213" s="72"/>
      <c r="BH213" s="72"/>
      <c r="BI213" s="72"/>
      <c r="BJ213" s="72"/>
      <c r="BK213" s="72"/>
      <c r="BL213" s="72"/>
      <c r="BM213" s="72"/>
      <c r="BN213" s="72"/>
      <c r="BO213" s="72"/>
      <c r="BP213" s="72"/>
      <c r="BQ213" s="72"/>
      <c r="BR213" s="72"/>
      <c r="BS213" s="72"/>
      <c r="BT213" s="72"/>
      <c r="BU213" s="72"/>
      <c r="BV213" s="72"/>
      <c r="BW213" s="72"/>
      <c r="BX213" s="72"/>
      <c r="BY213" s="72"/>
      <c r="BZ213" s="72"/>
      <c r="CA213" s="72"/>
      <c r="CB213" s="72"/>
      <c r="CC213" s="72"/>
      <c r="CD213" s="72"/>
      <c r="CE213" s="72"/>
      <c r="CF213" s="72"/>
      <c r="CG213" s="72"/>
      <c r="CH213" s="72"/>
    </row>
    <row r="214" ht="15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  <c r="AQ214" s="72"/>
      <c r="AR214" s="72"/>
      <c r="AS214" s="72"/>
      <c r="AT214" s="72"/>
      <c r="AU214" s="72"/>
      <c r="AV214" s="72"/>
      <c r="AW214" s="72"/>
      <c r="AX214" s="72"/>
      <c r="AY214" s="72"/>
      <c r="AZ214" s="72"/>
      <c r="BA214" s="72"/>
      <c r="BB214" s="72"/>
      <c r="BC214" s="72"/>
      <c r="BD214" s="72"/>
      <c r="BE214" s="72"/>
      <c r="BF214" s="72"/>
      <c r="BG214" s="72"/>
      <c r="BH214" s="72"/>
      <c r="BI214" s="72"/>
      <c r="BJ214" s="72"/>
      <c r="BK214" s="72"/>
      <c r="BL214" s="72"/>
      <c r="BM214" s="72"/>
      <c r="BN214" s="72"/>
      <c r="BO214" s="72"/>
      <c r="BP214" s="72"/>
      <c r="BQ214" s="72"/>
      <c r="BR214" s="72"/>
      <c r="BS214" s="72"/>
      <c r="BT214" s="72"/>
      <c r="BU214" s="72"/>
      <c r="BV214" s="72"/>
      <c r="BW214" s="72"/>
      <c r="BX214" s="72"/>
      <c r="BY214" s="72"/>
      <c r="BZ214" s="72"/>
      <c r="CA214" s="72"/>
      <c r="CB214" s="72"/>
      <c r="CC214" s="72"/>
      <c r="CD214" s="72"/>
      <c r="CE214" s="72"/>
      <c r="CF214" s="72"/>
      <c r="CG214" s="72"/>
      <c r="CH214" s="72"/>
    </row>
    <row r="215" ht="15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  <c r="AQ215" s="72"/>
      <c r="AR215" s="72"/>
      <c r="AS215" s="72"/>
      <c r="AT215" s="72"/>
      <c r="AU215" s="72"/>
      <c r="AV215" s="72"/>
      <c r="AW215" s="72"/>
      <c r="AX215" s="72"/>
      <c r="AY215" s="72"/>
      <c r="AZ215" s="72"/>
      <c r="BA215" s="72"/>
      <c r="BB215" s="72"/>
      <c r="BC215" s="72"/>
      <c r="BD215" s="72"/>
      <c r="BE215" s="72"/>
      <c r="BF215" s="72"/>
      <c r="BG215" s="72"/>
      <c r="BH215" s="72"/>
      <c r="BI215" s="72"/>
      <c r="BJ215" s="72"/>
      <c r="BK215" s="72"/>
      <c r="BL215" s="72"/>
      <c r="BM215" s="72"/>
      <c r="BN215" s="72"/>
      <c r="BO215" s="72"/>
      <c r="BP215" s="72"/>
      <c r="BQ215" s="72"/>
      <c r="BR215" s="72"/>
      <c r="BS215" s="72"/>
      <c r="BT215" s="72"/>
      <c r="BU215" s="72"/>
      <c r="BV215" s="72"/>
      <c r="BW215" s="72"/>
      <c r="BX215" s="72"/>
      <c r="BY215" s="72"/>
      <c r="BZ215" s="72"/>
      <c r="CA215" s="72"/>
      <c r="CB215" s="72"/>
      <c r="CC215" s="72"/>
      <c r="CD215" s="72"/>
      <c r="CE215" s="72"/>
      <c r="CF215" s="72"/>
      <c r="CG215" s="72"/>
      <c r="CH215" s="72"/>
    </row>
    <row r="216" ht="15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  <c r="AQ216" s="72"/>
      <c r="AR216" s="72"/>
      <c r="AS216" s="72"/>
      <c r="AT216" s="72"/>
      <c r="AU216" s="72"/>
      <c r="AV216" s="72"/>
      <c r="AW216" s="72"/>
      <c r="AX216" s="72"/>
      <c r="AY216" s="72"/>
      <c r="AZ216" s="72"/>
      <c r="BA216" s="72"/>
      <c r="BB216" s="72"/>
      <c r="BC216" s="72"/>
      <c r="BD216" s="72"/>
      <c r="BE216" s="72"/>
      <c r="BF216" s="72"/>
      <c r="BG216" s="72"/>
      <c r="BH216" s="72"/>
      <c r="BI216" s="72"/>
      <c r="BJ216" s="72"/>
      <c r="BK216" s="72"/>
      <c r="BL216" s="72"/>
      <c r="BM216" s="72"/>
      <c r="BN216" s="72"/>
      <c r="BO216" s="72"/>
      <c r="BP216" s="72"/>
      <c r="BQ216" s="72"/>
      <c r="BR216" s="72"/>
      <c r="BS216" s="72"/>
      <c r="BT216" s="72"/>
      <c r="BU216" s="72"/>
      <c r="BV216" s="72"/>
      <c r="BW216" s="72"/>
      <c r="BX216" s="72"/>
      <c r="BY216" s="72"/>
      <c r="BZ216" s="72"/>
      <c r="CA216" s="72"/>
      <c r="CB216" s="72"/>
      <c r="CC216" s="72"/>
      <c r="CD216" s="72"/>
      <c r="CE216" s="72"/>
      <c r="CF216" s="72"/>
      <c r="CG216" s="72"/>
      <c r="CH216" s="72"/>
    </row>
    <row r="217" ht="15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  <c r="AS217" s="72"/>
      <c r="AT217" s="72"/>
      <c r="AU217" s="72"/>
      <c r="AV217" s="72"/>
      <c r="AW217" s="72"/>
      <c r="AX217" s="72"/>
      <c r="AY217" s="72"/>
      <c r="AZ217" s="72"/>
      <c r="BA217" s="72"/>
      <c r="BB217" s="72"/>
      <c r="BC217" s="72"/>
      <c r="BD217" s="72"/>
      <c r="BE217" s="72"/>
      <c r="BF217" s="72"/>
      <c r="BG217" s="72"/>
      <c r="BH217" s="72"/>
      <c r="BI217" s="72"/>
      <c r="BJ217" s="72"/>
      <c r="BK217" s="72"/>
      <c r="BL217" s="72"/>
      <c r="BM217" s="72"/>
      <c r="BN217" s="72"/>
      <c r="BO217" s="72"/>
      <c r="BP217" s="72"/>
      <c r="BQ217" s="72"/>
      <c r="BR217" s="72"/>
      <c r="BS217" s="72"/>
      <c r="BT217" s="72"/>
      <c r="BU217" s="72"/>
      <c r="BV217" s="72"/>
      <c r="BW217" s="72"/>
      <c r="BX217" s="72"/>
      <c r="BY217" s="72"/>
      <c r="BZ217" s="72"/>
      <c r="CA217" s="72"/>
      <c r="CB217" s="72"/>
      <c r="CC217" s="72"/>
      <c r="CD217" s="72"/>
      <c r="CE217" s="72"/>
      <c r="CF217" s="72"/>
      <c r="CG217" s="72"/>
      <c r="CH217" s="72"/>
    </row>
    <row r="218" ht="15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  <c r="AQ218" s="72"/>
      <c r="AR218" s="72"/>
      <c r="AS218" s="72"/>
      <c r="AT218" s="72"/>
      <c r="AU218" s="72"/>
      <c r="AV218" s="72"/>
      <c r="AW218" s="72"/>
      <c r="AX218" s="72"/>
      <c r="AY218" s="72"/>
      <c r="AZ218" s="72"/>
      <c r="BA218" s="72"/>
      <c r="BB218" s="72"/>
      <c r="BC218" s="72"/>
      <c r="BD218" s="72"/>
      <c r="BE218" s="72"/>
      <c r="BF218" s="72"/>
      <c r="BG218" s="72"/>
      <c r="BH218" s="72"/>
      <c r="BI218" s="72"/>
      <c r="BJ218" s="72"/>
      <c r="BK218" s="72"/>
      <c r="BL218" s="72"/>
      <c r="BM218" s="72"/>
      <c r="BN218" s="72"/>
      <c r="BO218" s="72"/>
      <c r="BP218" s="72"/>
      <c r="BQ218" s="72"/>
      <c r="BR218" s="72"/>
      <c r="BS218" s="72"/>
      <c r="BT218" s="72"/>
      <c r="BU218" s="72"/>
      <c r="BV218" s="72"/>
      <c r="BW218" s="72"/>
      <c r="BX218" s="72"/>
      <c r="BY218" s="72"/>
      <c r="BZ218" s="72"/>
      <c r="CA218" s="72"/>
      <c r="CB218" s="72"/>
      <c r="CC218" s="72"/>
      <c r="CD218" s="72"/>
      <c r="CE218" s="72"/>
      <c r="CF218" s="72"/>
      <c r="CG218" s="72"/>
      <c r="CH218" s="72"/>
    </row>
    <row r="219" ht="15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  <c r="AQ219" s="72"/>
      <c r="AR219" s="72"/>
      <c r="AS219" s="72"/>
      <c r="AT219" s="72"/>
      <c r="AU219" s="72"/>
      <c r="AV219" s="72"/>
      <c r="AW219" s="72"/>
      <c r="AX219" s="72"/>
      <c r="AY219" s="72"/>
      <c r="AZ219" s="72"/>
      <c r="BA219" s="72"/>
      <c r="BB219" s="72"/>
      <c r="BC219" s="72"/>
      <c r="BD219" s="72"/>
      <c r="BE219" s="72"/>
      <c r="BF219" s="72"/>
      <c r="BG219" s="72"/>
      <c r="BH219" s="72"/>
      <c r="BI219" s="72"/>
      <c r="BJ219" s="72"/>
      <c r="BK219" s="72"/>
      <c r="BL219" s="72"/>
      <c r="BM219" s="72"/>
      <c r="BN219" s="72"/>
      <c r="BO219" s="72"/>
      <c r="BP219" s="72"/>
      <c r="BQ219" s="72"/>
      <c r="BR219" s="72"/>
      <c r="BS219" s="72"/>
      <c r="BT219" s="72"/>
      <c r="BU219" s="72"/>
      <c r="BV219" s="72"/>
      <c r="BW219" s="72"/>
      <c r="BX219" s="72"/>
      <c r="BY219" s="72"/>
      <c r="BZ219" s="72"/>
      <c r="CA219" s="72"/>
      <c r="CB219" s="72"/>
      <c r="CC219" s="72"/>
      <c r="CD219" s="72"/>
      <c r="CE219" s="72"/>
      <c r="CF219" s="72"/>
      <c r="CG219" s="72"/>
      <c r="CH219" s="72"/>
    </row>
    <row r="220" ht="15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  <c r="AQ220" s="72"/>
      <c r="AR220" s="72"/>
      <c r="AS220" s="72"/>
      <c r="AT220" s="72"/>
      <c r="AU220" s="72"/>
      <c r="AV220" s="72"/>
      <c r="AW220" s="72"/>
      <c r="AX220" s="72"/>
      <c r="AY220" s="72"/>
      <c r="AZ220" s="72"/>
      <c r="BA220" s="72"/>
      <c r="BB220" s="72"/>
      <c r="BC220" s="72"/>
      <c r="BD220" s="72"/>
      <c r="BE220" s="72"/>
      <c r="BF220" s="72"/>
      <c r="BG220" s="72"/>
      <c r="BH220" s="72"/>
      <c r="BI220" s="72"/>
      <c r="BJ220" s="72"/>
      <c r="BK220" s="72"/>
      <c r="BL220" s="72"/>
      <c r="BM220" s="72"/>
      <c r="BN220" s="72"/>
      <c r="BO220" s="72"/>
      <c r="BP220" s="72"/>
      <c r="BQ220" s="72"/>
      <c r="BR220" s="72"/>
      <c r="BS220" s="72"/>
      <c r="BT220" s="72"/>
      <c r="BU220" s="72"/>
      <c r="BV220" s="72"/>
      <c r="BW220" s="72"/>
      <c r="BX220" s="72"/>
      <c r="BY220" s="72"/>
      <c r="BZ220" s="72"/>
      <c r="CA220" s="72"/>
      <c r="CB220" s="72"/>
      <c r="CC220" s="72"/>
      <c r="CD220" s="72"/>
      <c r="CE220" s="72"/>
      <c r="CF220" s="72"/>
      <c r="CG220" s="72"/>
      <c r="CH220" s="72"/>
    </row>
    <row r="221" ht="15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  <c r="AQ221" s="72"/>
      <c r="AR221" s="72"/>
      <c r="AS221" s="72"/>
      <c r="AT221" s="72"/>
      <c r="AU221" s="72"/>
      <c r="AV221" s="72"/>
      <c r="AW221" s="72"/>
      <c r="AX221" s="72"/>
      <c r="AY221" s="72"/>
      <c r="AZ221" s="72"/>
      <c r="BA221" s="72"/>
      <c r="BB221" s="72"/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  <c r="BM221" s="72"/>
      <c r="BN221" s="72"/>
      <c r="BO221" s="72"/>
      <c r="BP221" s="72"/>
      <c r="BQ221" s="72"/>
      <c r="BR221" s="72"/>
      <c r="BS221" s="72"/>
      <c r="BT221" s="72"/>
      <c r="BU221" s="72"/>
      <c r="BV221" s="72"/>
      <c r="BW221" s="72"/>
      <c r="BX221" s="72"/>
      <c r="BY221" s="72"/>
      <c r="BZ221" s="72"/>
      <c r="CA221" s="72"/>
      <c r="CB221" s="72"/>
      <c r="CC221" s="72"/>
      <c r="CD221" s="72"/>
      <c r="CE221" s="72"/>
      <c r="CF221" s="72"/>
      <c r="CG221" s="72"/>
      <c r="CH221" s="72"/>
    </row>
    <row r="222" ht="15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  <c r="AQ222" s="72"/>
      <c r="AR222" s="72"/>
      <c r="AS222" s="72"/>
      <c r="AT222" s="72"/>
      <c r="AU222" s="72"/>
      <c r="AV222" s="72"/>
      <c r="AW222" s="72"/>
      <c r="AX222" s="72"/>
      <c r="AY222" s="72"/>
      <c r="AZ222" s="72"/>
      <c r="BA222" s="72"/>
      <c r="BB222" s="72"/>
      <c r="BC222" s="72"/>
      <c r="BD222" s="72"/>
      <c r="BE222" s="72"/>
      <c r="BF222" s="72"/>
      <c r="BG222" s="72"/>
      <c r="BH222" s="72"/>
      <c r="BI222" s="72"/>
      <c r="BJ222" s="72"/>
      <c r="BK222" s="72"/>
      <c r="BL222" s="72"/>
      <c r="BM222" s="72"/>
      <c r="BN222" s="72"/>
      <c r="BO222" s="72"/>
      <c r="BP222" s="72"/>
      <c r="BQ222" s="72"/>
      <c r="BR222" s="72"/>
      <c r="BS222" s="72"/>
      <c r="BT222" s="72"/>
      <c r="BU222" s="72"/>
      <c r="BV222" s="72"/>
      <c r="BW222" s="72"/>
      <c r="BX222" s="72"/>
      <c r="BY222" s="72"/>
      <c r="BZ222" s="72"/>
      <c r="CA222" s="72"/>
      <c r="CB222" s="72"/>
      <c r="CC222" s="72"/>
      <c r="CD222" s="72"/>
      <c r="CE222" s="72"/>
      <c r="CF222" s="72"/>
      <c r="CG222" s="72"/>
      <c r="CH222" s="72"/>
    </row>
    <row r="223" ht="15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  <c r="AQ223" s="72"/>
      <c r="AR223" s="72"/>
      <c r="AS223" s="72"/>
      <c r="AT223" s="72"/>
      <c r="AU223" s="72"/>
      <c r="AV223" s="72"/>
      <c r="AW223" s="72"/>
      <c r="AX223" s="72"/>
      <c r="AY223" s="72"/>
      <c r="AZ223" s="72"/>
      <c r="BA223" s="72"/>
      <c r="BB223" s="72"/>
      <c r="BC223" s="72"/>
      <c r="BD223" s="72"/>
      <c r="BE223" s="72"/>
      <c r="BF223" s="72"/>
      <c r="BG223" s="72"/>
      <c r="BH223" s="72"/>
      <c r="BI223" s="72"/>
      <c r="BJ223" s="72"/>
      <c r="BK223" s="72"/>
      <c r="BL223" s="72"/>
      <c r="BM223" s="72"/>
      <c r="BN223" s="72"/>
      <c r="BO223" s="72"/>
      <c r="BP223" s="72"/>
      <c r="BQ223" s="72"/>
      <c r="BR223" s="72"/>
      <c r="BS223" s="72"/>
      <c r="BT223" s="72"/>
      <c r="BU223" s="72"/>
      <c r="BV223" s="72"/>
      <c r="BW223" s="72"/>
      <c r="BX223" s="72"/>
      <c r="BY223" s="72"/>
      <c r="BZ223" s="72"/>
      <c r="CA223" s="72"/>
      <c r="CB223" s="72"/>
      <c r="CC223" s="72"/>
      <c r="CD223" s="72"/>
      <c r="CE223" s="72"/>
      <c r="CF223" s="72"/>
      <c r="CG223" s="72"/>
      <c r="CH223" s="72"/>
    </row>
    <row r="224" ht="15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  <c r="AQ224" s="72"/>
      <c r="AR224" s="72"/>
      <c r="AS224" s="72"/>
      <c r="AT224" s="72"/>
      <c r="AU224" s="72"/>
      <c r="AV224" s="72"/>
      <c r="AW224" s="72"/>
      <c r="AX224" s="72"/>
      <c r="AY224" s="72"/>
      <c r="AZ224" s="72"/>
      <c r="BA224" s="72"/>
      <c r="BB224" s="72"/>
      <c r="BC224" s="72"/>
      <c r="BD224" s="72"/>
      <c r="BE224" s="72"/>
      <c r="BF224" s="72"/>
      <c r="BG224" s="72"/>
      <c r="BH224" s="72"/>
      <c r="BI224" s="72"/>
      <c r="BJ224" s="72"/>
      <c r="BK224" s="72"/>
      <c r="BL224" s="72"/>
      <c r="BM224" s="72"/>
      <c r="BN224" s="72"/>
      <c r="BO224" s="72"/>
      <c r="BP224" s="72"/>
      <c r="BQ224" s="72"/>
      <c r="BR224" s="72"/>
      <c r="BS224" s="72"/>
      <c r="BT224" s="72"/>
      <c r="BU224" s="72"/>
      <c r="BV224" s="72"/>
      <c r="BW224" s="72"/>
      <c r="BX224" s="72"/>
      <c r="BY224" s="72"/>
      <c r="BZ224" s="72"/>
      <c r="CA224" s="72"/>
      <c r="CB224" s="72"/>
      <c r="CC224" s="72"/>
      <c r="CD224" s="72"/>
      <c r="CE224" s="72"/>
      <c r="CF224" s="72"/>
      <c r="CG224" s="72"/>
      <c r="CH224" s="72"/>
    </row>
    <row r="225" ht="15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  <c r="AQ225" s="72"/>
      <c r="AR225" s="72"/>
      <c r="AS225" s="72"/>
      <c r="AT225" s="72"/>
      <c r="AU225" s="72"/>
      <c r="AV225" s="72"/>
      <c r="AW225" s="72"/>
      <c r="AX225" s="72"/>
      <c r="AY225" s="72"/>
      <c r="AZ225" s="72"/>
      <c r="BA225" s="72"/>
      <c r="BB225" s="72"/>
      <c r="BC225" s="72"/>
      <c r="BD225" s="72"/>
      <c r="BE225" s="72"/>
      <c r="BF225" s="72"/>
      <c r="BG225" s="72"/>
      <c r="BH225" s="72"/>
      <c r="BI225" s="72"/>
      <c r="BJ225" s="72"/>
      <c r="BK225" s="72"/>
      <c r="BL225" s="72"/>
      <c r="BM225" s="72"/>
      <c r="BN225" s="72"/>
      <c r="BO225" s="72"/>
      <c r="BP225" s="72"/>
      <c r="BQ225" s="72"/>
      <c r="BR225" s="72"/>
      <c r="BS225" s="72"/>
      <c r="BT225" s="72"/>
      <c r="BU225" s="72"/>
      <c r="BV225" s="72"/>
      <c r="BW225" s="72"/>
      <c r="BX225" s="72"/>
      <c r="BY225" s="72"/>
      <c r="BZ225" s="72"/>
      <c r="CA225" s="72"/>
      <c r="CB225" s="72"/>
      <c r="CC225" s="72"/>
      <c r="CD225" s="72"/>
      <c r="CE225" s="72"/>
      <c r="CF225" s="72"/>
      <c r="CG225" s="72"/>
      <c r="CH225" s="72"/>
    </row>
    <row r="226" ht="15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  <c r="AQ226" s="72"/>
      <c r="AR226" s="72"/>
      <c r="AS226" s="72"/>
      <c r="AT226" s="72"/>
      <c r="AU226" s="72"/>
      <c r="AV226" s="72"/>
      <c r="AW226" s="72"/>
      <c r="AX226" s="72"/>
      <c r="AY226" s="72"/>
      <c r="AZ226" s="72"/>
      <c r="BA226" s="72"/>
      <c r="BB226" s="72"/>
      <c r="BC226" s="72"/>
      <c r="BD226" s="72"/>
      <c r="BE226" s="72"/>
      <c r="BF226" s="72"/>
      <c r="BG226" s="72"/>
      <c r="BH226" s="72"/>
      <c r="BI226" s="72"/>
      <c r="BJ226" s="72"/>
      <c r="BK226" s="72"/>
      <c r="BL226" s="72"/>
      <c r="BM226" s="72"/>
      <c r="BN226" s="72"/>
      <c r="BO226" s="72"/>
      <c r="BP226" s="72"/>
      <c r="BQ226" s="72"/>
      <c r="BR226" s="72"/>
      <c r="BS226" s="72"/>
      <c r="BT226" s="72"/>
      <c r="BU226" s="72"/>
      <c r="BV226" s="72"/>
      <c r="BW226" s="72"/>
      <c r="BX226" s="72"/>
      <c r="BY226" s="72"/>
      <c r="BZ226" s="72"/>
      <c r="CA226" s="72"/>
      <c r="CB226" s="72"/>
      <c r="CC226" s="72"/>
      <c r="CD226" s="72"/>
      <c r="CE226" s="72"/>
      <c r="CF226" s="72"/>
      <c r="CG226" s="72"/>
      <c r="CH226" s="72"/>
    </row>
    <row r="227" ht="15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  <c r="AQ227" s="72"/>
      <c r="AR227" s="72"/>
      <c r="AS227" s="72"/>
      <c r="AT227" s="72"/>
      <c r="AU227" s="72"/>
      <c r="AV227" s="72"/>
      <c r="AW227" s="72"/>
      <c r="AX227" s="72"/>
      <c r="AY227" s="72"/>
      <c r="AZ227" s="72"/>
      <c r="BA227" s="72"/>
      <c r="BB227" s="72"/>
      <c r="BC227" s="72"/>
      <c r="BD227" s="72"/>
      <c r="BE227" s="72"/>
      <c r="BF227" s="72"/>
      <c r="BG227" s="72"/>
      <c r="BH227" s="72"/>
      <c r="BI227" s="72"/>
      <c r="BJ227" s="72"/>
      <c r="BK227" s="72"/>
      <c r="BL227" s="72"/>
      <c r="BM227" s="72"/>
      <c r="BN227" s="72"/>
      <c r="BO227" s="72"/>
      <c r="BP227" s="72"/>
      <c r="BQ227" s="72"/>
      <c r="BR227" s="72"/>
      <c r="BS227" s="72"/>
      <c r="BT227" s="72"/>
      <c r="BU227" s="72"/>
      <c r="BV227" s="72"/>
      <c r="BW227" s="72"/>
      <c r="BX227" s="72"/>
      <c r="BY227" s="72"/>
      <c r="BZ227" s="72"/>
      <c r="CA227" s="72"/>
      <c r="CB227" s="72"/>
      <c r="CC227" s="72"/>
      <c r="CD227" s="72"/>
      <c r="CE227" s="72"/>
      <c r="CF227" s="72"/>
      <c r="CG227" s="72"/>
      <c r="CH227" s="72"/>
    </row>
    <row r="228" ht="15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  <c r="AQ228" s="72"/>
      <c r="AR228" s="72"/>
      <c r="AS228" s="72"/>
      <c r="AT228" s="72"/>
      <c r="AU228" s="72"/>
      <c r="AV228" s="72"/>
      <c r="AW228" s="72"/>
      <c r="AX228" s="72"/>
      <c r="AY228" s="72"/>
      <c r="AZ228" s="72"/>
      <c r="BA228" s="72"/>
      <c r="BB228" s="72"/>
      <c r="BC228" s="72"/>
      <c r="BD228" s="72"/>
      <c r="BE228" s="72"/>
      <c r="BF228" s="72"/>
      <c r="BG228" s="72"/>
      <c r="BH228" s="72"/>
      <c r="BI228" s="72"/>
      <c r="BJ228" s="72"/>
      <c r="BK228" s="72"/>
      <c r="BL228" s="72"/>
      <c r="BM228" s="72"/>
      <c r="BN228" s="72"/>
      <c r="BO228" s="72"/>
      <c r="BP228" s="72"/>
      <c r="BQ228" s="72"/>
      <c r="BR228" s="72"/>
      <c r="BS228" s="72"/>
      <c r="BT228" s="72"/>
      <c r="BU228" s="72"/>
      <c r="BV228" s="72"/>
      <c r="BW228" s="72"/>
      <c r="BX228" s="72"/>
      <c r="BY228" s="72"/>
      <c r="BZ228" s="72"/>
      <c r="CA228" s="72"/>
      <c r="CB228" s="72"/>
      <c r="CC228" s="72"/>
      <c r="CD228" s="72"/>
      <c r="CE228" s="72"/>
      <c r="CF228" s="72"/>
      <c r="CG228" s="72"/>
      <c r="CH228" s="72"/>
    </row>
    <row r="229" ht="15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  <c r="AQ229" s="72"/>
      <c r="AR229" s="72"/>
      <c r="AS229" s="72"/>
      <c r="AT229" s="72"/>
      <c r="AU229" s="72"/>
      <c r="AV229" s="72"/>
      <c r="AW229" s="72"/>
      <c r="AX229" s="72"/>
      <c r="AY229" s="72"/>
      <c r="AZ229" s="72"/>
      <c r="BA229" s="72"/>
      <c r="BB229" s="72"/>
      <c r="BC229" s="72"/>
      <c r="BD229" s="72"/>
      <c r="BE229" s="72"/>
      <c r="BF229" s="72"/>
      <c r="BG229" s="72"/>
      <c r="BH229" s="72"/>
      <c r="BI229" s="72"/>
      <c r="BJ229" s="72"/>
      <c r="BK229" s="72"/>
      <c r="BL229" s="72"/>
      <c r="BM229" s="72"/>
      <c r="BN229" s="72"/>
      <c r="BO229" s="72"/>
      <c r="BP229" s="72"/>
      <c r="BQ229" s="72"/>
      <c r="BR229" s="72"/>
      <c r="BS229" s="72"/>
      <c r="BT229" s="72"/>
      <c r="BU229" s="72"/>
      <c r="BV229" s="72"/>
      <c r="BW229" s="72"/>
      <c r="BX229" s="72"/>
      <c r="BY229" s="72"/>
      <c r="BZ229" s="72"/>
      <c r="CA229" s="72"/>
      <c r="CB229" s="72"/>
      <c r="CC229" s="72"/>
      <c r="CD229" s="72"/>
      <c r="CE229" s="72"/>
      <c r="CF229" s="72"/>
      <c r="CG229" s="72"/>
      <c r="CH229" s="72"/>
    </row>
    <row r="230" ht="15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  <c r="AQ230" s="72"/>
      <c r="AR230" s="72"/>
      <c r="AS230" s="72"/>
      <c r="AT230" s="72"/>
      <c r="AU230" s="72"/>
      <c r="AV230" s="72"/>
      <c r="AW230" s="72"/>
      <c r="AX230" s="72"/>
      <c r="AY230" s="72"/>
      <c r="AZ230" s="72"/>
      <c r="BA230" s="72"/>
      <c r="BB230" s="72"/>
      <c r="BC230" s="72"/>
      <c r="BD230" s="72"/>
      <c r="BE230" s="72"/>
      <c r="BF230" s="72"/>
      <c r="BG230" s="72"/>
      <c r="BH230" s="72"/>
      <c r="BI230" s="72"/>
      <c r="BJ230" s="72"/>
      <c r="BK230" s="72"/>
      <c r="BL230" s="72"/>
      <c r="BM230" s="72"/>
      <c r="BN230" s="72"/>
      <c r="BO230" s="72"/>
      <c r="BP230" s="72"/>
      <c r="BQ230" s="72"/>
      <c r="BR230" s="72"/>
      <c r="BS230" s="72"/>
      <c r="BT230" s="72"/>
      <c r="BU230" s="72"/>
      <c r="BV230" s="72"/>
      <c r="BW230" s="72"/>
      <c r="BX230" s="72"/>
      <c r="BY230" s="72"/>
      <c r="BZ230" s="72"/>
      <c r="CA230" s="72"/>
      <c r="CB230" s="72"/>
      <c r="CC230" s="72"/>
      <c r="CD230" s="72"/>
      <c r="CE230" s="72"/>
      <c r="CF230" s="72"/>
      <c r="CG230" s="72"/>
      <c r="CH230" s="72"/>
    </row>
    <row r="231" ht="15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  <c r="AQ231" s="72"/>
      <c r="AR231" s="72"/>
      <c r="AS231" s="72"/>
      <c r="AT231" s="72"/>
      <c r="AU231" s="72"/>
      <c r="AV231" s="72"/>
      <c r="AW231" s="72"/>
      <c r="AX231" s="72"/>
      <c r="AY231" s="72"/>
      <c r="AZ231" s="72"/>
      <c r="BA231" s="72"/>
      <c r="BB231" s="72"/>
      <c r="BC231" s="72"/>
      <c r="BD231" s="72"/>
      <c r="BE231" s="72"/>
      <c r="BF231" s="72"/>
      <c r="BG231" s="72"/>
      <c r="BH231" s="72"/>
      <c r="BI231" s="72"/>
      <c r="BJ231" s="72"/>
      <c r="BK231" s="72"/>
      <c r="BL231" s="72"/>
      <c r="BM231" s="72"/>
      <c r="BN231" s="72"/>
      <c r="BO231" s="72"/>
      <c r="BP231" s="72"/>
      <c r="BQ231" s="72"/>
      <c r="BR231" s="72"/>
      <c r="BS231" s="72"/>
      <c r="BT231" s="72"/>
      <c r="BU231" s="72"/>
      <c r="BV231" s="72"/>
      <c r="BW231" s="72"/>
      <c r="BX231" s="72"/>
      <c r="BY231" s="72"/>
      <c r="BZ231" s="72"/>
      <c r="CA231" s="72"/>
      <c r="CB231" s="72"/>
      <c r="CC231" s="72"/>
      <c r="CD231" s="72"/>
      <c r="CE231" s="72"/>
      <c r="CF231" s="72"/>
      <c r="CG231" s="72"/>
      <c r="CH231" s="72"/>
    </row>
    <row r="232" ht="15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  <c r="AQ232" s="72"/>
      <c r="AR232" s="72"/>
      <c r="AS232" s="72"/>
      <c r="AT232" s="72"/>
      <c r="AU232" s="72"/>
      <c r="AV232" s="72"/>
      <c r="AW232" s="72"/>
      <c r="AX232" s="72"/>
      <c r="AY232" s="72"/>
      <c r="AZ232" s="72"/>
      <c r="BA232" s="72"/>
      <c r="BB232" s="72"/>
      <c r="BC232" s="72"/>
      <c r="BD232" s="72"/>
      <c r="BE232" s="72"/>
      <c r="BF232" s="72"/>
      <c r="BG232" s="72"/>
      <c r="BH232" s="72"/>
      <c r="BI232" s="72"/>
      <c r="BJ232" s="72"/>
      <c r="BK232" s="72"/>
      <c r="BL232" s="72"/>
      <c r="BM232" s="72"/>
      <c r="BN232" s="72"/>
      <c r="BO232" s="72"/>
      <c r="BP232" s="72"/>
      <c r="BQ232" s="72"/>
      <c r="BR232" s="72"/>
      <c r="BS232" s="72"/>
      <c r="BT232" s="72"/>
      <c r="BU232" s="72"/>
      <c r="BV232" s="72"/>
      <c r="BW232" s="72"/>
      <c r="BX232" s="72"/>
      <c r="BY232" s="72"/>
      <c r="BZ232" s="72"/>
      <c r="CA232" s="72"/>
      <c r="CB232" s="72"/>
      <c r="CC232" s="72"/>
      <c r="CD232" s="72"/>
      <c r="CE232" s="72"/>
      <c r="CF232" s="72"/>
      <c r="CG232" s="72"/>
      <c r="CH232" s="72"/>
    </row>
    <row r="233" ht="15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  <c r="AQ233" s="72"/>
      <c r="AR233" s="72"/>
      <c r="AS233" s="72"/>
      <c r="AT233" s="72"/>
      <c r="AU233" s="72"/>
      <c r="AV233" s="72"/>
      <c r="AW233" s="72"/>
      <c r="AX233" s="72"/>
      <c r="AY233" s="72"/>
      <c r="AZ233" s="72"/>
      <c r="BA233" s="72"/>
      <c r="BB233" s="72"/>
      <c r="BC233" s="72"/>
      <c r="BD233" s="72"/>
      <c r="BE233" s="72"/>
      <c r="BF233" s="72"/>
      <c r="BG233" s="72"/>
      <c r="BH233" s="72"/>
      <c r="BI233" s="72"/>
      <c r="BJ233" s="72"/>
      <c r="BK233" s="72"/>
      <c r="BL233" s="72"/>
      <c r="BM233" s="72"/>
      <c r="BN233" s="72"/>
      <c r="BO233" s="72"/>
      <c r="BP233" s="72"/>
      <c r="BQ233" s="72"/>
      <c r="BR233" s="72"/>
      <c r="BS233" s="72"/>
      <c r="BT233" s="72"/>
      <c r="BU233" s="72"/>
      <c r="BV233" s="72"/>
      <c r="BW233" s="72"/>
      <c r="BX233" s="72"/>
      <c r="BY233" s="72"/>
      <c r="BZ233" s="72"/>
      <c r="CA233" s="72"/>
      <c r="CB233" s="72"/>
      <c r="CC233" s="72"/>
      <c r="CD233" s="72"/>
      <c r="CE233" s="72"/>
      <c r="CF233" s="72"/>
      <c r="CG233" s="72"/>
      <c r="CH233" s="72"/>
    </row>
    <row r="234" ht="15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  <c r="AQ234" s="72"/>
      <c r="AR234" s="72"/>
      <c r="AS234" s="72"/>
      <c r="AT234" s="72"/>
      <c r="AU234" s="72"/>
      <c r="AV234" s="72"/>
      <c r="AW234" s="72"/>
      <c r="AX234" s="72"/>
      <c r="AY234" s="72"/>
      <c r="AZ234" s="72"/>
      <c r="BA234" s="72"/>
      <c r="BB234" s="72"/>
      <c r="BC234" s="72"/>
      <c r="BD234" s="72"/>
      <c r="BE234" s="72"/>
      <c r="BF234" s="72"/>
      <c r="BG234" s="72"/>
      <c r="BH234" s="72"/>
      <c r="BI234" s="72"/>
      <c r="BJ234" s="72"/>
      <c r="BK234" s="72"/>
      <c r="BL234" s="72"/>
      <c r="BM234" s="72"/>
      <c r="BN234" s="72"/>
      <c r="BO234" s="72"/>
      <c r="BP234" s="72"/>
      <c r="BQ234" s="72"/>
      <c r="BR234" s="72"/>
      <c r="BS234" s="72"/>
      <c r="BT234" s="72"/>
      <c r="BU234" s="72"/>
      <c r="BV234" s="72"/>
      <c r="BW234" s="72"/>
      <c r="BX234" s="72"/>
      <c r="BY234" s="72"/>
      <c r="BZ234" s="72"/>
      <c r="CA234" s="72"/>
      <c r="CB234" s="72"/>
      <c r="CC234" s="72"/>
      <c r="CD234" s="72"/>
      <c r="CE234" s="72"/>
      <c r="CF234" s="72"/>
      <c r="CG234" s="72"/>
      <c r="CH234" s="72"/>
    </row>
    <row r="235" ht="15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  <c r="AQ235" s="72"/>
      <c r="AR235" s="72"/>
      <c r="AS235" s="72"/>
      <c r="AT235" s="72"/>
      <c r="AU235" s="72"/>
      <c r="AV235" s="72"/>
      <c r="AW235" s="72"/>
      <c r="AX235" s="72"/>
      <c r="AY235" s="72"/>
      <c r="AZ235" s="72"/>
      <c r="BA235" s="72"/>
      <c r="BB235" s="72"/>
      <c r="BC235" s="72"/>
      <c r="BD235" s="72"/>
      <c r="BE235" s="72"/>
      <c r="BF235" s="72"/>
      <c r="BG235" s="72"/>
      <c r="BH235" s="72"/>
      <c r="BI235" s="72"/>
      <c r="BJ235" s="72"/>
      <c r="BK235" s="72"/>
      <c r="BL235" s="72"/>
      <c r="BM235" s="72"/>
      <c r="BN235" s="72"/>
      <c r="BO235" s="72"/>
      <c r="BP235" s="72"/>
      <c r="BQ235" s="72"/>
      <c r="BR235" s="72"/>
      <c r="BS235" s="72"/>
      <c r="BT235" s="72"/>
      <c r="BU235" s="72"/>
      <c r="BV235" s="72"/>
      <c r="BW235" s="72"/>
      <c r="BX235" s="72"/>
      <c r="BY235" s="72"/>
      <c r="BZ235" s="72"/>
      <c r="CA235" s="72"/>
      <c r="CB235" s="72"/>
      <c r="CC235" s="72"/>
      <c r="CD235" s="72"/>
      <c r="CE235" s="72"/>
      <c r="CF235" s="72"/>
      <c r="CG235" s="72"/>
      <c r="CH235" s="72"/>
    </row>
    <row r="236" ht="15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  <c r="AQ236" s="72"/>
      <c r="AR236" s="72"/>
      <c r="AS236" s="72"/>
      <c r="AT236" s="72"/>
      <c r="AU236" s="72"/>
      <c r="AV236" s="72"/>
      <c r="AW236" s="72"/>
      <c r="AX236" s="72"/>
      <c r="AY236" s="72"/>
      <c r="AZ236" s="72"/>
      <c r="BA236" s="72"/>
      <c r="BB236" s="72"/>
      <c r="BC236" s="72"/>
      <c r="BD236" s="72"/>
      <c r="BE236" s="72"/>
      <c r="BF236" s="72"/>
      <c r="BG236" s="72"/>
      <c r="BH236" s="72"/>
      <c r="BI236" s="72"/>
      <c r="BJ236" s="72"/>
      <c r="BK236" s="72"/>
      <c r="BL236" s="72"/>
      <c r="BM236" s="72"/>
      <c r="BN236" s="72"/>
      <c r="BO236" s="72"/>
      <c r="BP236" s="72"/>
      <c r="BQ236" s="72"/>
      <c r="BR236" s="72"/>
      <c r="BS236" s="72"/>
      <c r="BT236" s="72"/>
      <c r="BU236" s="72"/>
      <c r="BV236" s="72"/>
      <c r="BW236" s="72"/>
      <c r="BX236" s="72"/>
      <c r="BY236" s="72"/>
      <c r="BZ236" s="72"/>
      <c r="CA236" s="72"/>
      <c r="CB236" s="72"/>
      <c r="CC236" s="72"/>
      <c r="CD236" s="72"/>
      <c r="CE236" s="72"/>
      <c r="CF236" s="72"/>
      <c r="CG236" s="72"/>
      <c r="CH236" s="72"/>
    </row>
    <row r="237" ht="15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  <c r="AQ237" s="72"/>
      <c r="AR237" s="72"/>
      <c r="AS237" s="72"/>
      <c r="AT237" s="72"/>
      <c r="AU237" s="72"/>
      <c r="AV237" s="72"/>
      <c r="AW237" s="72"/>
      <c r="AX237" s="72"/>
      <c r="AY237" s="72"/>
      <c r="AZ237" s="72"/>
      <c r="BA237" s="72"/>
      <c r="BB237" s="72"/>
      <c r="BC237" s="72"/>
      <c r="BD237" s="72"/>
      <c r="BE237" s="72"/>
      <c r="BF237" s="72"/>
      <c r="BG237" s="72"/>
      <c r="BH237" s="72"/>
      <c r="BI237" s="72"/>
      <c r="BJ237" s="72"/>
      <c r="BK237" s="72"/>
      <c r="BL237" s="72"/>
      <c r="BM237" s="72"/>
      <c r="BN237" s="72"/>
      <c r="BO237" s="72"/>
      <c r="BP237" s="72"/>
      <c r="BQ237" s="72"/>
      <c r="BR237" s="72"/>
      <c r="BS237" s="72"/>
      <c r="BT237" s="72"/>
      <c r="BU237" s="72"/>
      <c r="BV237" s="72"/>
      <c r="BW237" s="72"/>
      <c r="BX237" s="72"/>
      <c r="BY237" s="72"/>
      <c r="BZ237" s="72"/>
      <c r="CA237" s="72"/>
      <c r="CB237" s="72"/>
      <c r="CC237" s="72"/>
      <c r="CD237" s="72"/>
      <c r="CE237" s="72"/>
      <c r="CF237" s="72"/>
      <c r="CG237" s="72"/>
      <c r="CH237" s="72"/>
    </row>
    <row r="238" ht="15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  <c r="AQ238" s="72"/>
      <c r="AR238" s="72"/>
      <c r="AS238" s="72"/>
      <c r="AT238" s="72"/>
      <c r="AU238" s="72"/>
      <c r="AV238" s="72"/>
      <c r="AW238" s="72"/>
      <c r="AX238" s="72"/>
      <c r="AY238" s="72"/>
      <c r="AZ238" s="72"/>
      <c r="BA238" s="72"/>
      <c r="BB238" s="72"/>
      <c r="BC238" s="72"/>
      <c r="BD238" s="72"/>
      <c r="BE238" s="72"/>
      <c r="BF238" s="72"/>
      <c r="BG238" s="72"/>
      <c r="BH238" s="72"/>
      <c r="BI238" s="72"/>
      <c r="BJ238" s="72"/>
      <c r="BK238" s="72"/>
      <c r="BL238" s="72"/>
      <c r="BM238" s="72"/>
      <c r="BN238" s="72"/>
      <c r="BO238" s="72"/>
      <c r="BP238" s="72"/>
      <c r="BQ238" s="72"/>
      <c r="BR238" s="72"/>
      <c r="BS238" s="72"/>
      <c r="BT238" s="72"/>
      <c r="BU238" s="72"/>
      <c r="BV238" s="72"/>
      <c r="BW238" s="72"/>
      <c r="BX238" s="72"/>
      <c r="BY238" s="72"/>
      <c r="BZ238" s="72"/>
      <c r="CA238" s="72"/>
      <c r="CB238" s="72"/>
      <c r="CC238" s="72"/>
      <c r="CD238" s="72"/>
      <c r="CE238" s="72"/>
      <c r="CF238" s="72"/>
      <c r="CG238" s="72"/>
      <c r="CH238" s="72"/>
    </row>
    <row r="239" ht="15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  <c r="AQ239" s="72"/>
      <c r="AR239" s="72"/>
      <c r="AS239" s="72"/>
      <c r="AT239" s="72"/>
      <c r="AU239" s="72"/>
      <c r="AV239" s="72"/>
      <c r="AW239" s="72"/>
      <c r="AX239" s="72"/>
      <c r="AY239" s="72"/>
      <c r="AZ239" s="72"/>
      <c r="BA239" s="72"/>
      <c r="BB239" s="72"/>
      <c r="BC239" s="72"/>
      <c r="BD239" s="72"/>
      <c r="BE239" s="72"/>
      <c r="BF239" s="72"/>
      <c r="BG239" s="72"/>
      <c r="BH239" s="72"/>
      <c r="BI239" s="72"/>
      <c r="BJ239" s="72"/>
      <c r="BK239" s="72"/>
      <c r="BL239" s="72"/>
      <c r="BM239" s="72"/>
      <c r="BN239" s="72"/>
      <c r="BO239" s="72"/>
      <c r="BP239" s="72"/>
      <c r="BQ239" s="72"/>
      <c r="BR239" s="72"/>
      <c r="BS239" s="72"/>
      <c r="BT239" s="72"/>
      <c r="BU239" s="72"/>
      <c r="BV239" s="72"/>
      <c r="BW239" s="72"/>
      <c r="BX239" s="72"/>
      <c r="BY239" s="72"/>
      <c r="BZ239" s="72"/>
      <c r="CA239" s="72"/>
      <c r="CB239" s="72"/>
      <c r="CC239" s="72"/>
      <c r="CD239" s="72"/>
      <c r="CE239" s="72"/>
      <c r="CF239" s="72"/>
      <c r="CG239" s="72"/>
      <c r="CH239" s="72"/>
    </row>
    <row r="240" ht="15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  <c r="AQ240" s="72"/>
      <c r="AR240" s="72"/>
      <c r="AS240" s="72"/>
      <c r="AT240" s="72"/>
      <c r="AU240" s="72"/>
      <c r="AV240" s="72"/>
      <c r="AW240" s="72"/>
      <c r="AX240" s="72"/>
      <c r="AY240" s="72"/>
      <c r="AZ240" s="72"/>
      <c r="BA240" s="72"/>
      <c r="BB240" s="72"/>
      <c r="BC240" s="72"/>
      <c r="BD240" s="72"/>
      <c r="BE240" s="72"/>
      <c r="BF240" s="72"/>
      <c r="BG240" s="72"/>
      <c r="BH240" s="72"/>
      <c r="BI240" s="72"/>
      <c r="BJ240" s="72"/>
      <c r="BK240" s="72"/>
      <c r="BL240" s="72"/>
      <c r="BM240" s="72"/>
      <c r="BN240" s="72"/>
      <c r="BO240" s="72"/>
      <c r="BP240" s="72"/>
      <c r="BQ240" s="72"/>
      <c r="BR240" s="72"/>
      <c r="BS240" s="72"/>
      <c r="BT240" s="72"/>
      <c r="BU240" s="72"/>
      <c r="BV240" s="72"/>
      <c r="BW240" s="72"/>
      <c r="BX240" s="72"/>
      <c r="BY240" s="72"/>
      <c r="BZ240" s="72"/>
      <c r="CA240" s="72"/>
      <c r="CB240" s="72"/>
      <c r="CC240" s="72"/>
      <c r="CD240" s="72"/>
      <c r="CE240" s="72"/>
      <c r="CF240" s="72"/>
      <c r="CG240" s="72"/>
      <c r="CH240" s="72"/>
    </row>
    <row r="241" ht="15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  <c r="AQ241" s="72"/>
      <c r="AR241" s="72"/>
      <c r="AS241" s="72"/>
      <c r="AT241" s="72"/>
      <c r="AU241" s="72"/>
      <c r="AV241" s="72"/>
      <c r="AW241" s="72"/>
      <c r="AX241" s="72"/>
      <c r="AY241" s="72"/>
      <c r="AZ241" s="72"/>
      <c r="BA241" s="72"/>
      <c r="BB241" s="72"/>
      <c r="BC241" s="72"/>
      <c r="BD241" s="72"/>
      <c r="BE241" s="72"/>
      <c r="BF241" s="72"/>
      <c r="BG241" s="72"/>
      <c r="BH241" s="72"/>
      <c r="BI241" s="72"/>
      <c r="BJ241" s="72"/>
      <c r="BK241" s="72"/>
      <c r="BL241" s="72"/>
      <c r="BM241" s="72"/>
      <c r="BN241" s="72"/>
      <c r="BO241" s="72"/>
      <c r="BP241" s="72"/>
      <c r="BQ241" s="72"/>
      <c r="BR241" s="72"/>
      <c r="BS241" s="72"/>
      <c r="BT241" s="72"/>
      <c r="BU241" s="72"/>
      <c r="BV241" s="72"/>
      <c r="BW241" s="72"/>
      <c r="BX241" s="72"/>
      <c r="BY241" s="72"/>
      <c r="BZ241" s="72"/>
      <c r="CA241" s="72"/>
      <c r="CB241" s="72"/>
      <c r="CC241" s="72"/>
      <c r="CD241" s="72"/>
      <c r="CE241" s="72"/>
      <c r="CF241" s="72"/>
      <c r="CG241" s="72"/>
      <c r="CH241" s="72"/>
    </row>
    <row r="242" ht="15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  <c r="AQ242" s="72"/>
      <c r="AR242" s="72"/>
      <c r="AS242" s="72"/>
      <c r="AT242" s="72"/>
      <c r="AU242" s="72"/>
      <c r="AV242" s="72"/>
      <c r="AW242" s="72"/>
      <c r="AX242" s="72"/>
      <c r="AY242" s="72"/>
      <c r="AZ242" s="72"/>
      <c r="BA242" s="72"/>
      <c r="BB242" s="72"/>
      <c r="BC242" s="72"/>
      <c r="BD242" s="72"/>
      <c r="BE242" s="72"/>
      <c r="BF242" s="72"/>
      <c r="BG242" s="72"/>
      <c r="BH242" s="72"/>
      <c r="BI242" s="72"/>
      <c r="BJ242" s="72"/>
      <c r="BK242" s="72"/>
      <c r="BL242" s="72"/>
      <c r="BM242" s="72"/>
      <c r="BN242" s="72"/>
      <c r="BO242" s="72"/>
      <c r="BP242" s="72"/>
      <c r="BQ242" s="72"/>
      <c r="BR242" s="72"/>
      <c r="BS242" s="72"/>
      <c r="BT242" s="72"/>
      <c r="BU242" s="72"/>
      <c r="BV242" s="72"/>
      <c r="BW242" s="72"/>
      <c r="BX242" s="72"/>
      <c r="BY242" s="72"/>
      <c r="BZ242" s="72"/>
      <c r="CA242" s="72"/>
      <c r="CB242" s="72"/>
      <c r="CC242" s="72"/>
      <c r="CD242" s="72"/>
      <c r="CE242" s="72"/>
      <c r="CF242" s="72"/>
      <c r="CG242" s="72"/>
      <c r="CH242" s="72"/>
    </row>
    <row r="243" ht="15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  <c r="AQ243" s="72"/>
      <c r="AR243" s="72"/>
      <c r="AS243" s="72"/>
      <c r="AT243" s="72"/>
      <c r="AU243" s="72"/>
      <c r="AV243" s="72"/>
      <c r="AW243" s="72"/>
      <c r="AX243" s="72"/>
      <c r="AY243" s="72"/>
      <c r="AZ243" s="72"/>
      <c r="BA243" s="72"/>
      <c r="BB243" s="72"/>
      <c r="BC243" s="72"/>
      <c r="BD243" s="72"/>
      <c r="BE243" s="72"/>
      <c r="BF243" s="72"/>
      <c r="BG243" s="72"/>
      <c r="BH243" s="72"/>
      <c r="BI243" s="72"/>
      <c r="BJ243" s="72"/>
      <c r="BK243" s="72"/>
      <c r="BL243" s="72"/>
      <c r="BM243" s="72"/>
      <c r="BN243" s="72"/>
      <c r="BO243" s="72"/>
      <c r="BP243" s="72"/>
      <c r="BQ243" s="72"/>
      <c r="BR243" s="72"/>
      <c r="BS243" s="72"/>
      <c r="BT243" s="72"/>
      <c r="BU243" s="72"/>
      <c r="BV243" s="72"/>
      <c r="BW243" s="72"/>
      <c r="BX243" s="72"/>
      <c r="BY243" s="72"/>
      <c r="BZ243" s="72"/>
      <c r="CA243" s="72"/>
      <c r="CB243" s="72"/>
      <c r="CC243" s="72"/>
      <c r="CD243" s="72"/>
      <c r="CE243" s="72"/>
      <c r="CF243" s="72"/>
      <c r="CG243" s="72"/>
      <c r="CH243" s="72"/>
    </row>
    <row r="244" ht="15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  <c r="AQ244" s="72"/>
      <c r="AR244" s="72"/>
      <c r="AS244" s="72"/>
      <c r="AT244" s="72"/>
      <c r="AU244" s="72"/>
      <c r="AV244" s="72"/>
      <c r="AW244" s="72"/>
      <c r="AX244" s="72"/>
      <c r="AY244" s="72"/>
      <c r="AZ244" s="72"/>
      <c r="BA244" s="72"/>
      <c r="BB244" s="72"/>
      <c r="BC244" s="72"/>
      <c r="BD244" s="72"/>
      <c r="BE244" s="72"/>
      <c r="BF244" s="72"/>
      <c r="BG244" s="72"/>
      <c r="BH244" s="72"/>
      <c r="BI244" s="72"/>
      <c r="BJ244" s="72"/>
      <c r="BK244" s="72"/>
      <c r="BL244" s="72"/>
      <c r="BM244" s="72"/>
      <c r="BN244" s="72"/>
      <c r="BO244" s="72"/>
      <c r="BP244" s="72"/>
      <c r="BQ244" s="72"/>
      <c r="BR244" s="72"/>
      <c r="BS244" s="72"/>
      <c r="BT244" s="72"/>
      <c r="BU244" s="72"/>
      <c r="BV244" s="72"/>
      <c r="BW244" s="72"/>
      <c r="BX244" s="72"/>
      <c r="BY244" s="72"/>
      <c r="BZ244" s="72"/>
      <c r="CA244" s="72"/>
      <c r="CB244" s="72"/>
      <c r="CC244" s="72"/>
      <c r="CD244" s="72"/>
      <c r="CE244" s="72"/>
      <c r="CF244" s="72"/>
      <c r="CG244" s="72"/>
      <c r="CH244" s="72"/>
    </row>
    <row r="245" ht="15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  <c r="AQ245" s="72"/>
      <c r="AR245" s="72"/>
      <c r="AS245" s="72"/>
      <c r="AT245" s="72"/>
      <c r="AU245" s="72"/>
      <c r="AV245" s="72"/>
      <c r="AW245" s="72"/>
      <c r="AX245" s="72"/>
      <c r="AY245" s="72"/>
      <c r="AZ245" s="72"/>
      <c r="BA245" s="72"/>
      <c r="BB245" s="72"/>
      <c r="BC245" s="72"/>
      <c r="BD245" s="72"/>
      <c r="BE245" s="72"/>
      <c r="BF245" s="72"/>
      <c r="BG245" s="72"/>
      <c r="BH245" s="72"/>
      <c r="BI245" s="72"/>
      <c r="BJ245" s="72"/>
      <c r="BK245" s="72"/>
      <c r="BL245" s="72"/>
      <c r="BM245" s="72"/>
      <c r="BN245" s="72"/>
      <c r="BO245" s="72"/>
      <c r="BP245" s="72"/>
      <c r="BQ245" s="72"/>
      <c r="BR245" s="72"/>
      <c r="BS245" s="72"/>
      <c r="BT245" s="72"/>
      <c r="BU245" s="72"/>
      <c r="BV245" s="72"/>
      <c r="BW245" s="72"/>
      <c r="BX245" s="72"/>
      <c r="BY245" s="72"/>
      <c r="BZ245" s="72"/>
      <c r="CA245" s="72"/>
      <c r="CB245" s="72"/>
      <c r="CC245" s="72"/>
      <c r="CD245" s="72"/>
      <c r="CE245" s="72"/>
      <c r="CF245" s="72"/>
      <c r="CG245" s="72"/>
      <c r="CH245" s="72"/>
    </row>
    <row r="246" ht="15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  <c r="AQ246" s="72"/>
      <c r="AR246" s="72"/>
      <c r="AS246" s="72"/>
      <c r="AT246" s="72"/>
      <c r="AU246" s="72"/>
      <c r="AV246" s="72"/>
      <c r="AW246" s="72"/>
      <c r="AX246" s="72"/>
      <c r="AY246" s="72"/>
      <c r="AZ246" s="72"/>
      <c r="BA246" s="72"/>
      <c r="BB246" s="72"/>
      <c r="BC246" s="72"/>
      <c r="BD246" s="72"/>
      <c r="BE246" s="72"/>
      <c r="BF246" s="72"/>
      <c r="BG246" s="72"/>
      <c r="BH246" s="72"/>
      <c r="BI246" s="72"/>
      <c r="BJ246" s="72"/>
      <c r="BK246" s="72"/>
      <c r="BL246" s="72"/>
      <c r="BM246" s="72"/>
      <c r="BN246" s="72"/>
      <c r="BO246" s="72"/>
      <c r="BP246" s="72"/>
      <c r="BQ246" s="72"/>
      <c r="BR246" s="72"/>
      <c r="BS246" s="72"/>
      <c r="BT246" s="72"/>
      <c r="BU246" s="72"/>
      <c r="BV246" s="72"/>
      <c r="BW246" s="72"/>
      <c r="BX246" s="72"/>
      <c r="BY246" s="72"/>
      <c r="BZ246" s="72"/>
      <c r="CA246" s="72"/>
      <c r="CB246" s="72"/>
      <c r="CC246" s="72"/>
      <c r="CD246" s="72"/>
      <c r="CE246" s="72"/>
      <c r="CF246" s="72"/>
      <c r="CG246" s="72"/>
      <c r="CH246" s="72"/>
    </row>
    <row r="247" ht="15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  <c r="AR247" s="72"/>
      <c r="AS247" s="72"/>
      <c r="AT247" s="72"/>
      <c r="AU247" s="72"/>
      <c r="AV247" s="72"/>
      <c r="AW247" s="72"/>
      <c r="AX247" s="72"/>
      <c r="AY247" s="72"/>
      <c r="AZ247" s="72"/>
      <c r="BA247" s="72"/>
      <c r="BB247" s="72"/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  <c r="BM247" s="72"/>
      <c r="BN247" s="72"/>
      <c r="BO247" s="72"/>
      <c r="BP247" s="72"/>
      <c r="BQ247" s="72"/>
      <c r="BR247" s="72"/>
      <c r="BS247" s="72"/>
      <c r="BT247" s="72"/>
      <c r="BU247" s="72"/>
      <c r="BV247" s="72"/>
      <c r="BW247" s="72"/>
      <c r="BX247" s="72"/>
      <c r="BY247" s="72"/>
      <c r="BZ247" s="72"/>
      <c r="CA247" s="72"/>
      <c r="CB247" s="72"/>
      <c r="CC247" s="72"/>
      <c r="CD247" s="72"/>
      <c r="CE247" s="72"/>
      <c r="CF247" s="72"/>
      <c r="CG247" s="72"/>
      <c r="CH247" s="72"/>
    </row>
    <row r="248" ht="15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  <c r="AQ248" s="72"/>
      <c r="AR248" s="72"/>
      <c r="AS248" s="72"/>
      <c r="AT248" s="72"/>
      <c r="AU248" s="72"/>
      <c r="AV248" s="72"/>
      <c r="AW248" s="72"/>
      <c r="AX248" s="72"/>
      <c r="AY248" s="72"/>
      <c r="AZ248" s="72"/>
      <c r="BA248" s="72"/>
      <c r="BB248" s="72"/>
      <c r="BC248" s="72"/>
      <c r="BD248" s="72"/>
      <c r="BE248" s="72"/>
      <c r="BF248" s="72"/>
      <c r="BG248" s="72"/>
      <c r="BH248" s="72"/>
      <c r="BI248" s="72"/>
      <c r="BJ248" s="72"/>
      <c r="BK248" s="72"/>
      <c r="BL248" s="72"/>
      <c r="BM248" s="72"/>
      <c r="BN248" s="72"/>
      <c r="BO248" s="72"/>
      <c r="BP248" s="72"/>
      <c r="BQ248" s="72"/>
      <c r="BR248" s="72"/>
      <c r="BS248" s="72"/>
      <c r="BT248" s="72"/>
      <c r="BU248" s="72"/>
      <c r="BV248" s="72"/>
      <c r="BW248" s="72"/>
      <c r="BX248" s="72"/>
      <c r="BY248" s="72"/>
      <c r="BZ248" s="72"/>
      <c r="CA248" s="72"/>
      <c r="CB248" s="72"/>
      <c r="CC248" s="72"/>
      <c r="CD248" s="72"/>
      <c r="CE248" s="72"/>
      <c r="CF248" s="72"/>
      <c r="CG248" s="72"/>
      <c r="CH248" s="72"/>
    </row>
    <row r="249" ht="15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  <c r="AQ249" s="72"/>
      <c r="AR249" s="72"/>
      <c r="AS249" s="72"/>
      <c r="AT249" s="72"/>
      <c r="AU249" s="72"/>
      <c r="AV249" s="72"/>
      <c r="AW249" s="72"/>
      <c r="AX249" s="72"/>
      <c r="AY249" s="72"/>
      <c r="AZ249" s="72"/>
      <c r="BA249" s="72"/>
      <c r="BB249" s="72"/>
      <c r="BC249" s="72"/>
      <c r="BD249" s="72"/>
      <c r="BE249" s="72"/>
      <c r="BF249" s="72"/>
      <c r="BG249" s="72"/>
      <c r="BH249" s="72"/>
      <c r="BI249" s="72"/>
      <c r="BJ249" s="72"/>
      <c r="BK249" s="72"/>
      <c r="BL249" s="72"/>
      <c r="BM249" s="72"/>
      <c r="BN249" s="72"/>
      <c r="BO249" s="72"/>
      <c r="BP249" s="72"/>
      <c r="BQ249" s="72"/>
      <c r="BR249" s="72"/>
      <c r="BS249" s="72"/>
      <c r="BT249" s="72"/>
      <c r="BU249" s="72"/>
      <c r="BV249" s="72"/>
      <c r="BW249" s="72"/>
      <c r="BX249" s="72"/>
      <c r="BY249" s="72"/>
      <c r="BZ249" s="72"/>
      <c r="CA249" s="72"/>
      <c r="CB249" s="72"/>
      <c r="CC249" s="72"/>
      <c r="CD249" s="72"/>
      <c r="CE249" s="72"/>
      <c r="CF249" s="72"/>
      <c r="CG249" s="72"/>
      <c r="CH249" s="72"/>
    </row>
    <row r="250" ht="15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  <c r="AQ250" s="72"/>
      <c r="AR250" s="72"/>
      <c r="AS250" s="72"/>
      <c r="AT250" s="72"/>
      <c r="AU250" s="72"/>
      <c r="AV250" s="72"/>
      <c r="AW250" s="72"/>
      <c r="AX250" s="72"/>
      <c r="AY250" s="72"/>
      <c r="AZ250" s="72"/>
      <c r="BA250" s="72"/>
      <c r="BB250" s="72"/>
      <c r="BC250" s="72"/>
      <c r="BD250" s="72"/>
      <c r="BE250" s="72"/>
      <c r="BF250" s="72"/>
      <c r="BG250" s="72"/>
      <c r="BH250" s="72"/>
      <c r="BI250" s="72"/>
      <c r="BJ250" s="72"/>
      <c r="BK250" s="72"/>
      <c r="BL250" s="72"/>
      <c r="BM250" s="72"/>
      <c r="BN250" s="72"/>
      <c r="BO250" s="72"/>
      <c r="BP250" s="72"/>
      <c r="BQ250" s="72"/>
      <c r="BR250" s="72"/>
      <c r="BS250" s="72"/>
      <c r="BT250" s="72"/>
      <c r="BU250" s="72"/>
      <c r="BV250" s="72"/>
      <c r="BW250" s="72"/>
      <c r="BX250" s="72"/>
      <c r="BY250" s="72"/>
      <c r="BZ250" s="72"/>
      <c r="CA250" s="72"/>
      <c r="CB250" s="72"/>
      <c r="CC250" s="72"/>
      <c r="CD250" s="72"/>
      <c r="CE250" s="72"/>
      <c r="CF250" s="72"/>
      <c r="CG250" s="72"/>
      <c r="CH250" s="72"/>
    </row>
    <row r="251" ht="15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  <c r="AQ251" s="72"/>
      <c r="AR251" s="72"/>
      <c r="AS251" s="72"/>
      <c r="AT251" s="72"/>
      <c r="AU251" s="72"/>
      <c r="AV251" s="72"/>
      <c r="AW251" s="72"/>
      <c r="AX251" s="72"/>
      <c r="AY251" s="72"/>
      <c r="AZ251" s="72"/>
      <c r="BA251" s="72"/>
      <c r="BB251" s="72"/>
      <c r="BC251" s="72"/>
      <c r="BD251" s="72"/>
      <c r="BE251" s="72"/>
      <c r="BF251" s="72"/>
      <c r="BG251" s="72"/>
      <c r="BH251" s="72"/>
      <c r="BI251" s="72"/>
      <c r="BJ251" s="72"/>
      <c r="BK251" s="72"/>
      <c r="BL251" s="72"/>
      <c r="BM251" s="72"/>
      <c r="BN251" s="72"/>
      <c r="BO251" s="72"/>
      <c r="BP251" s="72"/>
      <c r="BQ251" s="72"/>
      <c r="BR251" s="72"/>
      <c r="BS251" s="72"/>
      <c r="BT251" s="72"/>
      <c r="BU251" s="72"/>
      <c r="BV251" s="72"/>
      <c r="BW251" s="72"/>
      <c r="BX251" s="72"/>
      <c r="BY251" s="72"/>
      <c r="BZ251" s="72"/>
      <c r="CA251" s="72"/>
      <c r="CB251" s="72"/>
      <c r="CC251" s="72"/>
      <c r="CD251" s="72"/>
      <c r="CE251" s="72"/>
      <c r="CF251" s="72"/>
      <c r="CG251" s="72"/>
      <c r="CH251" s="72"/>
    </row>
    <row r="252" ht="15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  <c r="AQ252" s="72"/>
      <c r="AR252" s="72"/>
      <c r="AS252" s="72"/>
      <c r="AT252" s="72"/>
      <c r="AU252" s="72"/>
      <c r="AV252" s="72"/>
      <c r="AW252" s="72"/>
      <c r="AX252" s="72"/>
      <c r="AY252" s="72"/>
      <c r="AZ252" s="72"/>
      <c r="BA252" s="72"/>
      <c r="BB252" s="72"/>
      <c r="BC252" s="72"/>
      <c r="BD252" s="72"/>
      <c r="BE252" s="72"/>
      <c r="BF252" s="72"/>
      <c r="BG252" s="72"/>
      <c r="BH252" s="72"/>
      <c r="BI252" s="72"/>
      <c r="BJ252" s="72"/>
      <c r="BK252" s="72"/>
      <c r="BL252" s="72"/>
      <c r="BM252" s="72"/>
      <c r="BN252" s="72"/>
      <c r="BO252" s="72"/>
      <c r="BP252" s="72"/>
      <c r="BQ252" s="72"/>
      <c r="BR252" s="72"/>
      <c r="BS252" s="72"/>
      <c r="BT252" s="72"/>
      <c r="BU252" s="72"/>
      <c r="BV252" s="72"/>
      <c r="BW252" s="72"/>
      <c r="BX252" s="72"/>
      <c r="BY252" s="72"/>
      <c r="BZ252" s="72"/>
      <c r="CA252" s="72"/>
      <c r="CB252" s="72"/>
      <c r="CC252" s="72"/>
      <c r="CD252" s="72"/>
      <c r="CE252" s="72"/>
      <c r="CF252" s="72"/>
      <c r="CG252" s="72"/>
      <c r="CH252" s="72"/>
    </row>
    <row r="253" ht="15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  <c r="AQ253" s="72"/>
      <c r="AR253" s="72"/>
      <c r="AS253" s="72"/>
      <c r="AT253" s="72"/>
      <c r="AU253" s="72"/>
      <c r="AV253" s="72"/>
      <c r="AW253" s="72"/>
      <c r="AX253" s="72"/>
      <c r="AY253" s="72"/>
      <c r="AZ253" s="72"/>
      <c r="BA253" s="72"/>
      <c r="BB253" s="72"/>
      <c r="BC253" s="72"/>
      <c r="BD253" s="72"/>
      <c r="BE253" s="72"/>
      <c r="BF253" s="72"/>
      <c r="BG253" s="72"/>
      <c r="BH253" s="72"/>
      <c r="BI253" s="72"/>
      <c r="BJ253" s="72"/>
      <c r="BK253" s="72"/>
      <c r="BL253" s="72"/>
      <c r="BM253" s="72"/>
      <c r="BN253" s="72"/>
      <c r="BO253" s="72"/>
      <c r="BP253" s="72"/>
      <c r="BQ253" s="72"/>
      <c r="BR253" s="72"/>
      <c r="BS253" s="72"/>
      <c r="BT253" s="72"/>
      <c r="BU253" s="72"/>
      <c r="BV253" s="72"/>
      <c r="BW253" s="72"/>
      <c r="BX253" s="72"/>
      <c r="BY253" s="72"/>
      <c r="BZ253" s="72"/>
      <c r="CA253" s="72"/>
      <c r="CB253" s="72"/>
      <c r="CC253" s="72"/>
      <c r="CD253" s="72"/>
      <c r="CE253" s="72"/>
      <c r="CF253" s="72"/>
      <c r="CG253" s="72"/>
      <c r="CH253" s="72"/>
    </row>
    <row r="254" ht="15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  <c r="AQ254" s="72"/>
      <c r="AR254" s="72"/>
      <c r="AS254" s="72"/>
      <c r="AT254" s="72"/>
      <c r="AU254" s="72"/>
      <c r="AV254" s="72"/>
      <c r="AW254" s="72"/>
      <c r="AX254" s="72"/>
      <c r="AY254" s="72"/>
      <c r="AZ254" s="72"/>
      <c r="BA254" s="72"/>
      <c r="BB254" s="72"/>
      <c r="BC254" s="72"/>
      <c r="BD254" s="72"/>
      <c r="BE254" s="72"/>
      <c r="BF254" s="72"/>
      <c r="BG254" s="72"/>
      <c r="BH254" s="72"/>
      <c r="BI254" s="72"/>
      <c r="BJ254" s="72"/>
      <c r="BK254" s="72"/>
      <c r="BL254" s="72"/>
      <c r="BM254" s="72"/>
      <c r="BN254" s="72"/>
      <c r="BO254" s="72"/>
      <c r="BP254" s="72"/>
      <c r="BQ254" s="72"/>
      <c r="BR254" s="72"/>
      <c r="BS254" s="72"/>
      <c r="BT254" s="72"/>
      <c r="BU254" s="72"/>
      <c r="BV254" s="72"/>
      <c r="BW254" s="72"/>
      <c r="BX254" s="72"/>
      <c r="BY254" s="72"/>
      <c r="BZ254" s="72"/>
      <c r="CA254" s="72"/>
      <c r="CB254" s="72"/>
      <c r="CC254" s="72"/>
      <c r="CD254" s="72"/>
      <c r="CE254" s="72"/>
      <c r="CF254" s="72"/>
      <c r="CG254" s="72"/>
      <c r="CH254" s="72"/>
    </row>
    <row r="255" ht="15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  <c r="AQ255" s="72"/>
      <c r="AR255" s="72"/>
      <c r="AS255" s="72"/>
      <c r="AT255" s="72"/>
      <c r="AU255" s="72"/>
      <c r="AV255" s="72"/>
      <c r="AW255" s="72"/>
      <c r="AX255" s="72"/>
      <c r="AY255" s="72"/>
      <c r="AZ255" s="72"/>
      <c r="BA255" s="72"/>
      <c r="BB255" s="72"/>
      <c r="BC255" s="72"/>
      <c r="BD255" s="72"/>
      <c r="BE255" s="72"/>
      <c r="BF255" s="72"/>
      <c r="BG255" s="72"/>
      <c r="BH255" s="72"/>
      <c r="BI255" s="72"/>
      <c r="BJ255" s="72"/>
      <c r="BK255" s="72"/>
      <c r="BL255" s="72"/>
      <c r="BM255" s="72"/>
      <c r="BN255" s="72"/>
      <c r="BO255" s="72"/>
      <c r="BP255" s="72"/>
      <c r="BQ255" s="72"/>
      <c r="BR255" s="72"/>
      <c r="BS255" s="72"/>
      <c r="BT255" s="72"/>
      <c r="BU255" s="72"/>
      <c r="BV255" s="72"/>
      <c r="BW255" s="72"/>
      <c r="BX255" s="72"/>
      <c r="BY255" s="72"/>
      <c r="BZ255" s="72"/>
      <c r="CA255" s="72"/>
      <c r="CB255" s="72"/>
      <c r="CC255" s="72"/>
      <c r="CD255" s="72"/>
      <c r="CE255" s="72"/>
      <c r="CF255" s="72"/>
      <c r="CG255" s="72"/>
      <c r="CH255" s="72"/>
    </row>
    <row r="256" ht="15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  <c r="AQ256" s="72"/>
      <c r="AR256" s="72"/>
      <c r="AS256" s="72"/>
      <c r="AT256" s="72"/>
      <c r="AU256" s="72"/>
      <c r="AV256" s="72"/>
      <c r="AW256" s="72"/>
      <c r="AX256" s="72"/>
      <c r="AY256" s="72"/>
      <c r="AZ256" s="72"/>
      <c r="BA256" s="72"/>
      <c r="BB256" s="72"/>
      <c r="BC256" s="72"/>
      <c r="BD256" s="72"/>
      <c r="BE256" s="72"/>
      <c r="BF256" s="72"/>
      <c r="BG256" s="72"/>
      <c r="BH256" s="72"/>
      <c r="BI256" s="72"/>
      <c r="BJ256" s="72"/>
      <c r="BK256" s="72"/>
      <c r="BL256" s="72"/>
      <c r="BM256" s="72"/>
      <c r="BN256" s="72"/>
      <c r="BO256" s="72"/>
      <c r="BP256" s="72"/>
      <c r="BQ256" s="72"/>
      <c r="BR256" s="72"/>
      <c r="BS256" s="72"/>
      <c r="BT256" s="72"/>
      <c r="BU256" s="72"/>
      <c r="BV256" s="72"/>
      <c r="BW256" s="72"/>
      <c r="BX256" s="72"/>
      <c r="BY256" s="72"/>
      <c r="BZ256" s="72"/>
      <c r="CA256" s="72"/>
      <c r="CB256" s="72"/>
      <c r="CC256" s="72"/>
      <c r="CD256" s="72"/>
      <c r="CE256" s="72"/>
      <c r="CF256" s="72"/>
      <c r="CG256" s="72"/>
      <c r="CH256" s="72"/>
    </row>
    <row r="257" ht="15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  <c r="AQ257" s="72"/>
      <c r="AR257" s="72"/>
      <c r="AS257" s="72"/>
      <c r="AT257" s="72"/>
      <c r="AU257" s="72"/>
      <c r="AV257" s="72"/>
      <c r="AW257" s="72"/>
      <c r="AX257" s="72"/>
      <c r="AY257" s="72"/>
      <c r="AZ257" s="72"/>
      <c r="BA257" s="72"/>
      <c r="BB257" s="72"/>
      <c r="BC257" s="72"/>
      <c r="BD257" s="72"/>
      <c r="BE257" s="72"/>
      <c r="BF257" s="72"/>
      <c r="BG257" s="72"/>
      <c r="BH257" s="72"/>
      <c r="BI257" s="72"/>
      <c r="BJ257" s="72"/>
      <c r="BK257" s="72"/>
      <c r="BL257" s="72"/>
      <c r="BM257" s="72"/>
      <c r="BN257" s="72"/>
      <c r="BO257" s="72"/>
      <c r="BP257" s="72"/>
      <c r="BQ257" s="72"/>
      <c r="BR257" s="72"/>
      <c r="BS257" s="72"/>
      <c r="BT257" s="72"/>
      <c r="BU257" s="72"/>
      <c r="BV257" s="72"/>
      <c r="BW257" s="72"/>
      <c r="BX257" s="72"/>
      <c r="BY257" s="72"/>
      <c r="BZ257" s="72"/>
      <c r="CA257" s="72"/>
      <c r="CB257" s="72"/>
      <c r="CC257" s="72"/>
      <c r="CD257" s="72"/>
      <c r="CE257" s="72"/>
      <c r="CF257" s="72"/>
      <c r="CG257" s="72"/>
      <c r="CH257" s="72"/>
    </row>
    <row r="258" ht="15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  <c r="AQ258" s="72"/>
      <c r="AR258" s="72"/>
      <c r="AS258" s="72"/>
      <c r="AT258" s="72"/>
      <c r="AU258" s="72"/>
      <c r="AV258" s="72"/>
      <c r="AW258" s="72"/>
      <c r="AX258" s="72"/>
      <c r="AY258" s="72"/>
      <c r="AZ258" s="72"/>
      <c r="BA258" s="72"/>
      <c r="BB258" s="72"/>
      <c r="BC258" s="72"/>
      <c r="BD258" s="72"/>
      <c r="BE258" s="72"/>
      <c r="BF258" s="72"/>
      <c r="BG258" s="72"/>
      <c r="BH258" s="72"/>
      <c r="BI258" s="72"/>
      <c r="BJ258" s="72"/>
      <c r="BK258" s="72"/>
      <c r="BL258" s="72"/>
      <c r="BM258" s="72"/>
      <c r="BN258" s="72"/>
      <c r="BO258" s="72"/>
      <c r="BP258" s="72"/>
      <c r="BQ258" s="72"/>
      <c r="BR258" s="72"/>
      <c r="BS258" s="72"/>
      <c r="BT258" s="72"/>
      <c r="BU258" s="72"/>
      <c r="BV258" s="72"/>
      <c r="BW258" s="72"/>
      <c r="BX258" s="72"/>
      <c r="BY258" s="72"/>
      <c r="BZ258" s="72"/>
      <c r="CA258" s="72"/>
      <c r="CB258" s="72"/>
      <c r="CC258" s="72"/>
      <c r="CD258" s="72"/>
      <c r="CE258" s="72"/>
      <c r="CF258" s="72"/>
      <c r="CG258" s="72"/>
      <c r="CH258" s="72"/>
    </row>
    <row r="259" ht="15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  <c r="AQ259" s="72"/>
      <c r="AR259" s="72"/>
      <c r="AS259" s="72"/>
      <c r="AT259" s="72"/>
      <c r="AU259" s="72"/>
      <c r="AV259" s="72"/>
      <c r="AW259" s="72"/>
      <c r="AX259" s="72"/>
      <c r="AY259" s="72"/>
      <c r="AZ259" s="72"/>
      <c r="BA259" s="72"/>
      <c r="BB259" s="72"/>
      <c r="BC259" s="72"/>
      <c r="BD259" s="72"/>
      <c r="BE259" s="72"/>
      <c r="BF259" s="72"/>
      <c r="BG259" s="72"/>
      <c r="BH259" s="72"/>
      <c r="BI259" s="72"/>
      <c r="BJ259" s="72"/>
      <c r="BK259" s="72"/>
      <c r="BL259" s="72"/>
      <c r="BM259" s="72"/>
      <c r="BN259" s="72"/>
      <c r="BO259" s="72"/>
      <c r="BP259" s="72"/>
      <c r="BQ259" s="72"/>
      <c r="BR259" s="72"/>
      <c r="BS259" s="72"/>
      <c r="BT259" s="72"/>
      <c r="BU259" s="72"/>
      <c r="BV259" s="72"/>
      <c r="BW259" s="72"/>
      <c r="BX259" s="72"/>
      <c r="BY259" s="72"/>
      <c r="BZ259" s="72"/>
      <c r="CA259" s="72"/>
      <c r="CB259" s="72"/>
      <c r="CC259" s="72"/>
      <c r="CD259" s="72"/>
      <c r="CE259" s="72"/>
      <c r="CF259" s="72"/>
      <c r="CG259" s="72"/>
      <c r="CH259" s="72"/>
    </row>
    <row r="260" ht="15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  <c r="AQ260" s="72"/>
      <c r="AR260" s="72"/>
      <c r="AS260" s="72"/>
      <c r="AT260" s="72"/>
      <c r="AU260" s="72"/>
      <c r="AV260" s="72"/>
      <c r="AW260" s="72"/>
      <c r="AX260" s="72"/>
      <c r="AY260" s="72"/>
      <c r="AZ260" s="72"/>
      <c r="BA260" s="72"/>
      <c r="BB260" s="72"/>
      <c r="BC260" s="72"/>
      <c r="BD260" s="72"/>
      <c r="BE260" s="72"/>
      <c r="BF260" s="72"/>
      <c r="BG260" s="72"/>
      <c r="BH260" s="72"/>
      <c r="BI260" s="72"/>
      <c r="BJ260" s="72"/>
      <c r="BK260" s="72"/>
      <c r="BL260" s="72"/>
      <c r="BM260" s="72"/>
      <c r="BN260" s="72"/>
      <c r="BO260" s="72"/>
      <c r="BP260" s="72"/>
      <c r="BQ260" s="72"/>
      <c r="BR260" s="72"/>
      <c r="BS260" s="72"/>
      <c r="BT260" s="72"/>
      <c r="BU260" s="72"/>
      <c r="BV260" s="72"/>
      <c r="BW260" s="72"/>
      <c r="BX260" s="72"/>
      <c r="BY260" s="72"/>
      <c r="BZ260" s="72"/>
      <c r="CA260" s="72"/>
      <c r="CB260" s="72"/>
      <c r="CC260" s="72"/>
      <c r="CD260" s="72"/>
      <c r="CE260" s="72"/>
      <c r="CF260" s="72"/>
      <c r="CG260" s="72"/>
      <c r="CH260" s="72"/>
    </row>
    <row r="261" ht="15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  <c r="AQ261" s="72"/>
      <c r="AR261" s="72"/>
      <c r="AS261" s="72"/>
      <c r="AT261" s="72"/>
      <c r="AU261" s="72"/>
      <c r="AV261" s="72"/>
      <c r="AW261" s="72"/>
      <c r="AX261" s="72"/>
      <c r="AY261" s="72"/>
      <c r="AZ261" s="72"/>
      <c r="BA261" s="72"/>
      <c r="BB261" s="72"/>
      <c r="BC261" s="72"/>
      <c r="BD261" s="72"/>
      <c r="BE261" s="72"/>
      <c r="BF261" s="72"/>
      <c r="BG261" s="72"/>
      <c r="BH261" s="72"/>
      <c r="BI261" s="72"/>
      <c r="BJ261" s="72"/>
      <c r="BK261" s="72"/>
      <c r="BL261" s="72"/>
      <c r="BM261" s="72"/>
      <c r="BN261" s="72"/>
      <c r="BO261" s="72"/>
      <c r="BP261" s="72"/>
      <c r="BQ261" s="72"/>
      <c r="BR261" s="72"/>
      <c r="BS261" s="72"/>
      <c r="BT261" s="72"/>
      <c r="BU261" s="72"/>
      <c r="BV261" s="72"/>
      <c r="BW261" s="72"/>
      <c r="BX261" s="72"/>
      <c r="BY261" s="72"/>
      <c r="BZ261" s="72"/>
      <c r="CA261" s="72"/>
      <c r="CB261" s="72"/>
      <c r="CC261" s="72"/>
      <c r="CD261" s="72"/>
      <c r="CE261" s="72"/>
      <c r="CF261" s="72"/>
      <c r="CG261" s="72"/>
      <c r="CH261" s="72"/>
    </row>
    <row r="262" ht="15.7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  <c r="AQ262" s="72"/>
      <c r="AR262" s="72"/>
      <c r="AS262" s="72"/>
      <c r="AT262" s="72"/>
      <c r="AU262" s="72"/>
      <c r="AV262" s="72"/>
      <c r="AW262" s="72"/>
      <c r="AX262" s="72"/>
      <c r="AY262" s="72"/>
      <c r="AZ262" s="72"/>
      <c r="BA262" s="72"/>
      <c r="BB262" s="72"/>
      <c r="BC262" s="72"/>
      <c r="BD262" s="72"/>
      <c r="BE262" s="72"/>
      <c r="BF262" s="72"/>
      <c r="BG262" s="72"/>
      <c r="BH262" s="72"/>
      <c r="BI262" s="72"/>
      <c r="BJ262" s="72"/>
      <c r="BK262" s="72"/>
      <c r="BL262" s="72"/>
      <c r="BM262" s="72"/>
      <c r="BN262" s="72"/>
      <c r="BO262" s="72"/>
      <c r="BP262" s="72"/>
      <c r="BQ262" s="72"/>
      <c r="BR262" s="72"/>
      <c r="BS262" s="72"/>
      <c r="BT262" s="72"/>
      <c r="BU262" s="72"/>
      <c r="BV262" s="72"/>
      <c r="BW262" s="72"/>
      <c r="BX262" s="72"/>
      <c r="BY262" s="72"/>
      <c r="BZ262" s="72"/>
      <c r="CA262" s="72"/>
      <c r="CB262" s="72"/>
      <c r="CC262" s="72"/>
      <c r="CD262" s="72"/>
      <c r="CE262" s="72"/>
      <c r="CF262" s="72"/>
      <c r="CG262" s="72"/>
      <c r="CH262" s="72"/>
    </row>
    <row r="263" ht="15.7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  <c r="AQ263" s="72"/>
      <c r="AR263" s="72"/>
      <c r="AS263" s="72"/>
      <c r="AT263" s="72"/>
      <c r="AU263" s="72"/>
      <c r="AV263" s="72"/>
      <c r="AW263" s="72"/>
      <c r="AX263" s="72"/>
      <c r="AY263" s="72"/>
      <c r="AZ263" s="72"/>
      <c r="BA263" s="72"/>
      <c r="BB263" s="72"/>
      <c r="BC263" s="72"/>
      <c r="BD263" s="72"/>
      <c r="BE263" s="72"/>
      <c r="BF263" s="72"/>
      <c r="BG263" s="72"/>
      <c r="BH263" s="72"/>
      <c r="BI263" s="72"/>
      <c r="BJ263" s="72"/>
      <c r="BK263" s="72"/>
      <c r="BL263" s="72"/>
      <c r="BM263" s="72"/>
      <c r="BN263" s="72"/>
      <c r="BO263" s="72"/>
      <c r="BP263" s="72"/>
      <c r="BQ263" s="72"/>
      <c r="BR263" s="72"/>
      <c r="BS263" s="72"/>
      <c r="BT263" s="72"/>
      <c r="BU263" s="72"/>
      <c r="BV263" s="72"/>
      <c r="BW263" s="72"/>
      <c r="BX263" s="72"/>
      <c r="BY263" s="72"/>
      <c r="BZ263" s="72"/>
      <c r="CA263" s="72"/>
      <c r="CB263" s="72"/>
      <c r="CC263" s="72"/>
      <c r="CD263" s="72"/>
      <c r="CE263" s="72"/>
      <c r="CF263" s="72"/>
      <c r="CG263" s="72"/>
      <c r="CH263" s="72"/>
    </row>
    <row r="264" ht="15.7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  <c r="AQ264" s="72"/>
      <c r="AR264" s="72"/>
      <c r="AS264" s="72"/>
      <c r="AT264" s="72"/>
      <c r="AU264" s="72"/>
      <c r="AV264" s="72"/>
      <c r="AW264" s="72"/>
      <c r="AX264" s="72"/>
      <c r="AY264" s="72"/>
      <c r="AZ264" s="72"/>
      <c r="BA264" s="72"/>
      <c r="BB264" s="72"/>
      <c r="BC264" s="72"/>
      <c r="BD264" s="72"/>
      <c r="BE264" s="72"/>
      <c r="BF264" s="72"/>
      <c r="BG264" s="72"/>
      <c r="BH264" s="72"/>
      <c r="BI264" s="72"/>
      <c r="BJ264" s="72"/>
      <c r="BK264" s="72"/>
      <c r="BL264" s="72"/>
      <c r="BM264" s="72"/>
      <c r="BN264" s="72"/>
      <c r="BO264" s="72"/>
      <c r="BP264" s="72"/>
      <c r="BQ264" s="72"/>
      <c r="BR264" s="72"/>
      <c r="BS264" s="72"/>
      <c r="BT264" s="72"/>
      <c r="BU264" s="72"/>
      <c r="BV264" s="72"/>
      <c r="BW264" s="72"/>
      <c r="BX264" s="72"/>
      <c r="BY264" s="72"/>
      <c r="BZ264" s="72"/>
      <c r="CA264" s="72"/>
      <c r="CB264" s="72"/>
      <c r="CC264" s="72"/>
      <c r="CD264" s="72"/>
      <c r="CE264" s="72"/>
      <c r="CF264" s="72"/>
      <c r="CG264" s="72"/>
      <c r="CH264" s="72"/>
    </row>
    <row r="265" ht="15.7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  <c r="AQ265" s="72"/>
      <c r="AR265" s="72"/>
      <c r="AS265" s="72"/>
      <c r="AT265" s="72"/>
      <c r="AU265" s="72"/>
      <c r="AV265" s="72"/>
      <c r="AW265" s="72"/>
      <c r="AX265" s="72"/>
      <c r="AY265" s="72"/>
      <c r="AZ265" s="72"/>
      <c r="BA265" s="72"/>
      <c r="BB265" s="72"/>
      <c r="BC265" s="72"/>
      <c r="BD265" s="72"/>
      <c r="BE265" s="72"/>
      <c r="BF265" s="72"/>
      <c r="BG265" s="72"/>
      <c r="BH265" s="72"/>
      <c r="BI265" s="72"/>
      <c r="BJ265" s="72"/>
      <c r="BK265" s="72"/>
      <c r="BL265" s="72"/>
      <c r="BM265" s="72"/>
      <c r="BN265" s="72"/>
      <c r="BO265" s="72"/>
      <c r="BP265" s="72"/>
      <c r="BQ265" s="72"/>
      <c r="BR265" s="72"/>
      <c r="BS265" s="72"/>
      <c r="BT265" s="72"/>
      <c r="BU265" s="72"/>
      <c r="BV265" s="72"/>
      <c r="BW265" s="72"/>
      <c r="BX265" s="72"/>
      <c r="BY265" s="72"/>
      <c r="BZ265" s="72"/>
      <c r="CA265" s="72"/>
      <c r="CB265" s="72"/>
      <c r="CC265" s="72"/>
      <c r="CD265" s="72"/>
      <c r="CE265" s="72"/>
      <c r="CF265" s="72"/>
      <c r="CG265" s="72"/>
      <c r="CH265" s="72"/>
    </row>
    <row r="266" ht="15.7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  <c r="AQ266" s="72"/>
      <c r="AR266" s="72"/>
      <c r="AS266" s="72"/>
      <c r="AT266" s="72"/>
      <c r="AU266" s="72"/>
      <c r="AV266" s="72"/>
      <c r="AW266" s="72"/>
      <c r="AX266" s="72"/>
      <c r="AY266" s="72"/>
      <c r="AZ266" s="72"/>
      <c r="BA266" s="72"/>
      <c r="BB266" s="72"/>
      <c r="BC266" s="72"/>
      <c r="BD266" s="72"/>
      <c r="BE266" s="72"/>
      <c r="BF266" s="72"/>
      <c r="BG266" s="72"/>
      <c r="BH266" s="72"/>
      <c r="BI266" s="72"/>
      <c r="BJ266" s="72"/>
      <c r="BK266" s="72"/>
      <c r="BL266" s="72"/>
      <c r="BM266" s="72"/>
      <c r="BN266" s="72"/>
      <c r="BO266" s="72"/>
      <c r="BP266" s="72"/>
      <c r="BQ266" s="72"/>
      <c r="BR266" s="72"/>
      <c r="BS266" s="72"/>
      <c r="BT266" s="72"/>
      <c r="BU266" s="72"/>
      <c r="BV266" s="72"/>
      <c r="BW266" s="72"/>
      <c r="BX266" s="72"/>
      <c r="BY266" s="72"/>
      <c r="BZ266" s="72"/>
      <c r="CA266" s="72"/>
      <c r="CB266" s="72"/>
      <c r="CC266" s="72"/>
      <c r="CD266" s="72"/>
      <c r="CE266" s="72"/>
      <c r="CF266" s="72"/>
      <c r="CG266" s="72"/>
      <c r="CH266" s="72"/>
    </row>
    <row r="267" ht="15.7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  <c r="AQ267" s="72"/>
      <c r="AR267" s="72"/>
      <c r="AS267" s="72"/>
      <c r="AT267" s="72"/>
      <c r="AU267" s="72"/>
      <c r="AV267" s="72"/>
      <c r="AW267" s="72"/>
      <c r="AX267" s="72"/>
      <c r="AY267" s="72"/>
      <c r="AZ267" s="72"/>
      <c r="BA267" s="72"/>
      <c r="BB267" s="72"/>
      <c r="BC267" s="72"/>
      <c r="BD267" s="72"/>
      <c r="BE267" s="72"/>
      <c r="BF267" s="72"/>
      <c r="BG267" s="72"/>
      <c r="BH267" s="72"/>
      <c r="BI267" s="72"/>
      <c r="BJ267" s="72"/>
      <c r="BK267" s="72"/>
      <c r="BL267" s="72"/>
      <c r="BM267" s="72"/>
      <c r="BN267" s="72"/>
      <c r="BO267" s="72"/>
      <c r="BP267" s="72"/>
      <c r="BQ267" s="72"/>
      <c r="BR267" s="72"/>
      <c r="BS267" s="72"/>
      <c r="BT267" s="72"/>
      <c r="BU267" s="72"/>
      <c r="BV267" s="72"/>
      <c r="BW267" s="72"/>
      <c r="BX267" s="72"/>
      <c r="BY267" s="72"/>
      <c r="BZ267" s="72"/>
      <c r="CA267" s="72"/>
      <c r="CB267" s="72"/>
      <c r="CC267" s="72"/>
      <c r="CD267" s="72"/>
      <c r="CE267" s="72"/>
      <c r="CF267" s="72"/>
      <c r="CG267" s="72"/>
      <c r="CH267" s="72"/>
    </row>
    <row r="268" ht="15.7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  <c r="AQ268" s="72"/>
      <c r="AR268" s="72"/>
      <c r="AS268" s="72"/>
      <c r="AT268" s="72"/>
      <c r="AU268" s="72"/>
      <c r="AV268" s="72"/>
      <c r="AW268" s="72"/>
      <c r="AX268" s="72"/>
      <c r="AY268" s="72"/>
      <c r="AZ268" s="72"/>
      <c r="BA268" s="72"/>
      <c r="BB268" s="72"/>
      <c r="BC268" s="72"/>
      <c r="BD268" s="72"/>
      <c r="BE268" s="72"/>
      <c r="BF268" s="72"/>
      <c r="BG268" s="72"/>
      <c r="BH268" s="72"/>
      <c r="BI268" s="72"/>
      <c r="BJ268" s="72"/>
      <c r="BK268" s="72"/>
      <c r="BL268" s="72"/>
      <c r="BM268" s="72"/>
      <c r="BN268" s="72"/>
      <c r="BO268" s="72"/>
      <c r="BP268" s="72"/>
      <c r="BQ268" s="72"/>
      <c r="BR268" s="72"/>
      <c r="BS268" s="72"/>
      <c r="BT268" s="72"/>
      <c r="BU268" s="72"/>
      <c r="BV268" s="72"/>
      <c r="BW268" s="72"/>
      <c r="BX268" s="72"/>
      <c r="BY268" s="72"/>
      <c r="BZ268" s="72"/>
      <c r="CA268" s="72"/>
      <c r="CB268" s="72"/>
      <c r="CC268" s="72"/>
      <c r="CD268" s="72"/>
      <c r="CE268" s="72"/>
      <c r="CF268" s="72"/>
      <c r="CG268" s="72"/>
      <c r="CH268" s="72"/>
    </row>
    <row r="269" ht="15.7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  <c r="AQ269" s="72"/>
      <c r="AR269" s="72"/>
      <c r="AS269" s="72"/>
      <c r="AT269" s="72"/>
      <c r="AU269" s="72"/>
      <c r="AV269" s="72"/>
      <c r="AW269" s="72"/>
      <c r="AX269" s="72"/>
      <c r="AY269" s="72"/>
      <c r="AZ269" s="72"/>
      <c r="BA269" s="72"/>
      <c r="BB269" s="72"/>
      <c r="BC269" s="72"/>
      <c r="BD269" s="72"/>
      <c r="BE269" s="72"/>
      <c r="BF269" s="72"/>
      <c r="BG269" s="72"/>
      <c r="BH269" s="72"/>
      <c r="BI269" s="72"/>
      <c r="BJ269" s="72"/>
      <c r="BK269" s="72"/>
      <c r="BL269" s="72"/>
      <c r="BM269" s="72"/>
      <c r="BN269" s="72"/>
      <c r="BO269" s="72"/>
      <c r="BP269" s="72"/>
      <c r="BQ269" s="72"/>
      <c r="BR269" s="72"/>
      <c r="BS269" s="72"/>
      <c r="BT269" s="72"/>
      <c r="BU269" s="72"/>
      <c r="BV269" s="72"/>
      <c r="BW269" s="72"/>
      <c r="BX269" s="72"/>
      <c r="BY269" s="72"/>
      <c r="BZ269" s="72"/>
      <c r="CA269" s="72"/>
      <c r="CB269" s="72"/>
      <c r="CC269" s="72"/>
      <c r="CD269" s="72"/>
      <c r="CE269" s="72"/>
      <c r="CF269" s="72"/>
      <c r="CG269" s="72"/>
      <c r="CH269" s="72"/>
    </row>
    <row r="270" ht="15.7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  <c r="AQ270" s="72"/>
      <c r="AR270" s="72"/>
      <c r="AS270" s="72"/>
      <c r="AT270" s="72"/>
      <c r="AU270" s="72"/>
      <c r="AV270" s="72"/>
      <c r="AW270" s="72"/>
      <c r="AX270" s="72"/>
      <c r="AY270" s="72"/>
      <c r="AZ270" s="72"/>
      <c r="BA270" s="72"/>
      <c r="BB270" s="72"/>
      <c r="BC270" s="72"/>
      <c r="BD270" s="72"/>
      <c r="BE270" s="72"/>
      <c r="BF270" s="72"/>
      <c r="BG270" s="72"/>
      <c r="BH270" s="72"/>
      <c r="BI270" s="72"/>
      <c r="BJ270" s="72"/>
      <c r="BK270" s="72"/>
      <c r="BL270" s="72"/>
      <c r="BM270" s="72"/>
      <c r="BN270" s="72"/>
      <c r="BO270" s="72"/>
      <c r="BP270" s="72"/>
      <c r="BQ270" s="72"/>
      <c r="BR270" s="72"/>
      <c r="BS270" s="72"/>
      <c r="BT270" s="72"/>
      <c r="BU270" s="72"/>
      <c r="BV270" s="72"/>
      <c r="BW270" s="72"/>
      <c r="BX270" s="72"/>
      <c r="BY270" s="72"/>
      <c r="BZ270" s="72"/>
      <c r="CA270" s="72"/>
      <c r="CB270" s="72"/>
      <c r="CC270" s="72"/>
      <c r="CD270" s="72"/>
      <c r="CE270" s="72"/>
      <c r="CF270" s="72"/>
      <c r="CG270" s="72"/>
      <c r="CH270" s="72"/>
    </row>
    <row r="271" ht="15.7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  <c r="AQ271" s="72"/>
      <c r="AR271" s="72"/>
      <c r="AS271" s="72"/>
      <c r="AT271" s="72"/>
      <c r="AU271" s="72"/>
      <c r="AV271" s="72"/>
      <c r="AW271" s="72"/>
      <c r="AX271" s="72"/>
      <c r="AY271" s="72"/>
      <c r="AZ271" s="72"/>
      <c r="BA271" s="72"/>
      <c r="BB271" s="72"/>
      <c r="BC271" s="72"/>
      <c r="BD271" s="72"/>
      <c r="BE271" s="72"/>
      <c r="BF271" s="72"/>
      <c r="BG271" s="72"/>
      <c r="BH271" s="72"/>
      <c r="BI271" s="72"/>
      <c r="BJ271" s="72"/>
      <c r="BK271" s="72"/>
      <c r="BL271" s="72"/>
      <c r="BM271" s="72"/>
      <c r="BN271" s="72"/>
      <c r="BO271" s="72"/>
      <c r="BP271" s="72"/>
      <c r="BQ271" s="72"/>
      <c r="BR271" s="72"/>
      <c r="BS271" s="72"/>
      <c r="BT271" s="72"/>
      <c r="BU271" s="72"/>
      <c r="BV271" s="72"/>
      <c r="BW271" s="72"/>
      <c r="BX271" s="72"/>
      <c r="BY271" s="72"/>
      <c r="BZ271" s="72"/>
      <c r="CA271" s="72"/>
      <c r="CB271" s="72"/>
      <c r="CC271" s="72"/>
      <c r="CD271" s="72"/>
      <c r="CE271" s="72"/>
      <c r="CF271" s="72"/>
      <c r="CG271" s="72"/>
      <c r="CH271" s="72"/>
    </row>
    <row r="272" ht="15.7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  <c r="AQ272" s="72"/>
      <c r="AR272" s="72"/>
      <c r="AS272" s="72"/>
      <c r="AT272" s="72"/>
      <c r="AU272" s="72"/>
      <c r="AV272" s="72"/>
      <c r="AW272" s="72"/>
      <c r="AX272" s="72"/>
      <c r="AY272" s="72"/>
      <c r="AZ272" s="72"/>
      <c r="BA272" s="72"/>
      <c r="BB272" s="72"/>
      <c r="BC272" s="72"/>
      <c r="BD272" s="72"/>
      <c r="BE272" s="72"/>
      <c r="BF272" s="72"/>
      <c r="BG272" s="72"/>
      <c r="BH272" s="72"/>
      <c r="BI272" s="72"/>
      <c r="BJ272" s="72"/>
      <c r="BK272" s="72"/>
      <c r="BL272" s="72"/>
      <c r="BM272" s="72"/>
      <c r="BN272" s="72"/>
      <c r="BO272" s="72"/>
      <c r="BP272" s="72"/>
      <c r="BQ272" s="72"/>
      <c r="BR272" s="72"/>
      <c r="BS272" s="72"/>
      <c r="BT272" s="72"/>
      <c r="BU272" s="72"/>
      <c r="BV272" s="72"/>
      <c r="BW272" s="72"/>
      <c r="BX272" s="72"/>
      <c r="BY272" s="72"/>
      <c r="BZ272" s="72"/>
      <c r="CA272" s="72"/>
      <c r="CB272" s="72"/>
      <c r="CC272" s="72"/>
      <c r="CD272" s="72"/>
      <c r="CE272" s="72"/>
      <c r="CF272" s="72"/>
      <c r="CG272" s="72"/>
      <c r="CH272" s="72"/>
    </row>
    <row r="273" ht="15.7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  <c r="AQ273" s="72"/>
      <c r="AR273" s="72"/>
      <c r="AS273" s="72"/>
      <c r="AT273" s="72"/>
      <c r="AU273" s="72"/>
      <c r="AV273" s="72"/>
      <c r="AW273" s="72"/>
      <c r="AX273" s="72"/>
      <c r="AY273" s="72"/>
      <c r="AZ273" s="72"/>
      <c r="BA273" s="72"/>
      <c r="BB273" s="72"/>
      <c r="BC273" s="72"/>
      <c r="BD273" s="72"/>
      <c r="BE273" s="72"/>
      <c r="BF273" s="72"/>
      <c r="BG273" s="72"/>
      <c r="BH273" s="72"/>
      <c r="BI273" s="72"/>
      <c r="BJ273" s="72"/>
      <c r="BK273" s="72"/>
      <c r="BL273" s="72"/>
      <c r="BM273" s="72"/>
      <c r="BN273" s="72"/>
      <c r="BO273" s="72"/>
      <c r="BP273" s="72"/>
      <c r="BQ273" s="72"/>
      <c r="BR273" s="72"/>
      <c r="BS273" s="72"/>
      <c r="BT273" s="72"/>
      <c r="BU273" s="72"/>
      <c r="BV273" s="72"/>
      <c r="BW273" s="72"/>
      <c r="BX273" s="72"/>
      <c r="BY273" s="72"/>
      <c r="BZ273" s="72"/>
      <c r="CA273" s="72"/>
      <c r="CB273" s="72"/>
      <c r="CC273" s="72"/>
      <c r="CD273" s="72"/>
      <c r="CE273" s="72"/>
      <c r="CF273" s="72"/>
      <c r="CG273" s="72"/>
      <c r="CH273" s="72"/>
    </row>
    <row r="274" ht="15.7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  <c r="AQ274" s="72"/>
      <c r="AR274" s="72"/>
      <c r="AS274" s="72"/>
      <c r="AT274" s="72"/>
      <c r="AU274" s="72"/>
      <c r="AV274" s="72"/>
      <c r="AW274" s="72"/>
      <c r="AX274" s="72"/>
      <c r="AY274" s="72"/>
      <c r="AZ274" s="72"/>
      <c r="BA274" s="72"/>
      <c r="BB274" s="72"/>
      <c r="BC274" s="72"/>
      <c r="BD274" s="72"/>
      <c r="BE274" s="72"/>
      <c r="BF274" s="72"/>
      <c r="BG274" s="72"/>
      <c r="BH274" s="72"/>
      <c r="BI274" s="72"/>
      <c r="BJ274" s="72"/>
      <c r="BK274" s="72"/>
      <c r="BL274" s="72"/>
      <c r="BM274" s="72"/>
      <c r="BN274" s="72"/>
      <c r="BO274" s="72"/>
      <c r="BP274" s="72"/>
      <c r="BQ274" s="72"/>
      <c r="BR274" s="72"/>
      <c r="BS274" s="72"/>
      <c r="BT274" s="72"/>
      <c r="BU274" s="72"/>
      <c r="BV274" s="72"/>
      <c r="BW274" s="72"/>
      <c r="BX274" s="72"/>
      <c r="BY274" s="72"/>
      <c r="BZ274" s="72"/>
      <c r="CA274" s="72"/>
      <c r="CB274" s="72"/>
      <c r="CC274" s="72"/>
      <c r="CD274" s="72"/>
      <c r="CE274" s="72"/>
      <c r="CF274" s="72"/>
      <c r="CG274" s="72"/>
      <c r="CH274" s="72"/>
    </row>
    <row r="275" ht="15.7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  <c r="AQ275" s="72"/>
      <c r="AR275" s="72"/>
      <c r="AS275" s="72"/>
      <c r="AT275" s="72"/>
      <c r="AU275" s="72"/>
      <c r="AV275" s="72"/>
      <c r="AW275" s="72"/>
      <c r="AX275" s="72"/>
      <c r="AY275" s="72"/>
      <c r="AZ275" s="72"/>
      <c r="BA275" s="72"/>
      <c r="BB275" s="72"/>
      <c r="BC275" s="72"/>
      <c r="BD275" s="72"/>
      <c r="BE275" s="72"/>
      <c r="BF275" s="72"/>
      <c r="BG275" s="72"/>
      <c r="BH275" s="72"/>
      <c r="BI275" s="72"/>
      <c r="BJ275" s="72"/>
      <c r="BK275" s="72"/>
      <c r="BL275" s="72"/>
      <c r="BM275" s="72"/>
      <c r="BN275" s="72"/>
      <c r="BO275" s="72"/>
      <c r="BP275" s="72"/>
      <c r="BQ275" s="72"/>
      <c r="BR275" s="72"/>
      <c r="BS275" s="72"/>
      <c r="BT275" s="72"/>
      <c r="BU275" s="72"/>
      <c r="BV275" s="72"/>
      <c r="BW275" s="72"/>
      <c r="BX275" s="72"/>
      <c r="BY275" s="72"/>
      <c r="BZ275" s="72"/>
      <c r="CA275" s="72"/>
      <c r="CB275" s="72"/>
      <c r="CC275" s="72"/>
      <c r="CD275" s="72"/>
      <c r="CE275" s="72"/>
      <c r="CF275" s="72"/>
      <c r="CG275" s="72"/>
      <c r="CH275" s="72"/>
    </row>
    <row r="276" ht="15.7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  <c r="AQ276" s="72"/>
      <c r="AR276" s="72"/>
      <c r="AS276" s="72"/>
      <c r="AT276" s="72"/>
      <c r="AU276" s="72"/>
      <c r="AV276" s="72"/>
      <c r="AW276" s="72"/>
      <c r="AX276" s="72"/>
      <c r="AY276" s="72"/>
      <c r="AZ276" s="72"/>
      <c r="BA276" s="72"/>
      <c r="BB276" s="72"/>
      <c r="BC276" s="72"/>
      <c r="BD276" s="72"/>
      <c r="BE276" s="72"/>
      <c r="BF276" s="72"/>
      <c r="BG276" s="72"/>
      <c r="BH276" s="72"/>
      <c r="BI276" s="72"/>
      <c r="BJ276" s="72"/>
      <c r="BK276" s="72"/>
      <c r="BL276" s="72"/>
      <c r="BM276" s="72"/>
      <c r="BN276" s="72"/>
      <c r="BO276" s="72"/>
      <c r="BP276" s="72"/>
      <c r="BQ276" s="72"/>
      <c r="BR276" s="72"/>
      <c r="BS276" s="72"/>
      <c r="BT276" s="72"/>
      <c r="BU276" s="72"/>
      <c r="BV276" s="72"/>
      <c r="BW276" s="72"/>
      <c r="BX276" s="72"/>
      <c r="BY276" s="72"/>
      <c r="BZ276" s="72"/>
      <c r="CA276" s="72"/>
      <c r="CB276" s="72"/>
      <c r="CC276" s="72"/>
      <c r="CD276" s="72"/>
      <c r="CE276" s="72"/>
      <c r="CF276" s="72"/>
      <c r="CG276" s="72"/>
      <c r="CH276" s="72"/>
    </row>
    <row r="277" ht="15.7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  <c r="AQ277" s="72"/>
      <c r="AR277" s="72"/>
      <c r="AS277" s="72"/>
      <c r="AT277" s="72"/>
      <c r="AU277" s="72"/>
      <c r="AV277" s="72"/>
      <c r="AW277" s="72"/>
      <c r="AX277" s="72"/>
      <c r="AY277" s="72"/>
      <c r="AZ277" s="72"/>
      <c r="BA277" s="72"/>
      <c r="BB277" s="72"/>
      <c r="BC277" s="72"/>
      <c r="BD277" s="72"/>
      <c r="BE277" s="72"/>
      <c r="BF277" s="72"/>
      <c r="BG277" s="72"/>
      <c r="BH277" s="72"/>
      <c r="BI277" s="72"/>
      <c r="BJ277" s="72"/>
      <c r="BK277" s="72"/>
      <c r="BL277" s="72"/>
      <c r="BM277" s="72"/>
      <c r="BN277" s="72"/>
      <c r="BO277" s="72"/>
      <c r="BP277" s="72"/>
      <c r="BQ277" s="72"/>
      <c r="BR277" s="72"/>
      <c r="BS277" s="72"/>
      <c r="BT277" s="72"/>
      <c r="BU277" s="72"/>
      <c r="BV277" s="72"/>
      <c r="BW277" s="72"/>
      <c r="BX277" s="72"/>
      <c r="BY277" s="72"/>
      <c r="BZ277" s="72"/>
      <c r="CA277" s="72"/>
      <c r="CB277" s="72"/>
      <c r="CC277" s="72"/>
      <c r="CD277" s="72"/>
      <c r="CE277" s="72"/>
      <c r="CF277" s="72"/>
      <c r="CG277" s="72"/>
      <c r="CH277" s="72"/>
    </row>
    <row r="278" ht="15.7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  <c r="AQ278" s="72"/>
      <c r="AR278" s="72"/>
      <c r="AS278" s="72"/>
      <c r="AT278" s="72"/>
      <c r="AU278" s="72"/>
      <c r="AV278" s="72"/>
      <c r="AW278" s="72"/>
      <c r="AX278" s="72"/>
      <c r="AY278" s="72"/>
      <c r="AZ278" s="72"/>
      <c r="BA278" s="72"/>
      <c r="BB278" s="72"/>
      <c r="BC278" s="72"/>
      <c r="BD278" s="72"/>
      <c r="BE278" s="72"/>
      <c r="BF278" s="72"/>
      <c r="BG278" s="72"/>
      <c r="BH278" s="72"/>
      <c r="BI278" s="72"/>
      <c r="BJ278" s="72"/>
      <c r="BK278" s="72"/>
      <c r="BL278" s="72"/>
      <c r="BM278" s="72"/>
      <c r="BN278" s="72"/>
      <c r="BO278" s="72"/>
      <c r="BP278" s="72"/>
      <c r="BQ278" s="72"/>
      <c r="BR278" s="72"/>
      <c r="BS278" s="72"/>
      <c r="BT278" s="72"/>
      <c r="BU278" s="72"/>
      <c r="BV278" s="72"/>
      <c r="BW278" s="72"/>
      <c r="BX278" s="72"/>
      <c r="BY278" s="72"/>
      <c r="BZ278" s="72"/>
      <c r="CA278" s="72"/>
      <c r="CB278" s="72"/>
      <c r="CC278" s="72"/>
      <c r="CD278" s="72"/>
      <c r="CE278" s="72"/>
      <c r="CF278" s="72"/>
      <c r="CG278" s="72"/>
      <c r="CH278" s="72"/>
    </row>
    <row r="279" ht="15.7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  <c r="AQ279" s="72"/>
      <c r="AR279" s="72"/>
      <c r="AS279" s="72"/>
      <c r="AT279" s="72"/>
      <c r="AU279" s="72"/>
      <c r="AV279" s="72"/>
      <c r="AW279" s="72"/>
      <c r="AX279" s="72"/>
      <c r="AY279" s="72"/>
      <c r="AZ279" s="72"/>
      <c r="BA279" s="72"/>
      <c r="BB279" s="72"/>
      <c r="BC279" s="72"/>
      <c r="BD279" s="72"/>
      <c r="BE279" s="72"/>
      <c r="BF279" s="72"/>
      <c r="BG279" s="72"/>
      <c r="BH279" s="72"/>
      <c r="BI279" s="72"/>
      <c r="BJ279" s="72"/>
      <c r="BK279" s="72"/>
      <c r="BL279" s="72"/>
      <c r="BM279" s="72"/>
      <c r="BN279" s="72"/>
      <c r="BO279" s="72"/>
      <c r="BP279" s="72"/>
      <c r="BQ279" s="72"/>
      <c r="BR279" s="72"/>
      <c r="BS279" s="72"/>
      <c r="BT279" s="72"/>
      <c r="BU279" s="72"/>
      <c r="BV279" s="72"/>
      <c r="BW279" s="72"/>
      <c r="BX279" s="72"/>
      <c r="BY279" s="72"/>
      <c r="BZ279" s="72"/>
      <c r="CA279" s="72"/>
      <c r="CB279" s="72"/>
      <c r="CC279" s="72"/>
      <c r="CD279" s="72"/>
      <c r="CE279" s="72"/>
      <c r="CF279" s="72"/>
      <c r="CG279" s="72"/>
      <c r="CH279" s="72"/>
    </row>
    <row r="280" ht="15.7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  <c r="AQ280" s="72"/>
      <c r="AR280" s="72"/>
      <c r="AS280" s="72"/>
      <c r="AT280" s="72"/>
      <c r="AU280" s="72"/>
      <c r="AV280" s="72"/>
      <c r="AW280" s="72"/>
      <c r="AX280" s="72"/>
      <c r="AY280" s="72"/>
      <c r="AZ280" s="72"/>
      <c r="BA280" s="72"/>
      <c r="BB280" s="72"/>
      <c r="BC280" s="72"/>
      <c r="BD280" s="72"/>
      <c r="BE280" s="72"/>
      <c r="BF280" s="72"/>
      <c r="BG280" s="72"/>
      <c r="BH280" s="72"/>
      <c r="BI280" s="72"/>
      <c r="BJ280" s="72"/>
      <c r="BK280" s="72"/>
      <c r="BL280" s="72"/>
      <c r="BM280" s="72"/>
      <c r="BN280" s="72"/>
      <c r="BO280" s="72"/>
      <c r="BP280" s="72"/>
      <c r="BQ280" s="72"/>
      <c r="BR280" s="72"/>
      <c r="BS280" s="72"/>
      <c r="BT280" s="72"/>
      <c r="BU280" s="72"/>
      <c r="BV280" s="72"/>
      <c r="BW280" s="72"/>
      <c r="BX280" s="72"/>
      <c r="BY280" s="72"/>
      <c r="BZ280" s="72"/>
      <c r="CA280" s="72"/>
      <c r="CB280" s="72"/>
      <c r="CC280" s="72"/>
      <c r="CD280" s="72"/>
      <c r="CE280" s="72"/>
      <c r="CF280" s="72"/>
      <c r="CG280" s="72"/>
      <c r="CH280" s="72"/>
    </row>
    <row r="281" ht="15.7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  <c r="AQ281" s="72"/>
      <c r="AR281" s="72"/>
      <c r="AS281" s="72"/>
      <c r="AT281" s="72"/>
      <c r="AU281" s="72"/>
      <c r="AV281" s="72"/>
      <c r="AW281" s="72"/>
      <c r="AX281" s="72"/>
      <c r="AY281" s="72"/>
      <c r="AZ281" s="72"/>
      <c r="BA281" s="72"/>
      <c r="BB281" s="72"/>
      <c r="BC281" s="72"/>
      <c r="BD281" s="72"/>
      <c r="BE281" s="72"/>
      <c r="BF281" s="72"/>
      <c r="BG281" s="72"/>
      <c r="BH281" s="72"/>
      <c r="BI281" s="72"/>
      <c r="BJ281" s="72"/>
      <c r="BK281" s="72"/>
      <c r="BL281" s="72"/>
      <c r="BM281" s="72"/>
      <c r="BN281" s="72"/>
      <c r="BO281" s="72"/>
      <c r="BP281" s="72"/>
      <c r="BQ281" s="72"/>
      <c r="BR281" s="72"/>
      <c r="BS281" s="72"/>
      <c r="BT281" s="72"/>
      <c r="BU281" s="72"/>
      <c r="BV281" s="72"/>
      <c r="BW281" s="72"/>
      <c r="BX281" s="72"/>
      <c r="BY281" s="72"/>
      <c r="BZ281" s="72"/>
      <c r="CA281" s="72"/>
      <c r="CB281" s="72"/>
      <c r="CC281" s="72"/>
      <c r="CD281" s="72"/>
      <c r="CE281" s="72"/>
      <c r="CF281" s="72"/>
      <c r="CG281" s="72"/>
      <c r="CH281" s="72"/>
    </row>
    <row r="282" ht="15.7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  <c r="AQ282" s="72"/>
      <c r="AR282" s="72"/>
      <c r="AS282" s="72"/>
      <c r="AT282" s="72"/>
      <c r="AU282" s="72"/>
      <c r="AV282" s="72"/>
      <c r="AW282" s="72"/>
      <c r="AX282" s="72"/>
      <c r="AY282" s="72"/>
      <c r="AZ282" s="72"/>
      <c r="BA282" s="72"/>
      <c r="BB282" s="72"/>
      <c r="BC282" s="72"/>
      <c r="BD282" s="72"/>
      <c r="BE282" s="72"/>
      <c r="BF282" s="72"/>
      <c r="BG282" s="72"/>
      <c r="BH282" s="72"/>
      <c r="BI282" s="72"/>
      <c r="BJ282" s="72"/>
      <c r="BK282" s="72"/>
      <c r="BL282" s="72"/>
      <c r="BM282" s="72"/>
      <c r="BN282" s="72"/>
      <c r="BO282" s="72"/>
      <c r="BP282" s="72"/>
      <c r="BQ282" s="72"/>
      <c r="BR282" s="72"/>
      <c r="BS282" s="72"/>
      <c r="BT282" s="72"/>
      <c r="BU282" s="72"/>
      <c r="BV282" s="72"/>
      <c r="BW282" s="72"/>
      <c r="BX282" s="72"/>
      <c r="BY282" s="72"/>
      <c r="BZ282" s="72"/>
      <c r="CA282" s="72"/>
      <c r="CB282" s="72"/>
      <c r="CC282" s="72"/>
      <c r="CD282" s="72"/>
      <c r="CE282" s="72"/>
      <c r="CF282" s="72"/>
      <c r="CG282" s="72"/>
      <c r="CH282" s="72"/>
    </row>
    <row r="283" ht="15.7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  <c r="AQ283" s="72"/>
      <c r="AR283" s="72"/>
      <c r="AS283" s="72"/>
      <c r="AT283" s="72"/>
      <c r="AU283" s="72"/>
      <c r="AV283" s="72"/>
      <c r="AW283" s="72"/>
      <c r="AX283" s="72"/>
      <c r="AY283" s="72"/>
      <c r="AZ283" s="72"/>
      <c r="BA283" s="72"/>
      <c r="BB283" s="72"/>
      <c r="BC283" s="72"/>
      <c r="BD283" s="72"/>
      <c r="BE283" s="72"/>
      <c r="BF283" s="72"/>
      <c r="BG283" s="72"/>
      <c r="BH283" s="72"/>
      <c r="BI283" s="72"/>
      <c r="BJ283" s="72"/>
      <c r="BK283" s="72"/>
      <c r="BL283" s="72"/>
      <c r="BM283" s="72"/>
      <c r="BN283" s="72"/>
      <c r="BO283" s="72"/>
      <c r="BP283" s="72"/>
      <c r="BQ283" s="72"/>
      <c r="BR283" s="72"/>
      <c r="BS283" s="72"/>
      <c r="BT283" s="72"/>
      <c r="BU283" s="72"/>
      <c r="BV283" s="72"/>
      <c r="BW283" s="72"/>
      <c r="BX283" s="72"/>
      <c r="BY283" s="72"/>
      <c r="BZ283" s="72"/>
      <c r="CA283" s="72"/>
      <c r="CB283" s="72"/>
      <c r="CC283" s="72"/>
      <c r="CD283" s="72"/>
      <c r="CE283" s="72"/>
      <c r="CF283" s="72"/>
      <c r="CG283" s="72"/>
      <c r="CH283" s="72"/>
    </row>
    <row r="284" ht="15.7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  <c r="AQ284" s="72"/>
      <c r="AR284" s="72"/>
      <c r="AS284" s="72"/>
      <c r="AT284" s="72"/>
      <c r="AU284" s="72"/>
      <c r="AV284" s="72"/>
      <c r="AW284" s="72"/>
      <c r="AX284" s="72"/>
      <c r="AY284" s="72"/>
      <c r="AZ284" s="72"/>
      <c r="BA284" s="72"/>
      <c r="BB284" s="72"/>
      <c r="BC284" s="72"/>
      <c r="BD284" s="72"/>
      <c r="BE284" s="72"/>
      <c r="BF284" s="72"/>
      <c r="BG284" s="72"/>
      <c r="BH284" s="72"/>
      <c r="BI284" s="72"/>
      <c r="BJ284" s="72"/>
      <c r="BK284" s="72"/>
      <c r="BL284" s="72"/>
      <c r="BM284" s="72"/>
      <c r="BN284" s="72"/>
      <c r="BO284" s="72"/>
      <c r="BP284" s="72"/>
      <c r="BQ284" s="72"/>
      <c r="BR284" s="72"/>
      <c r="BS284" s="72"/>
      <c r="BT284" s="72"/>
      <c r="BU284" s="72"/>
      <c r="BV284" s="72"/>
      <c r="BW284" s="72"/>
      <c r="BX284" s="72"/>
      <c r="BY284" s="72"/>
      <c r="BZ284" s="72"/>
      <c r="CA284" s="72"/>
      <c r="CB284" s="72"/>
      <c r="CC284" s="72"/>
      <c r="CD284" s="72"/>
      <c r="CE284" s="72"/>
      <c r="CF284" s="72"/>
      <c r="CG284" s="72"/>
      <c r="CH284" s="72"/>
    </row>
    <row r="285" ht="15.7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  <c r="AQ285" s="72"/>
      <c r="AR285" s="72"/>
      <c r="AS285" s="72"/>
      <c r="AT285" s="72"/>
      <c r="AU285" s="72"/>
      <c r="AV285" s="72"/>
      <c r="AW285" s="72"/>
      <c r="AX285" s="72"/>
      <c r="AY285" s="72"/>
      <c r="AZ285" s="72"/>
      <c r="BA285" s="72"/>
      <c r="BB285" s="72"/>
      <c r="BC285" s="72"/>
      <c r="BD285" s="72"/>
      <c r="BE285" s="72"/>
      <c r="BF285" s="72"/>
      <c r="BG285" s="72"/>
      <c r="BH285" s="72"/>
      <c r="BI285" s="72"/>
      <c r="BJ285" s="72"/>
      <c r="BK285" s="72"/>
      <c r="BL285" s="72"/>
      <c r="BM285" s="72"/>
      <c r="BN285" s="72"/>
      <c r="BO285" s="72"/>
      <c r="BP285" s="72"/>
      <c r="BQ285" s="72"/>
      <c r="BR285" s="72"/>
      <c r="BS285" s="72"/>
      <c r="BT285" s="72"/>
      <c r="BU285" s="72"/>
      <c r="BV285" s="72"/>
      <c r="BW285" s="72"/>
      <c r="BX285" s="72"/>
      <c r="BY285" s="72"/>
      <c r="BZ285" s="72"/>
      <c r="CA285" s="72"/>
      <c r="CB285" s="72"/>
      <c r="CC285" s="72"/>
      <c r="CD285" s="72"/>
      <c r="CE285" s="72"/>
      <c r="CF285" s="72"/>
      <c r="CG285" s="72"/>
      <c r="CH285" s="72"/>
    </row>
    <row r="286" ht="15.7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  <c r="AQ286" s="72"/>
      <c r="AR286" s="72"/>
      <c r="AS286" s="72"/>
      <c r="AT286" s="72"/>
      <c r="AU286" s="72"/>
      <c r="AV286" s="72"/>
      <c r="AW286" s="72"/>
      <c r="AX286" s="72"/>
      <c r="AY286" s="72"/>
      <c r="AZ286" s="72"/>
      <c r="BA286" s="72"/>
      <c r="BB286" s="72"/>
      <c r="BC286" s="72"/>
      <c r="BD286" s="72"/>
      <c r="BE286" s="72"/>
      <c r="BF286" s="72"/>
      <c r="BG286" s="72"/>
      <c r="BH286" s="72"/>
      <c r="BI286" s="72"/>
      <c r="BJ286" s="72"/>
      <c r="BK286" s="72"/>
      <c r="BL286" s="72"/>
      <c r="BM286" s="72"/>
      <c r="BN286" s="72"/>
      <c r="BO286" s="72"/>
      <c r="BP286" s="72"/>
      <c r="BQ286" s="72"/>
      <c r="BR286" s="72"/>
      <c r="BS286" s="72"/>
      <c r="BT286" s="72"/>
      <c r="BU286" s="72"/>
      <c r="BV286" s="72"/>
      <c r="BW286" s="72"/>
      <c r="BX286" s="72"/>
      <c r="BY286" s="72"/>
      <c r="BZ286" s="72"/>
      <c r="CA286" s="72"/>
      <c r="CB286" s="72"/>
      <c r="CC286" s="72"/>
      <c r="CD286" s="72"/>
      <c r="CE286" s="72"/>
      <c r="CF286" s="72"/>
      <c r="CG286" s="72"/>
      <c r="CH286" s="72"/>
    </row>
    <row r="287" ht="15.7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  <c r="AQ287" s="72"/>
      <c r="AR287" s="72"/>
      <c r="AS287" s="72"/>
      <c r="AT287" s="72"/>
      <c r="AU287" s="72"/>
      <c r="AV287" s="72"/>
      <c r="AW287" s="72"/>
      <c r="AX287" s="72"/>
      <c r="AY287" s="72"/>
      <c r="AZ287" s="72"/>
      <c r="BA287" s="72"/>
      <c r="BB287" s="72"/>
      <c r="BC287" s="72"/>
      <c r="BD287" s="72"/>
      <c r="BE287" s="72"/>
      <c r="BF287" s="72"/>
      <c r="BG287" s="72"/>
      <c r="BH287" s="72"/>
      <c r="BI287" s="72"/>
      <c r="BJ287" s="72"/>
      <c r="BK287" s="72"/>
      <c r="BL287" s="72"/>
      <c r="BM287" s="72"/>
      <c r="BN287" s="72"/>
      <c r="BO287" s="72"/>
      <c r="BP287" s="72"/>
      <c r="BQ287" s="72"/>
      <c r="BR287" s="72"/>
      <c r="BS287" s="72"/>
      <c r="BT287" s="72"/>
      <c r="BU287" s="72"/>
      <c r="BV287" s="72"/>
      <c r="BW287" s="72"/>
      <c r="BX287" s="72"/>
      <c r="BY287" s="72"/>
      <c r="BZ287" s="72"/>
      <c r="CA287" s="72"/>
      <c r="CB287" s="72"/>
      <c r="CC287" s="72"/>
      <c r="CD287" s="72"/>
      <c r="CE287" s="72"/>
      <c r="CF287" s="72"/>
      <c r="CG287" s="72"/>
      <c r="CH287" s="72"/>
    </row>
    <row r="288" ht="15.7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  <c r="AQ288" s="72"/>
      <c r="AR288" s="72"/>
      <c r="AS288" s="72"/>
      <c r="AT288" s="72"/>
      <c r="AU288" s="72"/>
      <c r="AV288" s="72"/>
      <c r="AW288" s="72"/>
      <c r="AX288" s="72"/>
      <c r="AY288" s="72"/>
      <c r="AZ288" s="72"/>
      <c r="BA288" s="72"/>
      <c r="BB288" s="72"/>
      <c r="BC288" s="72"/>
      <c r="BD288" s="72"/>
      <c r="BE288" s="72"/>
      <c r="BF288" s="72"/>
      <c r="BG288" s="72"/>
      <c r="BH288" s="72"/>
      <c r="BI288" s="72"/>
      <c r="BJ288" s="72"/>
      <c r="BK288" s="72"/>
      <c r="BL288" s="72"/>
      <c r="BM288" s="72"/>
      <c r="BN288" s="72"/>
      <c r="BO288" s="72"/>
      <c r="BP288" s="72"/>
      <c r="BQ288" s="72"/>
      <c r="BR288" s="72"/>
      <c r="BS288" s="72"/>
      <c r="BT288" s="72"/>
      <c r="BU288" s="72"/>
      <c r="BV288" s="72"/>
      <c r="BW288" s="72"/>
      <c r="BX288" s="72"/>
      <c r="BY288" s="72"/>
      <c r="BZ288" s="72"/>
      <c r="CA288" s="72"/>
      <c r="CB288" s="72"/>
      <c r="CC288" s="72"/>
      <c r="CD288" s="72"/>
      <c r="CE288" s="72"/>
      <c r="CF288" s="72"/>
      <c r="CG288" s="72"/>
      <c r="CH288" s="72"/>
    </row>
    <row r="289" ht="15.7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  <c r="AQ289" s="72"/>
      <c r="AR289" s="72"/>
      <c r="AS289" s="72"/>
      <c r="AT289" s="72"/>
      <c r="AU289" s="72"/>
      <c r="AV289" s="72"/>
      <c r="AW289" s="72"/>
      <c r="AX289" s="72"/>
      <c r="AY289" s="72"/>
      <c r="AZ289" s="72"/>
      <c r="BA289" s="72"/>
      <c r="BB289" s="72"/>
      <c r="BC289" s="72"/>
      <c r="BD289" s="72"/>
      <c r="BE289" s="72"/>
      <c r="BF289" s="72"/>
      <c r="BG289" s="72"/>
      <c r="BH289" s="72"/>
      <c r="BI289" s="72"/>
      <c r="BJ289" s="72"/>
      <c r="BK289" s="72"/>
      <c r="BL289" s="72"/>
      <c r="BM289" s="72"/>
      <c r="BN289" s="72"/>
      <c r="BO289" s="72"/>
      <c r="BP289" s="72"/>
      <c r="BQ289" s="72"/>
      <c r="BR289" s="72"/>
      <c r="BS289" s="72"/>
      <c r="BT289" s="72"/>
      <c r="BU289" s="72"/>
      <c r="BV289" s="72"/>
      <c r="BW289" s="72"/>
      <c r="BX289" s="72"/>
      <c r="BY289" s="72"/>
      <c r="BZ289" s="72"/>
      <c r="CA289" s="72"/>
      <c r="CB289" s="72"/>
      <c r="CC289" s="72"/>
      <c r="CD289" s="72"/>
      <c r="CE289" s="72"/>
      <c r="CF289" s="72"/>
      <c r="CG289" s="72"/>
      <c r="CH289" s="72"/>
    </row>
    <row r="290" ht="15.7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  <c r="AQ290" s="72"/>
      <c r="AR290" s="72"/>
      <c r="AS290" s="72"/>
      <c r="AT290" s="72"/>
      <c r="AU290" s="72"/>
      <c r="AV290" s="72"/>
      <c r="AW290" s="72"/>
      <c r="AX290" s="72"/>
      <c r="AY290" s="72"/>
      <c r="AZ290" s="72"/>
      <c r="BA290" s="72"/>
      <c r="BB290" s="72"/>
      <c r="BC290" s="72"/>
      <c r="BD290" s="72"/>
      <c r="BE290" s="72"/>
      <c r="BF290" s="72"/>
      <c r="BG290" s="72"/>
      <c r="BH290" s="72"/>
      <c r="BI290" s="72"/>
      <c r="BJ290" s="72"/>
      <c r="BK290" s="72"/>
      <c r="BL290" s="72"/>
      <c r="BM290" s="72"/>
      <c r="BN290" s="72"/>
      <c r="BO290" s="72"/>
      <c r="BP290" s="72"/>
      <c r="BQ290" s="72"/>
      <c r="BR290" s="72"/>
      <c r="BS290" s="72"/>
      <c r="BT290" s="72"/>
      <c r="BU290" s="72"/>
      <c r="BV290" s="72"/>
      <c r="BW290" s="72"/>
      <c r="BX290" s="72"/>
      <c r="BY290" s="72"/>
      <c r="BZ290" s="72"/>
      <c r="CA290" s="72"/>
      <c r="CB290" s="72"/>
      <c r="CC290" s="72"/>
      <c r="CD290" s="72"/>
      <c r="CE290" s="72"/>
      <c r="CF290" s="72"/>
      <c r="CG290" s="72"/>
      <c r="CH290" s="72"/>
    </row>
    <row r="291" ht="15.7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  <c r="AQ291" s="72"/>
      <c r="AR291" s="72"/>
      <c r="AS291" s="72"/>
      <c r="AT291" s="72"/>
      <c r="AU291" s="72"/>
      <c r="AV291" s="72"/>
      <c r="AW291" s="72"/>
      <c r="AX291" s="72"/>
      <c r="AY291" s="72"/>
      <c r="AZ291" s="72"/>
      <c r="BA291" s="72"/>
      <c r="BB291" s="72"/>
      <c r="BC291" s="72"/>
      <c r="BD291" s="72"/>
      <c r="BE291" s="72"/>
      <c r="BF291" s="72"/>
      <c r="BG291" s="72"/>
      <c r="BH291" s="72"/>
      <c r="BI291" s="72"/>
      <c r="BJ291" s="72"/>
      <c r="BK291" s="72"/>
      <c r="BL291" s="72"/>
      <c r="BM291" s="72"/>
      <c r="BN291" s="72"/>
      <c r="BO291" s="72"/>
      <c r="BP291" s="72"/>
      <c r="BQ291" s="72"/>
      <c r="BR291" s="72"/>
      <c r="BS291" s="72"/>
      <c r="BT291" s="72"/>
      <c r="BU291" s="72"/>
      <c r="BV291" s="72"/>
      <c r="BW291" s="72"/>
      <c r="BX291" s="72"/>
      <c r="BY291" s="72"/>
      <c r="BZ291" s="72"/>
      <c r="CA291" s="72"/>
      <c r="CB291" s="72"/>
      <c r="CC291" s="72"/>
      <c r="CD291" s="72"/>
      <c r="CE291" s="72"/>
      <c r="CF291" s="72"/>
      <c r="CG291" s="72"/>
      <c r="CH291" s="72"/>
    </row>
    <row r="292" ht="15.7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  <c r="AQ292" s="72"/>
      <c r="AR292" s="72"/>
      <c r="AS292" s="72"/>
      <c r="AT292" s="72"/>
      <c r="AU292" s="72"/>
      <c r="AV292" s="72"/>
      <c r="AW292" s="72"/>
      <c r="AX292" s="72"/>
      <c r="AY292" s="72"/>
      <c r="AZ292" s="72"/>
      <c r="BA292" s="72"/>
      <c r="BB292" s="72"/>
      <c r="BC292" s="72"/>
      <c r="BD292" s="72"/>
      <c r="BE292" s="72"/>
      <c r="BF292" s="72"/>
      <c r="BG292" s="72"/>
      <c r="BH292" s="72"/>
      <c r="BI292" s="72"/>
      <c r="BJ292" s="72"/>
      <c r="BK292" s="72"/>
      <c r="BL292" s="72"/>
      <c r="BM292" s="72"/>
      <c r="BN292" s="72"/>
      <c r="BO292" s="72"/>
      <c r="BP292" s="72"/>
      <c r="BQ292" s="72"/>
      <c r="BR292" s="72"/>
      <c r="BS292" s="72"/>
      <c r="BT292" s="72"/>
      <c r="BU292" s="72"/>
      <c r="BV292" s="72"/>
      <c r="BW292" s="72"/>
      <c r="BX292" s="72"/>
      <c r="BY292" s="72"/>
      <c r="BZ292" s="72"/>
      <c r="CA292" s="72"/>
      <c r="CB292" s="72"/>
      <c r="CC292" s="72"/>
      <c r="CD292" s="72"/>
      <c r="CE292" s="72"/>
      <c r="CF292" s="72"/>
      <c r="CG292" s="72"/>
      <c r="CH292" s="72"/>
    </row>
    <row r="293" ht="15.7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  <c r="AQ293" s="72"/>
      <c r="AR293" s="72"/>
      <c r="AS293" s="72"/>
      <c r="AT293" s="72"/>
      <c r="AU293" s="72"/>
      <c r="AV293" s="72"/>
      <c r="AW293" s="72"/>
      <c r="AX293" s="72"/>
      <c r="AY293" s="72"/>
      <c r="AZ293" s="72"/>
      <c r="BA293" s="72"/>
      <c r="BB293" s="72"/>
      <c r="BC293" s="72"/>
      <c r="BD293" s="72"/>
      <c r="BE293" s="72"/>
      <c r="BF293" s="72"/>
      <c r="BG293" s="72"/>
      <c r="BH293" s="72"/>
      <c r="BI293" s="72"/>
      <c r="BJ293" s="72"/>
      <c r="BK293" s="72"/>
      <c r="BL293" s="72"/>
      <c r="BM293" s="72"/>
      <c r="BN293" s="72"/>
      <c r="BO293" s="72"/>
      <c r="BP293" s="72"/>
      <c r="BQ293" s="72"/>
      <c r="BR293" s="72"/>
      <c r="BS293" s="72"/>
      <c r="BT293" s="72"/>
      <c r="BU293" s="72"/>
      <c r="BV293" s="72"/>
      <c r="BW293" s="72"/>
      <c r="BX293" s="72"/>
      <c r="BY293" s="72"/>
      <c r="BZ293" s="72"/>
      <c r="CA293" s="72"/>
      <c r="CB293" s="72"/>
      <c r="CC293" s="72"/>
      <c r="CD293" s="72"/>
      <c r="CE293" s="72"/>
      <c r="CF293" s="72"/>
      <c r="CG293" s="72"/>
      <c r="CH293" s="72"/>
    </row>
    <row r="294" ht="15.75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  <c r="AQ294" s="72"/>
      <c r="AR294" s="72"/>
      <c r="AS294" s="72"/>
      <c r="AT294" s="72"/>
      <c r="AU294" s="72"/>
      <c r="AV294" s="72"/>
      <c r="AW294" s="72"/>
      <c r="AX294" s="72"/>
      <c r="AY294" s="72"/>
      <c r="AZ294" s="72"/>
      <c r="BA294" s="72"/>
      <c r="BB294" s="72"/>
      <c r="BC294" s="72"/>
      <c r="BD294" s="72"/>
      <c r="BE294" s="72"/>
      <c r="BF294" s="72"/>
      <c r="BG294" s="72"/>
      <c r="BH294" s="72"/>
      <c r="BI294" s="72"/>
      <c r="BJ294" s="72"/>
      <c r="BK294" s="72"/>
      <c r="BL294" s="72"/>
      <c r="BM294" s="72"/>
      <c r="BN294" s="72"/>
      <c r="BO294" s="72"/>
      <c r="BP294" s="72"/>
      <c r="BQ294" s="72"/>
      <c r="BR294" s="72"/>
      <c r="BS294" s="72"/>
      <c r="BT294" s="72"/>
      <c r="BU294" s="72"/>
      <c r="BV294" s="72"/>
      <c r="BW294" s="72"/>
      <c r="BX294" s="72"/>
      <c r="BY294" s="72"/>
      <c r="BZ294" s="72"/>
      <c r="CA294" s="72"/>
      <c r="CB294" s="72"/>
      <c r="CC294" s="72"/>
      <c r="CD294" s="72"/>
      <c r="CE294" s="72"/>
      <c r="CF294" s="72"/>
      <c r="CG294" s="72"/>
      <c r="CH294" s="72"/>
    </row>
    <row r="295" ht="15.75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  <c r="AQ295" s="72"/>
      <c r="AR295" s="72"/>
      <c r="AS295" s="72"/>
      <c r="AT295" s="72"/>
      <c r="AU295" s="72"/>
      <c r="AV295" s="72"/>
      <c r="AW295" s="72"/>
      <c r="AX295" s="72"/>
      <c r="AY295" s="72"/>
      <c r="AZ295" s="72"/>
      <c r="BA295" s="72"/>
      <c r="BB295" s="72"/>
      <c r="BC295" s="72"/>
      <c r="BD295" s="72"/>
      <c r="BE295" s="72"/>
      <c r="BF295" s="72"/>
      <c r="BG295" s="72"/>
      <c r="BH295" s="72"/>
      <c r="BI295" s="72"/>
      <c r="BJ295" s="72"/>
      <c r="BK295" s="72"/>
      <c r="BL295" s="72"/>
      <c r="BM295" s="72"/>
      <c r="BN295" s="72"/>
      <c r="BO295" s="72"/>
      <c r="BP295" s="72"/>
      <c r="BQ295" s="72"/>
      <c r="BR295" s="72"/>
      <c r="BS295" s="72"/>
      <c r="BT295" s="72"/>
      <c r="BU295" s="72"/>
      <c r="BV295" s="72"/>
      <c r="BW295" s="72"/>
      <c r="BX295" s="72"/>
      <c r="BY295" s="72"/>
      <c r="BZ295" s="72"/>
      <c r="CA295" s="72"/>
      <c r="CB295" s="72"/>
      <c r="CC295" s="72"/>
      <c r="CD295" s="72"/>
      <c r="CE295" s="72"/>
      <c r="CF295" s="72"/>
      <c r="CG295" s="72"/>
      <c r="CH295" s="72"/>
    </row>
    <row r="296" ht="15.75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  <c r="AQ296" s="72"/>
      <c r="AR296" s="72"/>
      <c r="AS296" s="72"/>
      <c r="AT296" s="72"/>
      <c r="AU296" s="72"/>
      <c r="AV296" s="72"/>
      <c r="AW296" s="72"/>
      <c r="AX296" s="72"/>
      <c r="AY296" s="72"/>
      <c r="AZ296" s="72"/>
      <c r="BA296" s="72"/>
      <c r="BB296" s="72"/>
      <c r="BC296" s="72"/>
      <c r="BD296" s="72"/>
      <c r="BE296" s="72"/>
      <c r="BF296" s="72"/>
      <c r="BG296" s="72"/>
      <c r="BH296" s="72"/>
      <c r="BI296" s="72"/>
      <c r="BJ296" s="72"/>
      <c r="BK296" s="72"/>
      <c r="BL296" s="72"/>
      <c r="BM296" s="72"/>
      <c r="BN296" s="72"/>
      <c r="BO296" s="72"/>
      <c r="BP296" s="72"/>
      <c r="BQ296" s="72"/>
      <c r="BR296" s="72"/>
      <c r="BS296" s="72"/>
      <c r="BT296" s="72"/>
      <c r="BU296" s="72"/>
      <c r="BV296" s="72"/>
      <c r="BW296" s="72"/>
      <c r="BX296" s="72"/>
      <c r="BY296" s="72"/>
      <c r="BZ296" s="72"/>
      <c r="CA296" s="72"/>
      <c r="CB296" s="72"/>
      <c r="CC296" s="72"/>
      <c r="CD296" s="72"/>
      <c r="CE296" s="72"/>
      <c r="CF296" s="72"/>
      <c r="CG296" s="72"/>
      <c r="CH296" s="72"/>
    </row>
    <row r="297" ht="15.75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  <c r="AQ297" s="72"/>
      <c r="AR297" s="72"/>
      <c r="AS297" s="72"/>
      <c r="AT297" s="72"/>
      <c r="AU297" s="72"/>
      <c r="AV297" s="72"/>
      <c r="AW297" s="72"/>
      <c r="AX297" s="72"/>
      <c r="AY297" s="72"/>
      <c r="AZ297" s="72"/>
      <c r="BA297" s="72"/>
      <c r="BB297" s="72"/>
      <c r="BC297" s="72"/>
      <c r="BD297" s="72"/>
      <c r="BE297" s="72"/>
      <c r="BF297" s="72"/>
      <c r="BG297" s="72"/>
      <c r="BH297" s="72"/>
      <c r="BI297" s="72"/>
      <c r="BJ297" s="72"/>
      <c r="BK297" s="72"/>
      <c r="BL297" s="72"/>
      <c r="BM297" s="72"/>
      <c r="BN297" s="72"/>
      <c r="BO297" s="72"/>
      <c r="BP297" s="72"/>
      <c r="BQ297" s="72"/>
      <c r="BR297" s="72"/>
      <c r="BS297" s="72"/>
      <c r="BT297" s="72"/>
      <c r="BU297" s="72"/>
      <c r="BV297" s="72"/>
      <c r="BW297" s="72"/>
      <c r="BX297" s="72"/>
      <c r="BY297" s="72"/>
      <c r="BZ297" s="72"/>
      <c r="CA297" s="72"/>
      <c r="CB297" s="72"/>
      <c r="CC297" s="72"/>
      <c r="CD297" s="72"/>
      <c r="CE297" s="72"/>
      <c r="CF297" s="72"/>
      <c r="CG297" s="72"/>
      <c r="CH297" s="72"/>
    </row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39:CH39"/>
    <mergeCell ref="A40:CH40"/>
    <mergeCell ref="A41:CH41"/>
    <mergeCell ref="A68:CH68"/>
    <mergeCell ref="A69:CH69"/>
    <mergeCell ref="A70:CH70"/>
    <mergeCell ref="A97:CH97"/>
    <mergeCell ref="A98:CH98"/>
    <mergeCell ref="A1:CH1"/>
    <mergeCell ref="A2:CH2"/>
    <mergeCell ref="A5:CH5"/>
    <mergeCell ref="A7:CH7"/>
    <mergeCell ref="A8:CH8"/>
    <mergeCell ref="A19:CH19"/>
    <mergeCell ref="A20:CH20"/>
  </mergeCells>
  <conditionalFormatting sqref="I5:CD98">
    <cfRule type="cellIs" dxfId="0" priority="1" operator="equal">
      <formula>"Present"</formula>
    </cfRule>
  </conditionalFormatting>
  <conditionalFormatting sqref="I5:CD98">
    <cfRule type="cellIs" dxfId="1" priority="2" operator="equal">
      <formula>"Absent"</formula>
    </cfRule>
  </conditionalFormatting>
  <conditionalFormatting sqref="I5:CD98">
    <cfRule type="cellIs" dxfId="2" priority="3" operator="equal">
      <formula>"Leave"</formula>
    </cfRule>
  </conditionalFormatting>
  <conditionalFormatting sqref="I5:CD98">
    <cfRule type="cellIs" dxfId="3" priority="4" operator="equal">
      <formula>"Late"</formula>
    </cfRule>
  </conditionalFormatting>
  <conditionalFormatting sqref="I5:CD98">
    <cfRule type="cellIs" dxfId="4" priority="5" operator="equal">
      <formula>"Sat Off"</formula>
    </cfRule>
  </conditionalFormatting>
  <conditionalFormatting sqref="I5:CD98">
    <cfRule type="cellIs" dxfId="5" priority="6" operator="equal">
      <formula>"N/A"</formula>
    </cfRule>
  </conditionalFormatting>
  <conditionalFormatting sqref="I5:CD98">
    <cfRule type="cellIs" dxfId="6" priority="7" operator="equal">
      <formula>"Dropout"</formula>
    </cfRule>
  </conditionalFormatting>
  <conditionalFormatting sqref="I5:CD98">
    <cfRule type="cellIs" dxfId="7" priority="8" operator="equal">
      <formula>"OFF"</formula>
    </cfRule>
  </conditionalFormatting>
  <dataValidations>
    <dataValidation type="list" allowBlank="1" sqref="F6 F9:F18 F21:F38 F42:F67 F71:F96 F99:F149">
      <formula1>"✓,—"</formula1>
    </dataValidation>
    <dataValidation type="list" allowBlank="1" sqref="I6:CD6 I9:CD18 I21:CD38 I42:CD67 I71:CD96 I99:CD149">
      <formula1>"Present,Absent,Leave,Late,Sat Off,N/A,Dropout"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5C38"/>
    <pageSetUpPr/>
  </sheetPr>
  <sheetViews>
    <sheetView workbookViewId="0">
      <pane xSplit="8.0" ySplit="4.0" topLeftCell="I5" activePane="bottomRight" state="frozen"/>
      <selection activeCell="I1" sqref="I1" pane="topRight"/>
      <selection activeCell="A5" sqref="A5" pane="bottomLeft"/>
      <selection activeCell="I5" sqref="I5" pane="bottomRight"/>
    </sheetView>
  </sheetViews>
  <sheetFormatPr customHeight="1" defaultColWidth="14.43" defaultRowHeight="15.0"/>
  <cols>
    <col customWidth="1" min="1" max="1" width="5.0"/>
    <col customWidth="1" min="2" max="2" width="32.0"/>
    <col customWidth="1" min="3" max="3" width="18.0"/>
    <col customWidth="1" min="4" max="4" width="10.0"/>
    <col customWidth="1" min="5" max="5" width="13.0"/>
    <col customWidth="1" min="6" max="6" width="7.0"/>
    <col customWidth="1" min="7" max="7" width="5.0"/>
    <col customWidth="1" min="8" max="8" width="14.0"/>
    <col customWidth="1" min="9" max="9" width="14.14"/>
    <col customWidth="1" min="10" max="82" width="13.0"/>
    <col customWidth="1" min="83" max="84" width="8.0"/>
    <col customWidth="1" min="85" max="85" width="7.0"/>
    <col customWidth="1" min="86" max="86" width="8.0"/>
  </cols>
  <sheetData>
    <row r="1" ht="27.75" customHeight="1">
      <c r="A1" s="4" t="s">
        <v>375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3"/>
    </row>
    <row r="2" ht="15.75" customHeight="1">
      <c r="A2" s="18" t="s">
        <v>376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3"/>
    </row>
    <row r="3" ht="15.75" customHeight="1">
      <c r="A3" s="5" t="s">
        <v>3</v>
      </c>
      <c r="B3" s="5" t="s">
        <v>6</v>
      </c>
      <c r="C3" s="5" t="s">
        <v>7</v>
      </c>
      <c r="D3" s="5" t="s">
        <v>39</v>
      </c>
      <c r="E3" s="5" t="s">
        <v>40</v>
      </c>
      <c r="F3" s="5" t="s">
        <v>11</v>
      </c>
      <c r="G3" s="5" t="s">
        <v>12</v>
      </c>
      <c r="H3" s="5" t="s">
        <v>41</v>
      </c>
      <c r="I3" s="5" t="s">
        <v>42</v>
      </c>
      <c r="J3" s="5" t="s">
        <v>43</v>
      </c>
      <c r="K3" s="5" t="s">
        <v>44</v>
      </c>
      <c r="L3" s="5" t="s">
        <v>45</v>
      </c>
      <c r="M3" s="5" t="s">
        <v>46</v>
      </c>
      <c r="N3" s="5" t="s">
        <v>47</v>
      </c>
      <c r="O3" s="5" t="s">
        <v>48</v>
      </c>
      <c r="P3" s="5" t="s">
        <v>49</v>
      </c>
      <c r="Q3" s="5" t="s">
        <v>50</v>
      </c>
      <c r="R3" s="5" t="s">
        <v>51</v>
      </c>
      <c r="S3" s="5" t="s">
        <v>52</v>
      </c>
      <c r="T3" s="5" t="s">
        <v>53</v>
      </c>
      <c r="U3" s="5" t="s">
        <v>54</v>
      </c>
      <c r="V3" s="5" t="s">
        <v>55</v>
      </c>
      <c r="W3" s="5" t="s">
        <v>56</v>
      </c>
      <c r="X3" s="5" t="s">
        <v>57</v>
      </c>
      <c r="Y3" s="5" t="s">
        <v>58</v>
      </c>
      <c r="Z3" s="5" t="s">
        <v>59</v>
      </c>
      <c r="AA3" s="5" t="s">
        <v>60</v>
      </c>
      <c r="AB3" s="5" t="s">
        <v>61</v>
      </c>
      <c r="AC3" s="5" t="s">
        <v>62</v>
      </c>
      <c r="AD3" s="5" t="s">
        <v>63</v>
      </c>
      <c r="AE3" s="5" t="s">
        <v>64</v>
      </c>
      <c r="AF3" s="5" t="s">
        <v>65</v>
      </c>
      <c r="AG3" s="5" t="s">
        <v>66</v>
      </c>
      <c r="AH3" s="5" t="s">
        <v>67</v>
      </c>
      <c r="AI3" s="5" t="s">
        <v>68</v>
      </c>
      <c r="AJ3" s="5" t="s">
        <v>69</v>
      </c>
      <c r="AK3" s="5" t="s">
        <v>70</v>
      </c>
      <c r="AL3" s="5" t="s">
        <v>71</v>
      </c>
      <c r="AM3" s="5" t="s">
        <v>72</v>
      </c>
      <c r="AN3" s="5" t="s">
        <v>73</v>
      </c>
      <c r="AO3" s="5" t="s">
        <v>75</v>
      </c>
      <c r="AP3" s="5" t="s">
        <v>77</v>
      </c>
      <c r="AQ3" s="5" t="s">
        <v>78</v>
      </c>
      <c r="AR3" s="5" t="s">
        <v>79</v>
      </c>
      <c r="AS3" s="5" t="s">
        <v>80</v>
      </c>
      <c r="AT3" s="5" t="s">
        <v>81</v>
      </c>
      <c r="AU3" s="5" t="s">
        <v>82</v>
      </c>
      <c r="AV3" s="5" t="s">
        <v>83</v>
      </c>
      <c r="AW3" s="5" t="s">
        <v>84</v>
      </c>
      <c r="AX3" s="5" t="s">
        <v>85</v>
      </c>
      <c r="AY3" s="5" t="s">
        <v>86</v>
      </c>
      <c r="AZ3" s="5" t="s">
        <v>87</v>
      </c>
      <c r="BA3" s="5" t="s">
        <v>88</v>
      </c>
      <c r="BB3" s="5" t="s">
        <v>89</v>
      </c>
      <c r="BC3" s="5" t="s">
        <v>90</v>
      </c>
      <c r="BD3" s="5" t="s">
        <v>91</v>
      </c>
      <c r="BE3" s="5" t="s">
        <v>92</v>
      </c>
      <c r="BF3" s="5" t="s">
        <v>93</v>
      </c>
      <c r="BG3" s="5" t="s">
        <v>94</v>
      </c>
      <c r="BH3" s="5" t="s">
        <v>95</v>
      </c>
      <c r="BI3" s="5" t="s">
        <v>96</v>
      </c>
      <c r="BJ3" s="5" t="s">
        <v>97</v>
      </c>
      <c r="BK3" s="5" t="s">
        <v>98</v>
      </c>
      <c r="BL3" s="5" t="s">
        <v>99</v>
      </c>
      <c r="BM3" s="5" t="s">
        <v>100</v>
      </c>
      <c r="BN3" s="5" t="s">
        <v>101</v>
      </c>
      <c r="BO3" s="5" t="s">
        <v>102</v>
      </c>
      <c r="BP3" s="5" t="s">
        <v>103</v>
      </c>
      <c r="BQ3" s="5" t="s">
        <v>104</v>
      </c>
      <c r="BR3" s="5" t="s">
        <v>105</v>
      </c>
      <c r="BS3" s="5" t="s">
        <v>106</v>
      </c>
      <c r="BT3" s="5" t="s">
        <v>107</v>
      </c>
      <c r="BU3" s="5" t="s">
        <v>108</v>
      </c>
      <c r="BV3" s="5" t="s">
        <v>109</v>
      </c>
      <c r="BW3" s="5" t="s">
        <v>110</v>
      </c>
      <c r="BX3" s="5" t="s">
        <v>111</v>
      </c>
      <c r="BY3" s="5" t="s">
        <v>112</v>
      </c>
      <c r="BZ3" s="5" t="s">
        <v>113</v>
      </c>
      <c r="CA3" s="5" t="s">
        <v>114</v>
      </c>
      <c r="CB3" s="5" t="s">
        <v>115</v>
      </c>
      <c r="CC3" s="5" t="s">
        <v>116</v>
      </c>
      <c r="CD3" s="5" t="s">
        <v>117</v>
      </c>
      <c r="CE3" s="5" t="s">
        <v>19</v>
      </c>
      <c r="CF3" s="5" t="s">
        <v>21</v>
      </c>
      <c r="CG3" s="5" t="s">
        <v>25</v>
      </c>
      <c r="CH3" s="5" t="s">
        <v>14</v>
      </c>
    </row>
    <row r="4" ht="15.75" customHeight="1">
      <c r="A4" s="38"/>
      <c r="B4" s="38"/>
      <c r="C4" s="38"/>
      <c r="D4" s="38"/>
      <c r="E4" s="38"/>
      <c r="F4" s="38"/>
      <c r="G4" s="38"/>
      <c r="H4" s="38"/>
      <c r="I4" s="39" t="s">
        <v>118</v>
      </c>
      <c r="J4" s="39" t="s">
        <v>119</v>
      </c>
      <c r="K4" s="39" t="s">
        <v>120</v>
      </c>
      <c r="L4" s="39" t="s">
        <v>121</v>
      </c>
      <c r="M4" s="39" t="s">
        <v>122</v>
      </c>
      <c r="N4" s="39" t="s">
        <v>123</v>
      </c>
      <c r="O4" s="39" t="s">
        <v>124</v>
      </c>
      <c r="P4" s="39" t="s">
        <v>125</v>
      </c>
      <c r="Q4" s="39" t="s">
        <v>126</v>
      </c>
      <c r="R4" s="39" t="s">
        <v>127</v>
      </c>
      <c r="S4" s="39" t="s">
        <v>128</v>
      </c>
      <c r="T4" s="39" t="s">
        <v>129</v>
      </c>
      <c r="U4" s="39" t="s">
        <v>130</v>
      </c>
      <c r="V4" s="39" t="s">
        <v>131</v>
      </c>
      <c r="W4" s="39" t="s">
        <v>132</v>
      </c>
      <c r="X4" s="39" t="s">
        <v>133</v>
      </c>
      <c r="Y4" s="39" t="s">
        <v>134</v>
      </c>
      <c r="Z4" s="39" t="s">
        <v>135</v>
      </c>
      <c r="AA4" s="39" t="s">
        <v>136</v>
      </c>
      <c r="AB4" s="39" t="s">
        <v>137</v>
      </c>
      <c r="AC4" s="39" t="s">
        <v>138</v>
      </c>
      <c r="AD4" s="39" t="s">
        <v>139</v>
      </c>
      <c r="AE4" s="39" t="s">
        <v>140</v>
      </c>
      <c r="AF4" s="39" t="s">
        <v>141</v>
      </c>
      <c r="AG4" s="39" t="s">
        <v>142</v>
      </c>
      <c r="AH4" s="39" t="s">
        <v>143</v>
      </c>
      <c r="AI4" s="39" t="s">
        <v>144</v>
      </c>
      <c r="AJ4" s="39" t="s">
        <v>145</v>
      </c>
      <c r="AK4" s="39" t="s">
        <v>146</v>
      </c>
      <c r="AL4" s="39" t="s">
        <v>147</v>
      </c>
      <c r="AM4" s="39" t="s">
        <v>148</v>
      </c>
      <c r="AN4" s="39" t="s">
        <v>149</v>
      </c>
      <c r="AO4" s="39" t="s">
        <v>150</v>
      </c>
      <c r="AP4" s="39" t="s">
        <v>151</v>
      </c>
      <c r="AQ4" s="39" t="s">
        <v>152</v>
      </c>
      <c r="AR4" s="39" t="s">
        <v>153</v>
      </c>
      <c r="AS4" s="39" t="s">
        <v>154</v>
      </c>
      <c r="AT4" s="39" t="s">
        <v>155</v>
      </c>
      <c r="AU4" s="39" t="s">
        <v>156</v>
      </c>
      <c r="AV4" s="39" t="s">
        <v>157</v>
      </c>
      <c r="AW4" s="39" t="s">
        <v>158</v>
      </c>
      <c r="AX4" s="39" t="s">
        <v>159</v>
      </c>
      <c r="AY4" s="39" t="s">
        <v>160</v>
      </c>
      <c r="AZ4" s="39" t="s">
        <v>161</v>
      </c>
      <c r="BA4" s="39" t="s">
        <v>162</v>
      </c>
      <c r="BB4" s="39" t="s">
        <v>163</v>
      </c>
      <c r="BC4" s="39" t="s">
        <v>164</v>
      </c>
      <c r="BD4" s="39" t="s">
        <v>165</v>
      </c>
      <c r="BE4" s="39" t="s">
        <v>166</v>
      </c>
      <c r="BF4" s="39" t="s">
        <v>167</v>
      </c>
      <c r="BG4" s="39" t="s">
        <v>168</v>
      </c>
      <c r="BH4" s="39" t="s">
        <v>169</v>
      </c>
      <c r="BI4" s="39" t="s">
        <v>170</v>
      </c>
      <c r="BJ4" s="39" t="s">
        <v>171</v>
      </c>
      <c r="BK4" s="39" t="s">
        <v>172</v>
      </c>
      <c r="BL4" s="39" t="s">
        <v>173</v>
      </c>
      <c r="BM4" s="39" t="s">
        <v>174</v>
      </c>
      <c r="BN4" s="39" t="s">
        <v>175</v>
      </c>
      <c r="BO4" s="39" t="s">
        <v>176</v>
      </c>
      <c r="BP4" s="39" t="s">
        <v>177</v>
      </c>
      <c r="BQ4" s="39" t="s">
        <v>178</v>
      </c>
      <c r="BR4" s="39" t="s">
        <v>179</v>
      </c>
      <c r="BS4" s="39" t="s">
        <v>180</v>
      </c>
      <c r="BT4" s="39" t="s">
        <v>181</v>
      </c>
      <c r="BU4" s="39" t="s">
        <v>182</v>
      </c>
      <c r="BV4" s="39" t="s">
        <v>183</v>
      </c>
      <c r="BW4" s="39" t="s">
        <v>184</v>
      </c>
      <c r="BX4" s="39" t="s">
        <v>185</v>
      </c>
      <c r="BY4" s="39" t="s">
        <v>186</v>
      </c>
      <c r="BZ4" s="39" t="s">
        <v>187</v>
      </c>
      <c r="CA4" s="39" t="s">
        <v>188</v>
      </c>
      <c r="CB4" s="39" t="s">
        <v>189</v>
      </c>
      <c r="CC4" s="39" t="s">
        <v>190</v>
      </c>
      <c r="CD4" s="39" t="s">
        <v>191</v>
      </c>
      <c r="CE4" s="38"/>
      <c r="CF4" s="38"/>
      <c r="CG4" s="38"/>
      <c r="CH4" s="38"/>
    </row>
    <row r="5" ht="18.0" customHeight="1">
      <c r="A5" s="11" t="s">
        <v>192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3"/>
    </row>
    <row r="6" ht="18.0" customHeight="1">
      <c r="A6" s="42">
        <v>1.0</v>
      </c>
      <c r="B6" s="43" t="s">
        <v>383</v>
      </c>
      <c r="C6" s="97"/>
      <c r="D6" s="45" t="str">
        <f>IF(C6&lt;&gt;"",HYPERLINK("tel:"&amp;SUBSTITUTE(SUBSTITUTE(C6," ",""),"+","+"),"📞 Call"),"")</f>
        <v/>
      </c>
      <c r="E6" s="115" t="str">
        <f>IF(C6&lt;&gt;"",HYPERLINK("https://wa.me/"&amp;SUBSTITUTE(SUBSTITUTE(C6,"+","")," ",""),"💬 WhatsApp"),"")</f>
        <v/>
      </c>
      <c r="F6" s="47"/>
      <c r="G6" s="47"/>
      <c r="H6" s="47" t="s">
        <v>195</v>
      </c>
      <c r="I6" s="48" t="s">
        <v>196</v>
      </c>
      <c r="J6" s="50" t="s">
        <v>37</v>
      </c>
      <c r="K6" s="49" t="s">
        <v>197</v>
      </c>
      <c r="L6" s="48" t="s">
        <v>196</v>
      </c>
      <c r="M6" s="50" t="s">
        <v>37</v>
      </c>
      <c r="N6" s="48" t="s">
        <v>196</v>
      </c>
      <c r="O6" s="48" t="s">
        <v>196</v>
      </c>
      <c r="P6" s="48" t="s">
        <v>196</v>
      </c>
      <c r="Q6" s="48" t="s">
        <v>196</v>
      </c>
      <c r="R6" s="48" t="s">
        <v>196</v>
      </c>
      <c r="S6" s="52" t="s">
        <v>196</v>
      </c>
      <c r="T6" s="98" t="s">
        <v>196</v>
      </c>
      <c r="U6" s="52" t="s">
        <v>196</v>
      </c>
      <c r="V6" s="53" t="s">
        <v>196</v>
      </c>
      <c r="W6" s="54" t="str">
        <f>IF('⚙ OFF Weekends'!$D$18="OFF","OFF","")</f>
        <v>OFF</v>
      </c>
      <c r="X6" s="98" t="s">
        <v>196</v>
      </c>
      <c r="Y6" s="52" t="s">
        <v>196</v>
      </c>
      <c r="Z6" s="53" t="s">
        <v>37</v>
      </c>
      <c r="AA6" s="105" t="s">
        <v>37</v>
      </c>
      <c r="AB6" s="53" t="s">
        <v>37</v>
      </c>
      <c r="AC6" s="54" t="str">
        <f>IF('⚙ OFF Weekends'!$D$24="OFF","OFF","")</f>
        <v/>
      </c>
      <c r="AD6" s="56" t="str">
        <f>IF('⚙ OFF Weekends'!$D$25="OFF","OFF","")</f>
        <v/>
      </c>
      <c r="AE6" s="54" t="str">
        <f>IF('⚙ OFF Weekends'!$D$26="OFF","OFF","")</f>
        <v/>
      </c>
      <c r="AF6" s="56" t="str">
        <f>IF('⚙ OFF Weekends'!$D$27="OFF","OFF","")</f>
        <v/>
      </c>
      <c r="AG6" s="54" t="str">
        <f>IF('⚙ OFF Weekends'!$D$28="OFF","OFF","")</f>
        <v/>
      </c>
      <c r="AH6" s="56" t="str">
        <f>IF('⚙ OFF Weekends'!$D$29="OFF","OFF","")</f>
        <v/>
      </c>
      <c r="AI6" s="54" t="str">
        <f>IF('⚙ OFF Weekends'!$D$30="OFF","OFF","")</f>
        <v/>
      </c>
      <c r="AJ6" s="56" t="str">
        <f>IF('⚙ OFF Weekends'!$D$31="OFF","OFF","")</f>
        <v/>
      </c>
      <c r="AK6" s="54" t="str">
        <f>IF('⚙ OFF Weekends'!$D$32="OFF","OFF","")</f>
        <v/>
      </c>
      <c r="AL6" s="56" t="str">
        <f>IF('⚙ OFF Weekends'!$D$33="OFF","OFF","")</f>
        <v/>
      </c>
      <c r="AM6" s="54" t="str">
        <f>IF('⚙ OFF Weekends'!$D$34="OFF","OFF","")</f>
        <v/>
      </c>
      <c r="AN6" s="56" t="str">
        <f>IF('⚙ OFF Weekends'!$D$35="OFF","OFF","")</f>
        <v/>
      </c>
      <c r="AO6" s="54" t="str">
        <f>IF('⚙ OFF Weekends'!$D$36="OFF","OFF","")</f>
        <v/>
      </c>
      <c r="AP6" s="56" t="str">
        <f>IF('⚙ OFF Weekends'!$D$37="OFF","OFF","")</f>
        <v/>
      </c>
      <c r="AQ6" s="54" t="str">
        <f>IF('⚙ OFF Weekends'!$D$38="OFF","OFF","")</f>
        <v/>
      </c>
      <c r="AR6" s="56" t="str">
        <f>IF('⚙ OFF Weekends'!$D$39="OFF","OFF","")</f>
        <v/>
      </c>
      <c r="AS6" s="54" t="str">
        <f>IF('⚙ OFF Weekends'!$D$40="OFF","OFF","")</f>
        <v/>
      </c>
      <c r="AT6" s="56" t="str">
        <f>IF('⚙ OFF Weekends'!$D$41="OFF","OFF","")</f>
        <v/>
      </c>
      <c r="AU6" s="54" t="str">
        <f>IF('⚙ OFF Weekends'!$D$42="OFF","OFF","")</f>
        <v/>
      </c>
      <c r="AV6" s="56" t="str">
        <f>IF('⚙ OFF Weekends'!$D$43="OFF","OFF","")</f>
        <v/>
      </c>
      <c r="AW6" s="54" t="str">
        <f>IF('⚙ OFF Weekends'!$D$44="OFF","OFF","")</f>
        <v/>
      </c>
      <c r="AX6" s="56" t="str">
        <f>IF('⚙ OFF Weekends'!$D$45="OFF","OFF","")</f>
        <v/>
      </c>
      <c r="AY6" s="54" t="str">
        <f>IF('⚙ OFF Weekends'!$D$46="OFF","OFF","")</f>
        <v/>
      </c>
      <c r="AZ6" s="56" t="str">
        <f>IF('⚙ OFF Weekends'!$D$47="OFF","OFF","")</f>
        <v/>
      </c>
      <c r="BA6" s="54" t="str">
        <f>IF('⚙ OFF Weekends'!$D$48="OFF","OFF","")</f>
        <v/>
      </c>
      <c r="BB6" s="56" t="str">
        <f>IF('⚙ OFF Weekends'!$D$49="OFF","OFF","")</f>
        <v/>
      </c>
      <c r="BC6" s="54" t="str">
        <f>IF('⚙ OFF Weekends'!$D$50="OFF","OFF","")</f>
        <v/>
      </c>
      <c r="BD6" s="56" t="str">
        <f>IF('⚙ OFF Weekends'!$D$51="OFF","OFF","")</f>
        <v/>
      </c>
      <c r="BE6" s="54" t="str">
        <f>IF('⚙ OFF Weekends'!$D$52="OFF","OFF","")</f>
        <v/>
      </c>
      <c r="BF6" s="56" t="str">
        <f>IF('⚙ OFF Weekends'!$D$53="OFF","OFF","")</f>
        <v/>
      </c>
      <c r="BG6" s="54" t="str">
        <f>IF('⚙ OFF Weekends'!$D$54="OFF","OFF","")</f>
        <v/>
      </c>
      <c r="BH6" s="56" t="str">
        <f>IF('⚙ OFF Weekends'!$D$55="OFF","OFF","")</f>
        <v/>
      </c>
      <c r="BI6" s="54" t="str">
        <f>IF('⚙ OFF Weekends'!$D$56="OFF","OFF","")</f>
        <v/>
      </c>
      <c r="BJ6" s="56" t="str">
        <f>IF('⚙ OFF Weekends'!$D$57="OFF","OFF","")</f>
        <v/>
      </c>
      <c r="BK6" s="54" t="str">
        <f>IF('⚙ OFF Weekends'!$D$58="OFF","OFF","")</f>
        <v/>
      </c>
      <c r="BL6" s="56" t="str">
        <f>IF('⚙ OFF Weekends'!$D$59="OFF","OFF","")</f>
        <v/>
      </c>
      <c r="BM6" s="54" t="str">
        <f>IF('⚙ OFF Weekends'!$D$60="OFF","OFF","")</f>
        <v/>
      </c>
      <c r="BN6" s="56" t="str">
        <f>IF('⚙ OFF Weekends'!$D$61="OFF","OFF","")</f>
        <v/>
      </c>
      <c r="BO6" s="54" t="str">
        <f>IF('⚙ OFF Weekends'!$D$62="OFF","OFF","")</f>
        <v/>
      </c>
      <c r="BP6" s="56" t="str">
        <f>IF('⚙ OFF Weekends'!$D$63="OFF","OFF","")</f>
        <v/>
      </c>
      <c r="BQ6" s="54" t="str">
        <f>IF('⚙ OFF Weekends'!$D$64="OFF","OFF","")</f>
        <v/>
      </c>
      <c r="BR6" s="56" t="str">
        <f>IF('⚙ OFF Weekends'!$D$65="OFF","OFF","")</f>
        <v/>
      </c>
      <c r="BS6" s="54" t="str">
        <f>IF('⚙ OFF Weekends'!$D$66="OFF","OFF","")</f>
        <v/>
      </c>
      <c r="BT6" s="56" t="str">
        <f>IF('⚙ OFF Weekends'!$D$67="OFF","OFF","")</f>
        <v/>
      </c>
      <c r="BU6" s="54" t="str">
        <f>IF('⚙ OFF Weekends'!$D$68="OFF","OFF","")</f>
        <v/>
      </c>
      <c r="BV6" s="56" t="str">
        <f>IF('⚙ OFF Weekends'!$D$69="OFF","OFF","")</f>
        <v/>
      </c>
      <c r="BW6" s="54" t="str">
        <f>IF('⚙ OFF Weekends'!$D$70="OFF","OFF","")</f>
        <v/>
      </c>
      <c r="BX6" s="56" t="str">
        <f>IF('⚙ OFF Weekends'!$D$71="OFF","OFF","")</f>
        <v/>
      </c>
      <c r="BY6" s="54" t="str">
        <f>IF('⚙ OFF Weekends'!$D$72="OFF","OFF","")</f>
        <v/>
      </c>
      <c r="BZ6" s="56" t="str">
        <f>IF('⚙ OFF Weekends'!$D$73="OFF","OFF","")</f>
        <v/>
      </c>
      <c r="CA6" s="54" t="str">
        <f>IF('⚙ OFF Weekends'!$D$74="OFF","OFF","")</f>
        <v/>
      </c>
      <c r="CB6" s="56" t="str">
        <f>IF('⚙ OFF Weekends'!$D$75="OFF","OFF","")</f>
        <v/>
      </c>
      <c r="CC6" s="54" t="str">
        <f>IF('⚙ OFF Weekends'!$D$76="OFF","OFF","")</f>
        <v/>
      </c>
      <c r="CD6" s="56" t="str">
        <f>IF('⚙ OFF Weekends'!$D$77="OFF","OFF","")</f>
        <v/>
      </c>
      <c r="CE6" s="42">
        <f>COUNTIF(I6:CD6,"Present")+COUNTIF(I6:CD6,"Late")</f>
        <v>18</v>
      </c>
      <c r="CF6" s="42">
        <f>COUNTIF(I6:CD6,"Absent")</f>
        <v>0</v>
      </c>
      <c r="CG6" s="42">
        <f>COUNTIF(I6:CD6,"Leave")</f>
        <v>0</v>
      </c>
      <c r="CH6" s="42" t="str">
        <f>IF(CE6+CF6=0,"0%",TEXT(CE6/(CE6+CF6),"0%"))</f>
        <v>100%</v>
      </c>
    </row>
    <row r="7" ht="6.0" customHeight="1">
      <c r="A7" s="67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3"/>
    </row>
    <row r="8" ht="18.0" customHeight="1">
      <c r="A8" s="9" t="s">
        <v>204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3"/>
    </row>
    <row r="9" ht="18.0" customHeight="1">
      <c r="A9" s="68">
        <v>1.0</v>
      </c>
      <c r="B9" s="25" t="s">
        <v>390</v>
      </c>
      <c r="C9" s="69"/>
      <c r="D9" s="70" t="str">
        <f t="shared" ref="D9:D13" si="1">IF(C9&lt;&gt;"",HYPERLINK("tel:"&amp;SUBSTITUTE(SUBSTITUTE(C9," ",""),"+","+"),"📞 Call"),"")</f>
        <v/>
      </c>
      <c r="E9" s="99" t="str">
        <f t="shared" ref="E9:E13" si="2">IF(C9&lt;&gt;"",HYPERLINK("https://wa.me/"&amp;SUBSTITUTE(SUBSTITUTE(C9,"+","")," ",""),"💬 WhatsApp"),"")</f>
        <v/>
      </c>
      <c r="F9" s="21"/>
      <c r="G9" s="21"/>
      <c r="H9" s="21" t="s">
        <v>268</v>
      </c>
      <c r="I9" s="48" t="s">
        <v>196</v>
      </c>
      <c r="J9" s="48" t="s">
        <v>196</v>
      </c>
      <c r="K9" s="49" t="s">
        <v>197</v>
      </c>
      <c r="L9" s="48" t="s">
        <v>196</v>
      </c>
      <c r="M9" s="48" t="s">
        <v>196</v>
      </c>
      <c r="N9" s="48" t="s">
        <v>196</v>
      </c>
      <c r="O9" s="48" t="s">
        <v>196</v>
      </c>
      <c r="P9" s="48" t="s">
        <v>196</v>
      </c>
      <c r="Q9" s="48" t="s">
        <v>196</v>
      </c>
      <c r="R9" s="48" t="s">
        <v>196</v>
      </c>
      <c r="S9" s="52" t="s">
        <v>196</v>
      </c>
      <c r="T9" s="98" t="s">
        <v>196</v>
      </c>
      <c r="U9" s="52" t="s">
        <v>196</v>
      </c>
      <c r="V9" s="53" t="s">
        <v>196</v>
      </c>
      <c r="W9" s="54" t="str">
        <f>IF('⚙ OFF Weekends'!$D$18="OFF","OFF","")</f>
        <v>OFF</v>
      </c>
      <c r="X9" s="98" t="s">
        <v>196</v>
      </c>
      <c r="Y9" s="52" t="s">
        <v>196</v>
      </c>
      <c r="Z9" s="53" t="s">
        <v>196</v>
      </c>
      <c r="AA9" s="105" t="s">
        <v>196</v>
      </c>
      <c r="AB9" s="53" t="s">
        <v>196</v>
      </c>
      <c r="AC9" s="54" t="str">
        <f>IF('⚙ OFF Weekends'!$D$24="OFF","OFF","")</f>
        <v/>
      </c>
      <c r="AD9" s="56" t="str">
        <f>IF('⚙ OFF Weekends'!$D$25="OFF","OFF","")</f>
        <v/>
      </c>
      <c r="AE9" s="54" t="str">
        <f>IF('⚙ OFF Weekends'!$D$26="OFF","OFF","")</f>
        <v/>
      </c>
      <c r="AF9" s="56" t="str">
        <f>IF('⚙ OFF Weekends'!$D$27="OFF","OFF","")</f>
        <v/>
      </c>
      <c r="AG9" s="54" t="str">
        <f>IF('⚙ OFF Weekends'!$D$28="OFF","OFF","")</f>
        <v/>
      </c>
      <c r="AH9" s="56" t="str">
        <f>IF('⚙ OFF Weekends'!$D$29="OFF","OFF","")</f>
        <v/>
      </c>
      <c r="AI9" s="54" t="str">
        <f>IF('⚙ OFF Weekends'!$D$30="OFF","OFF","")</f>
        <v/>
      </c>
      <c r="AJ9" s="56" t="str">
        <f>IF('⚙ OFF Weekends'!$D$31="OFF","OFF","")</f>
        <v/>
      </c>
      <c r="AK9" s="54" t="str">
        <f>IF('⚙ OFF Weekends'!$D$32="OFF","OFF","")</f>
        <v/>
      </c>
      <c r="AL9" s="56" t="str">
        <f>IF('⚙ OFF Weekends'!$D$33="OFF","OFF","")</f>
        <v/>
      </c>
      <c r="AM9" s="54" t="str">
        <f>IF('⚙ OFF Weekends'!$D$34="OFF","OFF","")</f>
        <v/>
      </c>
      <c r="AN9" s="56" t="str">
        <f>IF('⚙ OFF Weekends'!$D$35="OFF","OFF","")</f>
        <v/>
      </c>
      <c r="AO9" s="54" t="str">
        <f>IF('⚙ OFF Weekends'!$D$36="OFF","OFF","")</f>
        <v/>
      </c>
      <c r="AP9" s="56" t="str">
        <f>IF('⚙ OFF Weekends'!$D$37="OFF","OFF","")</f>
        <v/>
      </c>
      <c r="AQ9" s="54" t="str">
        <f>IF('⚙ OFF Weekends'!$D$38="OFF","OFF","")</f>
        <v/>
      </c>
      <c r="AR9" s="56" t="str">
        <f>IF('⚙ OFF Weekends'!$D$39="OFF","OFF","")</f>
        <v/>
      </c>
      <c r="AS9" s="54" t="str">
        <f>IF('⚙ OFF Weekends'!$D$40="OFF","OFF","")</f>
        <v/>
      </c>
      <c r="AT9" s="56" t="str">
        <f>IF('⚙ OFF Weekends'!$D$41="OFF","OFF","")</f>
        <v/>
      </c>
      <c r="AU9" s="54" t="str">
        <f>IF('⚙ OFF Weekends'!$D$42="OFF","OFF","")</f>
        <v/>
      </c>
      <c r="AV9" s="56" t="str">
        <f>IF('⚙ OFF Weekends'!$D$43="OFF","OFF","")</f>
        <v/>
      </c>
      <c r="AW9" s="54" t="str">
        <f>IF('⚙ OFF Weekends'!$D$44="OFF","OFF","")</f>
        <v/>
      </c>
      <c r="AX9" s="56" t="str">
        <f>IF('⚙ OFF Weekends'!$D$45="OFF","OFF","")</f>
        <v/>
      </c>
      <c r="AY9" s="54" t="str">
        <f>IF('⚙ OFF Weekends'!$D$46="OFF","OFF","")</f>
        <v/>
      </c>
      <c r="AZ9" s="56" t="str">
        <f>IF('⚙ OFF Weekends'!$D$47="OFF","OFF","")</f>
        <v/>
      </c>
      <c r="BA9" s="54" t="str">
        <f>IF('⚙ OFF Weekends'!$D$48="OFF","OFF","")</f>
        <v/>
      </c>
      <c r="BB9" s="56" t="str">
        <f>IF('⚙ OFF Weekends'!$D$49="OFF","OFF","")</f>
        <v/>
      </c>
      <c r="BC9" s="54" t="str">
        <f>IF('⚙ OFF Weekends'!$D$50="OFF","OFF","")</f>
        <v/>
      </c>
      <c r="BD9" s="56" t="str">
        <f>IF('⚙ OFF Weekends'!$D$51="OFF","OFF","")</f>
        <v/>
      </c>
      <c r="BE9" s="54" t="str">
        <f>IF('⚙ OFF Weekends'!$D$52="OFF","OFF","")</f>
        <v/>
      </c>
      <c r="BF9" s="56" t="str">
        <f>IF('⚙ OFF Weekends'!$D$53="OFF","OFF","")</f>
        <v/>
      </c>
      <c r="BG9" s="54" t="str">
        <f>IF('⚙ OFF Weekends'!$D$54="OFF","OFF","")</f>
        <v/>
      </c>
      <c r="BH9" s="56" t="str">
        <f>IF('⚙ OFF Weekends'!$D$55="OFF","OFF","")</f>
        <v/>
      </c>
      <c r="BI9" s="54" t="str">
        <f>IF('⚙ OFF Weekends'!$D$56="OFF","OFF","")</f>
        <v/>
      </c>
      <c r="BJ9" s="56" t="str">
        <f>IF('⚙ OFF Weekends'!$D$57="OFF","OFF","")</f>
        <v/>
      </c>
      <c r="BK9" s="54" t="str">
        <f>IF('⚙ OFF Weekends'!$D$58="OFF","OFF","")</f>
        <v/>
      </c>
      <c r="BL9" s="56" t="str">
        <f>IF('⚙ OFF Weekends'!$D$59="OFF","OFF","")</f>
        <v/>
      </c>
      <c r="BM9" s="54" t="str">
        <f>IF('⚙ OFF Weekends'!$D$60="OFF","OFF","")</f>
        <v/>
      </c>
      <c r="BN9" s="56" t="str">
        <f>IF('⚙ OFF Weekends'!$D$61="OFF","OFF","")</f>
        <v/>
      </c>
      <c r="BO9" s="54" t="str">
        <f>IF('⚙ OFF Weekends'!$D$62="OFF","OFF","")</f>
        <v/>
      </c>
      <c r="BP9" s="56" t="str">
        <f>IF('⚙ OFF Weekends'!$D$63="OFF","OFF","")</f>
        <v/>
      </c>
      <c r="BQ9" s="54" t="str">
        <f>IF('⚙ OFF Weekends'!$D$64="OFF","OFF","")</f>
        <v/>
      </c>
      <c r="BR9" s="56" t="str">
        <f>IF('⚙ OFF Weekends'!$D$65="OFF","OFF","")</f>
        <v/>
      </c>
      <c r="BS9" s="54" t="str">
        <f>IF('⚙ OFF Weekends'!$D$66="OFF","OFF","")</f>
        <v/>
      </c>
      <c r="BT9" s="56" t="str">
        <f>IF('⚙ OFF Weekends'!$D$67="OFF","OFF","")</f>
        <v/>
      </c>
      <c r="BU9" s="54" t="str">
        <f>IF('⚙ OFF Weekends'!$D$68="OFF","OFF","")</f>
        <v/>
      </c>
      <c r="BV9" s="56" t="str">
        <f>IF('⚙ OFF Weekends'!$D$69="OFF","OFF","")</f>
        <v/>
      </c>
      <c r="BW9" s="54" t="str">
        <f>IF('⚙ OFF Weekends'!$D$70="OFF","OFF","")</f>
        <v/>
      </c>
      <c r="BX9" s="56" t="str">
        <f>IF('⚙ OFF Weekends'!$D$71="OFF","OFF","")</f>
        <v/>
      </c>
      <c r="BY9" s="54" t="str">
        <f>IF('⚙ OFF Weekends'!$D$72="OFF","OFF","")</f>
        <v/>
      </c>
      <c r="BZ9" s="56" t="str">
        <f>IF('⚙ OFF Weekends'!$D$73="OFF","OFF","")</f>
        <v/>
      </c>
      <c r="CA9" s="54" t="str">
        <f>IF('⚙ OFF Weekends'!$D$74="OFF","OFF","")</f>
        <v/>
      </c>
      <c r="CB9" s="56" t="str">
        <f>IF('⚙ OFF Weekends'!$D$75="OFF","OFF","")</f>
        <v/>
      </c>
      <c r="CC9" s="54" t="str">
        <f>IF('⚙ OFF Weekends'!$D$76="OFF","OFF","")</f>
        <v/>
      </c>
      <c r="CD9" s="56" t="str">
        <f>IF('⚙ OFF Weekends'!$D$77="OFF","OFF","")</f>
        <v/>
      </c>
      <c r="CE9" s="68">
        <f t="shared" ref="CE9:CE13" si="3">COUNTIF(I9:CD9,"Present")+COUNTIF(I9:CD9,"Late")</f>
        <v>18</v>
      </c>
      <c r="CF9" s="68">
        <f t="shared" ref="CF9:CF13" si="4">COUNTIF(I9:CD9,"Absent")</f>
        <v>0</v>
      </c>
      <c r="CG9" s="68">
        <f t="shared" ref="CG9:CG13" si="5">COUNTIF(I9:CD9,"Leave")</f>
        <v>0</v>
      </c>
      <c r="CH9" s="68" t="str">
        <f t="shared" ref="CH9:CH13" si="6">IF(CE9+CF9=0,"0%",TEXT(CE9/(CE9+CF9),"0%"))</f>
        <v>100%</v>
      </c>
    </row>
    <row r="10" ht="18.0" customHeight="1">
      <c r="A10" s="73">
        <v>2.0</v>
      </c>
      <c r="B10" s="35" t="s">
        <v>399</v>
      </c>
      <c r="C10" s="74"/>
      <c r="D10" s="75" t="str">
        <f t="shared" si="1"/>
        <v/>
      </c>
      <c r="E10" s="80" t="str">
        <f t="shared" si="2"/>
        <v/>
      </c>
      <c r="F10" s="34"/>
      <c r="G10" s="34"/>
      <c r="H10" s="34" t="s">
        <v>268</v>
      </c>
      <c r="I10" s="48" t="s">
        <v>196</v>
      </c>
      <c r="J10" s="48" t="s">
        <v>196</v>
      </c>
      <c r="K10" s="49" t="s">
        <v>197</v>
      </c>
      <c r="L10" s="48" t="s">
        <v>196</v>
      </c>
      <c r="M10" s="77" t="s">
        <v>198</v>
      </c>
      <c r="N10" s="77" t="s">
        <v>198</v>
      </c>
      <c r="O10" s="77" t="s">
        <v>198</v>
      </c>
      <c r="P10" s="48" t="s">
        <v>196</v>
      </c>
      <c r="Q10" s="77" t="s">
        <v>198</v>
      </c>
      <c r="R10" s="48" t="s">
        <v>196</v>
      </c>
      <c r="S10" s="52" t="s">
        <v>196</v>
      </c>
      <c r="T10" s="98" t="s">
        <v>196</v>
      </c>
      <c r="U10" s="52" t="s">
        <v>196</v>
      </c>
      <c r="V10" s="53" t="s">
        <v>196</v>
      </c>
      <c r="W10" s="54" t="str">
        <f>IF('⚙ OFF Weekends'!$D$18="OFF","OFF","")</f>
        <v>OFF</v>
      </c>
      <c r="X10" s="98" t="s">
        <v>196</v>
      </c>
      <c r="Y10" s="52" t="s">
        <v>196</v>
      </c>
      <c r="Z10" s="53" t="s">
        <v>37</v>
      </c>
      <c r="AA10" s="105" t="s">
        <v>37</v>
      </c>
      <c r="AB10" s="53" t="s">
        <v>37</v>
      </c>
      <c r="AC10" s="54" t="str">
        <f>IF('⚙ OFF Weekends'!$D$24="OFF","OFF","")</f>
        <v/>
      </c>
      <c r="AD10" s="56" t="str">
        <f>IF('⚙ OFF Weekends'!$D$25="OFF","OFF","")</f>
        <v/>
      </c>
      <c r="AE10" s="54" t="str">
        <f>IF('⚙ OFF Weekends'!$D$26="OFF","OFF","")</f>
        <v/>
      </c>
      <c r="AF10" s="56" t="str">
        <f>IF('⚙ OFF Weekends'!$D$27="OFF","OFF","")</f>
        <v/>
      </c>
      <c r="AG10" s="54" t="str">
        <f>IF('⚙ OFF Weekends'!$D$28="OFF","OFF","")</f>
        <v/>
      </c>
      <c r="AH10" s="56" t="str">
        <f>IF('⚙ OFF Weekends'!$D$29="OFF","OFF","")</f>
        <v/>
      </c>
      <c r="AI10" s="54" t="str">
        <f>IF('⚙ OFF Weekends'!$D$30="OFF","OFF","")</f>
        <v/>
      </c>
      <c r="AJ10" s="56" t="str">
        <f>IF('⚙ OFF Weekends'!$D$31="OFF","OFF","")</f>
        <v/>
      </c>
      <c r="AK10" s="54" t="str">
        <f>IF('⚙ OFF Weekends'!$D$32="OFF","OFF","")</f>
        <v/>
      </c>
      <c r="AL10" s="56" t="str">
        <f>IF('⚙ OFF Weekends'!$D$33="OFF","OFF","")</f>
        <v/>
      </c>
      <c r="AM10" s="54" t="str">
        <f>IF('⚙ OFF Weekends'!$D$34="OFF","OFF","")</f>
        <v/>
      </c>
      <c r="AN10" s="56" t="str">
        <f>IF('⚙ OFF Weekends'!$D$35="OFF","OFF","")</f>
        <v/>
      </c>
      <c r="AO10" s="54" t="str">
        <f>IF('⚙ OFF Weekends'!$D$36="OFF","OFF","")</f>
        <v/>
      </c>
      <c r="AP10" s="56" t="str">
        <f>IF('⚙ OFF Weekends'!$D$37="OFF","OFF","")</f>
        <v/>
      </c>
      <c r="AQ10" s="54" t="str">
        <f>IF('⚙ OFF Weekends'!$D$38="OFF","OFF","")</f>
        <v/>
      </c>
      <c r="AR10" s="56" t="str">
        <f>IF('⚙ OFF Weekends'!$D$39="OFF","OFF","")</f>
        <v/>
      </c>
      <c r="AS10" s="54" t="str">
        <f>IF('⚙ OFF Weekends'!$D$40="OFF","OFF","")</f>
        <v/>
      </c>
      <c r="AT10" s="56" t="str">
        <f>IF('⚙ OFF Weekends'!$D$41="OFF","OFF","")</f>
        <v/>
      </c>
      <c r="AU10" s="54" t="str">
        <f>IF('⚙ OFF Weekends'!$D$42="OFF","OFF","")</f>
        <v/>
      </c>
      <c r="AV10" s="56" t="str">
        <f>IF('⚙ OFF Weekends'!$D$43="OFF","OFF","")</f>
        <v/>
      </c>
      <c r="AW10" s="54" t="str">
        <f>IF('⚙ OFF Weekends'!$D$44="OFF","OFF","")</f>
        <v/>
      </c>
      <c r="AX10" s="56" t="str">
        <f>IF('⚙ OFF Weekends'!$D$45="OFF","OFF","")</f>
        <v/>
      </c>
      <c r="AY10" s="54" t="str">
        <f>IF('⚙ OFF Weekends'!$D$46="OFF","OFF","")</f>
        <v/>
      </c>
      <c r="AZ10" s="56" t="str">
        <f>IF('⚙ OFF Weekends'!$D$47="OFF","OFF","")</f>
        <v/>
      </c>
      <c r="BA10" s="54" t="str">
        <f>IF('⚙ OFF Weekends'!$D$48="OFF","OFF","")</f>
        <v/>
      </c>
      <c r="BB10" s="56" t="str">
        <f>IF('⚙ OFF Weekends'!$D$49="OFF","OFF","")</f>
        <v/>
      </c>
      <c r="BC10" s="54" t="str">
        <f>IF('⚙ OFF Weekends'!$D$50="OFF","OFF","")</f>
        <v/>
      </c>
      <c r="BD10" s="56" t="str">
        <f>IF('⚙ OFF Weekends'!$D$51="OFF","OFF","")</f>
        <v/>
      </c>
      <c r="BE10" s="54" t="str">
        <f>IF('⚙ OFF Weekends'!$D$52="OFF","OFF","")</f>
        <v/>
      </c>
      <c r="BF10" s="56" t="str">
        <f>IF('⚙ OFF Weekends'!$D$53="OFF","OFF","")</f>
        <v/>
      </c>
      <c r="BG10" s="54" t="str">
        <f>IF('⚙ OFF Weekends'!$D$54="OFF","OFF","")</f>
        <v/>
      </c>
      <c r="BH10" s="56" t="str">
        <f>IF('⚙ OFF Weekends'!$D$55="OFF","OFF","")</f>
        <v/>
      </c>
      <c r="BI10" s="54" t="str">
        <f>IF('⚙ OFF Weekends'!$D$56="OFF","OFF","")</f>
        <v/>
      </c>
      <c r="BJ10" s="56" t="str">
        <f>IF('⚙ OFF Weekends'!$D$57="OFF","OFF","")</f>
        <v/>
      </c>
      <c r="BK10" s="54" t="str">
        <f>IF('⚙ OFF Weekends'!$D$58="OFF","OFF","")</f>
        <v/>
      </c>
      <c r="BL10" s="56" t="str">
        <f>IF('⚙ OFF Weekends'!$D$59="OFF","OFF","")</f>
        <v/>
      </c>
      <c r="BM10" s="54" t="str">
        <f>IF('⚙ OFF Weekends'!$D$60="OFF","OFF","")</f>
        <v/>
      </c>
      <c r="BN10" s="56" t="str">
        <f>IF('⚙ OFF Weekends'!$D$61="OFF","OFF","")</f>
        <v/>
      </c>
      <c r="BO10" s="54" t="str">
        <f>IF('⚙ OFF Weekends'!$D$62="OFF","OFF","")</f>
        <v/>
      </c>
      <c r="BP10" s="56" t="str">
        <f>IF('⚙ OFF Weekends'!$D$63="OFF","OFF","")</f>
        <v/>
      </c>
      <c r="BQ10" s="54" t="str">
        <f>IF('⚙ OFF Weekends'!$D$64="OFF","OFF","")</f>
        <v/>
      </c>
      <c r="BR10" s="56" t="str">
        <f>IF('⚙ OFF Weekends'!$D$65="OFF","OFF","")</f>
        <v/>
      </c>
      <c r="BS10" s="54" t="str">
        <f>IF('⚙ OFF Weekends'!$D$66="OFF","OFF","")</f>
        <v/>
      </c>
      <c r="BT10" s="56" t="str">
        <f>IF('⚙ OFF Weekends'!$D$67="OFF","OFF","")</f>
        <v/>
      </c>
      <c r="BU10" s="54" t="str">
        <f>IF('⚙ OFF Weekends'!$D$68="OFF","OFF","")</f>
        <v/>
      </c>
      <c r="BV10" s="56" t="str">
        <f>IF('⚙ OFF Weekends'!$D$69="OFF","OFF","")</f>
        <v/>
      </c>
      <c r="BW10" s="54" t="str">
        <f>IF('⚙ OFF Weekends'!$D$70="OFF","OFF","")</f>
        <v/>
      </c>
      <c r="BX10" s="56" t="str">
        <f>IF('⚙ OFF Weekends'!$D$71="OFF","OFF","")</f>
        <v/>
      </c>
      <c r="BY10" s="54" t="str">
        <f>IF('⚙ OFF Weekends'!$D$72="OFF","OFF","")</f>
        <v/>
      </c>
      <c r="BZ10" s="56" t="str">
        <f>IF('⚙ OFF Weekends'!$D$73="OFF","OFF","")</f>
        <v/>
      </c>
      <c r="CA10" s="54" t="str">
        <f>IF('⚙ OFF Weekends'!$D$74="OFF","OFF","")</f>
        <v/>
      </c>
      <c r="CB10" s="56" t="str">
        <f>IF('⚙ OFF Weekends'!$D$75="OFF","OFF","")</f>
        <v/>
      </c>
      <c r="CC10" s="54" t="str">
        <f>IF('⚙ OFF Weekends'!$D$76="OFF","OFF","")</f>
        <v/>
      </c>
      <c r="CD10" s="56" t="str">
        <f>IF('⚙ OFF Weekends'!$D$77="OFF","OFF","")</f>
        <v/>
      </c>
      <c r="CE10" s="73">
        <f t="shared" si="3"/>
        <v>14</v>
      </c>
      <c r="CF10" s="73">
        <f t="shared" si="4"/>
        <v>0</v>
      </c>
      <c r="CG10" s="73">
        <f t="shared" si="5"/>
        <v>4</v>
      </c>
      <c r="CH10" s="73" t="str">
        <f t="shared" si="6"/>
        <v>100%</v>
      </c>
    </row>
    <row r="11" ht="18.0" customHeight="1">
      <c r="A11" s="73">
        <v>3.0</v>
      </c>
      <c r="B11" s="35" t="s">
        <v>406</v>
      </c>
      <c r="C11" s="89"/>
      <c r="D11" s="87" t="str">
        <f t="shared" si="1"/>
        <v/>
      </c>
      <c r="E11" s="93" t="str">
        <f t="shared" si="2"/>
        <v/>
      </c>
      <c r="F11" s="89"/>
      <c r="G11" s="89"/>
      <c r="H11" s="34" t="s">
        <v>268</v>
      </c>
      <c r="I11" s="90" t="str">
        <f>IF('⚙ OFF Weekends'!$D$4="OFF","OFF","")</f>
        <v/>
      </c>
      <c r="J11" s="90" t="str">
        <f>IF('⚙ OFF Weekends'!$D$5="OFF","OFF","")</f>
        <v/>
      </c>
      <c r="K11" s="90" t="str">
        <f>IF('⚙ OFF Weekends'!$D$6="OFF","OFF","")</f>
        <v/>
      </c>
      <c r="L11" s="90" t="str">
        <f>IF('⚙ OFF Weekends'!$D$7="OFF","OFF","")</f>
        <v/>
      </c>
      <c r="M11" s="90" t="str">
        <f>IF('⚙ OFF Weekends'!$D$8="OFF","OFF","")</f>
        <v/>
      </c>
      <c r="N11" s="90" t="str">
        <f>IF('⚙ OFF Weekends'!$D$9="OFF","OFF","")</f>
        <v/>
      </c>
      <c r="O11" s="90" t="str">
        <f>IF('⚙ OFF Weekends'!$D$10="OFF","OFF","")</f>
        <v/>
      </c>
      <c r="P11" s="90" t="str">
        <f>IF('⚙ OFF Weekends'!$D$11="OFF","OFF","")</f>
        <v/>
      </c>
      <c r="Q11" s="90" t="str">
        <f>IF('⚙ OFF Weekends'!$D$12="OFF","OFF","")</f>
        <v/>
      </c>
      <c r="R11" s="90" t="str">
        <f>IF('⚙ OFF Weekends'!$D$13="OFF","OFF","")</f>
        <v/>
      </c>
      <c r="S11" s="90" t="str">
        <f>IF('⚙ OFF Weekends'!$D$14="OFF","OFF","")</f>
        <v/>
      </c>
      <c r="T11" s="90" t="str">
        <f>IF('⚙ OFF Weekends'!$D$15="OFF","OFF","")</f>
        <v/>
      </c>
      <c r="U11" s="90" t="str">
        <f>IF('⚙ OFF Weekends'!$D$16="OFF","OFF","")</f>
        <v/>
      </c>
      <c r="V11" s="90" t="str">
        <f>IF('⚙ OFF Weekends'!$D$17="OFF","OFF","")</f>
        <v/>
      </c>
      <c r="W11" s="90" t="str">
        <f>IF('⚙ OFF Weekends'!$D$18="OFF","OFF","")</f>
        <v>OFF</v>
      </c>
      <c r="X11" s="90" t="str">
        <f>IF('⚙ OFF Weekends'!$D$19="OFF","OFF","")</f>
        <v/>
      </c>
      <c r="Y11" s="52" t="s">
        <v>196</v>
      </c>
      <c r="Z11" s="52" t="s">
        <v>196</v>
      </c>
      <c r="AA11" s="52" t="s">
        <v>196</v>
      </c>
      <c r="AB11" s="91" t="s">
        <v>196</v>
      </c>
      <c r="AC11" s="90" t="str">
        <f>IF('⚙ OFF Weekends'!$D$24="OFF","OFF","")</f>
        <v/>
      </c>
      <c r="AD11" s="90" t="str">
        <f>IF('⚙ OFF Weekends'!$D$25="OFF","OFF","")</f>
        <v/>
      </c>
      <c r="AE11" s="90" t="str">
        <f>IF('⚙ OFF Weekends'!$D$26="OFF","OFF","")</f>
        <v/>
      </c>
      <c r="AF11" s="90" t="str">
        <f>IF('⚙ OFF Weekends'!$D$27="OFF","OFF","")</f>
        <v/>
      </c>
      <c r="AG11" s="90" t="str">
        <f>IF('⚙ OFF Weekends'!$D$28="OFF","OFF","")</f>
        <v/>
      </c>
      <c r="AH11" s="90" t="str">
        <f>IF('⚙ OFF Weekends'!$D$29="OFF","OFF","")</f>
        <v/>
      </c>
      <c r="AI11" s="90" t="str">
        <f>IF('⚙ OFF Weekends'!$D$30="OFF","OFF","")</f>
        <v/>
      </c>
      <c r="AJ11" s="90" t="str">
        <f>IF('⚙ OFF Weekends'!$D$31="OFF","OFF","")</f>
        <v/>
      </c>
      <c r="AK11" s="90" t="str">
        <f>IF('⚙ OFF Weekends'!$D$32="OFF","OFF","")</f>
        <v/>
      </c>
      <c r="AL11" s="90" t="str">
        <f>IF('⚙ OFF Weekends'!$D$33="OFF","OFF","")</f>
        <v/>
      </c>
      <c r="AM11" s="90" t="str">
        <f>IF('⚙ OFF Weekends'!$D$34="OFF","OFF","")</f>
        <v/>
      </c>
      <c r="AN11" s="90" t="str">
        <f>IF('⚙ OFF Weekends'!$D$35="OFF","OFF","")</f>
        <v/>
      </c>
      <c r="AO11" s="90" t="str">
        <f>IF('⚙ OFF Weekends'!$D$36="OFF","OFF","")</f>
        <v/>
      </c>
      <c r="AP11" s="90" t="str">
        <f>IF('⚙ OFF Weekends'!$D$37="OFF","OFF","")</f>
        <v/>
      </c>
      <c r="AQ11" s="90" t="str">
        <f>IF('⚙ OFF Weekends'!$D$38="OFF","OFF","")</f>
        <v/>
      </c>
      <c r="AR11" s="90" t="str">
        <f>IF('⚙ OFF Weekends'!$D$39="OFF","OFF","")</f>
        <v/>
      </c>
      <c r="AS11" s="90" t="str">
        <f>IF('⚙ OFF Weekends'!$D$40="OFF","OFF","")</f>
        <v/>
      </c>
      <c r="AT11" s="90" t="str">
        <f>IF('⚙ OFF Weekends'!$D$41="OFF","OFF","")</f>
        <v/>
      </c>
      <c r="AU11" s="90" t="str">
        <f>IF('⚙ OFF Weekends'!$D$42="OFF","OFF","")</f>
        <v/>
      </c>
      <c r="AV11" s="90" t="str">
        <f>IF('⚙ OFF Weekends'!$D$43="OFF","OFF","")</f>
        <v/>
      </c>
      <c r="AW11" s="90" t="str">
        <f>IF('⚙ OFF Weekends'!$D$44="OFF","OFF","")</f>
        <v/>
      </c>
      <c r="AX11" s="90" t="str">
        <f>IF('⚙ OFF Weekends'!$D$45="OFF","OFF","")</f>
        <v/>
      </c>
      <c r="AY11" s="90" t="str">
        <f>IF('⚙ OFF Weekends'!$D$46="OFF","OFF","")</f>
        <v/>
      </c>
      <c r="AZ11" s="90" t="str">
        <f>IF('⚙ OFF Weekends'!$D$47="OFF","OFF","")</f>
        <v/>
      </c>
      <c r="BA11" s="90" t="str">
        <f>IF('⚙ OFF Weekends'!$D$48="OFF","OFF","")</f>
        <v/>
      </c>
      <c r="BB11" s="90" t="str">
        <f>IF('⚙ OFF Weekends'!$D$49="OFF","OFF","")</f>
        <v/>
      </c>
      <c r="BC11" s="90" t="str">
        <f>IF('⚙ OFF Weekends'!$D$50="OFF","OFF","")</f>
        <v/>
      </c>
      <c r="BD11" s="90" t="str">
        <f>IF('⚙ OFF Weekends'!$D$51="OFF","OFF","")</f>
        <v/>
      </c>
      <c r="BE11" s="90" t="str">
        <f>IF('⚙ OFF Weekends'!$D$52="OFF","OFF","")</f>
        <v/>
      </c>
      <c r="BF11" s="90" t="str">
        <f>IF('⚙ OFF Weekends'!$D$53="OFF","OFF","")</f>
        <v/>
      </c>
      <c r="BG11" s="90" t="str">
        <f>IF('⚙ OFF Weekends'!$D$54="OFF","OFF","")</f>
        <v/>
      </c>
      <c r="BH11" s="90" t="str">
        <f>IF('⚙ OFF Weekends'!$D$55="OFF","OFF","")</f>
        <v/>
      </c>
      <c r="BI11" s="90" t="str">
        <f>IF('⚙ OFF Weekends'!$D$56="OFF","OFF","")</f>
        <v/>
      </c>
      <c r="BJ11" s="90" t="str">
        <f>IF('⚙ OFF Weekends'!$D$57="OFF","OFF","")</f>
        <v/>
      </c>
      <c r="BK11" s="90" t="str">
        <f>IF('⚙ OFF Weekends'!$D$58="OFF","OFF","")</f>
        <v/>
      </c>
      <c r="BL11" s="90" t="str">
        <f>IF('⚙ OFF Weekends'!$D$59="OFF","OFF","")</f>
        <v/>
      </c>
      <c r="BM11" s="90" t="str">
        <f>IF('⚙ OFF Weekends'!$D$60="OFF","OFF","")</f>
        <v/>
      </c>
      <c r="BN11" s="90" t="str">
        <f>IF('⚙ OFF Weekends'!$D$61="OFF","OFF","")</f>
        <v/>
      </c>
      <c r="BO11" s="90" t="str">
        <f>IF('⚙ OFF Weekends'!$D$62="OFF","OFF","")</f>
        <v/>
      </c>
      <c r="BP11" s="90" t="str">
        <f>IF('⚙ OFF Weekends'!$D$63="OFF","OFF","")</f>
        <v/>
      </c>
      <c r="BQ11" s="90" t="str">
        <f>IF('⚙ OFF Weekends'!$D$64="OFF","OFF","")</f>
        <v/>
      </c>
      <c r="BR11" s="90" t="str">
        <f>IF('⚙ OFF Weekends'!$D$65="OFF","OFF","")</f>
        <v/>
      </c>
      <c r="BS11" s="90" t="str">
        <f>IF('⚙ OFF Weekends'!$D$66="OFF","OFF","")</f>
        <v/>
      </c>
      <c r="BT11" s="90" t="str">
        <f>IF('⚙ OFF Weekends'!$D$67="OFF","OFF","")</f>
        <v/>
      </c>
      <c r="BU11" s="90" t="str">
        <f>IF('⚙ OFF Weekends'!$D$68="OFF","OFF","")</f>
        <v/>
      </c>
      <c r="BV11" s="90" t="str">
        <f>IF('⚙ OFF Weekends'!$D$69="OFF","OFF","")</f>
        <v/>
      </c>
      <c r="BW11" s="90" t="str">
        <f>IF('⚙ OFF Weekends'!$D$70="OFF","OFF","")</f>
        <v/>
      </c>
      <c r="BX11" s="90" t="str">
        <f>IF('⚙ OFF Weekends'!$D$71="OFF","OFF","")</f>
        <v/>
      </c>
      <c r="BY11" s="90" t="str">
        <f>IF('⚙ OFF Weekends'!$D$72="OFF","OFF","")</f>
        <v/>
      </c>
      <c r="BZ11" s="90" t="str">
        <f>IF('⚙ OFF Weekends'!$D$73="OFF","OFF","")</f>
        <v/>
      </c>
      <c r="CA11" s="90" t="str">
        <f>IF('⚙ OFF Weekends'!$D$74="OFF","OFF","")</f>
        <v/>
      </c>
      <c r="CB11" s="90" t="str">
        <f>IF('⚙ OFF Weekends'!$D$75="OFF","OFF","")</f>
        <v/>
      </c>
      <c r="CC11" s="90" t="str">
        <f>IF('⚙ OFF Weekends'!$D$76="OFF","OFF","")</f>
        <v/>
      </c>
      <c r="CD11" s="90" t="str">
        <f>IF('⚙ OFF Weekends'!$D$77="OFF","OFF","")</f>
        <v/>
      </c>
      <c r="CE11" s="92">
        <f t="shared" si="3"/>
        <v>4</v>
      </c>
      <c r="CF11" s="92">
        <f t="shared" si="4"/>
        <v>0</v>
      </c>
      <c r="CG11" s="92">
        <f t="shared" si="5"/>
        <v>0</v>
      </c>
      <c r="CH11" s="92" t="str">
        <f t="shared" si="6"/>
        <v>100%</v>
      </c>
    </row>
    <row r="12" ht="18.0" customHeight="1">
      <c r="A12" s="84">
        <v>4.0</v>
      </c>
      <c r="B12" s="89"/>
      <c r="C12" s="89"/>
      <c r="D12" s="87" t="str">
        <f t="shared" si="1"/>
        <v/>
      </c>
      <c r="E12" s="93" t="str">
        <f t="shared" si="2"/>
        <v/>
      </c>
      <c r="F12" s="89"/>
      <c r="G12" s="89"/>
      <c r="H12" s="89"/>
      <c r="I12" s="90" t="str">
        <f>IF('⚙ OFF Weekends'!$D$4="OFF","OFF","")</f>
        <v/>
      </c>
      <c r="J12" s="90" t="str">
        <f>IF('⚙ OFF Weekends'!$D$5="OFF","OFF","")</f>
        <v/>
      </c>
      <c r="K12" s="90" t="str">
        <f>IF('⚙ OFF Weekends'!$D$6="OFF","OFF","")</f>
        <v/>
      </c>
      <c r="L12" s="90" t="str">
        <f>IF('⚙ OFF Weekends'!$D$7="OFF","OFF","")</f>
        <v/>
      </c>
      <c r="M12" s="90" t="str">
        <f>IF('⚙ OFF Weekends'!$D$8="OFF","OFF","")</f>
        <v/>
      </c>
      <c r="N12" s="90" t="str">
        <f>IF('⚙ OFF Weekends'!$D$9="OFF","OFF","")</f>
        <v/>
      </c>
      <c r="O12" s="90" t="str">
        <f>IF('⚙ OFF Weekends'!$D$10="OFF","OFF","")</f>
        <v/>
      </c>
      <c r="P12" s="90" t="str">
        <f>IF('⚙ OFF Weekends'!$D$11="OFF","OFF","")</f>
        <v/>
      </c>
      <c r="Q12" s="90" t="str">
        <f>IF('⚙ OFF Weekends'!$D$12="OFF","OFF","")</f>
        <v/>
      </c>
      <c r="R12" s="90" t="str">
        <f>IF('⚙ OFF Weekends'!$D$13="OFF","OFF","")</f>
        <v/>
      </c>
      <c r="S12" s="90" t="str">
        <f>IF('⚙ OFF Weekends'!$D$14="OFF","OFF","")</f>
        <v/>
      </c>
      <c r="T12" s="90" t="str">
        <f>IF('⚙ OFF Weekends'!$D$15="OFF","OFF","")</f>
        <v/>
      </c>
      <c r="U12" s="90" t="str">
        <f>IF('⚙ OFF Weekends'!$D$16="OFF","OFF","")</f>
        <v/>
      </c>
      <c r="V12" s="90" t="str">
        <f>IF('⚙ OFF Weekends'!$D$17="OFF","OFF","")</f>
        <v/>
      </c>
      <c r="W12" s="90" t="str">
        <f>IF('⚙ OFF Weekends'!$D$18="OFF","OFF","")</f>
        <v>OFF</v>
      </c>
      <c r="X12" s="90" t="str">
        <f>IF('⚙ OFF Weekends'!$D$19="OFF","OFF","")</f>
        <v/>
      </c>
      <c r="Y12" s="90" t="str">
        <f>IF('⚙ OFF Weekends'!$D$20="OFF","OFF","")</f>
        <v/>
      </c>
      <c r="Z12" s="90" t="str">
        <f>IF('⚙ OFF Weekends'!$D$21="OFF","OFF","")</f>
        <v/>
      </c>
      <c r="AA12" s="90" t="str">
        <f>IF('⚙ OFF Weekends'!$D$22="OFF","OFF","")</f>
        <v/>
      </c>
      <c r="AB12" s="90" t="str">
        <f>IF('⚙ OFF Weekends'!$D$23="OFF","OFF","")</f>
        <v/>
      </c>
      <c r="AC12" s="90" t="str">
        <f>IF('⚙ OFF Weekends'!$D$24="OFF","OFF","")</f>
        <v/>
      </c>
      <c r="AD12" s="90" t="str">
        <f>IF('⚙ OFF Weekends'!$D$25="OFF","OFF","")</f>
        <v/>
      </c>
      <c r="AE12" s="90" t="str">
        <f>IF('⚙ OFF Weekends'!$D$26="OFF","OFF","")</f>
        <v/>
      </c>
      <c r="AF12" s="90" t="str">
        <f>IF('⚙ OFF Weekends'!$D$27="OFF","OFF","")</f>
        <v/>
      </c>
      <c r="AG12" s="90" t="str">
        <f>IF('⚙ OFF Weekends'!$D$28="OFF","OFF","")</f>
        <v/>
      </c>
      <c r="AH12" s="90" t="str">
        <f>IF('⚙ OFF Weekends'!$D$29="OFF","OFF","")</f>
        <v/>
      </c>
      <c r="AI12" s="90" t="str">
        <f>IF('⚙ OFF Weekends'!$D$30="OFF","OFF","")</f>
        <v/>
      </c>
      <c r="AJ12" s="90" t="str">
        <f>IF('⚙ OFF Weekends'!$D$31="OFF","OFF","")</f>
        <v/>
      </c>
      <c r="AK12" s="90" t="str">
        <f>IF('⚙ OFF Weekends'!$D$32="OFF","OFF","")</f>
        <v/>
      </c>
      <c r="AL12" s="90" t="str">
        <f>IF('⚙ OFF Weekends'!$D$33="OFF","OFF","")</f>
        <v/>
      </c>
      <c r="AM12" s="90" t="str">
        <f>IF('⚙ OFF Weekends'!$D$34="OFF","OFF","")</f>
        <v/>
      </c>
      <c r="AN12" s="90" t="str">
        <f>IF('⚙ OFF Weekends'!$D$35="OFF","OFF","")</f>
        <v/>
      </c>
      <c r="AO12" s="90" t="str">
        <f>IF('⚙ OFF Weekends'!$D$36="OFF","OFF","")</f>
        <v/>
      </c>
      <c r="AP12" s="90" t="str">
        <f>IF('⚙ OFF Weekends'!$D$37="OFF","OFF","")</f>
        <v/>
      </c>
      <c r="AQ12" s="90" t="str">
        <f>IF('⚙ OFF Weekends'!$D$38="OFF","OFF","")</f>
        <v/>
      </c>
      <c r="AR12" s="90" t="str">
        <f>IF('⚙ OFF Weekends'!$D$39="OFF","OFF","")</f>
        <v/>
      </c>
      <c r="AS12" s="90" t="str">
        <f>IF('⚙ OFF Weekends'!$D$40="OFF","OFF","")</f>
        <v/>
      </c>
      <c r="AT12" s="90" t="str">
        <f>IF('⚙ OFF Weekends'!$D$41="OFF","OFF","")</f>
        <v/>
      </c>
      <c r="AU12" s="90" t="str">
        <f>IF('⚙ OFF Weekends'!$D$42="OFF","OFF","")</f>
        <v/>
      </c>
      <c r="AV12" s="90" t="str">
        <f>IF('⚙ OFF Weekends'!$D$43="OFF","OFF","")</f>
        <v/>
      </c>
      <c r="AW12" s="90" t="str">
        <f>IF('⚙ OFF Weekends'!$D$44="OFF","OFF","")</f>
        <v/>
      </c>
      <c r="AX12" s="90" t="str">
        <f>IF('⚙ OFF Weekends'!$D$45="OFF","OFF","")</f>
        <v/>
      </c>
      <c r="AY12" s="90" t="str">
        <f>IF('⚙ OFF Weekends'!$D$46="OFF","OFF","")</f>
        <v/>
      </c>
      <c r="AZ12" s="90" t="str">
        <f>IF('⚙ OFF Weekends'!$D$47="OFF","OFF","")</f>
        <v/>
      </c>
      <c r="BA12" s="90" t="str">
        <f>IF('⚙ OFF Weekends'!$D$48="OFF","OFF","")</f>
        <v/>
      </c>
      <c r="BB12" s="90" t="str">
        <f>IF('⚙ OFF Weekends'!$D$49="OFF","OFF","")</f>
        <v/>
      </c>
      <c r="BC12" s="90" t="str">
        <f>IF('⚙ OFF Weekends'!$D$50="OFF","OFF","")</f>
        <v/>
      </c>
      <c r="BD12" s="90" t="str">
        <f>IF('⚙ OFF Weekends'!$D$51="OFF","OFF","")</f>
        <v/>
      </c>
      <c r="BE12" s="90" t="str">
        <f>IF('⚙ OFF Weekends'!$D$52="OFF","OFF","")</f>
        <v/>
      </c>
      <c r="BF12" s="90" t="str">
        <f>IF('⚙ OFF Weekends'!$D$53="OFF","OFF","")</f>
        <v/>
      </c>
      <c r="BG12" s="90" t="str">
        <f>IF('⚙ OFF Weekends'!$D$54="OFF","OFF","")</f>
        <v/>
      </c>
      <c r="BH12" s="90" t="str">
        <f>IF('⚙ OFF Weekends'!$D$55="OFF","OFF","")</f>
        <v/>
      </c>
      <c r="BI12" s="90" t="str">
        <f>IF('⚙ OFF Weekends'!$D$56="OFF","OFF","")</f>
        <v/>
      </c>
      <c r="BJ12" s="90" t="str">
        <f>IF('⚙ OFF Weekends'!$D$57="OFF","OFF","")</f>
        <v/>
      </c>
      <c r="BK12" s="90" t="str">
        <f>IF('⚙ OFF Weekends'!$D$58="OFF","OFF","")</f>
        <v/>
      </c>
      <c r="BL12" s="90" t="str">
        <f>IF('⚙ OFF Weekends'!$D$59="OFF","OFF","")</f>
        <v/>
      </c>
      <c r="BM12" s="90" t="str">
        <f>IF('⚙ OFF Weekends'!$D$60="OFF","OFF","")</f>
        <v/>
      </c>
      <c r="BN12" s="90" t="str">
        <f>IF('⚙ OFF Weekends'!$D$61="OFF","OFF","")</f>
        <v/>
      </c>
      <c r="BO12" s="90" t="str">
        <f>IF('⚙ OFF Weekends'!$D$62="OFF","OFF","")</f>
        <v/>
      </c>
      <c r="BP12" s="90" t="str">
        <f>IF('⚙ OFF Weekends'!$D$63="OFF","OFF","")</f>
        <v/>
      </c>
      <c r="BQ12" s="90" t="str">
        <f>IF('⚙ OFF Weekends'!$D$64="OFF","OFF","")</f>
        <v/>
      </c>
      <c r="BR12" s="90" t="str">
        <f>IF('⚙ OFF Weekends'!$D$65="OFF","OFF","")</f>
        <v/>
      </c>
      <c r="BS12" s="90" t="str">
        <f>IF('⚙ OFF Weekends'!$D$66="OFF","OFF","")</f>
        <v/>
      </c>
      <c r="BT12" s="90" t="str">
        <f>IF('⚙ OFF Weekends'!$D$67="OFF","OFF","")</f>
        <v/>
      </c>
      <c r="BU12" s="90" t="str">
        <f>IF('⚙ OFF Weekends'!$D$68="OFF","OFF","")</f>
        <v/>
      </c>
      <c r="BV12" s="90" t="str">
        <f>IF('⚙ OFF Weekends'!$D$69="OFF","OFF","")</f>
        <v/>
      </c>
      <c r="BW12" s="90" t="str">
        <f>IF('⚙ OFF Weekends'!$D$70="OFF","OFF","")</f>
        <v/>
      </c>
      <c r="BX12" s="90" t="str">
        <f>IF('⚙ OFF Weekends'!$D$71="OFF","OFF","")</f>
        <v/>
      </c>
      <c r="BY12" s="90" t="str">
        <f>IF('⚙ OFF Weekends'!$D$72="OFF","OFF","")</f>
        <v/>
      </c>
      <c r="BZ12" s="90" t="str">
        <f>IF('⚙ OFF Weekends'!$D$73="OFF","OFF","")</f>
        <v/>
      </c>
      <c r="CA12" s="90" t="str">
        <f>IF('⚙ OFF Weekends'!$D$74="OFF","OFF","")</f>
        <v/>
      </c>
      <c r="CB12" s="90" t="str">
        <f>IF('⚙ OFF Weekends'!$D$75="OFF","OFF","")</f>
        <v/>
      </c>
      <c r="CC12" s="90" t="str">
        <f>IF('⚙ OFF Weekends'!$D$76="OFF","OFF","")</f>
        <v/>
      </c>
      <c r="CD12" s="90" t="str">
        <f>IF('⚙ OFF Weekends'!$D$77="OFF","OFF","")</f>
        <v/>
      </c>
      <c r="CE12" s="92">
        <f t="shared" si="3"/>
        <v>0</v>
      </c>
      <c r="CF12" s="92">
        <f t="shared" si="4"/>
        <v>0</v>
      </c>
      <c r="CG12" s="92">
        <f t="shared" si="5"/>
        <v>0</v>
      </c>
      <c r="CH12" s="92" t="str">
        <f t="shared" si="6"/>
        <v>0%</v>
      </c>
    </row>
    <row r="13" ht="18.0" customHeight="1">
      <c r="A13" s="84">
        <v>5.0</v>
      </c>
      <c r="B13" s="89"/>
      <c r="C13" s="89"/>
      <c r="D13" s="87" t="str">
        <f t="shared" si="1"/>
        <v/>
      </c>
      <c r="E13" s="93" t="str">
        <f t="shared" si="2"/>
        <v/>
      </c>
      <c r="F13" s="89"/>
      <c r="G13" s="89"/>
      <c r="H13" s="89"/>
      <c r="I13" s="90" t="str">
        <f>IF('⚙ OFF Weekends'!$D$4="OFF","OFF","")</f>
        <v/>
      </c>
      <c r="J13" s="90" t="str">
        <f>IF('⚙ OFF Weekends'!$D$5="OFF","OFF","")</f>
        <v/>
      </c>
      <c r="K13" s="90" t="str">
        <f>IF('⚙ OFF Weekends'!$D$6="OFF","OFF","")</f>
        <v/>
      </c>
      <c r="L13" s="90" t="str">
        <f>IF('⚙ OFF Weekends'!$D$7="OFF","OFF","")</f>
        <v/>
      </c>
      <c r="M13" s="90" t="str">
        <f>IF('⚙ OFF Weekends'!$D$8="OFF","OFF","")</f>
        <v/>
      </c>
      <c r="N13" s="90" t="str">
        <f>IF('⚙ OFF Weekends'!$D$9="OFF","OFF","")</f>
        <v/>
      </c>
      <c r="O13" s="90" t="str">
        <f>IF('⚙ OFF Weekends'!$D$10="OFF","OFF","")</f>
        <v/>
      </c>
      <c r="P13" s="90" t="str">
        <f>IF('⚙ OFF Weekends'!$D$11="OFF","OFF","")</f>
        <v/>
      </c>
      <c r="Q13" s="90" t="str">
        <f>IF('⚙ OFF Weekends'!$D$12="OFF","OFF","")</f>
        <v/>
      </c>
      <c r="R13" s="90" t="str">
        <f>IF('⚙ OFF Weekends'!$D$13="OFF","OFF","")</f>
        <v/>
      </c>
      <c r="S13" s="90" t="str">
        <f>IF('⚙ OFF Weekends'!$D$14="OFF","OFF","")</f>
        <v/>
      </c>
      <c r="T13" s="90" t="str">
        <f>IF('⚙ OFF Weekends'!$D$15="OFF","OFF","")</f>
        <v/>
      </c>
      <c r="U13" s="90" t="str">
        <f>IF('⚙ OFF Weekends'!$D$16="OFF","OFF","")</f>
        <v/>
      </c>
      <c r="V13" s="90" t="str">
        <f>IF('⚙ OFF Weekends'!$D$17="OFF","OFF","")</f>
        <v/>
      </c>
      <c r="W13" s="90" t="str">
        <f>IF('⚙ OFF Weekends'!$D$18="OFF","OFF","")</f>
        <v>OFF</v>
      </c>
      <c r="X13" s="90" t="str">
        <f>IF('⚙ OFF Weekends'!$D$19="OFF","OFF","")</f>
        <v/>
      </c>
      <c r="Y13" s="90" t="str">
        <f>IF('⚙ OFF Weekends'!$D$20="OFF","OFF","")</f>
        <v/>
      </c>
      <c r="Z13" s="90" t="str">
        <f>IF('⚙ OFF Weekends'!$D$21="OFF","OFF","")</f>
        <v/>
      </c>
      <c r="AA13" s="90" t="str">
        <f>IF('⚙ OFF Weekends'!$D$22="OFF","OFF","")</f>
        <v/>
      </c>
      <c r="AB13" s="90" t="str">
        <f>IF('⚙ OFF Weekends'!$D$23="OFF","OFF","")</f>
        <v/>
      </c>
      <c r="AC13" s="90" t="str">
        <f>IF('⚙ OFF Weekends'!$D$24="OFF","OFF","")</f>
        <v/>
      </c>
      <c r="AD13" s="90" t="str">
        <f>IF('⚙ OFF Weekends'!$D$25="OFF","OFF","")</f>
        <v/>
      </c>
      <c r="AE13" s="90" t="str">
        <f>IF('⚙ OFF Weekends'!$D$26="OFF","OFF","")</f>
        <v/>
      </c>
      <c r="AF13" s="90" t="str">
        <f>IF('⚙ OFF Weekends'!$D$27="OFF","OFF","")</f>
        <v/>
      </c>
      <c r="AG13" s="90" t="str">
        <f>IF('⚙ OFF Weekends'!$D$28="OFF","OFF","")</f>
        <v/>
      </c>
      <c r="AH13" s="90" t="str">
        <f>IF('⚙ OFF Weekends'!$D$29="OFF","OFF","")</f>
        <v/>
      </c>
      <c r="AI13" s="90" t="str">
        <f>IF('⚙ OFF Weekends'!$D$30="OFF","OFF","")</f>
        <v/>
      </c>
      <c r="AJ13" s="90" t="str">
        <f>IF('⚙ OFF Weekends'!$D$31="OFF","OFF","")</f>
        <v/>
      </c>
      <c r="AK13" s="90" t="str">
        <f>IF('⚙ OFF Weekends'!$D$32="OFF","OFF","")</f>
        <v/>
      </c>
      <c r="AL13" s="90" t="str">
        <f>IF('⚙ OFF Weekends'!$D$33="OFF","OFF","")</f>
        <v/>
      </c>
      <c r="AM13" s="90" t="str">
        <f>IF('⚙ OFF Weekends'!$D$34="OFF","OFF","")</f>
        <v/>
      </c>
      <c r="AN13" s="90" t="str">
        <f>IF('⚙ OFF Weekends'!$D$35="OFF","OFF","")</f>
        <v/>
      </c>
      <c r="AO13" s="90" t="str">
        <f>IF('⚙ OFF Weekends'!$D$36="OFF","OFF","")</f>
        <v/>
      </c>
      <c r="AP13" s="90" t="str">
        <f>IF('⚙ OFF Weekends'!$D$37="OFF","OFF","")</f>
        <v/>
      </c>
      <c r="AQ13" s="90" t="str">
        <f>IF('⚙ OFF Weekends'!$D$38="OFF","OFF","")</f>
        <v/>
      </c>
      <c r="AR13" s="90" t="str">
        <f>IF('⚙ OFF Weekends'!$D$39="OFF","OFF","")</f>
        <v/>
      </c>
      <c r="AS13" s="90" t="str">
        <f>IF('⚙ OFF Weekends'!$D$40="OFF","OFF","")</f>
        <v/>
      </c>
      <c r="AT13" s="90" t="str">
        <f>IF('⚙ OFF Weekends'!$D$41="OFF","OFF","")</f>
        <v/>
      </c>
      <c r="AU13" s="90" t="str">
        <f>IF('⚙ OFF Weekends'!$D$42="OFF","OFF","")</f>
        <v/>
      </c>
      <c r="AV13" s="90" t="str">
        <f>IF('⚙ OFF Weekends'!$D$43="OFF","OFF","")</f>
        <v/>
      </c>
      <c r="AW13" s="90" t="str">
        <f>IF('⚙ OFF Weekends'!$D$44="OFF","OFF","")</f>
        <v/>
      </c>
      <c r="AX13" s="90" t="str">
        <f>IF('⚙ OFF Weekends'!$D$45="OFF","OFF","")</f>
        <v/>
      </c>
      <c r="AY13" s="90" t="str">
        <f>IF('⚙ OFF Weekends'!$D$46="OFF","OFF","")</f>
        <v/>
      </c>
      <c r="AZ13" s="90" t="str">
        <f>IF('⚙ OFF Weekends'!$D$47="OFF","OFF","")</f>
        <v/>
      </c>
      <c r="BA13" s="90" t="str">
        <f>IF('⚙ OFF Weekends'!$D$48="OFF","OFF","")</f>
        <v/>
      </c>
      <c r="BB13" s="90" t="str">
        <f>IF('⚙ OFF Weekends'!$D$49="OFF","OFF","")</f>
        <v/>
      </c>
      <c r="BC13" s="90" t="str">
        <f>IF('⚙ OFF Weekends'!$D$50="OFF","OFF","")</f>
        <v/>
      </c>
      <c r="BD13" s="90" t="str">
        <f>IF('⚙ OFF Weekends'!$D$51="OFF","OFF","")</f>
        <v/>
      </c>
      <c r="BE13" s="90" t="str">
        <f>IF('⚙ OFF Weekends'!$D$52="OFF","OFF","")</f>
        <v/>
      </c>
      <c r="BF13" s="90" t="str">
        <f>IF('⚙ OFF Weekends'!$D$53="OFF","OFF","")</f>
        <v/>
      </c>
      <c r="BG13" s="90" t="str">
        <f>IF('⚙ OFF Weekends'!$D$54="OFF","OFF","")</f>
        <v/>
      </c>
      <c r="BH13" s="90" t="str">
        <f>IF('⚙ OFF Weekends'!$D$55="OFF","OFF","")</f>
        <v/>
      </c>
      <c r="BI13" s="90" t="str">
        <f>IF('⚙ OFF Weekends'!$D$56="OFF","OFF","")</f>
        <v/>
      </c>
      <c r="BJ13" s="90" t="str">
        <f>IF('⚙ OFF Weekends'!$D$57="OFF","OFF","")</f>
        <v/>
      </c>
      <c r="BK13" s="90" t="str">
        <f>IF('⚙ OFF Weekends'!$D$58="OFF","OFF","")</f>
        <v/>
      </c>
      <c r="BL13" s="90" t="str">
        <f>IF('⚙ OFF Weekends'!$D$59="OFF","OFF","")</f>
        <v/>
      </c>
      <c r="BM13" s="90" t="str">
        <f>IF('⚙ OFF Weekends'!$D$60="OFF","OFF","")</f>
        <v/>
      </c>
      <c r="BN13" s="90" t="str">
        <f>IF('⚙ OFF Weekends'!$D$61="OFF","OFF","")</f>
        <v/>
      </c>
      <c r="BO13" s="90" t="str">
        <f>IF('⚙ OFF Weekends'!$D$62="OFF","OFF","")</f>
        <v/>
      </c>
      <c r="BP13" s="90" t="str">
        <f>IF('⚙ OFF Weekends'!$D$63="OFF","OFF","")</f>
        <v/>
      </c>
      <c r="BQ13" s="90" t="str">
        <f>IF('⚙ OFF Weekends'!$D$64="OFF","OFF","")</f>
        <v/>
      </c>
      <c r="BR13" s="90" t="str">
        <f>IF('⚙ OFF Weekends'!$D$65="OFF","OFF","")</f>
        <v/>
      </c>
      <c r="BS13" s="90" t="str">
        <f>IF('⚙ OFF Weekends'!$D$66="OFF","OFF","")</f>
        <v/>
      </c>
      <c r="BT13" s="90" t="str">
        <f>IF('⚙ OFF Weekends'!$D$67="OFF","OFF","")</f>
        <v/>
      </c>
      <c r="BU13" s="90" t="str">
        <f>IF('⚙ OFF Weekends'!$D$68="OFF","OFF","")</f>
        <v/>
      </c>
      <c r="BV13" s="90" t="str">
        <f>IF('⚙ OFF Weekends'!$D$69="OFF","OFF","")</f>
        <v/>
      </c>
      <c r="BW13" s="90" t="str">
        <f>IF('⚙ OFF Weekends'!$D$70="OFF","OFF","")</f>
        <v/>
      </c>
      <c r="BX13" s="90" t="str">
        <f>IF('⚙ OFF Weekends'!$D$71="OFF","OFF","")</f>
        <v/>
      </c>
      <c r="BY13" s="90" t="str">
        <f>IF('⚙ OFF Weekends'!$D$72="OFF","OFF","")</f>
        <v/>
      </c>
      <c r="BZ13" s="90" t="str">
        <f>IF('⚙ OFF Weekends'!$D$73="OFF","OFF","")</f>
        <v/>
      </c>
      <c r="CA13" s="90" t="str">
        <f>IF('⚙ OFF Weekends'!$D$74="OFF","OFF","")</f>
        <v/>
      </c>
      <c r="CB13" s="90" t="str">
        <f>IF('⚙ OFF Weekends'!$D$75="OFF","OFF","")</f>
        <v/>
      </c>
      <c r="CC13" s="90" t="str">
        <f>IF('⚙ OFF Weekends'!$D$76="OFF","OFF","")</f>
        <v/>
      </c>
      <c r="CD13" s="90" t="str">
        <f>IF('⚙ OFF Weekends'!$D$77="OFF","OFF","")</f>
        <v/>
      </c>
      <c r="CE13" s="92">
        <f t="shared" si="3"/>
        <v>0</v>
      </c>
      <c r="CF13" s="92">
        <f t="shared" si="4"/>
        <v>0</v>
      </c>
      <c r="CG13" s="92">
        <f t="shared" si="5"/>
        <v>0</v>
      </c>
      <c r="CH13" s="92" t="str">
        <f t="shared" si="6"/>
        <v>0%</v>
      </c>
    </row>
    <row r="14" ht="6.0" customHeight="1">
      <c r="A14" s="67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3"/>
    </row>
    <row r="15" ht="19.5" customHeight="1">
      <c r="A15" s="8" t="s">
        <v>430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3"/>
    </row>
    <row r="16" ht="18.0" customHeight="1">
      <c r="A16" s="95">
        <v>1.0</v>
      </c>
      <c r="B16" s="12" t="s">
        <v>431</v>
      </c>
      <c r="C16" s="14" t="s">
        <v>432</v>
      </c>
      <c r="D16" s="17" t="str">
        <f t="shared" ref="D16:D35" si="7">IF(C16&lt;&gt;"",HYPERLINK("tel:"&amp;SUBSTITUTE(SUBSTITUTE(C16," ",""),"+","+"),"📞 Call"),"")</f>
        <v>📞 Call</v>
      </c>
      <c r="E16" s="19" t="str">
        <f t="shared" ref="E16:E35" si="8">IF(C16&lt;&gt;"",HYPERLINK("https://wa.me/"&amp;SUBSTITUTE(SUBSTITUTE(C16,"+","")," ",""),"💬 WhatsApp"),"")</f>
        <v>💬 WhatsApp</v>
      </c>
      <c r="F16" s="10"/>
      <c r="G16" s="10" t="s">
        <v>275</v>
      </c>
      <c r="H16" s="10"/>
      <c r="I16" s="48" t="s">
        <v>196</v>
      </c>
      <c r="J16" s="48" t="s">
        <v>196</v>
      </c>
      <c r="K16" s="49" t="s">
        <v>197</v>
      </c>
      <c r="L16" s="50" t="s">
        <v>37</v>
      </c>
      <c r="M16" s="48" t="s">
        <v>196</v>
      </c>
      <c r="N16" s="50" t="s">
        <v>37</v>
      </c>
      <c r="O16" s="50" t="s">
        <v>37</v>
      </c>
      <c r="P16" s="48" t="s">
        <v>196</v>
      </c>
      <c r="Q16" s="50" t="s">
        <v>37</v>
      </c>
      <c r="R16" s="48" t="s">
        <v>196</v>
      </c>
      <c r="S16" s="52" t="s">
        <v>196</v>
      </c>
      <c r="T16" s="98" t="s">
        <v>196</v>
      </c>
      <c r="U16" s="52" t="s">
        <v>37</v>
      </c>
      <c r="V16" s="53" t="s">
        <v>196</v>
      </c>
      <c r="W16" s="54" t="str">
        <f>IF('⚙ OFF Weekends'!$D$18="OFF","OFF","")</f>
        <v>OFF</v>
      </c>
      <c r="X16" s="53" t="s">
        <v>196</v>
      </c>
      <c r="Y16" s="52" t="s">
        <v>37</v>
      </c>
      <c r="Z16" s="53" t="s">
        <v>37</v>
      </c>
      <c r="AA16" s="105" t="s">
        <v>37</v>
      </c>
      <c r="AB16" s="53" t="s">
        <v>37</v>
      </c>
      <c r="AC16" s="54" t="str">
        <f>IF('⚙ OFF Weekends'!$D$24="OFF","OFF","")</f>
        <v/>
      </c>
      <c r="AD16" s="56" t="str">
        <f>IF('⚙ OFF Weekends'!$D$25="OFF","OFF","")</f>
        <v/>
      </c>
      <c r="AE16" s="54" t="str">
        <f>IF('⚙ OFF Weekends'!$D$26="OFF","OFF","")</f>
        <v/>
      </c>
      <c r="AF16" s="56" t="str">
        <f>IF('⚙ OFF Weekends'!$D$27="OFF","OFF","")</f>
        <v/>
      </c>
      <c r="AG16" s="54" t="str">
        <f>IF('⚙ OFF Weekends'!$D$28="OFF","OFF","")</f>
        <v/>
      </c>
      <c r="AH16" s="56" t="str">
        <f>IF('⚙ OFF Weekends'!$D$29="OFF","OFF","")</f>
        <v/>
      </c>
      <c r="AI16" s="54" t="str">
        <f>IF('⚙ OFF Weekends'!$D$30="OFF","OFF","")</f>
        <v/>
      </c>
      <c r="AJ16" s="56" t="str">
        <f>IF('⚙ OFF Weekends'!$D$31="OFF","OFF","")</f>
        <v/>
      </c>
      <c r="AK16" s="54" t="str">
        <f>IF('⚙ OFF Weekends'!$D$32="OFF","OFF","")</f>
        <v/>
      </c>
      <c r="AL16" s="56" t="str">
        <f>IF('⚙ OFF Weekends'!$D$33="OFF","OFF","")</f>
        <v/>
      </c>
      <c r="AM16" s="54" t="str">
        <f>IF('⚙ OFF Weekends'!$D$34="OFF","OFF","")</f>
        <v/>
      </c>
      <c r="AN16" s="56" t="str">
        <f>IF('⚙ OFF Weekends'!$D$35="OFF","OFF","")</f>
        <v/>
      </c>
      <c r="AO16" s="54" t="str">
        <f>IF('⚙ OFF Weekends'!$D$36="OFF","OFF","")</f>
        <v/>
      </c>
      <c r="AP16" s="56" t="str">
        <f>IF('⚙ OFF Weekends'!$D$37="OFF","OFF","")</f>
        <v/>
      </c>
      <c r="AQ16" s="54" t="str">
        <f>IF('⚙ OFF Weekends'!$D$38="OFF","OFF","")</f>
        <v/>
      </c>
      <c r="AR16" s="56" t="str">
        <f>IF('⚙ OFF Weekends'!$D$39="OFF","OFF","")</f>
        <v/>
      </c>
      <c r="AS16" s="54" t="str">
        <f>IF('⚙ OFF Weekends'!$D$40="OFF","OFF","")</f>
        <v/>
      </c>
      <c r="AT16" s="56" t="str">
        <f>IF('⚙ OFF Weekends'!$D$41="OFF","OFF","")</f>
        <v/>
      </c>
      <c r="AU16" s="54" t="str">
        <f>IF('⚙ OFF Weekends'!$D$42="OFF","OFF","")</f>
        <v/>
      </c>
      <c r="AV16" s="56" t="str">
        <f>IF('⚙ OFF Weekends'!$D$43="OFF","OFF","")</f>
        <v/>
      </c>
      <c r="AW16" s="54" t="str">
        <f>IF('⚙ OFF Weekends'!$D$44="OFF","OFF","")</f>
        <v/>
      </c>
      <c r="AX16" s="56" t="str">
        <f>IF('⚙ OFF Weekends'!$D$45="OFF","OFF","")</f>
        <v/>
      </c>
      <c r="AY16" s="54" t="str">
        <f>IF('⚙ OFF Weekends'!$D$46="OFF","OFF","")</f>
        <v/>
      </c>
      <c r="AZ16" s="56" t="str">
        <f>IF('⚙ OFF Weekends'!$D$47="OFF","OFF","")</f>
        <v/>
      </c>
      <c r="BA16" s="54" t="str">
        <f>IF('⚙ OFF Weekends'!$D$48="OFF","OFF","")</f>
        <v/>
      </c>
      <c r="BB16" s="56" t="str">
        <f>IF('⚙ OFF Weekends'!$D$49="OFF","OFF","")</f>
        <v/>
      </c>
      <c r="BC16" s="54" t="str">
        <f>IF('⚙ OFF Weekends'!$D$50="OFF","OFF","")</f>
        <v/>
      </c>
      <c r="BD16" s="56" t="str">
        <f>IF('⚙ OFF Weekends'!$D$51="OFF","OFF","")</f>
        <v/>
      </c>
      <c r="BE16" s="54" t="str">
        <f>IF('⚙ OFF Weekends'!$D$52="OFF","OFF","")</f>
        <v/>
      </c>
      <c r="BF16" s="56" t="str">
        <f>IF('⚙ OFF Weekends'!$D$53="OFF","OFF","")</f>
        <v/>
      </c>
      <c r="BG16" s="54" t="str">
        <f>IF('⚙ OFF Weekends'!$D$54="OFF","OFF","")</f>
        <v/>
      </c>
      <c r="BH16" s="56" t="str">
        <f>IF('⚙ OFF Weekends'!$D$55="OFF","OFF","")</f>
        <v/>
      </c>
      <c r="BI16" s="54" t="str">
        <f>IF('⚙ OFF Weekends'!$D$56="OFF","OFF","")</f>
        <v/>
      </c>
      <c r="BJ16" s="56" t="str">
        <f>IF('⚙ OFF Weekends'!$D$57="OFF","OFF","")</f>
        <v/>
      </c>
      <c r="BK16" s="54" t="str">
        <f>IF('⚙ OFF Weekends'!$D$58="OFF","OFF","")</f>
        <v/>
      </c>
      <c r="BL16" s="56" t="str">
        <f>IF('⚙ OFF Weekends'!$D$59="OFF","OFF","")</f>
        <v/>
      </c>
      <c r="BM16" s="54" t="str">
        <f>IF('⚙ OFF Weekends'!$D$60="OFF","OFF","")</f>
        <v/>
      </c>
      <c r="BN16" s="56" t="str">
        <f>IF('⚙ OFF Weekends'!$D$61="OFF","OFF","")</f>
        <v/>
      </c>
      <c r="BO16" s="54" t="str">
        <f>IF('⚙ OFF Weekends'!$D$62="OFF","OFF","")</f>
        <v/>
      </c>
      <c r="BP16" s="56" t="str">
        <f>IF('⚙ OFF Weekends'!$D$63="OFF","OFF","")</f>
        <v/>
      </c>
      <c r="BQ16" s="54" t="str">
        <f>IF('⚙ OFF Weekends'!$D$64="OFF","OFF","")</f>
        <v/>
      </c>
      <c r="BR16" s="56" t="str">
        <f>IF('⚙ OFF Weekends'!$D$65="OFF","OFF","")</f>
        <v/>
      </c>
      <c r="BS16" s="54" t="str">
        <f>IF('⚙ OFF Weekends'!$D$66="OFF","OFF","")</f>
        <v/>
      </c>
      <c r="BT16" s="56" t="str">
        <f>IF('⚙ OFF Weekends'!$D$67="OFF","OFF","")</f>
        <v/>
      </c>
      <c r="BU16" s="54" t="str">
        <f>IF('⚙ OFF Weekends'!$D$68="OFF","OFF","")</f>
        <v/>
      </c>
      <c r="BV16" s="56" t="str">
        <f>IF('⚙ OFF Weekends'!$D$69="OFF","OFF","")</f>
        <v/>
      </c>
      <c r="BW16" s="54" t="str">
        <f>IF('⚙ OFF Weekends'!$D$70="OFF","OFF","")</f>
        <v/>
      </c>
      <c r="BX16" s="56" t="str">
        <f>IF('⚙ OFF Weekends'!$D$71="OFF","OFF","")</f>
        <v/>
      </c>
      <c r="BY16" s="54" t="str">
        <f>IF('⚙ OFF Weekends'!$D$72="OFF","OFF","")</f>
        <v/>
      </c>
      <c r="BZ16" s="56" t="str">
        <f>IF('⚙ OFF Weekends'!$D$73="OFF","OFF","")</f>
        <v/>
      </c>
      <c r="CA16" s="54" t="str">
        <f>IF('⚙ OFF Weekends'!$D$74="OFF","OFF","")</f>
        <v/>
      </c>
      <c r="CB16" s="56" t="str">
        <f>IF('⚙ OFF Weekends'!$D$75="OFF","OFF","")</f>
        <v/>
      </c>
      <c r="CC16" s="54" t="str">
        <f>IF('⚙ OFF Weekends'!$D$76="OFF","OFF","")</f>
        <v/>
      </c>
      <c r="CD16" s="56" t="str">
        <f>IF('⚙ OFF Weekends'!$D$77="OFF","OFF","")</f>
        <v/>
      </c>
      <c r="CE16" s="95">
        <f t="shared" ref="CE16:CE35" si="9">COUNTIF(I16:CD16,"Present")+COUNTIF(I16:CD16,"Late")</f>
        <v>18</v>
      </c>
      <c r="CF16" s="95">
        <f t="shared" ref="CF16:CF35" si="10">COUNTIF(I16:CD16,"Absent")</f>
        <v>0</v>
      </c>
      <c r="CG16" s="95">
        <f t="shared" ref="CG16:CG35" si="11">COUNTIF(I16:CD16,"Leave")</f>
        <v>0</v>
      </c>
      <c r="CH16" s="95" t="str">
        <f t="shared" ref="CH16:CH35" si="12">IF(CE16+CF16=0,"0%",TEXT(CE16/(CE16+CF16),"0%"))</f>
        <v>100%</v>
      </c>
    </row>
    <row r="17" ht="18.0" customHeight="1">
      <c r="A17" s="96">
        <v>2.0</v>
      </c>
      <c r="B17" s="22" t="s">
        <v>441</v>
      </c>
      <c r="C17" s="23" t="s">
        <v>442</v>
      </c>
      <c r="D17" s="24" t="str">
        <f t="shared" si="7"/>
        <v>📞 Call</v>
      </c>
      <c r="E17" s="41" t="str">
        <f t="shared" si="8"/>
        <v>💬 WhatsApp</v>
      </c>
      <c r="F17" s="20"/>
      <c r="G17" s="20" t="s">
        <v>275</v>
      </c>
      <c r="H17" s="20"/>
      <c r="I17" s="48" t="s">
        <v>196</v>
      </c>
      <c r="J17" s="48" t="s">
        <v>196</v>
      </c>
      <c r="K17" s="49" t="s">
        <v>197</v>
      </c>
      <c r="L17" s="50" t="s">
        <v>37</v>
      </c>
      <c r="M17" s="50" t="s">
        <v>37</v>
      </c>
      <c r="N17" s="50" t="s">
        <v>37</v>
      </c>
      <c r="O17" s="79" t="s">
        <v>223</v>
      </c>
      <c r="P17" s="48" t="s">
        <v>196</v>
      </c>
      <c r="Q17" s="50" t="s">
        <v>37</v>
      </c>
      <c r="R17" s="50" t="s">
        <v>37</v>
      </c>
      <c r="S17" s="52" t="s">
        <v>37</v>
      </c>
      <c r="T17" s="98" t="s">
        <v>196</v>
      </c>
      <c r="U17" s="52" t="s">
        <v>37</v>
      </c>
      <c r="V17" s="53" t="s">
        <v>223</v>
      </c>
      <c r="W17" s="54" t="str">
        <f>IF('⚙ OFF Weekends'!$D$18="OFF","OFF","")</f>
        <v>OFF</v>
      </c>
      <c r="X17" s="53" t="s">
        <v>223</v>
      </c>
      <c r="Y17" s="52" t="s">
        <v>223</v>
      </c>
      <c r="Z17" s="53" t="s">
        <v>223</v>
      </c>
      <c r="AA17" s="52" t="s">
        <v>223</v>
      </c>
      <c r="AB17" s="53" t="s">
        <v>223</v>
      </c>
      <c r="AC17" s="54" t="str">
        <f>IF('⚙ OFF Weekends'!$D$24="OFF","OFF","")</f>
        <v/>
      </c>
      <c r="AD17" s="56" t="str">
        <f>IF('⚙ OFF Weekends'!$D$25="OFF","OFF","")</f>
        <v/>
      </c>
      <c r="AE17" s="54" t="str">
        <f>IF('⚙ OFF Weekends'!$D$26="OFF","OFF","")</f>
        <v/>
      </c>
      <c r="AF17" s="56" t="str">
        <f>IF('⚙ OFF Weekends'!$D$27="OFF","OFF","")</f>
        <v/>
      </c>
      <c r="AG17" s="54" t="str">
        <f>IF('⚙ OFF Weekends'!$D$28="OFF","OFF","")</f>
        <v/>
      </c>
      <c r="AH17" s="56" t="str">
        <f>IF('⚙ OFF Weekends'!$D$29="OFF","OFF","")</f>
        <v/>
      </c>
      <c r="AI17" s="54" t="str">
        <f>IF('⚙ OFF Weekends'!$D$30="OFF","OFF","")</f>
        <v/>
      </c>
      <c r="AJ17" s="56" t="str">
        <f>IF('⚙ OFF Weekends'!$D$31="OFF","OFF","")</f>
        <v/>
      </c>
      <c r="AK17" s="54" t="str">
        <f>IF('⚙ OFF Weekends'!$D$32="OFF","OFF","")</f>
        <v/>
      </c>
      <c r="AL17" s="56" t="str">
        <f>IF('⚙ OFF Weekends'!$D$33="OFF","OFF","")</f>
        <v/>
      </c>
      <c r="AM17" s="54" t="str">
        <f>IF('⚙ OFF Weekends'!$D$34="OFF","OFF","")</f>
        <v/>
      </c>
      <c r="AN17" s="56" t="str">
        <f>IF('⚙ OFF Weekends'!$D$35="OFF","OFF","")</f>
        <v/>
      </c>
      <c r="AO17" s="54" t="str">
        <f>IF('⚙ OFF Weekends'!$D$36="OFF","OFF","")</f>
        <v/>
      </c>
      <c r="AP17" s="56" t="str">
        <f>IF('⚙ OFF Weekends'!$D$37="OFF","OFF","")</f>
        <v/>
      </c>
      <c r="AQ17" s="54" t="str">
        <f>IF('⚙ OFF Weekends'!$D$38="OFF","OFF","")</f>
        <v/>
      </c>
      <c r="AR17" s="56" t="str">
        <f>IF('⚙ OFF Weekends'!$D$39="OFF","OFF","")</f>
        <v/>
      </c>
      <c r="AS17" s="54" t="str">
        <f>IF('⚙ OFF Weekends'!$D$40="OFF","OFF","")</f>
        <v/>
      </c>
      <c r="AT17" s="56" t="str">
        <f>IF('⚙ OFF Weekends'!$D$41="OFF","OFF","")</f>
        <v/>
      </c>
      <c r="AU17" s="54" t="str">
        <f>IF('⚙ OFF Weekends'!$D$42="OFF","OFF","")</f>
        <v/>
      </c>
      <c r="AV17" s="56" t="str">
        <f>IF('⚙ OFF Weekends'!$D$43="OFF","OFF","")</f>
        <v/>
      </c>
      <c r="AW17" s="54" t="str">
        <f>IF('⚙ OFF Weekends'!$D$44="OFF","OFF","")</f>
        <v/>
      </c>
      <c r="AX17" s="56" t="str">
        <f>IF('⚙ OFF Weekends'!$D$45="OFF","OFF","")</f>
        <v/>
      </c>
      <c r="AY17" s="54" t="str">
        <f>IF('⚙ OFF Weekends'!$D$46="OFF","OFF","")</f>
        <v/>
      </c>
      <c r="AZ17" s="56" t="str">
        <f>IF('⚙ OFF Weekends'!$D$47="OFF","OFF","")</f>
        <v/>
      </c>
      <c r="BA17" s="54" t="str">
        <f>IF('⚙ OFF Weekends'!$D$48="OFF","OFF","")</f>
        <v/>
      </c>
      <c r="BB17" s="56" t="str">
        <f>IF('⚙ OFF Weekends'!$D$49="OFF","OFF","")</f>
        <v/>
      </c>
      <c r="BC17" s="54" t="str">
        <f>IF('⚙ OFF Weekends'!$D$50="OFF","OFF","")</f>
        <v/>
      </c>
      <c r="BD17" s="56" t="str">
        <f>IF('⚙ OFF Weekends'!$D$51="OFF","OFF","")</f>
        <v/>
      </c>
      <c r="BE17" s="54" t="str">
        <f>IF('⚙ OFF Weekends'!$D$52="OFF","OFF","")</f>
        <v/>
      </c>
      <c r="BF17" s="56" t="str">
        <f>IF('⚙ OFF Weekends'!$D$53="OFF","OFF","")</f>
        <v/>
      </c>
      <c r="BG17" s="54" t="str">
        <f>IF('⚙ OFF Weekends'!$D$54="OFF","OFF","")</f>
        <v/>
      </c>
      <c r="BH17" s="56" t="str">
        <f>IF('⚙ OFF Weekends'!$D$55="OFF","OFF","")</f>
        <v/>
      </c>
      <c r="BI17" s="54" t="str">
        <f>IF('⚙ OFF Weekends'!$D$56="OFF","OFF","")</f>
        <v/>
      </c>
      <c r="BJ17" s="56" t="str">
        <f>IF('⚙ OFF Weekends'!$D$57="OFF","OFF","")</f>
        <v/>
      </c>
      <c r="BK17" s="54" t="str">
        <f>IF('⚙ OFF Weekends'!$D$58="OFF","OFF","")</f>
        <v/>
      </c>
      <c r="BL17" s="56" t="str">
        <f>IF('⚙ OFF Weekends'!$D$59="OFF","OFF","")</f>
        <v/>
      </c>
      <c r="BM17" s="54" t="str">
        <f>IF('⚙ OFF Weekends'!$D$60="OFF","OFF","")</f>
        <v/>
      </c>
      <c r="BN17" s="56" t="str">
        <f>IF('⚙ OFF Weekends'!$D$61="OFF","OFF","")</f>
        <v/>
      </c>
      <c r="BO17" s="54" t="str">
        <f>IF('⚙ OFF Weekends'!$D$62="OFF","OFF","")</f>
        <v/>
      </c>
      <c r="BP17" s="56" t="str">
        <f>IF('⚙ OFF Weekends'!$D$63="OFF","OFF","")</f>
        <v/>
      </c>
      <c r="BQ17" s="54" t="str">
        <f>IF('⚙ OFF Weekends'!$D$64="OFF","OFF","")</f>
        <v/>
      </c>
      <c r="BR17" s="56" t="str">
        <f>IF('⚙ OFF Weekends'!$D$65="OFF","OFF","")</f>
        <v/>
      </c>
      <c r="BS17" s="54" t="str">
        <f>IF('⚙ OFF Weekends'!$D$66="OFF","OFF","")</f>
        <v/>
      </c>
      <c r="BT17" s="56" t="str">
        <f>IF('⚙ OFF Weekends'!$D$67="OFF","OFF","")</f>
        <v/>
      </c>
      <c r="BU17" s="54" t="str">
        <f>IF('⚙ OFF Weekends'!$D$68="OFF","OFF","")</f>
        <v/>
      </c>
      <c r="BV17" s="56" t="str">
        <f>IF('⚙ OFF Weekends'!$D$69="OFF","OFF","")</f>
        <v/>
      </c>
      <c r="BW17" s="54" t="str">
        <f>IF('⚙ OFF Weekends'!$D$70="OFF","OFF","")</f>
        <v/>
      </c>
      <c r="BX17" s="56" t="str">
        <f>IF('⚙ OFF Weekends'!$D$71="OFF","OFF","")</f>
        <v/>
      </c>
      <c r="BY17" s="54" t="str">
        <f>IF('⚙ OFF Weekends'!$D$72="OFF","OFF","")</f>
        <v/>
      </c>
      <c r="BZ17" s="56" t="str">
        <f>IF('⚙ OFF Weekends'!$D$73="OFF","OFF","")</f>
        <v/>
      </c>
      <c r="CA17" s="54" t="str">
        <f>IF('⚙ OFF Weekends'!$D$74="OFF","OFF","")</f>
        <v/>
      </c>
      <c r="CB17" s="56" t="str">
        <f>IF('⚙ OFF Weekends'!$D$75="OFF","OFF","")</f>
        <v/>
      </c>
      <c r="CC17" s="54" t="str">
        <f>IF('⚙ OFF Weekends'!$D$76="OFF","OFF","")</f>
        <v/>
      </c>
      <c r="CD17" s="56" t="str">
        <f>IF('⚙ OFF Weekends'!$D$77="OFF","OFF","")</f>
        <v/>
      </c>
      <c r="CE17" s="96">
        <f t="shared" si="9"/>
        <v>11</v>
      </c>
      <c r="CF17" s="96">
        <f t="shared" si="10"/>
        <v>7</v>
      </c>
      <c r="CG17" s="96">
        <f t="shared" si="11"/>
        <v>0</v>
      </c>
      <c r="CH17" s="96" t="str">
        <f t="shared" si="12"/>
        <v>61%</v>
      </c>
    </row>
    <row r="18" ht="18.0" customHeight="1">
      <c r="A18" s="95">
        <v>3.0</v>
      </c>
      <c r="B18" s="12" t="s">
        <v>447</v>
      </c>
      <c r="C18" s="14" t="s">
        <v>448</v>
      </c>
      <c r="D18" s="17" t="str">
        <f t="shared" si="7"/>
        <v>📞 Call</v>
      </c>
      <c r="E18" s="19" t="str">
        <f t="shared" si="8"/>
        <v>💬 WhatsApp</v>
      </c>
      <c r="F18" s="10"/>
      <c r="G18" s="10" t="s">
        <v>275</v>
      </c>
      <c r="H18" s="10" t="s">
        <v>320</v>
      </c>
      <c r="I18" s="48" t="s">
        <v>196</v>
      </c>
      <c r="J18" s="48" t="s">
        <v>196</v>
      </c>
      <c r="K18" s="49" t="s">
        <v>197</v>
      </c>
      <c r="L18" s="50" t="s">
        <v>37</v>
      </c>
      <c r="M18" s="48" t="s">
        <v>196</v>
      </c>
      <c r="N18" s="50" t="s">
        <v>37</v>
      </c>
      <c r="O18" s="50" t="s">
        <v>37</v>
      </c>
      <c r="P18" s="79" t="s">
        <v>223</v>
      </c>
      <c r="Q18" s="48" t="s">
        <v>196</v>
      </c>
      <c r="R18" s="48" t="s">
        <v>196</v>
      </c>
      <c r="S18" s="52" t="s">
        <v>223</v>
      </c>
      <c r="T18" s="53" t="s">
        <v>223</v>
      </c>
      <c r="U18" s="52" t="s">
        <v>223</v>
      </c>
      <c r="V18" s="53" t="s">
        <v>196</v>
      </c>
      <c r="W18" s="54" t="str">
        <f>IF('⚙ OFF Weekends'!$D$18="OFF","OFF","")</f>
        <v>OFF</v>
      </c>
      <c r="X18" s="53" t="s">
        <v>198</v>
      </c>
      <c r="Y18" s="52" t="s">
        <v>37</v>
      </c>
      <c r="Z18" s="53" t="s">
        <v>198</v>
      </c>
      <c r="AA18" s="105" t="s">
        <v>37</v>
      </c>
      <c r="AB18" s="53" t="s">
        <v>198</v>
      </c>
      <c r="AC18" s="54" t="str">
        <f>IF('⚙ OFF Weekends'!$D$24="OFF","OFF","")</f>
        <v/>
      </c>
      <c r="AD18" s="56" t="str">
        <f>IF('⚙ OFF Weekends'!$D$25="OFF","OFF","")</f>
        <v/>
      </c>
      <c r="AE18" s="54" t="str">
        <f>IF('⚙ OFF Weekends'!$D$26="OFF","OFF","")</f>
        <v/>
      </c>
      <c r="AF18" s="56" t="str">
        <f>IF('⚙ OFF Weekends'!$D$27="OFF","OFF","")</f>
        <v/>
      </c>
      <c r="AG18" s="54" t="str">
        <f>IF('⚙ OFF Weekends'!$D$28="OFF","OFF","")</f>
        <v/>
      </c>
      <c r="AH18" s="56" t="str">
        <f>IF('⚙ OFF Weekends'!$D$29="OFF","OFF","")</f>
        <v/>
      </c>
      <c r="AI18" s="54" t="str">
        <f>IF('⚙ OFF Weekends'!$D$30="OFF","OFF","")</f>
        <v/>
      </c>
      <c r="AJ18" s="56" t="str">
        <f>IF('⚙ OFF Weekends'!$D$31="OFF","OFF","")</f>
        <v/>
      </c>
      <c r="AK18" s="54" t="str">
        <f>IF('⚙ OFF Weekends'!$D$32="OFF","OFF","")</f>
        <v/>
      </c>
      <c r="AL18" s="56" t="str">
        <f>IF('⚙ OFF Weekends'!$D$33="OFF","OFF","")</f>
        <v/>
      </c>
      <c r="AM18" s="54" t="str">
        <f>IF('⚙ OFF Weekends'!$D$34="OFF","OFF","")</f>
        <v/>
      </c>
      <c r="AN18" s="56" t="str">
        <f>IF('⚙ OFF Weekends'!$D$35="OFF","OFF","")</f>
        <v/>
      </c>
      <c r="AO18" s="54" t="str">
        <f>IF('⚙ OFF Weekends'!$D$36="OFF","OFF","")</f>
        <v/>
      </c>
      <c r="AP18" s="56" t="str">
        <f>IF('⚙ OFF Weekends'!$D$37="OFF","OFF","")</f>
        <v/>
      </c>
      <c r="AQ18" s="54" t="str">
        <f>IF('⚙ OFF Weekends'!$D$38="OFF","OFF","")</f>
        <v/>
      </c>
      <c r="AR18" s="56" t="str">
        <f>IF('⚙ OFF Weekends'!$D$39="OFF","OFF","")</f>
        <v/>
      </c>
      <c r="AS18" s="54" t="str">
        <f>IF('⚙ OFF Weekends'!$D$40="OFF","OFF","")</f>
        <v/>
      </c>
      <c r="AT18" s="56" t="str">
        <f>IF('⚙ OFF Weekends'!$D$41="OFF","OFF","")</f>
        <v/>
      </c>
      <c r="AU18" s="54" t="str">
        <f>IF('⚙ OFF Weekends'!$D$42="OFF","OFF","")</f>
        <v/>
      </c>
      <c r="AV18" s="56" t="str">
        <f>IF('⚙ OFF Weekends'!$D$43="OFF","OFF","")</f>
        <v/>
      </c>
      <c r="AW18" s="54" t="str">
        <f>IF('⚙ OFF Weekends'!$D$44="OFF","OFF","")</f>
        <v/>
      </c>
      <c r="AX18" s="56" t="str">
        <f>IF('⚙ OFF Weekends'!$D$45="OFF","OFF","")</f>
        <v/>
      </c>
      <c r="AY18" s="54" t="str">
        <f>IF('⚙ OFF Weekends'!$D$46="OFF","OFF","")</f>
        <v/>
      </c>
      <c r="AZ18" s="56" t="str">
        <f>IF('⚙ OFF Weekends'!$D$47="OFF","OFF","")</f>
        <v/>
      </c>
      <c r="BA18" s="54" t="str">
        <f>IF('⚙ OFF Weekends'!$D$48="OFF","OFF","")</f>
        <v/>
      </c>
      <c r="BB18" s="56" t="str">
        <f>IF('⚙ OFF Weekends'!$D$49="OFF","OFF","")</f>
        <v/>
      </c>
      <c r="BC18" s="54" t="str">
        <f>IF('⚙ OFF Weekends'!$D$50="OFF","OFF","")</f>
        <v/>
      </c>
      <c r="BD18" s="56" t="str">
        <f>IF('⚙ OFF Weekends'!$D$51="OFF","OFF","")</f>
        <v/>
      </c>
      <c r="BE18" s="54" t="str">
        <f>IF('⚙ OFF Weekends'!$D$52="OFF","OFF","")</f>
        <v/>
      </c>
      <c r="BF18" s="56" t="str">
        <f>IF('⚙ OFF Weekends'!$D$53="OFF","OFF","")</f>
        <v/>
      </c>
      <c r="BG18" s="54" t="str">
        <f>IF('⚙ OFF Weekends'!$D$54="OFF","OFF","")</f>
        <v/>
      </c>
      <c r="BH18" s="56" t="str">
        <f>IF('⚙ OFF Weekends'!$D$55="OFF","OFF","")</f>
        <v/>
      </c>
      <c r="BI18" s="54" t="str">
        <f>IF('⚙ OFF Weekends'!$D$56="OFF","OFF","")</f>
        <v/>
      </c>
      <c r="BJ18" s="56" t="str">
        <f>IF('⚙ OFF Weekends'!$D$57="OFF","OFF","")</f>
        <v/>
      </c>
      <c r="BK18" s="54" t="str">
        <f>IF('⚙ OFF Weekends'!$D$58="OFF","OFF","")</f>
        <v/>
      </c>
      <c r="BL18" s="56" t="str">
        <f>IF('⚙ OFF Weekends'!$D$59="OFF","OFF","")</f>
        <v/>
      </c>
      <c r="BM18" s="54" t="str">
        <f>IF('⚙ OFF Weekends'!$D$60="OFF","OFF","")</f>
        <v/>
      </c>
      <c r="BN18" s="56" t="str">
        <f>IF('⚙ OFF Weekends'!$D$61="OFF","OFF","")</f>
        <v/>
      </c>
      <c r="BO18" s="54" t="str">
        <f>IF('⚙ OFF Weekends'!$D$62="OFF","OFF","")</f>
        <v/>
      </c>
      <c r="BP18" s="56" t="str">
        <f>IF('⚙ OFF Weekends'!$D$63="OFF","OFF","")</f>
        <v/>
      </c>
      <c r="BQ18" s="54" t="str">
        <f>IF('⚙ OFF Weekends'!$D$64="OFF","OFF","")</f>
        <v/>
      </c>
      <c r="BR18" s="56" t="str">
        <f>IF('⚙ OFF Weekends'!$D$65="OFF","OFF","")</f>
        <v/>
      </c>
      <c r="BS18" s="54" t="str">
        <f>IF('⚙ OFF Weekends'!$D$66="OFF","OFF","")</f>
        <v/>
      </c>
      <c r="BT18" s="56" t="str">
        <f>IF('⚙ OFF Weekends'!$D$67="OFF","OFF","")</f>
        <v/>
      </c>
      <c r="BU18" s="54" t="str">
        <f>IF('⚙ OFF Weekends'!$D$68="OFF","OFF","")</f>
        <v/>
      </c>
      <c r="BV18" s="56" t="str">
        <f>IF('⚙ OFF Weekends'!$D$69="OFF","OFF","")</f>
        <v/>
      </c>
      <c r="BW18" s="54" t="str">
        <f>IF('⚙ OFF Weekends'!$D$70="OFF","OFF","")</f>
        <v/>
      </c>
      <c r="BX18" s="56" t="str">
        <f>IF('⚙ OFF Weekends'!$D$71="OFF","OFF","")</f>
        <v/>
      </c>
      <c r="BY18" s="54" t="str">
        <f>IF('⚙ OFF Weekends'!$D$72="OFF","OFF","")</f>
        <v/>
      </c>
      <c r="BZ18" s="56" t="str">
        <f>IF('⚙ OFF Weekends'!$D$73="OFF","OFF","")</f>
        <v/>
      </c>
      <c r="CA18" s="54" t="str">
        <f>IF('⚙ OFF Weekends'!$D$74="OFF","OFF","")</f>
        <v/>
      </c>
      <c r="CB18" s="56" t="str">
        <f>IF('⚙ OFF Weekends'!$D$75="OFF","OFF","")</f>
        <v/>
      </c>
      <c r="CC18" s="54" t="str">
        <f>IF('⚙ OFF Weekends'!$D$76="OFF","OFF","")</f>
        <v/>
      </c>
      <c r="CD18" s="56" t="str">
        <f>IF('⚙ OFF Weekends'!$D$77="OFF","OFF","")</f>
        <v/>
      </c>
      <c r="CE18" s="95">
        <f t="shared" si="9"/>
        <v>11</v>
      </c>
      <c r="CF18" s="95">
        <f t="shared" si="10"/>
        <v>4</v>
      </c>
      <c r="CG18" s="95">
        <f t="shared" si="11"/>
        <v>3</v>
      </c>
      <c r="CH18" s="95" t="str">
        <f t="shared" si="12"/>
        <v>73%</v>
      </c>
    </row>
    <row r="19" ht="18.0" customHeight="1">
      <c r="A19" s="96">
        <v>4.0</v>
      </c>
      <c r="B19" s="22" t="s">
        <v>452</v>
      </c>
      <c r="C19" s="23" t="s">
        <v>453</v>
      </c>
      <c r="D19" s="24" t="str">
        <f t="shared" si="7"/>
        <v>📞 Call</v>
      </c>
      <c r="E19" s="41" t="str">
        <f t="shared" si="8"/>
        <v>💬 WhatsApp</v>
      </c>
      <c r="F19" s="20"/>
      <c r="G19" s="20" t="s">
        <v>294</v>
      </c>
      <c r="H19" s="20" t="s">
        <v>299</v>
      </c>
      <c r="I19" s="48" t="s">
        <v>196</v>
      </c>
      <c r="J19" s="48" t="s">
        <v>196</v>
      </c>
      <c r="K19" s="49" t="s">
        <v>197</v>
      </c>
      <c r="L19" s="79" t="s">
        <v>223</v>
      </c>
      <c r="M19" s="48" t="s">
        <v>196</v>
      </c>
      <c r="N19" s="79" t="s">
        <v>223</v>
      </c>
      <c r="O19" s="48" t="s">
        <v>196</v>
      </c>
      <c r="P19" s="48" t="s">
        <v>196</v>
      </c>
      <c r="Q19" s="79" t="s">
        <v>223</v>
      </c>
      <c r="R19" s="48" t="s">
        <v>196</v>
      </c>
      <c r="S19" s="52" t="s">
        <v>37</v>
      </c>
      <c r="T19" s="98" t="s">
        <v>196</v>
      </c>
      <c r="U19" s="52" t="s">
        <v>37</v>
      </c>
      <c r="V19" s="53" t="s">
        <v>223</v>
      </c>
      <c r="W19" s="54" t="str">
        <f>IF('⚙ OFF Weekends'!$D$18="OFF","OFF","")</f>
        <v>OFF</v>
      </c>
      <c r="X19" s="53" t="s">
        <v>196</v>
      </c>
      <c r="Y19" s="52" t="s">
        <v>223</v>
      </c>
      <c r="Z19" s="53" t="s">
        <v>223</v>
      </c>
      <c r="AA19" s="105" t="s">
        <v>37</v>
      </c>
      <c r="AB19" s="53" t="s">
        <v>223</v>
      </c>
      <c r="AC19" s="54" t="str">
        <f>IF('⚙ OFF Weekends'!$D$24="OFF","OFF","")</f>
        <v/>
      </c>
      <c r="AD19" s="56" t="str">
        <f>IF('⚙ OFF Weekends'!$D$25="OFF","OFF","")</f>
        <v/>
      </c>
      <c r="AE19" s="54" t="str">
        <f>IF('⚙ OFF Weekends'!$D$26="OFF","OFF","")</f>
        <v/>
      </c>
      <c r="AF19" s="56" t="str">
        <f>IF('⚙ OFF Weekends'!$D$27="OFF","OFF","")</f>
        <v/>
      </c>
      <c r="AG19" s="54" t="str">
        <f>IF('⚙ OFF Weekends'!$D$28="OFF","OFF","")</f>
        <v/>
      </c>
      <c r="AH19" s="56" t="str">
        <f>IF('⚙ OFF Weekends'!$D$29="OFF","OFF","")</f>
        <v/>
      </c>
      <c r="AI19" s="54" t="str">
        <f>IF('⚙ OFF Weekends'!$D$30="OFF","OFF","")</f>
        <v/>
      </c>
      <c r="AJ19" s="56" t="str">
        <f>IF('⚙ OFF Weekends'!$D$31="OFF","OFF","")</f>
        <v/>
      </c>
      <c r="AK19" s="54" t="str">
        <f>IF('⚙ OFF Weekends'!$D$32="OFF","OFF","")</f>
        <v/>
      </c>
      <c r="AL19" s="56" t="str">
        <f>IF('⚙ OFF Weekends'!$D$33="OFF","OFF","")</f>
        <v/>
      </c>
      <c r="AM19" s="54" t="str">
        <f>IF('⚙ OFF Weekends'!$D$34="OFF","OFF","")</f>
        <v/>
      </c>
      <c r="AN19" s="56" t="str">
        <f>IF('⚙ OFF Weekends'!$D$35="OFF","OFF","")</f>
        <v/>
      </c>
      <c r="AO19" s="54" t="str">
        <f>IF('⚙ OFF Weekends'!$D$36="OFF","OFF","")</f>
        <v/>
      </c>
      <c r="AP19" s="56" t="str">
        <f>IF('⚙ OFF Weekends'!$D$37="OFF","OFF","")</f>
        <v/>
      </c>
      <c r="AQ19" s="54" t="str">
        <f>IF('⚙ OFF Weekends'!$D$38="OFF","OFF","")</f>
        <v/>
      </c>
      <c r="AR19" s="56" t="str">
        <f>IF('⚙ OFF Weekends'!$D$39="OFF","OFF","")</f>
        <v/>
      </c>
      <c r="AS19" s="54" t="str">
        <f>IF('⚙ OFF Weekends'!$D$40="OFF","OFF","")</f>
        <v/>
      </c>
      <c r="AT19" s="56" t="str">
        <f>IF('⚙ OFF Weekends'!$D$41="OFF","OFF","")</f>
        <v/>
      </c>
      <c r="AU19" s="54" t="str">
        <f>IF('⚙ OFF Weekends'!$D$42="OFF","OFF","")</f>
        <v/>
      </c>
      <c r="AV19" s="56" t="str">
        <f>IF('⚙ OFF Weekends'!$D$43="OFF","OFF","")</f>
        <v/>
      </c>
      <c r="AW19" s="54" t="str">
        <f>IF('⚙ OFF Weekends'!$D$44="OFF","OFF","")</f>
        <v/>
      </c>
      <c r="AX19" s="56" t="str">
        <f>IF('⚙ OFF Weekends'!$D$45="OFF","OFF","")</f>
        <v/>
      </c>
      <c r="AY19" s="54" t="str">
        <f>IF('⚙ OFF Weekends'!$D$46="OFF","OFF","")</f>
        <v/>
      </c>
      <c r="AZ19" s="56" t="str">
        <f>IF('⚙ OFF Weekends'!$D$47="OFF","OFF","")</f>
        <v/>
      </c>
      <c r="BA19" s="54" t="str">
        <f>IF('⚙ OFF Weekends'!$D$48="OFF","OFF","")</f>
        <v/>
      </c>
      <c r="BB19" s="56" t="str">
        <f>IF('⚙ OFF Weekends'!$D$49="OFF","OFF","")</f>
        <v/>
      </c>
      <c r="BC19" s="54" t="str">
        <f>IF('⚙ OFF Weekends'!$D$50="OFF","OFF","")</f>
        <v/>
      </c>
      <c r="BD19" s="56" t="str">
        <f>IF('⚙ OFF Weekends'!$D$51="OFF","OFF","")</f>
        <v/>
      </c>
      <c r="BE19" s="54" t="str">
        <f>IF('⚙ OFF Weekends'!$D$52="OFF","OFF","")</f>
        <v/>
      </c>
      <c r="BF19" s="56" t="str">
        <f>IF('⚙ OFF Weekends'!$D$53="OFF","OFF","")</f>
        <v/>
      </c>
      <c r="BG19" s="54" t="str">
        <f>IF('⚙ OFF Weekends'!$D$54="OFF","OFF","")</f>
        <v/>
      </c>
      <c r="BH19" s="56" t="str">
        <f>IF('⚙ OFF Weekends'!$D$55="OFF","OFF","")</f>
        <v/>
      </c>
      <c r="BI19" s="54" t="str">
        <f>IF('⚙ OFF Weekends'!$D$56="OFF","OFF","")</f>
        <v/>
      </c>
      <c r="BJ19" s="56" t="str">
        <f>IF('⚙ OFF Weekends'!$D$57="OFF","OFF","")</f>
        <v/>
      </c>
      <c r="BK19" s="54" t="str">
        <f>IF('⚙ OFF Weekends'!$D$58="OFF","OFF","")</f>
        <v/>
      </c>
      <c r="BL19" s="56" t="str">
        <f>IF('⚙ OFF Weekends'!$D$59="OFF","OFF","")</f>
        <v/>
      </c>
      <c r="BM19" s="54" t="str">
        <f>IF('⚙ OFF Weekends'!$D$60="OFF","OFF","")</f>
        <v/>
      </c>
      <c r="BN19" s="56" t="str">
        <f>IF('⚙ OFF Weekends'!$D$61="OFF","OFF","")</f>
        <v/>
      </c>
      <c r="BO19" s="54" t="str">
        <f>IF('⚙ OFF Weekends'!$D$62="OFF","OFF","")</f>
        <v/>
      </c>
      <c r="BP19" s="56" t="str">
        <f>IF('⚙ OFF Weekends'!$D$63="OFF","OFF","")</f>
        <v/>
      </c>
      <c r="BQ19" s="54" t="str">
        <f>IF('⚙ OFF Weekends'!$D$64="OFF","OFF","")</f>
        <v/>
      </c>
      <c r="BR19" s="56" t="str">
        <f>IF('⚙ OFF Weekends'!$D$65="OFF","OFF","")</f>
        <v/>
      </c>
      <c r="BS19" s="54" t="str">
        <f>IF('⚙ OFF Weekends'!$D$66="OFF","OFF","")</f>
        <v/>
      </c>
      <c r="BT19" s="56" t="str">
        <f>IF('⚙ OFF Weekends'!$D$67="OFF","OFF","")</f>
        <v/>
      </c>
      <c r="BU19" s="54" t="str">
        <f>IF('⚙ OFF Weekends'!$D$68="OFF","OFF","")</f>
        <v/>
      </c>
      <c r="BV19" s="56" t="str">
        <f>IF('⚙ OFF Weekends'!$D$69="OFF","OFF","")</f>
        <v/>
      </c>
      <c r="BW19" s="54" t="str">
        <f>IF('⚙ OFF Weekends'!$D$70="OFF","OFF","")</f>
        <v/>
      </c>
      <c r="BX19" s="56" t="str">
        <f>IF('⚙ OFF Weekends'!$D$71="OFF","OFF","")</f>
        <v/>
      </c>
      <c r="BY19" s="54" t="str">
        <f>IF('⚙ OFF Weekends'!$D$72="OFF","OFF","")</f>
        <v/>
      </c>
      <c r="BZ19" s="56" t="str">
        <f>IF('⚙ OFF Weekends'!$D$73="OFF","OFF","")</f>
        <v/>
      </c>
      <c r="CA19" s="54" t="str">
        <f>IF('⚙ OFF Weekends'!$D$74="OFF","OFF","")</f>
        <v/>
      </c>
      <c r="CB19" s="56" t="str">
        <f>IF('⚙ OFF Weekends'!$D$75="OFF","OFF","")</f>
        <v/>
      </c>
      <c r="CC19" s="54" t="str">
        <f>IF('⚙ OFF Weekends'!$D$76="OFF","OFF","")</f>
        <v/>
      </c>
      <c r="CD19" s="56" t="str">
        <f>IF('⚙ OFF Weekends'!$D$77="OFF","OFF","")</f>
        <v/>
      </c>
      <c r="CE19" s="96">
        <f t="shared" si="9"/>
        <v>11</v>
      </c>
      <c r="CF19" s="96">
        <f t="shared" si="10"/>
        <v>7</v>
      </c>
      <c r="CG19" s="96">
        <f t="shared" si="11"/>
        <v>0</v>
      </c>
      <c r="CH19" s="96" t="str">
        <f t="shared" si="12"/>
        <v>61%</v>
      </c>
    </row>
    <row r="20" ht="18.0" customHeight="1">
      <c r="A20" s="95">
        <v>5.0</v>
      </c>
      <c r="B20" s="12" t="s">
        <v>455</v>
      </c>
      <c r="C20" s="14" t="s">
        <v>456</v>
      </c>
      <c r="D20" s="17" t="str">
        <f t="shared" si="7"/>
        <v>📞 Call</v>
      </c>
      <c r="E20" s="19" t="str">
        <f t="shared" si="8"/>
        <v>💬 WhatsApp</v>
      </c>
      <c r="F20" s="10"/>
      <c r="G20" s="10" t="s">
        <v>294</v>
      </c>
      <c r="H20" s="10"/>
      <c r="I20" s="48" t="s">
        <v>196</v>
      </c>
      <c r="J20" s="48" t="s">
        <v>196</v>
      </c>
      <c r="K20" s="49" t="s">
        <v>197</v>
      </c>
      <c r="L20" s="50" t="s">
        <v>37</v>
      </c>
      <c r="M20" s="48" t="s">
        <v>196</v>
      </c>
      <c r="N20" s="50" t="s">
        <v>37</v>
      </c>
      <c r="O20" s="50" t="s">
        <v>37</v>
      </c>
      <c r="P20" s="48" t="s">
        <v>196</v>
      </c>
      <c r="Q20" s="48" t="s">
        <v>196</v>
      </c>
      <c r="R20" s="79" t="s">
        <v>223</v>
      </c>
      <c r="S20" s="52" t="s">
        <v>223</v>
      </c>
      <c r="T20" s="53" t="s">
        <v>223</v>
      </c>
      <c r="U20" s="52" t="s">
        <v>37</v>
      </c>
      <c r="V20" s="53" t="s">
        <v>198</v>
      </c>
      <c r="W20" s="54" t="str">
        <f>IF('⚙ OFF Weekends'!$D$18="OFF","OFF","")</f>
        <v>OFF</v>
      </c>
      <c r="X20" s="53" t="s">
        <v>223</v>
      </c>
      <c r="Y20" s="52" t="s">
        <v>37</v>
      </c>
      <c r="Z20" s="53" t="s">
        <v>37</v>
      </c>
      <c r="AA20" s="105" t="s">
        <v>37</v>
      </c>
      <c r="AB20" s="53" t="s">
        <v>223</v>
      </c>
      <c r="AC20" s="54" t="str">
        <f>IF('⚙ OFF Weekends'!$D$24="OFF","OFF","")</f>
        <v/>
      </c>
      <c r="AD20" s="56" t="str">
        <f>IF('⚙ OFF Weekends'!$D$25="OFF","OFF","")</f>
        <v/>
      </c>
      <c r="AE20" s="54" t="str">
        <f>IF('⚙ OFF Weekends'!$D$26="OFF","OFF","")</f>
        <v/>
      </c>
      <c r="AF20" s="56" t="str">
        <f>IF('⚙ OFF Weekends'!$D$27="OFF","OFF","")</f>
        <v/>
      </c>
      <c r="AG20" s="54" t="str">
        <f>IF('⚙ OFF Weekends'!$D$28="OFF","OFF","")</f>
        <v/>
      </c>
      <c r="AH20" s="56" t="str">
        <f>IF('⚙ OFF Weekends'!$D$29="OFF","OFF","")</f>
        <v/>
      </c>
      <c r="AI20" s="54" t="str">
        <f>IF('⚙ OFF Weekends'!$D$30="OFF","OFF","")</f>
        <v/>
      </c>
      <c r="AJ20" s="56" t="str">
        <f>IF('⚙ OFF Weekends'!$D$31="OFF","OFF","")</f>
        <v/>
      </c>
      <c r="AK20" s="54" t="str">
        <f>IF('⚙ OFF Weekends'!$D$32="OFF","OFF","")</f>
        <v/>
      </c>
      <c r="AL20" s="56" t="str">
        <f>IF('⚙ OFF Weekends'!$D$33="OFF","OFF","")</f>
        <v/>
      </c>
      <c r="AM20" s="54" t="str">
        <f>IF('⚙ OFF Weekends'!$D$34="OFF","OFF","")</f>
        <v/>
      </c>
      <c r="AN20" s="56" t="str">
        <f>IF('⚙ OFF Weekends'!$D$35="OFF","OFF","")</f>
        <v/>
      </c>
      <c r="AO20" s="54" t="str">
        <f>IF('⚙ OFF Weekends'!$D$36="OFF","OFF","")</f>
        <v/>
      </c>
      <c r="AP20" s="56" t="str">
        <f>IF('⚙ OFF Weekends'!$D$37="OFF","OFF","")</f>
        <v/>
      </c>
      <c r="AQ20" s="54" t="str">
        <f>IF('⚙ OFF Weekends'!$D$38="OFF","OFF","")</f>
        <v/>
      </c>
      <c r="AR20" s="56" t="str">
        <f>IF('⚙ OFF Weekends'!$D$39="OFF","OFF","")</f>
        <v/>
      </c>
      <c r="AS20" s="54" t="str">
        <f>IF('⚙ OFF Weekends'!$D$40="OFF","OFF","")</f>
        <v/>
      </c>
      <c r="AT20" s="56" t="str">
        <f>IF('⚙ OFF Weekends'!$D$41="OFF","OFF","")</f>
        <v/>
      </c>
      <c r="AU20" s="54" t="str">
        <f>IF('⚙ OFF Weekends'!$D$42="OFF","OFF","")</f>
        <v/>
      </c>
      <c r="AV20" s="56" t="str">
        <f>IF('⚙ OFF Weekends'!$D$43="OFF","OFF","")</f>
        <v/>
      </c>
      <c r="AW20" s="54" t="str">
        <f>IF('⚙ OFF Weekends'!$D$44="OFF","OFF","")</f>
        <v/>
      </c>
      <c r="AX20" s="56" t="str">
        <f>IF('⚙ OFF Weekends'!$D$45="OFF","OFF","")</f>
        <v/>
      </c>
      <c r="AY20" s="54" t="str">
        <f>IF('⚙ OFF Weekends'!$D$46="OFF","OFF","")</f>
        <v/>
      </c>
      <c r="AZ20" s="56" t="str">
        <f>IF('⚙ OFF Weekends'!$D$47="OFF","OFF","")</f>
        <v/>
      </c>
      <c r="BA20" s="54" t="str">
        <f>IF('⚙ OFF Weekends'!$D$48="OFF","OFF","")</f>
        <v/>
      </c>
      <c r="BB20" s="56" t="str">
        <f>IF('⚙ OFF Weekends'!$D$49="OFF","OFF","")</f>
        <v/>
      </c>
      <c r="BC20" s="54" t="str">
        <f>IF('⚙ OFF Weekends'!$D$50="OFF","OFF","")</f>
        <v/>
      </c>
      <c r="BD20" s="56" t="str">
        <f>IF('⚙ OFF Weekends'!$D$51="OFF","OFF","")</f>
        <v/>
      </c>
      <c r="BE20" s="54" t="str">
        <f>IF('⚙ OFF Weekends'!$D$52="OFF","OFF","")</f>
        <v/>
      </c>
      <c r="BF20" s="56" t="str">
        <f>IF('⚙ OFF Weekends'!$D$53="OFF","OFF","")</f>
        <v/>
      </c>
      <c r="BG20" s="54" t="str">
        <f>IF('⚙ OFF Weekends'!$D$54="OFF","OFF","")</f>
        <v/>
      </c>
      <c r="BH20" s="56" t="str">
        <f>IF('⚙ OFF Weekends'!$D$55="OFF","OFF","")</f>
        <v/>
      </c>
      <c r="BI20" s="54" t="str">
        <f>IF('⚙ OFF Weekends'!$D$56="OFF","OFF","")</f>
        <v/>
      </c>
      <c r="BJ20" s="56" t="str">
        <f>IF('⚙ OFF Weekends'!$D$57="OFF","OFF","")</f>
        <v/>
      </c>
      <c r="BK20" s="54" t="str">
        <f>IF('⚙ OFF Weekends'!$D$58="OFF","OFF","")</f>
        <v/>
      </c>
      <c r="BL20" s="56" t="str">
        <f>IF('⚙ OFF Weekends'!$D$59="OFF","OFF","")</f>
        <v/>
      </c>
      <c r="BM20" s="54" t="str">
        <f>IF('⚙ OFF Weekends'!$D$60="OFF","OFF","")</f>
        <v/>
      </c>
      <c r="BN20" s="56" t="str">
        <f>IF('⚙ OFF Weekends'!$D$61="OFF","OFF","")</f>
        <v/>
      </c>
      <c r="BO20" s="54" t="str">
        <f>IF('⚙ OFF Weekends'!$D$62="OFF","OFF","")</f>
        <v/>
      </c>
      <c r="BP20" s="56" t="str">
        <f>IF('⚙ OFF Weekends'!$D$63="OFF","OFF","")</f>
        <v/>
      </c>
      <c r="BQ20" s="54" t="str">
        <f>IF('⚙ OFF Weekends'!$D$64="OFF","OFF","")</f>
        <v/>
      </c>
      <c r="BR20" s="56" t="str">
        <f>IF('⚙ OFF Weekends'!$D$65="OFF","OFF","")</f>
        <v/>
      </c>
      <c r="BS20" s="54" t="str">
        <f>IF('⚙ OFF Weekends'!$D$66="OFF","OFF","")</f>
        <v/>
      </c>
      <c r="BT20" s="56" t="str">
        <f>IF('⚙ OFF Weekends'!$D$67="OFF","OFF","")</f>
        <v/>
      </c>
      <c r="BU20" s="54" t="str">
        <f>IF('⚙ OFF Weekends'!$D$68="OFF","OFF","")</f>
        <v/>
      </c>
      <c r="BV20" s="56" t="str">
        <f>IF('⚙ OFF Weekends'!$D$69="OFF","OFF","")</f>
        <v/>
      </c>
      <c r="BW20" s="54" t="str">
        <f>IF('⚙ OFF Weekends'!$D$70="OFF","OFF","")</f>
        <v/>
      </c>
      <c r="BX20" s="56" t="str">
        <f>IF('⚙ OFF Weekends'!$D$71="OFF","OFF","")</f>
        <v/>
      </c>
      <c r="BY20" s="54" t="str">
        <f>IF('⚙ OFF Weekends'!$D$72="OFF","OFF","")</f>
        <v/>
      </c>
      <c r="BZ20" s="56" t="str">
        <f>IF('⚙ OFF Weekends'!$D$73="OFF","OFF","")</f>
        <v/>
      </c>
      <c r="CA20" s="54" t="str">
        <f>IF('⚙ OFF Weekends'!$D$74="OFF","OFF","")</f>
        <v/>
      </c>
      <c r="CB20" s="56" t="str">
        <f>IF('⚙ OFF Weekends'!$D$75="OFF","OFF","")</f>
        <v/>
      </c>
      <c r="CC20" s="54" t="str">
        <f>IF('⚙ OFF Weekends'!$D$76="OFF","OFF","")</f>
        <v/>
      </c>
      <c r="CD20" s="56" t="str">
        <f>IF('⚙ OFF Weekends'!$D$77="OFF","OFF","")</f>
        <v/>
      </c>
      <c r="CE20" s="95">
        <f t="shared" si="9"/>
        <v>12</v>
      </c>
      <c r="CF20" s="95">
        <f t="shared" si="10"/>
        <v>5</v>
      </c>
      <c r="CG20" s="95">
        <f t="shared" si="11"/>
        <v>1</v>
      </c>
      <c r="CH20" s="95" t="str">
        <f t="shared" si="12"/>
        <v>71%</v>
      </c>
    </row>
    <row r="21" ht="18.0" customHeight="1">
      <c r="A21" s="96">
        <v>6.0</v>
      </c>
      <c r="B21" s="22" t="s">
        <v>462</v>
      </c>
      <c r="C21" s="23" t="s">
        <v>463</v>
      </c>
      <c r="D21" s="24" t="str">
        <f t="shared" si="7"/>
        <v>📞 Call</v>
      </c>
      <c r="E21" s="41" t="str">
        <f t="shared" si="8"/>
        <v>💬 WhatsApp</v>
      </c>
      <c r="F21" s="20"/>
      <c r="G21" s="20" t="s">
        <v>381</v>
      </c>
      <c r="H21" s="20"/>
      <c r="I21" s="79" t="s">
        <v>223</v>
      </c>
      <c r="J21" s="79" t="s">
        <v>223</v>
      </c>
      <c r="K21" s="49" t="s">
        <v>197</v>
      </c>
      <c r="L21" s="79" t="s">
        <v>223</v>
      </c>
      <c r="M21" s="79" t="s">
        <v>223</v>
      </c>
      <c r="N21" s="79" t="s">
        <v>223</v>
      </c>
      <c r="O21" s="79" t="s">
        <v>223</v>
      </c>
      <c r="P21" s="79" t="s">
        <v>223</v>
      </c>
      <c r="Q21" s="79" t="s">
        <v>223</v>
      </c>
      <c r="R21" s="79" t="s">
        <v>223</v>
      </c>
      <c r="S21" s="52" t="s">
        <v>223</v>
      </c>
      <c r="T21" s="53" t="s">
        <v>223</v>
      </c>
      <c r="U21" s="52" t="s">
        <v>223</v>
      </c>
      <c r="V21" s="53" t="s">
        <v>223</v>
      </c>
      <c r="W21" s="54" t="str">
        <f>IF('⚙ OFF Weekends'!$D$18="OFF","OFF","")</f>
        <v>OFF</v>
      </c>
      <c r="X21" s="53" t="s">
        <v>223</v>
      </c>
      <c r="Y21" s="52" t="s">
        <v>223</v>
      </c>
      <c r="Z21" s="53" t="s">
        <v>37</v>
      </c>
      <c r="AA21" s="52" t="s">
        <v>223</v>
      </c>
      <c r="AB21" s="53" t="s">
        <v>37</v>
      </c>
      <c r="AC21" s="54" t="str">
        <f>IF('⚙ OFF Weekends'!$D$24="OFF","OFF","")</f>
        <v/>
      </c>
      <c r="AD21" s="56" t="str">
        <f>IF('⚙ OFF Weekends'!$D$25="OFF","OFF","")</f>
        <v/>
      </c>
      <c r="AE21" s="54" t="str">
        <f>IF('⚙ OFF Weekends'!$D$26="OFF","OFF","")</f>
        <v/>
      </c>
      <c r="AF21" s="56" t="str">
        <f>IF('⚙ OFF Weekends'!$D$27="OFF","OFF","")</f>
        <v/>
      </c>
      <c r="AG21" s="54" t="str">
        <f>IF('⚙ OFF Weekends'!$D$28="OFF","OFF","")</f>
        <v/>
      </c>
      <c r="AH21" s="56" t="str">
        <f>IF('⚙ OFF Weekends'!$D$29="OFF","OFF","")</f>
        <v/>
      </c>
      <c r="AI21" s="54" t="str">
        <f>IF('⚙ OFF Weekends'!$D$30="OFF","OFF","")</f>
        <v/>
      </c>
      <c r="AJ21" s="56" t="str">
        <f>IF('⚙ OFF Weekends'!$D$31="OFF","OFF","")</f>
        <v/>
      </c>
      <c r="AK21" s="54" t="str">
        <f>IF('⚙ OFF Weekends'!$D$32="OFF","OFF","")</f>
        <v/>
      </c>
      <c r="AL21" s="56" t="str">
        <f>IF('⚙ OFF Weekends'!$D$33="OFF","OFF","")</f>
        <v/>
      </c>
      <c r="AM21" s="54" t="str">
        <f>IF('⚙ OFF Weekends'!$D$34="OFF","OFF","")</f>
        <v/>
      </c>
      <c r="AN21" s="56" t="str">
        <f>IF('⚙ OFF Weekends'!$D$35="OFF","OFF","")</f>
        <v/>
      </c>
      <c r="AO21" s="54" t="str">
        <f>IF('⚙ OFF Weekends'!$D$36="OFF","OFF","")</f>
        <v/>
      </c>
      <c r="AP21" s="56" t="str">
        <f>IF('⚙ OFF Weekends'!$D$37="OFF","OFF","")</f>
        <v/>
      </c>
      <c r="AQ21" s="54" t="str">
        <f>IF('⚙ OFF Weekends'!$D$38="OFF","OFF","")</f>
        <v/>
      </c>
      <c r="AR21" s="56" t="str">
        <f>IF('⚙ OFF Weekends'!$D$39="OFF","OFF","")</f>
        <v/>
      </c>
      <c r="AS21" s="54" t="str">
        <f>IF('⚙ OFF Weekends'!$D$40="OFF","OFF","")</f>
        <v/>
      </c>
      <c r="AT21" s="56" t="str">
        <f>IF('⚙ OFF Weekends'!$D$41="OFF","OFF","")</f>
        <v/>
      </c>
      <c r="AU21" s="54" t="str">
        <f>IF('⚙ OFF Weekends'!$D$42="OFF","OFF","")</f>
        <v/>
      </c>
      <c r="AV21" s="56" t="str">
        <f>IF('⚙ OFF Weekends'!$D$43="OFF","OFF","")</f>
        <v/>
      </c>
      <c r="AW21" s="54" t="str">
        <f>IF('⚙ OFF Weekends'!$D$44="OFF","OFF","")</f>
        <v/>
      </c>
      <c r="AX21" s="56" t="str">
        <f>IF('⚙ OFF Weekends'!$D$45="OFF","OFF","")</f>
        <v/>
      </c>
      <c r="AY21" s="54" t="str">
        <f>IF('⚙ OFF Weekends'!$D$46="OFF","OFF","")</f>
        <v/>
      </c>
      <c r="AZ21" s="56" t="str">
        <f>IF('⚙ OFF Weekends'!$D$47="OFF","OFF","")</f>
        <v/>
      </c>
      <c r="BA21" s="54" t="str">
        <f>IF('⚙ OFF Weekends'!$D$48="OFF","OFF","")</f>
        <v/>
      </c>
      <c r="BB21" s="56" t="str">
        <f>IF('⚙ OFF Weekends'!$D$49="OFF","OFF","")</f>
        <v/>
      </c>
      <c r="BC21" s="54" t="str">
        <f>IF('⚙ OFF Weekends'!$D$50="OFF","OFF","")</f>
        <v/>
      </c>
      <c r="BD21" s="56" t="str">
        <f>IF('⚙ OFF Weekends'!$D$51="OFF","OFF","")</f>
        <v/>
      </c>
      <c r="BE21" s="54" t="str">
        <f>IF('⚙ OFF Weekends'!$D$52="OFF","OFF","")</f>
        <v/>
      </c>
      <c r="BF21" s="56" t="str">
        <f>IF('⚙ OFF Weekends'!$D$53="OFF","OFF","")</f>
        <v/>
      </c>
      <c r="BG21" s="54" t="str">
        <f>IF('⚙ OFF Weekends'!$D$54="OFF","OFF","")</f>
        <v/>
      </c>
      <c r="BH21" s="56" t="str">
        <f>IF('⚙ OFF Weekends'!$D$55="OFF","OFF","")</f>
        <v/>
      </c>
      <c r="BI21" s="54" t="str">
        <f>IF('⚙ OFF Weekends'!$D$56="OFF","OFF","")</f>
        <v/>
      </c>
      <c r="BJ21" s="56" t="str">
        <f>IF('⚙ OFF Weekends'!$D$57="OFF","OFF","")</f>
        <v/>
      </c>
      <c r="BK21" s="54" t="str">
        <f>IF('⚙ OFF Weekends'!$D$58="OFF","OFF","")</f>
        <v/>
      </c>
      <c r="BL21" s="56" t="str">
        <f>IF('⚙ OFF Weekends'!$D$59="OFF","OFF","")</f>
        <v/>
      </c>
      <c r="BM21" s="54" t="str">
        <f>IF('⚙ OFF Weekends'!$D$60="OFF","OFF","")</f>
        <v/>
      </c>
      <c r="BN21" s="56" t="str">
        <f>IF('⚙ OFF Weekends'!$D$61="OFF","OFF","")</f>
        <v/>
      </c>
      <c r="BO21" s="54" t="str">
        <f>IF('⚙ OFF Weekends'!$D$62="OFF","OFF","")</f>
        <v/>
      </c>
      <c r="BP21" s="56" t="str">
        <f>IF('⚙ OFF Weekends'!$D$63="OFF","OFF","")</f>
        <v/>
      </c>
      <c r="BQ21" s="54" t="str">
        <f>IF('⚙ OFF Weekends'!$D$64="OFF","OFF","")</f>
        <v/>
      </c>
      <c r="BR21" s="56" t="str">
        <f>IF('⚙ OFF Weekends'!$D$65="OFF","OFF","")</f>
        <v/>
      </c>
      <c r="BS21" s="54" t="str">
        <f>IF('⚙ OFF Weekends'!$D$66="OFF","OFF","")</f>
        <v/>
      </c>
      <c r="BT21" s="56" t="str">
        <f>IF('⚙ OFF Weekends'!$D$67="OFF","OFF","")</f>
        <v/>
      </c>
      <c r="BU21" s="54" t="str">
        <f>IF('⚙ OFF Weekends'!$D$68="OFF","OFF","")</f>
        <v/>
      </c>
      <c r="BV21" s="56" t="str">
        <f>IF('⚙ OFF Weekends'!$D$69="OFF","OFF","")</f>
        <v/>
      </c>
      <c r="BW21" s="54" t="str">
        <f>IF('⚙ OFF Weekends'!$D$70="OFF","OFF","")</f>
        <v/>
      </c>
      <c r="BX21" s="56" t="str">
        <f>IF('⚙ OFF Weekends'!$D$71="OFF","OFF","")</f>
        <v/>
      </c>
      <c r="BY21" s="54" t="str">
        <f>IF('⚙ OFF Weekends'!$D$72="OFF","OFF","")</f>
        <v/>
      </c>
      <c r="BZ21" s="56" t="str">
        <f>IF('⚙ OFF Weekends'!$D$73="OFF","OFF","")</f>
        <v/>
      </c>
      <c r="CA21" s="54" t="str">
        <f>IF('⚙ OFF Weekends'!$D$74="OFF","OFF","")</f>
        <v/>
      </c>
      <c r="CB21" s="56" t="str">
        <f>IF('⚙ OFF Weekends'!$D$75="OFF","OFF","")</f>
        <v/>
      </c>
      <c r="CC21" s="54" t="str">
        <f>IF('⚙ OFF Weekends'!$D$76="OFF","OFF","")</f>
        <v/>
      </c>
      <c r="CD21" s="56" t="str">
        <f>IF('⚙ OFF Weekends'!$D$77="OFF","OFF","")</f>
        <v/>
      </c>
      <c r="CE21" s="96">
        <f t="shared" si="9"/>
        <v>2</v>
      </c>
      <c r="CF21" s="96">
        <f t="shared" si="10"/>
        <v>16</v>
      </c>
      <c r="CG21" s="96">
        <f t="shared" si="11"/>
        <v>0</v>
      </c>
      <c r="CH21" s="96" t="str">
        <f t="shared" si="12"/>
        <v>11%</v>
      </c>
    </row>
    <row r="22" ht="18.0" customHeight="1">
      <c r="A22" s="95">
        <v>7.0</v>
      </c>
      <c r="B22" s="12" t="s">
        <v>466</v>
      </c>
      <c r="C22" s="14" t="s">
        <v>442</v>
      </c>
      <c r="D22" s="17" t="str">
        <f t="shared" si="7"/>
        <v>📞 Call</v>
      </c>
      <c r="E22" s="19" t="str">
        <f t="shared" si="8"/>
        <v>💬 WhatsApp</v>
      </c>
      <c r="F22" s="10"/>
      <c r="G22" s="10" t="s">
        <v>381</v>
      </c>
      <c r="H22" s="10"/>
      <c r="I22" s="79" t="s">
        <v>223</v>
      </c>
      <c r="J22" s="48" t="s">
        <v>196</v>
      </c>
      <c r="K22" s="49" t="s">
        <v>197</v>
      </c>
      <c r="L22" s="50" t="s">
        <v>37</v>
      </c>
      <c r="M22" s="79" t="s">
        <v>223</v>
      </c>
      <c r="N22" s="50" t="s">
        <v>37</v>
      </c>
      <c r="O22" s="77" t="s">
        <v>198</v>
      </c>
      <c r="P22" s="48" t="s">
        <v>196</v>
      </c>
      <c r="Q22" s="77" t="s">
        <v>198</v>
      </c>
      <c r="R22" s="50" t="s">
        <v>37</v>
      </c>
      <c r="S22" s="52" t="s">
        <v>37</v>
      </c>
      <c r="T22" s="98" t="s">
        <v>196</v>
      </c>
      <c r="U22" s="52" t="s">
        <v>223</v>
      </c>
      <c r="V22" s="53" t="s">
        <v>37</v>
      </c>
      <c r="W22" s="54" t="str">
        <f>IF('⚙ OFF Weekends'!$D$18="OFF","OFF","")</f>
        <v>OFF</v>
      </c>
      <c r="X22" s="53" t="s">
        <v>223</v>
      </c>
      <c r="Y22" s="52" t="s">
        <v>223</v>
      </c>
      <c r="Z22" s="53" t="s">
        <v>223</v>
      </c>
      <c r="AA22" s="52" t="s">
        <v>223</v>
      </c>
      <c r="AB22" s="53" t="s">
        <v>223</v>
      </c>
      <c r="AC22" s="54" t="str">
        <f>IF('⚙ OFF Weekends'!$D$24="OFF","OFF","")</f>
        <v/>
      </c>
      <c r="AD22" s="56" t="str">
        <f>IF('⚙ OFF Weekends'!$D$25="OFF","OFF","")</f>
        <v/>
      </c>
      <c r="AE22" s="54" t="str">
        <f>IF('⚙ OFF Weekends'!$D$26="OFF","OFF","")</f>
        <v/>
      </c>
      <c r="AF22" s="56" t="str">
        <f>IF('⚙ OFF Weekends'!$D$27="OFF","OFF","")</f>
        <v/>
      </c>
      <c r="AG22" s="54" t="str">
        <f>IF('⚙ OFF Weekends'!$D$28="OFF","OFF","")</f>
        <v/>
      </c>
      <c r="AH22" s="56" t="str">
        <f>IF('⚙ OFF Weekends'!$D$29="OFF","OFF","")</f>
        <v/>
      </c>
      <c r="AI22" s="54" t="str">
        <f>IF('⚙ OFF Weekends'!$D$30="OFF","OFF","")</f>
        <v/>
      </c>
      <c r="AJ22" s="56" t="str">
        <f>IF('⚙ OFF Weekends'!$D$31="OFF","OFF","")</f>
        <v/>
      </c>
      <c r="AK22" s="54" t="str">
        <f>IF('⚙ OFF Weekends'!$D$32="OFF","OFF","")</f>
        <v/>
      </c>
      <c r="AL22" s="56" t="str">
        <f>IF('⚙ OFF Weekends'!$D$33="OFF","OFF","")</f>
        <v/>
      </c>
      <c r="AM22" s="54" t="str">
        <f>IF('⚙ OFF Weekends'!$D$34="OFF","OFF","")</f>
        <v/>
      </c>
      <c r="AN22" s="56" t="str">
        <f>IF('⚙ OFF Weekends'!$D$35="OFF","OFF","")</f>
        <v/>
      </c>
      <c r="AO22" s="54" t="str">
        <f>IF('⚙ OFF Weekends'!$D$36="OFF","OFF","")</f>
        <v/>
      </c>
      <c r="AP22" s="56" t="str">
        <f>IF('⚙ OFF Weekends'!$D$37="OFF","OFF","")</f>
        <v/>
      </c>
      <c r="AQ22" s="54" t="str">
        <f>IF('⚙ OFF Weekends'!$D$38="OFF","OFF","")</f>
        <v/>
      </c>
      <c r="AR22" s="56" t="str">
        <f>IF('⚙ OFF Weekends'!$D$39="OFF","OFF","")</f>
        <v/>
      </c>
      <c r="AS22" s="54" t="str">
        <f>IF('⚙ OFF Weekends'!$D$40="OFF","OFF","")</f>
        <v/>
      </c>
      <c r="AT22" s="56" t="str">
        <f>IF('⚙ OFF Weekends'!$D$41="OFF","OFF","")</f>
        <v/>
      </c>
      <c r="AU22" s="54" t="str">
        <f>IF('⚙ OFF Weekends'!$D$42="OFF","OFF","")</f>
        <v/>
      </c>
      <c r="AV22" s="56" t="str">
        <f>IF('⚙ OFF Weekends'!$D$43="OFF","OFF","")</f>
        <v/>
      </c>
      <c r="AW22" s="54" t="str">
        <f>IF('⚙ OFF Weekends'!$D$44="OFF","OFF","")</f>
        <v/>
      </c>
      <c r="AX22" s="56" t="str">
        <f>IF('⚙ OFF Weekends'!$D$45="OFF","OFF","")</f>
        <v/>
      </c>
      <c r="AY22" s="54" t="str">
        <f>IF('⚙ OFF Weekends'!$D$46="OFF","OFF","")</f>
        <v/>
      </c>
      <c r="AZ22" s="56" t="str">
        <f>IF('⚙ OFF Weekends'!$D$47="OFF","OFF","")</f>
        <v/>
      </c>
      <c r="BA22" s="54" t="str">
        <f>IF('⚙ OFF Weekends'!$D$48="OFF","OFF","")</f>
        <v/>
      </c>
      <c r="BB22" s="56" t="str">
        <f>IF('⚙ OFF Weekends'!$D$49="OFF","OFF","")</f>
        <v/>
      </c>
      <c r="BC22" s="54" t="str">
        <f>IF('⚙ OFF Weekends'!$D$50="OFF","OFF","")</f>
        <v/>
      </c>
      <c r="BD22" s="56" t="str">
        <f>IF('⚙ OFF Weekends'!$D$51="OFF","OFF","")</f>
        <v/>
      </c>
      <c r="BE22" s="54" t="str">
        <f>IF('⚙ OFF Weekends'!$D$52="OFF","OFF","")</f>
        <v/>
      </c>
      <c r="BF22" s="56" t="str">
        <f>IF('⚙ OFF Weekends'!$D$53="OFF","OFF","")</f>
        <v/>
      </c>
      <c r="BG22" s="54" t="str">
        <f>IF('⚙ OFF Weekends'!$D$54="OFF","OFF","")</f>
        <v/>
      </c>
      <c r="BH22" s="56" t="str">
        <f>IF('⚙ OFF Weekends'!$D$55="OFF","OFF","")</f>
        <v/>
      </c>
      <c r="BI22" s="54" t="str">
        <f>IF('⚙ OFF Weekends'!$D$56="OFF","OFF","")</f>
        <v/>
      </c>
      <c r="BJ22" s="56" t="str">
        <f>IF('⚙ OFF Weekends'!$D$57="OFF","OFF","")</f>
        <v/>
      </c>
      <c r="BK22" s="54" t="str">
        <f>IF('⚙ OFF Weekends'!$D$58="OFF","OFF","")</f>
        <v/>
      </c>
      <c r="BL22" s="56" t="str">
        <f>IF('⚙ OFF Weekends'!$D$59="OFF","OFF","")</f>
        <v/>
      </c>
      <c r="BM22" s="54" t="str">
        <f>IF('⚙ OFF Weekends'!$D$60="OFF","OFF","")</f>
        <v/>
      </c>
      <c r="BN22" s="56" t="str">
        <f>IF('⚙ OFF Weekends'!$D$61="OFF","OFF","")</f>
        <v/>
      </c>
      <c r="BO22" s="54" t="str">
        <f>IF('⚙ OFF Weekends'!$D$62="OFF","OFF","")</f>
        <v/>
      </c>
      <c r="BP22" s="56" t="str">
        <f>IF('⚙ OFF Weekends'!$D$63="OFF","OFF","")</f>
        <v/>
      </c>
      <c r="BQ22" s="54" t="str">
        <f>IF('⚙ OFF Weekends'!$D$64="OFF","OFF","")</f>
        <v/>
      </c>
      <c r="BR22" s="56" t="str">
        <f>IF('⚙ OFF Weekends'!$D$65="OFF","OFF","")</f>
        <v/>
      </c>
      <c r="BS22" s="54" t="str">
        <f>IF('⚙ OFF Weekends'!$D$66="OFF","OFF","")</f>
        <v/>
      </c>
      <c r="BT22" s="56" t="str">
        <f>IF('⚙ OFF Weekends'!$D$67="OFF","OFF","")</f>
        <v/>
      </c>
      <c r="BU22" s="54" t="str">
        <f>IF('⚙ OFF Weekends'!$D$68="OFF","OFF","")</f>
        <v/>
      </c>
      <c r="BV22" s="56" t="str">
        <f>IF('⚙ OFF Weekends'!$D$69="OFF","OFF","")</f>
        <v/>
      </c>
      <c r="BW22" s="54" t="str">
        <f>IF('⚙ OFF Weekends'!$D$70="OFF","OFF","")</f>
        <v/>
      </c>
      <c r="BX22" s="56" t="str">
        <f>IF('⚙ OFF Weekends'!$D$71="OFF","OFF","")</f>
        <v/>
      </c>
      <c r="BY22" s="54" t="str">
        <f>IF('⚙ OFF Weekends'!$D$72="OFF","OFF","")</f>
        <v/>
      </c>
      <c r="BZ22" s="56" t="str">
        <f>IF('⚙ OFF Weekends'!$D$73="OFF","OFF","")</f>
        <v/>
      </c>
      <c r="CA22" s="54" t="str">
        <f>IF('⚙ OFF Weekends'!$D$74="OFF","OFF","")</f>
        <v/>
      </c>
      <c r="CB22" s="56" t="str">
        <f>IF('⚙ OFF Weekends'!$D$75="OFF","OFF","")</f>
        <v/>
      </c>
      <c r="CC22" s="54" t="str">
        <f>IF('⚙ OFF Weekends'!$D$76="OFF","OFF","")</f>
        <v/>
      </c>
      <c r="CD22" s="56" t="str">
        <f>IF('⚙ OFF Weekends'!$D$77="OFF","OFF","")</f>
        <v/>
      </c>
      <c r="CE22" s="95">
        <f t="shared" si="9"/>
        <v>8</v>
      </c>
      <c r="CF22" s="95">
        <f t="shared" si="10"/>
        <v>8</v>
      </c>
      <c r="CG22" s="95">
        <f t="shared" si="11"/>
        <v>2</v>
      </c>
      <c r="CH22" s="95" t="str">
        <f t="shared" si="12"/>
        <v>50%</v>
      </c>
    </row>
    <row r="23" ht="18.0" customHeight="1">
      <c r="A23" s="96">
        <v>8.0</v>
      </c>
      <c r="B23" s="22" t="s">
        <v>469</v>
      </c>
      <c r="C23" s="23" t="s">
        <v>470</v>
      </c>
      <c r="D23" s="24" t="str">
        <f t="shared" si="7"/>
        <v>📞 Call</v>
      </c>
      <c r="E23" s="41" t="str">
        <f t="shared" si="8"/>
        <v>💬 WhatsApp</v>
      </c>
      <c r="F23" s="20"/>
      <c r="G23" s="20" t="s">
        <v>381</v>
      </c>
      <c r="H23" s="20"/>
      <c r="I23" s="48" t="s">
        <v>196</v>
      </c>
      <c r="J23" s="48" t="s">
        <v>196</v>
      </c>
      <c r="K23" s="49" t="s">
        <v>197</v>
      </c>
      <c r="L23" s="50" t="s">
        <v>37</v>
      </c>
      <c r="M23" s="48" t="s">
        <v>196</v>
      </c>
      <c r="N23" s="50" t="s">
        <v>37</v>
      </c>
      <c r="O23" s="50" t="s">
        <v>37</v>
      </c>
      <c r="P23" s="48" t="s">
        <v>196</v>
      </c>
      <c r="Q23" s="48" t="s">
        <v>196</v>
      </c>
      <c r="R23" s="79" t="s">
        <v>223</v>
      </c>
      <c r="S23" s="52" t="s">
        <v>223</v>
      </c>
      <c r="T23" s="98" t="s">
        <v>223</v>
      </c>
      <c r="U23" s="52" t="s">
        <v>37</v>
      </c>
      <c r="V23" s="53" t="s">
        <v>196</v>
      </c>
      <c r="W23" s="54" t="str">
        <f>IF('⚙ OFF Weekends'!$D$18="OFF","OFF","")</f>
        <v>OFF</v>
      </c>
      <c r="X23" s="53" t="s">
        <v>223</v>
      </c>
      <c r="Y23" s="52" t="s">
        <v>37</v>
      </c>
      <c r="Z23" s="53" t="s">
        <v>223</v>
      </c>
      <c r="AA23" s="52" t="s">
        <v>223</v>
      </c>
      <c r="AB23" s="53" t="s">
        <v>198</v>
      </c>
      <c r="AC23" s="54" t="str">
        <f>IF('⚙ OFF Weekends'!$D$24="OFF","OFF","")</f>
        <v/>
      </c>
      <c r="AD23" s="56" t="str">
        <f>IF('⚙ OFF Weekends'!$D$25="OFF","OFF","")</f>
        <v/>
      </c>
      <c r="AE23" s="54" t="str">
        <f>IF('⚙ OFF Weekends'!$D$26="OFF","OFF","")</f>
        <v/>
      </c>
      <c r="AF23" s="56" t="str">
        <f>IF('⚙ OFF Weekends'!$D$27="OFF","OFF","")</f>
        <v/>
      </c>
      <c r="AG23" s="54" t="str">
        <f>IF('⚙ OFF Weekends'!$D$28="OFF","OFF","")</f>
        <v/>
      </c>
      <c r="AH23" s="56" t="str">
        <f>IF('⚙ OFF Weekends'!$D$29="OFF","OFF","")</f>
        <v/>
      </c>
      <c r="AI23" s="54" t="str">
        <f>IF('⚙ OFF Weekends'!$D$30="OFF","OFF","")</f>
        <v/>
      </c>
      <c r="AJ23" s="56" t="str">
        <f>IF('⚙ OFF Weekends'!$D$31="OFF","OFF","")</f>
        <v/>
      </c>
      <c r="AK23" s="54" t="str">
        <f>IF('⚙ OFF Weekends'!$D$32="OFF","OFF","")</f>
        <v/>
      </c>
      <c r="AL23" s="56" t="str">
        <f>IF('⚙ OFF Weekends'!$D$33="OFF","OFF","")</f>
        <v/>
      </c>
      <c r="AM23" s="54" t="str">
        <f>IF('⚙ OFF Weekends'!$D$34="OFF","OFF","")</f>
        <v/>
      </c>
      <c r="AN23" s="56" t="str">
        <f>IF('⚙ OFF Weekends'!$D$35="OFF","OFF","")</f>
        <v/>
      </c>
      <c r="AO23" s="54" t="str">
        <f>IF('⚙ OFF Weekends'!$D$36="OFF","OFF","")</f>
        <v/>
      </c>
      <c r="AP23" s="56" t="str">
        <f>IF('⚙ OFF Weekends'!$D$37="OFF","OFF","")</f>
        <v/>
      </c>
      <c r="AQ23" s="54" t="str">
        <f>IF('⚙ OFF Weekends'!$D$38="OFF","OFF","")</f>
        <v/>
      </c>
      <c r="AR23" s="56" t="str">
        <f>IF('⚙ OFF Weekends'!$D$39="OFF","OFF","")</f>
        <v/>
      </c>
      <c r="AS23" s="54" t="str">
        <f>IF('⚙ OFF Weekends'!$D$40="OFF","OFF","")</f>
        <v/>
      </c>
      <c r="AT23" s="56" t="str">
        <f>IF('⚙ OFF Weekends'!$D$41="OFF","OFF","")</f>
        <v/>
      </c>
      <c r="AU23" s="54" t="str">
        <f>IF('⚙ OFF Weekends'!$D$42="OFF","OFF","")</f>
        <v/>
      </c>
      <c r="AV23" s="56" t="str">
        <f>IF('⚙ OFF Weekends'!$D$43="OFF","OFF","")</f>
        <v/>
      </c>
      <c r="AW23" s="54" t="str">
        <f>IF('⚙ OFF Weekends'!$D$44="OFF","OFF","")</f>
        <v/>
      </c>
      <c r="AX23" s="56" t="str">
        <f>IF('⚙ OFF Weekends'!$D$45="OFF","OFF","")</f>
        <v/>
      </c>
      <c r="AY23" s="54" t="str">
        <f>IF('⚙ OFF Weekends'!$D$46="OFF","OFF","")</f>
        <v/>
      </c>
      <c r="AZ23" s="56" t="str">
        <f>IF('⚙ OFF Weekends'!$D$47="OFF","OFF","")</f>
        <v/>
      </c>
      <c r="BA23" s="54" t="str">
        <f>IF('⚙ OFF Weekends'!$D$48="OFF","OFF","")</f>
        <v/>
      </c>
      <c r="BB23" s="56" t="str">
        <f>IF('⚙ OFF Weekends'!$D$49="OFF","OFF","")</f>
        <v/>
      </c>
      <c r="BC23" s="54" t="str">
        <f>IF('⚙ OFF Weekends'!$D$50="OFF","OFF","")</f>
        <v/>
      </c>
      <c r="BD23" s="56" t="str">
        <f>IF('⚙ OFF Weekends'!$D$51="OFF","OFF","")</f>
        <v/>
      </c>
      <c r="BE23" s="54" t="str">
        <f>IF('⚙ OFF Weekends'!$D$52="OFF","OFF","")</f>
        <v/>
      </c>
      <c r="BF23" s="56" t="str">
        <f>IF('⚙ OFF Weekends'!$D$53="OFF","OFF","")</f>
        <v/>
      </c>
      <c r="BG23" s="54" t="str">
        <f>IF('⚙ OFF Weekends'!$D$54="OFF","OFF","")</f>
        <v/>
      </c>
      <c r="BH23" s="56" t="str">
        <f>IF('⚙ OFF Weekends'!$D$55="OFF","OFF","")</f>
        <v/>
      </c>
      <c r="BI23" s="54" t="str">
        <f>IF('⚙ OFF Weekends'!$D$56="OFF","OFF","")</f>
        <v/>
      </c>
      <c r="BJ23" s="56" t="str">
        <f>IF('⚙ OFF Weekends'!$D$57="OFF","OFF","")</f>
        <v/>
      </c>
      <c r="BK23" s="54" t="str">
        <f>IF('⚙ OFF Weekends'!$D$58="OFF","OFF","")</f>
        <v/>
      </c>
      <c r="BL23" s="56" t="str">
        <f>IF('⚙ OFF Weekends'!$D$59="OFF","OFF","")</f>
        <v/>
      </c>
      <c r="BM23" s="54" t="str">
        <f>IF('⚙ OFF Weekends'!$D$60="OFF","OFF","")</f>
        <v/>
      </c>
      <c r="BN23" s="56" t="str">
        <f>IF('⚙ OFF Weekends'!$D$61="OFF","OFF","")</f>
        <v/>
      </c>
      <c r="BO23" s="54" t="str">
        <f>IF('⚙ OFF Weekends'!$D$62="OFF","OFF","")</f>
        <v/>
      </c>
      <c r="BP23" s="56" t="str">
        <f>IF('⚙ OFF Weekends'!$D$63="OFF","OFF","")</f>
        <v/>
      </c>
      <c r="BQ23" s="54" t="str">
        <f>IF('⚙ OFF Weekends'!$D$64="OFF","OFF","")</f>
        <v/>
      </c>
      <c r="BR23" s="56" t="str">
        <f>IF('⚙ OFF Weekends'!$D$65="OFF","OFF","")</f>
        <v/>
      </c>
      <c r="BS23" s="54" t="str">
        <f>IF('⚙ OFF Weekends'!$D$66="OFF","OFF","")</f>
        <v/>
      </c>
      <c r="BT23" s="56" t="str">
        <f>IF('⚙ OFF Weekends'!$D$67="OFF","OFF","")</f>
        <v/>
      </c>
      <c r="BU23" s="54" t="str">
        <f>IF('⚙ OFF Weekends'!$D$68="OFF","OFF","")</f>
        <v/>
      </c>
      <c r="BV23" s="56" t="str">
        <f>IF('⚙ OFF Weekends'!$D$69="OFF","OFF","")</f>
        <v/>
      </c>
      <c r="BW23" s="54" t="str">
        <f>IF('⚙ OFF Weekends'!$D$70="OFF","OFF","")</f>
        <v/>
      </c>
      <c r="BX23" s="56" t="str">
        <f>IF('⚙ OFF Weekends'!$D$71="OFF","OFF","")</f>
        <v/>
      </c>
      <c r="BY23" s="54" t="str">
        <f>IF('⚙ OFF Weekends'!$D$72="OFF","OFF","")</f>
        <v/>
      </c>
      <c r="BZ23" s="56" t="str">
        <f>IF('⚙ OFF Weekends'!$D$73="OFF","OFF","")</f>
        <v/>
      </c>
      <c r="CA23" s="54" t="str">
        <f>IF('⚙ OFF Weekends'!$D$74="OFF","OFF","")</f>
        <v/>
      </c>
      <c r="CB23" s="56" t="str">
        <f>IF('⚙ OFF Weekends'!$D$75="OFF","OFF","")</f>
        <v/>
      </c>
      <c r="CC23" s="54" t="str">
        <f>IF('⚙ OFF Weekends'!$D$76="OFF","OFF","")</f>
        <v/>
      </c>
      <c r="CD23" s="56" t="str">
        <f>IF('⚙ OFF Weekends'!$D$77="OFF","OFF","")</f>
        <v/>
      </c>
      <c r="CE23" s="96">
        <f t="shared" si="9"/>
        <v>11</v>
      </c>
      <c r="CF23" s="96">
        <f t="shared" si="10"/>
        <v>6</v>
      </c>
      <c r="CG23" s="96">
        <f t="shared" si="11"/>
        <v>1</v>
      </c>
      <c r="CH23" s="96" t="str">
        <f t="shared" si="12"/>
        <v>65%</v>
      </c>
    </row>
    <row r="24" ht="18.0" customHeight="1">
      <c r="A24" s="95">
        <v>9.0</v>
      </c>
      <c r="B24" s="12" t="s">
        <v>473</v>
      </c>
      <c r="C24" s="14" t="s">
        <v>474</v>
      </c>
      <c r="D24" s="17" t="str">
        <f t="shared" si="7"/>
        <v>📞 Call</v>
      </c>
      <c r="E24" s="19" t="str">
        <f t="shared" si="8"/>
        <v>💬 WhatsApp</v>
      </c>
      <c r="F24" s="10"/>
      <c r="G24" s="10" t="s">
        <v>381</v>
      </c>
      <c r="H24" s="10"/>
      <c r="I24" s="48" t="s">
        <v>196</v>
      </c>
      <c r="J24" s="48" t="s">
        <v>196</v>
      </c>
      <c r="K24" s="49" t="s">
        <v>197</v>
      </c>
      <c r="L24" s="50" t="s">
        <v>37</v>
      </c>
      <c r="M24" s="48" t="s">
        <v>196</v>
      </c>
      <c r="N24" s="50" t="s">
        <v>37</v>
      </c>
      <c r="O24" s="50" t="s">
        <v>37</v>
      </c>
      <c r="P24" s="48" t="s">
        <v>196</v>
      </c>
      <c r="Q24" s="48" t="s">
        <v>196</v>
      </c>
      <c r="R24" s="79" t="s">
        <v>223</v>
      </c>
      <c r="S24" s="52" t="s">
        <v>223</v>
      </c>
      <c r="T24" s="98" t="s">
        <v>223</v>
      </c>
      <c r="U24" s="52" t="s">
        <v>37</v>
      </c>
      <c r="V24" s="53" t="s">
        <v>37</v>
      </c>
      <c r="W24" s="54" t="str">
        <f>IF('⚙ OFF Weekends'!$D$18="OFF","OFF","")</f>
        <v>OFF</v>
      </c>
      <c r="X24" s="53" t="s">
        <v>196</v>
      </c>
      <c r="Y24" s="52" t="s">
        <v>37</v>
      </c>
      <c r="Z24" s="53" t="s">
        <v>37</v>
      </c>
      <c r="AA24" s="52" t="s">
        <v>223</v>
      </c>
      <c r="AB24" s="53" t="s">
        <v>37</v>
      </c>
      <c r="AC24" s="54" t="str">
        <f>IF('⚙ OFF Weekends'!$D$24="OFF","OFF","")</f>
        <v/>
      </c>
      <c r="AD24" s="56" t="str">
        <f>IF('⚙ OFF Weekends'!$D$25="OFF","OFF","")</f>
        <v/>
      </c>
      <c r="AE24" s="54" t="str">
        <f>IF('⚙ OFF Weekends'!$D$26="OFF","OFF","")</f>
        <v/>
      </c>
      <c r="AF24" s="56" t="str">
        <f>IF('⚙ OFF Weekends'!$D$27="OFF","OFF","")</f>
        <v/>
      </c>
      <c r="AG24" s="54" t="str">
        <f>IF('⚙ OFF Weekends'!$D$28="OFF","OFF","")</f>
        <v/>
      </c>
      <c r="AH24" s="56" t="str">
        <f>IF('⚙ OFF Weekends'!$D$29="OFF","OFF","")</f>
        <v/>
      </c>
      <c r="AI24" s="54" t="str">
        <f>IF('⚙ OFF Weekends'!$D$30="OFF","OFF","")</f>
        <v/>
      </c>
      <c r="AJ24" s="56" t="str">
        <f>IF('⚙ OFF Weekends'!$D$31="OFF","OFF","")</f>
        <v/>
      </c>
      <c r="AK24" s="54" t="str">
        <f>IF('⚙ OFF Weekends'!$D$32="OFF","OFF","")</f>
        <v/>
      </c>
      <c r="AL24" s="56" t="str">
        <f>IF('⚙ OFF Weekends'!$D$33="OFF","OFF","")</f>
        <v/>
      </c>
      <c r="AM24" s="54" t="str">
        <f>IF('⚙ OFF Weekends'!$D$34="OFF","OFF","")</f>
        <v/>
      </c>
      <c r="AN24" s="56" t="str">
        <f>IF('⚙ OFF Weekends'!$D$35="OFF","OFF","")</f>
        <v/>
      </c>
      <c r="AO24" s="54" t="str">
        <f>IF('⚙ OFF Weekends'!$D$36="OFF","OFF","")</f>
        <v/>
      </c>
      <c r="AP24" s="56" t="str">
        <f>IF('⚙ OFF Weekends'!$D$37="OFF","OFF","")</f>
        <v/>
      </c>
      <c r="AQ24" s="54" t="str">
        <f>IF('⚙ OFF Weekends'!$D$38="OFF","OFF","")</f>
        <v/>
      </c>
      <c r="AR24" s="56" t="str">
        <f>IF('⚙ OFF Weekends'!$D$39="OFF","OFF","")</f>
        <v/>
      </c>
      <c r="AS24" s="54" t="str">
        <f>IF('⚙ OFF Weekends'!$D$40="OFF","OFF","")</f>
        <v/>
      </c>
      <c r="AT24" s="56" t="str">
        <f>IF('⚙ OFF Weekends'!$D$41="OFF","OFF","")</f>
        <v/>
      </c>
      <c r="AU24" s="54" t="str">
        <f>IF('⚙ OFF Weekends'!$D$42="OFF","OFF","")</f>
        <v/>
      </c>
      <c r="AV24" s="56" t="str">
        <f>IF('⚙ OFF Weekends'!$D$43="OFF","OFF","")</f>
        <v/>
      </c>
      <c r="AW24" s="54" t="str">
        <f>IF('⚙ OFF Weekends'!$D$44="OFF","OFF","")</f>
        <v/>
      </c>
      <c r="AX24" s="56" t="str">
        <f>IF('⚙ OFF Weekends'!$D$45="OFF","OFF","")</f>
        <v/>
      </c>
      <c r="AY24" s="54" t="str">
        <f>IF('⚙ OFF Weekends'!$D$46="OFF","OFF","")</f>
        <v/>
      </c>
      <c r="AZ24" s="56" t="str">
        <f>IF('⚙ OFF Weekends'!$D$47="OFF","OFF","")</f>
        <v/>
      </c>
      <c r="BA24" s="54" t="str">
        <f>IF('⚙ OFF Weekends'!$D$48="OFF","OFF","")</f>
        <v/>
      </c>
      <c r="BB24" s="56" t="str">
        <f>IF('⚙ OFF Weekends'!$D$49="OFF","OFF","")</f>
        <v/>
      </c>
      <c r="BC24" s="54" t="str">
        <f>IF('⚙ OFF Weekends'!$D$50="OFF","OFF","")</f>
        <v/>
      </c>
      <c r="BD24" s="56" t="str">
        <f>IF('⚙ OFF Weekends'!$D$51="OFF","OFF","")</f>
        <v/>
      </c>
      <c r="BE24" s="54" t="str">
        <f>IF('⚙ OFF Weekends'!$D$52="OFF","OFF","")</f>
        <v/>
      </c>
      <c r="BF24" s="56" t="str">
        <f>IF('⚙ OFF Weekends'!$D$53="OFF","OFF","")</f>
        <v/>
      </c>
      <c r="BG24" s="54" t="str">
        <f>IF('⚙ OFF Weekends'!$D$54="OFF","OFF","")</f>
        <v/>
      </c>
      <c r="BH24" s="56" t="str">
        <f>IF('⚙ OFF Weekends'!$D$55="OFF","OFF","")</f>
        <v/>
      </c>
      <c r="BI24" s="54" t="str">
        <f>IF('⚙ OFF Weekends'!$D$56="OFF","OFF","")</f>
        <v/>
      </c>
      <c r="BJ24" s="56" t="str">
        <f>IF('⚙ OFF Weekends'!$D$57="OFF","OFF","")</f>
        <v/>
      </c>
      <c r="BK24" s="54" t="str">
        <f>IF('⚙ OFF Weekends'!$D$58="OFF","OFF","")</f>
        <v/>
      </c>
      <c r="BL24" s="56" t="str">
        <f>IF('⚙ OFF Weekends'!$D$59="OFF","OFF","")</f>
        <v/>
      </c>
      <c r="BM24" s="54" t="str">
        <f>IF('⚙ OFF Weekends'!$D$60="OFF","OFF","")</f>
        <v/>
      </c>
      <c r="BN24" s="56" t="str">
        <f>IF('⚙ OFF Weekends'!$D$61="OFF","OFF","")</f>
        <v/>
      </c>
      <c r="BO24" s="54" t="str">
        <f>IF('⚙ OFF Weekends'!$D$62="OFF","OFF","")</f>
        <v/>
      </c>
      <c r="BP24" s="56" t="str">
        <f>IF('⚙ OFF Weekends'!$D$63="OFF","OFF","")</f>
        <v/>
      </c>
      <c r="BQ24" s="54" t="str">
        <f>IF('⚙ OFF Weekends'!$D$64="OFF","OFF","")</f>
        <v/>
      </c>
      <c r="BR24" s="56" t="str">
        <f>IF('⚙ OFF Weekends'!$D$65="OFF","OFF","")</f>
        <v/>
      </c>
      <c r="BS24" s="54" t="str">
        <f>IF('⚙ OFF Weekends'!$D$66="OFF","OFF","")</f>
        <v/>
      </c>
      <c r="BT24" s="56" t="str">
        <f>IF('⚙ OFF Weekends'!$D$67="OFF","OFF","")</f>
        <v/>
      </c>
      <c r="BU24" s="54" t="str">
        <f>IF('⚙ OFF Weekends'!$D$68="OFF","OFF","")</f>
        <v/>
      </c>
      <c r="BV24" s="56" t="str">
        <f>IF('⚙ OFF Weekends'!$D$69="OFF","OFF","")</f>
        <v/>
      </c>
      <c r="BW24" s="54" t="str">
        <f>IF('⚙ OFF Weekends'!$D$70="OFF","OFF","")</f>
        <v/>
      </c>
      <c r="BX24" s="56" t="str">
        <f>IF('⚙ OFF Weekends'!$D$71="OFF","OFF","")</f>
        <v/>
      </c>
      <c r="BY24" s="54" t="str">
        <f>IF('⚙ OFF Weekends'!$D$72="OFF","OFF","")</f>
        <v/>
      </c>
      <c r="BZ24" s="56" t="str">
        <f>IF('⚙ OFF Weekends'!$D$73="OFF","OFF","")</f>
        <v/>
      </c>
      <c r="CA24" s="54" t="str">
        <f>IF('⚙ OFF Weekends'!$D$74="OFF","OFF","")</f>
        <v/>
      </c>
      <c r="CB24" s="56" t="str">
        <f>IF('⚙ OFF Weekends'!$D$75="OFF","OFF","")</f>
        <v/>
      </c>
      <c r="CC24" s="54" t="str">
        <f>IF('⚙ OFF Weekends'!$D$76="OFF","OFF","")</f>
        <v/>
      </c>
      <c r="CD24" s="56" t="str">
        <f>IF('⚙ OFF Weekends'!$D$77="OFF","OFF","")</f>
        <v/>
      </c>
      <c r="CE24" s="95">
        <f t="shared" si="9"/>
        <v>14</v>
      </c>
      <c r="CF24" s="95">
        <f t="shared" si="10"/>
        <v>4</v>
      </c>
      <c r="CG24" s="95">
        <f t="shared" si="11"/>
        <v>0</v>
      </c>
      <c r="CH24" s="95" t="str">
        <f t="shared" si="12"/>
        <v>78%</v>
      </c>
    </row>
    <row r="25" ht="18.0" customHeight="1">
      <c r="A25" s="96">
        <v>10.0</v>
      </c>
      <c r="B25" s="22" t="s">
        <v>479</v>
      </c>
      <c r="C25" s="23" t="s">
        <v>480</v>
      </c>
      <c r="D25" s="24" t="str">
        <f t="shared" si="7"/>
        <v>📞 Call</v>
      </c>
      <c r="E25" s="41" t="str">
        <f t="shared" si="8"/>
        <v>💬 WhatsApp</v>
      </c>
      <c r="F25" s="20"/>
      <c r="G25" s="20" t="s">
        <v>381</v>
      </c>
      <c r="H25" s="20"/>
      <c r="I25" s="48" t="s">
        <v>196</v>
      </c>
      <c r="J25" s="79" t="s">
        <v>223</v>
      </c>
      <c r="K25" s="49" t="s">
        <v>197</v>
      </c>
      <c r="L25" s="77" t="s">
        <v>198</v>
      </c>
      <c r="M25" s="48" t="s">
        <v>196</v>
      </c>
      <c r="N25" s="50" t="s">
        <v>37</v>
      </c>
      <c r="O25" s="50" t="s">
        <v>37</v>
      </c>
      <c r="P25" s="48" t="s">
        <v>196</v>
      </c>
      <c r="Q25" s="79" t="s">
        <v>223</v>
      </c>
      <c r="R25" s="79" t="s">
        <v>223</v>
      </c>
      <c r="S25" s="52" t="s">
        <v>223</v>
      </c>
      <c r="T25" s="98" t="s">
        <v>223</v>
      </c>
      <c r="U25" s="52" t="s">
        <v>37</v>
      </c>
      <c r="V25" s="53" t="s">
        <v>196</v>
      </c>
      <c r="W25" s="54" t="str">
        <f>IF('⚙ OFF Weekends'!$D$18="OFF","OFF","")</f>
        <v>OFF</v>
      </c>
      <c r="X25" s="53" t="s">
        <v>196</v>
      </c>
      <c r="Y25" s="52" t="s">
        <v>37</v>
      </c>
      <c r="Z25" s="53" t="s">
        <v>37</v>
      </c>
      <c r="AA25" s="52" t="s">
        <v>223</v>
      </c>
      <c r="AB25" s="53" t="s">
        <v>37</v>
      </c>
      <c r="AC25" s="54" t="str">
        <f>IF('⚙ OFF Weekends'!$D$24="OFF","OFF","")</f>
        <v/>
      </c>
      <c r="AD25" s="56" t="str">
        <f>IF('⚙ OFF Weekends'!$D$25="OFF","OFF","")</f>
        <v/>
      </c>
      <c r="AE25" s="54" t="str">
        <f>IF('⚙ OFF Weekends'!$D$26="OFF","OFF","")</f>
        <v/>
      </c>
      <c r="AF25" s="56" t="str">
        <f>IF('⚙ OFF Weekends'!$D$27="OFF","OFF","")</f>
        <v/>
      </c>
      <c r="AG25" s="54" t="str">
        <f>IF('⚙ OFF Weekends'!$D$28="OFF","OFF","")</f>
        <v/>
      </c>
      <c r="AH25" s="56" t="str">
        <f>IF('⚙ OFF Weekends'!$D$29="OFF","OFF","")</f>
        <v/>
      </c>
      <c r="AI25" s="54" t="str">
        <f>IF('⚙ OFF Weekends'!$D$30="OFF","OFF","")</f>
        <v/>
      </c>
      <c r="AJ25" s="56" t="str">
        <f>IF('⚙ OFF Weekends'!$D$31="OFF","OFF","")</f>
        <v/>
      </c>
      <c r="AK25" s="54" t="str">
        <f>IF('⚙ OFF Weekends'!$D$32="OFF","OFF","")</f>
        <v/>
      </c>
      <c r="AL25" s="56" t="str">
        <f>IF('⚙ OFF Weekends'!$D$33="OFF","OFF","")</f>
        <v/>
      </c>
      <c r="AM25" s="54" t="str">
        <f>IF('⚙ OFF Weekends'!$D$34="OFF","OFF","")</f>
        <v/>
      </c>
      <c r="AN25" s="56" t="str">
        <f>IF('⚙ OFF Weekends'!$D$35="OFF","OFF","")</f>
        <v/>
      </c>
      <c r="AO25" s="54" t="str">
        <f>IF('⚙ OFF Weekends'!$D$36="OFF","OFF","")</f>
        <v/>
      </c>
      <c r="AP25" s="56" t="str">
        <f>IF('⚙ OFF Weekends'!$D$37="OFF","OFF","")</f>
        <v/>
      </c>
      <c r="AQ25" s="54" t="str">
        <f>IF('⚙ OFF Weekends'!$D$38="OFF","OFF","")</f>
        <v/>
      </c>
      <c r="AR25" s="56" t="str">
        <f>IF('⚙ OFF Weekends'!$D$39="OFF","OFF","")</f>
        <v/>
      </c>
      <c r="AS25" s="54" t="str">
        <f>IF('⚙ OFF Weekends'!$D$40="OFF","OFF","")</f>
        <v/>
      </c>
      <c r="AT25" s="56" t="str">
        <f>IF('⚙ OFF Weekends'!$D$41="OFF","OFF","")</f>
        <v/>
      </c>
      <c r="AU25" s="54" t="str">
        <f>IF('⚙ OFF Weekends'!$D$42="OFF","OFF","")</f>
        <v/>
      </c>
      <c r="AV25" s="56" t="str">
        <f>IF('⚙ OFF Weekends'!$D$43="OFF","OFF","")</f>
        <v/>
      </c>
      <c r="AW25" s="54" t="str">
        <f>IF('⚙ OFF Weekends'!$D$44="OFF","OFF","")</f>
        <v/>
      </c>
      <c r="AX25" s="56" t="str">
        <f>IF('⚙ OFF Weekends'!$D$45="OFF","OFF","")</f>
        <v/>
      </c>
      <c r="AY25" s="54" t="str">
        <f>IF('⚙ OFF Weekends'!$D$46="OFF","OFF","")</f>
        <v/>
      </c>
      <c r="AZ25" s="56" t="str">
        <f>IF('⚙ OFF Weekends'!$D$47="OFF","OFF","")</f>
        <v/>
      </c>
      <c r="BA25" s="54" t="str">
        <f>IF('⚙ OFF Weekends'!$D$48="OFF","OFF","")</f>
        <v/>
      </c>
      <c r="BB25" s="56" t="str">
        <f>IF('⚙ OFF Weekends'!$D$49="OFF","OFF","")</f>
        <v/>
      </c>
      <c r="BC25" s="54" t="str">
        <f>IF('⚙ OFF Weekends'!$D$50="OFF","OFF","")</f>
        <v/>
      </c>
      <c r="BD25" s="56" t="str">
        <f>IF('⚙ OFF Weekends'!$D$51="OFF","OFF","")</f>
        <v/>
      </c>
      <c r="BE25" s="54" t="str">
        <f>IF('⚙ OFF Weekends'!$D$52="OFF","OFF","")</f>
        <v/>
      </c>
      <c r="BF25" s="56" t="str">
        <f>IF('⚙ OFF Weekends'!$D$53="OFF","OFF","")</f>
        <v/>
      </c>
      <c r="BG25" s="54" t="str">
        <f>IF('⚙ OFF Weekends'!$D$54="OFF","OFF","")</f>
        <v/>
      </c>
      <c r="BH25" s="56" t="str">
        <f>IF('⚙ OFF Weekends'!$D$55="OFF","OFF","")</f>
        <v/>
      </c>
      <c r="BI25" s="54" t="str">
        <f>IF('⚙ OFF Weekends'!$D$56="OFF","OFF","")</f>
        <v/>
      </c>
      <c r="BJ25" s="56" t="str">
        <f>IF('⚙ OFF Weekends'!$D$57="OFF","OFF","")</f>
        <v/>
      </c>
      <c r="BK25" s="54" t="str">
        <f>IF('⚙ OFF Weekends'!$D$58="OFF","OFF","")</f>
        <v/>
      </c>
      <c r="BL25" s="56" t="str">
        <f>IF('⚙ OFF Weekends'!$D$59="OFF","OFF","")</f>
        <v/>
      </c>
      <c r="BM25" s="54" t="str">
        <f>IF('⚙ OFF Weekends'!$D$60="OFF","OFF","")</f>
        <v/>
      </c>
      <c r="BN25" s="56" t="str">
        <f>IF('⚙ OFF Weekends'!$D$61="OFF","OFF","")</f>
        <v/>
      </c>
      <c r="BO25" s="54" t="str">
        <f>IF('⚙ OFF Weekends'!$D$62="OFF","OFF","")</f>
        <v/>
      </c>
      <c r="BP25" s="56" t="str">
        <f>IF('⚙ OFF Weekends'!$D$63="OFF","OFF","")</f>
        <v/>
      </c>
      <c r="BQ25" s="54" t="str">
        <f>IF('⚙ OFF Weekends'!$D$64="OFF","OFF","")</f>
        <v/>
      </c>
      <c r="BR25" s="56" t="str">
        <f>IF('⚙ OFF Weekends'!$D$65="OFF","OFF","")</f>
        <v/>
      </c>
      <c r="BS25" s="54" t="str">
        <f>IF('⚙ OFF Weekends'!$D$66="OFF","OFF","")</f>
        <v/>
      </c>
      <c r="BT25" s="56" t="str">
        <f>IF('⚙ OFF Weekends'!$D$67="OFF","OFF","")</f>
        <v/>
      </c>
      <c r="BU25" s="54" t="str">
        <f>IF('⚙ OFF Weekends'!$D$68="OFF","OFF","")</f>
        <v/>
      </c>
      <c r="BV25" s="56" t="str">
        <f>IF('⚙ OFF Weekends'!$D$69="OFF","OFF","")</f>
        <v/>
      </c>
      <c r="BW25" s="54" t="str">
        <f>IF('⚙ OFF Weekends'!$D$70="OFF","OFF","")</f>
        <v/>
      </c>
      <c r="BX25" s="56" t="str">
        <f>IF('⚙ OFF Weekends'!$D$71="OFF","OFF","")</f>
        <v/>
      </c>
      <c r="BY25" s="54" t="str">
        <f>IF('⚙ OFF Weekends'!$D$72="OFF","OFF","")</f>
        <v/>
      </c>
      <c r="BZ25" s="56" t="str">
        <f>IF('⚙ OFF Weekends'!$D$73="OFF","OFF","")</f>
        <v/>
      </c>
      <c r="CA25" s="54" t="str">
        <f>IF('⚙ OFF Weekends'!$D$74="OFF","OFF","")</f>
        <v/>
      </c>
      <c r="CB25" s="56" t="str">
        <f>IF('⚙ OFF Weekends'!$D$75="OFF","OFF","")</f>
        <v/>
      </c>
      <c r="CC25" s="54" t="str">
        <f>IF('⚙ OFF Weekends'!$D$76="OFF","OFF","")</f>
        <v/>
      </c>
      <c r="CD25" s="56" t="str">
        <f>IF('⚙ OFF Weekends'!$D$77="OFF","OFF","")</f>
        <v/>
      </c>
      <c r="CE25" s="96">
        <f t="shared" si="9"/>
        <v>11</v>
      </c>
      <c r="CF25" s="96">
        <f t="shared" si="10"/>
        <v>6</v>
      </c>
      <c r="CG25" s="96">
        <f t="shared" si="11"/>
        <v>1</v>
      </c>
      <c r="CH25" s="96" t="str">
        <f t="shared" si="12"/>
        <v>65%</v>
      </c>
    </row>
    <row r="26" ht="18.0" customHeight="1">
      <c r="A26" s="95">
        <v>11.0</v>
      </c>
      <c r="B26" s="12" t="s">
        <v>482</v>
      </c>
      <c r="C26" s="14" t="s">
        <v>483</v>
      </c>
      <c r="D26" s="17" t="str">
        <f t="shared" si="7"/>
        <v>📞 Call</v>
      </c>
      <c r="E26" s="19" t="str">
        <f t="shared" si="8"/>
        <v>💬 WhatsApp</v>
      </c>
      <c r="F26" s="10"/>
      <c r="G26" s="10" t="s">
        <v>381</v>
      </c>
      <c r="H26" s="10" t="s">
        <v>299</v>
      </c>
      <c r="I26" s="48" t="s">
        <v>196</v>
      </c>
      <c r="J26" s="79" t="s">
        <v>223</v>
      </c>
      <c r="K26" s="49" t="s">
        <v>197</v>
      </c>
      <c r="L26" s="79" t="s">
        <v>223</v>
      </c>
      <c r="M26" s="48" t="s">
        <v>196</v>
      </c>
      <c r="N26" s="50" t="s">
        <v>37</v>
      </c>
      <c r="O26" s="50" t="s">
        <v>37</v>
      </c>
      <c r="P26" s="79" t="s">
        <v>223</v>
      </c>
      <c r="Q26" s="50" t="s">
        <v>37</v>
      </c>
      <c r="R26" s="50" t="s">
        <v>37</v>
      </c>
      <c r="S26" s="52" t="s">
        <v>196</v>
      </c>
      <c r="T26" s="98" t="s">
        <v>196</v>
      </c>
      <c r="U26" s="52" t="s">
        <v>196</v>
      </c>
      <c r="V26" s="53" t="s">
        <v>37</v>
      </c>
      <c r="W26" s="54" t="str">
        <f>IF('⚙ OFF Weekends'!$D$18="OFF","OFF","")</f>
        <v>OFF</v>
      </c>
      <c r="X26" s="53" t="s">
        <v>196</v>
      </c>
      <c r="Y26" s="52" t="s">
        <v>37</v>
      </c>
      <c r="Z26" s="53" t="s">
        <v>37</v>
      </c>
      <c r="AA26" s="105" t="s">
        <v>37</v>
      </c>
      <c r="AB26" s="53" t="s">
        <v>223</v>
      </c>
      <c r="AC26" s="54" t="str">
        <f>IF('⚙ OFF Weekends'!$D$24="OFF","OFF","")</f>
        <v/>
      </c>
      <c r="AD26" s="56" t="str">
        <f>IF('⚙ OFF Weekends'!$D$25="OFF","OFF","")</f>
        <v/>
      </c>
      <c r="AE26" s="54" t="str">
        <f>IF('⚙ OFF Weekends'!$D$26="OFF","OFF","")</f>
        <v/>
      </c>
      <c r="AF26" s="56" t="str">
        <f>IF('⚙ OFF Weekends'!$D$27="OFF","OFF","")</f>
        <v/>
      </c>
      <c r="AG26" s="54" t="str">
        <f>IF('⚙ OFF Weekends'!$D$28="OFF","OFF","")</f>
        <v/>
      </c>
      <c r="AH26" s="56" t="str">
        <f>IF('⚙ OFF Weekends'!$D$29="OFF","OFF","")</f>
        <v/>
      </c>
      <c r="AI26" s="54" t="str">
        <f>IF('⚙ OFF Weekends'!$D$30="OFF","OFF","")</f>
        <v/>
      </c>
      <c r="AJ26" s="56" t="str">
        <f>IF('⚙ OFF Weekends'!$D$31="OFF","OFF","")</f>
        <v/>
      </c>
      <c r="AK26" s="54" t="str">
        <f>IF('⚙ OFF Weekends'!$D$32="OFF","OFF","")</f>
        <v/>
      </c>
      <c r="AL26" s="56" t="str">
        <f>IF('⚙ OFF Weekends'!$D$33="OFF","OFF","")</f>
        <v/>
      </c>
      <c r="AM26" s="54" t="str">
        <f>IF('⚙ OFF Weekends'!$D$34="OFF","OFF","")</f>
        <v/>
      </c>
      <c r="AN26" s="56" t="str">
        <f>IF('⚙ OFF Weekends'!$D$35="OFF","OFF","")</f>
        <v/>
      </c>
      <c r="AO26" s="54" t="str">
        <f>IF('⚙ OFF Weekends'!$D$36="OFF","OFF","")</f>
        <v/>
      </c>
      <c r="AP26" s="56" t="str">
        <f>IF('⚙ OFF Weekends'!$D$37="OFF","OFF","")</f>
        <v/>
      </c>
      <c r="AQ26" s="54" t="str">
        <f>IF('⚙ OFF Weekends'!$D$38="OFF","OFF","")</f>
        <v/>
      </c>
      <c r="AR26" s="56" t="str">
        <f>IF('⚙ OFF Weekends'!$D$39="OFF","OFF","")</f>
        <v/>
      </c>
      <c r="AS26" s="54" t="str">
        <f>IF('⚙ OFF Weekends'!$D$40="OFF","OFF","")</f>
        <v/>
      </c>
      <c r="AT26" s="56" t="str">
        <f>IF('⚙ OFF Weekends'!$D$41="OFF","OFF","")</f>
        <v/>
      </c>
      <c r="AU26" s="54" t="str">
        <f>IF('⚙ OFF Weekends'!$D$42="OFF","OFF","")</f>
        <v/>
      </c>
      <c r="AV26" s="56" t="str">
        <f>IF('⚙ OFF Weekends'!$D$43="OFF","OFF","")</f>
        <v/>
      </c>
      <c r="AW26" s="54" t="str">
        <f>IF('⚙ OFF Weekends'!$D$44="OFF","OFF","")</f>
        <v/>
      </c>
      <c r="AX26" s="56" t="str">
        <f>IF('⚙ OFF Weekends'!$D$45="OFF","OFF","")</f>
        <v/>
      </c>
      <c r="AY26" s="54" t="str">
        <f>IF('⚙ OFF Weekends'!$D$46="OFF","OFF","")</f>
        <v/>
      </c>
      <c r="AZ26" s="56" t="str">
        <f>IF('⚙ OFF Weekends'!$D$47="OFF","OFF","")</f>
        <v/>
      </c>
      <c r="BA26" s="54" t="str">
        <f>IF('⚙ OFF Weekends'!$D$48="OFF","OFF","")</f>
        <v/>
      </c>
      <c r="BB26" s="56" t="str">
        <f>IF('⚙ OFF Weekends'!$D$49="OFF","OFF","")</f>
        <v/>
      </c>
      <c r="BC26" s="54" t="str">
        <f>IF('⚙ OFF Weekends'!$D$50="OFF","OFF","")</f>
        <v/>
      </c>
      <c r="BD26" s="56" t="str">
        <f>IF('⚙ OFF Weekends'!$D$51="OFF","OFF","")</f>
        <v/>
      </c>
      <c r="BE26" s="54" t="str">
        <f>IF('⚙ OFF Weekends'!$D$52="OFF","OFF","")</f>
        <v/>
      </c>
      <c r="BF26" s="56" t="str">
        <f>IF('⚙ OFF Weekends'!$D$53="OFF","OFF","")</f>
        <v/>
      </c>
      <c r="BG26" s="54" t="str">
        <f>IF('⚙ OFF Weekends'!$D$54="OFF","OFF","")</f>
        <v/>
      </c>
      <c r="BH26" s="56" t="str">
        <f>IF('⚙ OFF Weekends'!$D$55="OFF","OFF","")</f>
        <v/>
      </c>
      <c r="BI26" s="54" t="str">
        <f>IF('⚙ OFF Weekends'!$D$56="OFF","OFF","")</f>
        <v/>
      </c>
      <c r="BJ26" s="56" t="str">
        <f>IF('⚙ OFF Weekends'!$D$57="OFF","OFF","")</f>
        <v/>
      </c>
      <c r="BK26" s="54" t="str">
        <f>IF('⚙ OFF Weekends'!$D$58="OFF","OFF","")</f>
        <v/>
      </c>
      <c r="BL26" s="56" t="str">
        <f>IF('⚙ OFF Weekends'!$D$59="OFF","OFF","")</f>
        <v/>
      </c>
      <c r="BM26" s="54" t="str">
        <f>IF('⚙ OFF Weekends'!$D$60="OFF","OFF","")</f>
        <v/>
      </c>
      <c r="BN26" s="56" t="str">
        <f>IF('⚙ OFF Weekends'!$D$61="OFF","OFF","")</f>
        <v/>
      </c>
      <c r="BO26" s="54" t="str">
        <f>IF('⚙ OFF Weekends'!$D$62="OFF","OFF","")</f>
        <v/>
      </c>
      <c r="BP26" s="56" t="str">
        <f>IF('⚙ OFF Weekends'!$D$63="OFF","OFF","")</f>
        <v/>
      </c>
      <c r="BQ26" s="54" t="str">
        <f>IF('⚙ OFF Weekends'!$D$64="OFF","OFF","")</f>
        <v/>
      </c>
      <c r="BR26" s="56" t="str">
        <f>IF('⚙ OFF Weekends'!$D$65="OFF","OFF","")</f>
        <v/>
      </c>
      <c r="BS26" s="54" t="str">
        <f>IF('⚙ OFF Weekends'!$D$66="OFF","OFF","")</f>
        <v/>
      </c>
      <c r="BT26" s="56" t="str">
        <f>IF('⚙ OFF Weekends'!$D$67="OFF","OFF","")</f>
        <v/>
      </c>
      <c r="BU26" s="54" t="str">
        <f>IF('⚙ OFF Weekends'!$D$68="OFF","OFF","")</f>
        <v/>
      </c>
      <c r="BV26" s="56" t="str">
        <f>IF('⚙ OFF Weekends'!$D$69="OFF","OFF","")</f>
        <v/>
      </c>
      <c r="BW26" s="54" t="str">
        <f>IF('⚙ OFF Weekends'!$D$70="OFF","OFF","")</f>
        <v/>
      </c>
      <c r="BX26" s="56" t="str">
        <f>IF('⚙ OFF Weekends'!$D$71="OFF","OFF","")</f>
        <v/>
      </c>
      <c r="BY26" s="54" t="str">
        <f>IF('⚙ OFF Weekends'!$D$72="OFF","OFF","")</f>
        <v/>
      </c>
      <c r="BZ26" s="56" t="str">
        <f>IF('⚙ OFF Weekends'!$D$73="OFF","OFF","")</f>
        <v/>
      </c>
      <c r="CA26" s="54" t="str">
        <f>IF('⚙ OFF Weekends'!$D$74="OFF","OFF","")</f>
        <v/>
      </c>
      <c r="CB26" s="56" t="str">
        <f>IF('⚙ OFF Weekends'!$D$75="OFF","OFF","")</f>
        <v/>
      </c>
      <c r="CC26" s="54" t="str">
        <f>IF('⚙ OFF Weekends'!$D$76="OFF","OFF","")</f>
        <v/>
      </c>
      <c r="CD26" s="56" t="str">
        <f>IF('⚙ OFF Weekends'!$D$77="OFF","OFF","")</f>
        <v/>
      </c>
      <c r="CE26" s="95">
        <f t="shared" si="9"/>
        <v>14</v>
      </c>
      <c r="CF26" s="95">
        <f t="shared" si="10"/>
        <v>4</v>
      </c>
      <c r="CG26" s="95">
        <f t="shared" si="11"/>
        <v>0</v>
      </c>
      <c r="CH26" s="95" t="str">
        <f t="shared" si="12"/>
        <v>78%</v>
      </c>
    </row>
    <row r="27" ht="18.0" customHeight="1">
      <c r="A27" s="96">
        <v>12.0</v>
      </c>
      <c r="B27" s="22" t="s">
        <v>486</v>
      </c>
      <c r="C27" s="23" t="s">
        <v>487</v>
      </c>
      <c r="D27" s="24" t="str">
        <f t="shared" si="7"/>
        <v>📞 Call</v>
      </c>
      <c r="E27" s="41" t="str">
        <f t="shared" si="8"/>
        <v>💬 WhatsApp</v>
      </c>
      <c r="F27" s="20"/>
      <c r="G27" s="20" t="s">
        <v>381</v>
      </c>
      <c r="H27" s="20" t="s">
        <v>299</v>
      </c>
      <c r="I27" s="48" t="s">
        <v>196</v>
      </c>
      <c r="J27" s="79" t="s">
        <v>223</v>
      </c>
      <c r="K27" s="49" t="s">
        <v>197</v>
      </c>
      <c r="L27" s="79" t="s">
        <v>223</v>
      </c>
      <c r="M27" s="48" t="s">
        <v>196</v>
      </c>
      <c r="N27" s="50" t="s">
        <v>37</v>
      </c>
      <c r="O27" s="77" t="s">
        <v>198</v>
      </c>
      <c r="P27" s="77" t="s">
        <v>198</v>
      </c>
      <c r="Q27" s="50" t="s">
        <v>37</v>
      </c>
      <c r="R27" s="48" t="s">
        <v>196</v>
      </c>
      <c r="S27" s="52" t="s">
        <v>37</v>
      </c>
      <c r="T27" s="98" t="s">
        <v>196</v>
      </c>
      <c r="U27" s="52" t="s">
        <v>37</v>
      </c>
      <c r="V27" s="53" t="s">
        <v>198</v>
      </c>
      <c r="W27" s="54" t="str">
        <f>IF('⚙ OFF Weekends'!$D$18="OFF","OFF","")</f>
        <v>OFF</v>
      </c>
      <c r="X27" s="53" t="s">
        <v>196</v>
      </c>
      <c r="Y27" s="52" t="s">
        <v>198</v>
      </c>
      <c r="Z27" s="53" t="s">
        <v>223</v>
      </c>
      <c r="AA27" s="52" t="s">
        <v>223</v>
      </c>
      <c r="AB27" s="53" t="s">
        <v>223</v>
      </c>
      <c r="AC27" s="54" t="str">
        <f>IF('⚙ OFF Weekends'!$D$24="OFF","OFF","")</f>
        <v/>
      </c>
      <c r="AD27" s="56" t="str">
        <f>IF('⚙ OFF Weekends'!$D$25="OFF","OFF","")</f>
        <v/>
      </c>
      <c r="AE27" s="54" t="str">
        <f>IF('⚙ OFF Weekends'!$D$26="OFF","OFF","")</f>
        <v/>
      </c>
      <c r="AF27" s="56" t="str">
        <f>IF('⚙ OFF Weekends'!$D$27="OFF","OFF","")</f>
        <v/>
      </c>
      <c r="AG27" s="54" t="str">
        <f>IF('⚙ OFF Weekends'!$D$28="OFF","OFF","")</f>
        <v/>
      </c>
      <c r="AH27" s="56" t="str">
        <f>IF('⚙ OFF Weekends'!$D$29="OFF","OFF","")</f>
        <v/>
      </c>
      <c r="AI27" s="54" t="str">
        <f>IF('⚙ OFF Weekends'!$D$30="OFF","OFF","")</f>
        <v/>
      </c>
      <c r="AJ27" s="56" t="str">
        <f>IF('⚙ OFF Weekends'!$D$31="OFF","OFF","")</f>
        <v/>
      </c>
      <c r="AK27" s="54" t="str">
        <f>IF('⚙ OFF Weekends'!$D$32="OFF","OFF","")</f>
        <v/>
      </c>
      <c r="AL27" s="56" t="str">
        <f>IF('⚙ OFF Weekends'!$D$33="OFF","OFF","")</f>
        <v/>
      </c>
      <c r="AM27" s="54" t="str">
        <f>IF('⚙ OFF Weekends'!$D$34="OFF","OFF","")</f>
        <v/>
      </c>
      <c r="AN27" s="56" t="str">
        <f>IF('⚙ OFF Weekends'!$D$35="OFF","OFF","")</f>
        <v/>
      </c>
      <c r="AO27" s="54" t="str">
        <f>IF('⚙ OFF Weekends'!$D$36="OFF","OFF","")</f>
        <v/>
      </c>
      <c r="AP27" s="56" t="str">
        <f>IF('⚙ OFF Weekends'!$D$37="OFF","OFF","")</f>
        <v/>
      </c>
      <c r="AQ27" s="54" t="str">
        <f>IF('⚙ OFF Weekends'!$D$38="OFF","OFF","")</f>
        <v/>
      </c>
      <c r="AR27" s="56" t="str">
        <f>IF('⚙ OFF Weekends'!$D$39="OFF","OFF","")</f>
        <v/>
      </c>
      <c r="AS27" s="54" t="str">
        <f>IF('⚙ OFF Weekends'!$D$40="OFF","OFF","")</f>
        <v/>
      </c>
      <c r="AT27" s="56" t="str">
        <f>IF('⚙ OFF Weekends'!$D$41="OFF","OFF","")</f>
        <v/>
      </c>
      <c r="AU27" s="54" t="str">
        <f>IF('⚙ OFF Weekends'!$D$42="OFF","OFF","")</f>
        <v/>
      </c>
      <c r="AV27" s="56" t="str">
        <f>IF('⚙ OFF Weekends'!$D$43="OFF","OFF","")</f>
        <v/>
      </c>
      <c r="AW27" s="54" t="str">
        <f>IF('⚙ OFF Weekends'!$D$44="OFF","OFF","")</f>
        <v/>
      </c>
      <c r="AX27" s="56" t="str">
        <f>IF('⚙ OFF Weekends'!$D$45="OFF","OFF","")</f>
        <v/>
      </c>
      <c r="AY27" s="54" t="str">
        <f>IF('⚙ OFF Weekends'!$D$46="OFF","OFF","")</f>
        <v/>
      </c>
      <c r="AZ27" s="56" t="str">
        <f>IF('⚙ OFF Weekends'!$D$47="OFF","OFF","")</f>
        <v/>
      </c>
      <c r="BA27" s="54" t="str">
        <f>IF('⚙ OFF Weekends'!$D$48="OFF","OFF","")</f>
        <v/>
      </c>
      <c r="BB27" s="56" t="str">
        <f>IF('⚙ OFF Weekends'!$D$49="OFF","OFF","")</f>
        <v/>
      </c>
      <c r="BC27" s="54" t="str">
        <f>IF('⚙ OFF Weekends'!$D$50="OFF","OFF","")</f>
        <v/>
      </c>
      <c r="BD27" s="56" t="str">
        <f>IF('⚙ OFF Weekends'!$D$51="OFF","OFF","")</f>
        <v/>
      </c>
      <c r="BE27" s="54" t="str">
        <f>IF('⚙ OFF Weekends'!$D$52="OFF","OFF","")</f>
        <v/>
      </c>
      <c r="BF27" s="56" t="str">
        <f>IF('⚙ OFF Weekends'!$D$53="OFF","OFF","")</f>
        <v/>
      </c>
      <c r="BG27" s="54" t="str">
        <f>IF('⚙ OFF Weekends'!$D$54="OFF","OFF","")</f>
        <v/>
      </c>
      <c r="BH27" s="56" t="str">
        <f>IF('⚙ OFF Weekends'!$D$55="OFF","OFF","")</f>
        <v/>
      </c>
      <c r="BI27" s="54" t="str">
        <f>IF('⚙ OFF Weekends'!$D$56="OFF","OFF","")</f>
        <v/>
      </c>
      <c r="BJ27" s="56" t="str">
        <f>IF('⚙ OFF Weekends'!$D$57="OFF","OFF","")</f>
        <v/>
      </c>
      <c r="BK27" s="54" t="str">
        <f>IF('⚙ OFF Weekends'!$D$58="OFF","OFF","")</f>
        <v/>
      </c>
      <c r="BL27" s="56" t="str">
        <f>IF('⚙ OFF Weekends'!$D$59="OFF","OFF","")</f>
        <v/>
      </c>
      <c r="BM27" s="54" t="str">
        <f>IF('⚙ OFF Weekends'!$D$60="OFF","OFF","")</f>
        <v/>
      </c>
      <c r="BN27" s="56" t="str">
        <f>IF('⚙ OFF Weekends'!$D$61="OFF","OFF","")</f>
        <v/>
      </c>
      <c r="BO27" s="54" t="str">
        <f>IF('⚙ OFF Weekends'!$D$62="OFF","OFF","")</f>
        <v/>
      </c>
      <c r="BP27" s="56" t="str">
        <f>IF('⚙ OFF Weekends'!$D$63="OFF","OFF","")</f>
        <v/>
      </c>
      <c r="BQ27" s="54" t="str">
        <f>IF('⚙ OFF Weekends'!$D$64="OFF","OFF","")</f>
        <v/>
      </c>
      <c r="BR27" s="56" t="str">
        <f>IF('⚙ OFF Weekends'!$D$65="OFF","OFF","")</f>
        <v/>
      </c>
      <c r="BS27" s="54" t="str">
        <f>IF('⚙ OFF Weekends'!$D$66="OFF","OFF","")</f>
        <v/>
      </c>
      <c r="BT27" s="56" t="str">
        <f>IF('⚙ OFF Weekends'!$D$67="OFF","OFF","")</f>
        <v/>
      </c>
      <c r="BU27" s="54" t="str">
        <f>IF('⚙ OFF Weekends'!$D$68="OFF","OFF","")</f>
        <v/>
      </c>
      <c r="BV27" s="56" t="str">
        <f>IF('⚙ OFF Weekends'!$D$69="OFF","OFF","")</f>
        <v/>
      </c>
      <c r="BW27" s="54" t="str">
        <f>IF('⚙ OFF Weekends'!$D$70="OFF","OFF","")</f>
        <v/>
      </c>
      <c r="BX27" s="56" t="str">
        <f>IF('⚙ OFF Weekends'!$D$71="OFF","OFF","")</f>
        <v/>
      </c>
      <c r="BY27" s="54" t="str">
        <f>IF('⚙ OFF Weekends'!$D$72="OFF","OFF","")</f>
        <v/>
      </c>
      <c r="BZ27" s="56" t="str">
        <f>IF('⚙ OFF Weekends'!$D$73="OFF","OFF","")</f>
        <v/>
      </c>
      <c r="CA27" s="54" t="str">
        <f>IF('⚙ OFF Weekends'!$D$74="OFF","OFF","")</f>
        <v/>
      </c>
      <c r="CB27" s="56" t="str">
        <f>IF('⚙ OFF Weekends'!$D$75="OFF","OFF","")</f>
        <v/>
      </c>
      <c r="CC27" s="54" t="str">
        <f>IF('⚙ OFF Weekends'!$D$76="OFF","OFF","")</f>
        <v/>
      </c>
      <c r="CD27" s="56" t="str">
        <f>IF('⚙ OFF Weekends'!$D$77="OFF","OFF","")</f>
        <v/>
      </c>
      <c r="CE27" s="96">
        <f t="shared" si="9"/>
        <v>9</v>
      </c>
      <c r="CF27" s="96">
        <f t="shared" si="10"/>
        <v>5</v>
      </c>
      <c r="CG27" s="96">
        <f t="shared" si="11"/>
        <v>4</v>
      </c>
      <c r="CH27" s="96" t="str">
        <f t="shared" si="12"/>
        <v>64%</v>
      </c>
    </row>
    <row r="28" ht="18.0" customHeight="1">
      <c r="A28" s="95">
        <v>13.0</v>
      </c>
      <c r="B28" s="12" t="s">
        <v>491</v>
      </c>
      <c r="C28" s="14"/>
      <c r="D28" s="17" t="str">
        <f t="shared" si="7"/>
        <v/>
      </c>
      <c r="E28" s="28" t="str">
        <f t="shared" si="8"/>
        <v/>
      </c>
      <c r="F28" s="10"/>
      <c r="G28" s="10"/>
      <c r="H28" s="10"/>
      <c r="I28" s="54" t="str">
        <f>IF('⚙ OFF Weekends'!$D$4="OFF","OFF","")</f>
        <v/>
      </c>
      <c r="J28" s="56" t="str">
        <f>IF('⚙ OFF Weekends'!$D$5="OFF","OFF","")</f>
        <v/>
      </c>
      <c r="K28" s="49" t="s">
        <v>197</v>
      </c>
      <c r="L28" s="56" t="str">
        <f>IF('⚙ OFF Weekends'!$D$7="OFF","OFF","")</f>
        <v/>
      </c>
      <c r="M28" s="54" t="str">
        <f>IF('⚙ OFF Weekends'!$D$8="OFF","OFF","")</f>
        <v/>
      </c>
      <c r="N28" s="56" t="str">
        <f>IF('⚙ OFF Weekends'!$D$9="OFF","OFF","")</f>
        <v/>
      </c>
      <c r="O28" s="50" t="s">
        <v>37</v>
      </c>
      <c r="P28" s="79" t="s">
        <v>223</v>
      </c>
      <c r="Q28" s="48" t="s">
        <v>196</v>
      </c>
      <c r="R28" s="50" t="s">
        <v>37</v>
      </c>
      <c r="S28" s="52" t="s">
        <v>223</v>
      </c>
      <c r="T28" s="98" t="s">
        <v>223</v>
      </c>
      <c r="U28" s="52" t="s">
        <v>37</v>
      </c>
      <c r="V28" s="53" t="s">
        <v>196</v>
      </c>
      <c r="W28" s="54" t="str">
        <f>IF('⚙ OFF Weekends'!$D$18="OFF","OFF","")</f>
        <v>OFF</v>
      </c>
      <c r="X28" s="53" t="s">
        <v>37</v>
      </c>
      <c r="Y28" s="52" t="s">
        <v>37</v>
      </c>
      <c r="Z28" s="53" t="s">
        <v>198</v>
      </c>
      <c r="AA28" s="52" t="s">
        <v>223</v>
      </c>
      <c r="AB28" s="53" t="s">
        <v>223</v>
      </c>
      <c r="AC28" s="54" t="str">
        <f>IF('⚙ OFF Weekends'!$D$24="OFF","OFF","")</f>
        <v/>
      </c>
      <c r="AD28" s="56" t="str">
        <f>IF('⚙ OFF Weekends'!$D$25="OFF","OFF","")</f>
        <v/>
      </c>
      <c r="AE28" s="54" t="str">
        <f>IF('⚙ OFF Weekends'!$D$26="OFF","OFF","")</f>
        <v/>
      </c>
      <c r="AF28" s="56" t="str">
        <f>IF('⚙ OFF Weekends'!$D$27="OFF","OFF","")</f>
        <v/>
      </c>
      <c r="AG28" s="54" t="str">
        <f>IF('⚙ OFF Weekends'!$D$28="OFF","OFF","")</f>
        <v/>
      </c>
      <c r="AH28" s="56" t="str">
        <f>IF('⚙ OFF Weekends'!$D$29="OFF","OFF","")</f>
        <v/>
      </c>
      <c r="AI28" s="54" t="str">
        <f>IF('⚙ OFF Weekends'!$D$30="OFF","OFF","")</f>
        <v/>
      </c>
      <c r="AJ28" s="56" t="str">
        <f>IF('⚙ OFF Weekends'!$D$31="OFF","OFF","")</f>
        <v/>
      </c>
      <c r="AK28" s="54" t="str">
        <f>IF('⚙ OFF Weekends'!$D$32="OFF","OFF","")</f>
        <v/>
      </c>
      <c r="AL28" s="56" t="str">
        <f>IF('⚙ OFF Weekends'!$D$33="OFF","OFF","")</f>
        <v/>
      </c>
      <c r="AM28" s="54" t="str">
        <f>IF('⚙ OFF Weekends'!$D$34="OFF","OFF","")</f>
        <v/>
      </c>
      <c r="AN28" s="56" t="str">
        <f>IF('⚙ OFF Weekends'!$D$35="OFF","OFF","")</f>
        <v/>
      </c>
      <c r="AO28" s="54" t="str">
        <f>IF('⚙ OFF Weekends'!$D$36="OFF","OFF","")</f>
        <v/>
      </c>
      <c r="AP28" s="56" t="str">
        <f>IF('⚙ OFF Weekends'!$D$37="OFF","OFF","")</f>
        <v/>
      </c>
      <c r="AQ28" s="54" t="str">
        <f>IF('⚙ OFF Weekends'!$D$38="OFF","OFF","")</f>
        <v/>
      </c>
      <c r="AR28" s="56" t="str">
        <f>IF('⚙ OFF Weekends'!$D$39="OFF","OFF","")</f>
        <v/>
      </c>
      <c r="AS28" s="54" t="str">
        <f>IF('⚙ OFF Weekends'!$D$40="OFF","OFF","")</f>
        <v/>
      </c>
      <c r="AT28" s="56" t="str">
        <f>IF('⚙ OFF Weekends'!$D$41="OFF","OFF","")</f>
        <v/>
      </c>
      <c r="AU28" s="54" t="str">
        <f>IF('⚙ OFF Weekends'!$D$42="OFF","OFF","")</f>
        <v/>
      </c>
      <c r="AV28" s="56" t="str">
        <f>IF('⚙ OFF Weekends'!$D$43="OFF","OFF","")</f>
        <v/>
      </c>
      <c r="AW28" s="54" t="str">
        <f>IF('⚙ OFF Weekends'!$D$44="OFF","OFF","")</f>
        <v/>
      </c>
      <c r="AX28" s="56" t="str">
        <f>IF('⚙ OFF Weekends'!$D$45="OFF","OFF","")</f>
        <v/>
      </c>
      <c r="AY28" s="54" t="str">
        <f>IF('⚙ OFF Weekends'!$D$46="OFF","OFF","")</f>
        <v/>
      </c>
      <c r="AZ28" s="56" t="str">
        <f>IF('⚙ OFF Weekends'!$D$47="OFF","OFF","")</f>
        <v/>
      </c>
      <c r="BA28" s="54" t="str">
        <f>IF('⚙ OFF Weekends'!$D$48="OFF","OFF","")</f>
        <v/>
      </c>
      <c r="BB28" s="56" t="str">
        <f>IF('⚙ OFF Weekends'!$D$49="OFF","OFF","")</f>
        <v/>
      </c>
      <c r="BC28" s="54" t="str">
        <f>IF('⚙ OFF Weekends'!$D$50="OFF","OFF","")</f>
        <v/>
      </c>
      <c r="BD28" s="56" t="str">
        <f>IF('⚙ OFF Weekends'!$D$51="OFF","OFF","")</f>
        <v/>
      </c>
      <c r="BE28" s="54" t="str">
        <f>IF('⚙ OFF Weekends'!$D$52="OFF","OFF","")</f>
        <v/>
      </c>
      <c r="BF28" s="56" t="str">
        <f>IF('⚙ OFF Weekends'!$D$53="OFF","OFF","")</f>
        <v/>
      </c>
      <c r="BG28" s="54" t="str">
        <f>IF('⚙ OFF Weekends'!$D$54="OFF","OFF","")</f>
        <v/>
      </c>
      <c r="BH28" s="56" t="str">
        <f>IF('⚙ OFF Weekends'!$D$55="OFF","OFF","")</f>
        <v/>
      </c>
      <c r="BI28" s="54" t="str">
        <f>IF('⚙ OFF Weekends'!$D$56="OFF","OFF","")</f>
        <v/>
      </c>
      <c r="BJ28" s="56" t="str">
        <f>IF('⚙ OFF Weekends'!$D$57="OFF","OFF","")</f>
        <v/>
      </c>
      <c r="BK28" s="54" t="str">
        <f>IF('⚙ OFF Weekends'!$D$58="OFF","OFF","")</f>
        <v/>
      </c>
      <c r="BL28" s="56" t="str">
        <f>IF('⚙ OFF Weekends'!$D$59="OFF","OFF","")</f>
        <v/>
      </c>
      <c r="BM28" s="54" t="str">
        <f>IF('⚙ OFF Weekends'!$D$60="OFF","OFF","")</f>
        <v/>
      </c>
      <c r="BN28" s="56" t="str">
        <f>IF('⚙ OFF Weekends'!$D$61="OFF","OFF","")</f>
        <v/>
      </c>
      <c r="BO28" s="54" t="str">
        <f>IF('⚙ OFF Weekends'!$D$62="OFF","OFF","")</f>
        <v/>
      </c>
      <c r="BP28" s="56" t="str">
        <f>IF('⚙ OFF Weekends'!$D$63="OFF","OFF","")</f>
        <v/>
      </c>
      <c r="BQ28" s="54" t="str">
        <f>IF('⚙ OFF Weekends'!$D$64="OFF","OFF","")</f>
        <v/>
      </c>
      <c r="BR28" s="56" t="str">
        <f>IF('⚙ OFF Weekends'!$D$65="OFF","OFF","")</f>
        <v/>
      </c>
      <c r="BS28" s="54" t="str">
        <f>IF('⚙ OFF Weekends'!$D$66="OFF","OFF","")</f>
        <v/>
      </c>
      <c r="BT28" s="56" t="str">
        <f>IF('⚙ OFF Weekends'!$D$67="OFF","OFF","")</f>
        <v/>
      </c>
      <c r="BU28" s="54" t="str">
        <f>IF('⚙ OFF Weekends'!$D$68="OFF","OFF","")</f>
        <v/>
      </c>
      <c r="BV28" s="56" t="str">
        <f>IF('⚙ OFF Weekends'!$D$69="OFF","OFF","")</f>
        <v/>
      </c>
      <c r="BW28" s="54" t="str">
        <f>IF('⚙ OFF Weekends'!$D$70="OFF","OFF","")</f>
        <v/>
      </c>
      <c r="BX28" s="56" t="str">
        <f>IF('⚙ OFF Weekends'!$D$71="OFF","OFF","")</f>
        <v/>
      </c>
      <c r="BY28" s="54" t="str">
        <f>IF('⚙ OFF Weekends'!$D$72="OFF","OFF","")</f>
        <v/>
      </c>
      <c r="BZ28" s="56" t="str">
        <f>IF('⚙ OFF Weekends'!$D$73="OFF","OFF","")</f>
        <v/>
      </c>
      <c r="CA28" s="54" t="str">
        <f>IF('⚙ OFF Weekends'!$D$74="OFF","OFF","")</f>
        <v/>
      </c>
      <c r="CB28" s="56" t="str">
        <f>IF('⚙ OFF Weekends'!$D$75="OFF","OFF","")</f>
        <v/>
      </c>
      <c r="CC28" s="54" t="str">
        <f>IF('⚙ OFF Weekends'!$D$76="OFF","OFF","")</f>
        <v/>
      </c>
      <c r="CD28" s="56" t="str">
        <f>IF('⚙ OFF Weekends'!$D$77="OFF","OFF","")</f>
        <v/>
      </c>
      <c r="CE28" s="95">
        <f t="shared" si="9"/>
        <v>7</v>
      </c>
      <c r="CF28" s="95">
        <f t="shared" si="10"/>
        <v>5</v>
      </c>
      <c r="CG28" s="95">
        <f t="shared" si="11"/>
        <v>1</v>
      </c>
      <c r="CH28" s="95" t="str">
        <f t="shared" si="12"/>
        <v>58%</v>
      </c>
    </row>
    <row r="29" ht="18.0" customHeight="1">
      <c r="A29" s="96">
        <v>14.0</v>
      </c>
      <c r="B29" s="22" t="s">
        <v>500</v>
      </c>
      <c r="C29" s="23"/>
      <c r="D29" s="24" t="str">
        <f t="shared" si="7"/>
        <v/>
      </c>
      <c r="E29" s="26" t="str">
        <f t="shared" si="8"/>
        <v/>
      </c>
      <c r="F29" s="20"/>
      <c r="G29" s="20"/>
      <c r="H29" s="20"/>
      <c r="I29" s="54" t="str">
        <f>IF('⚙ OFF Weekends'!$D$4="OFF","OFF","")</f>
        <v/>
      </c>
      <c r="J29" s="56" t="str">
        <f>IF('⚙ OFF Weekends'!$D$5="OFF","OFF","")</f>
        <v/>
      </c>
      <c r="K29" s="49" t="s">
        <v>197</v>
      </c>
      <c r="L29" s="56" t="str">
        <f>IF('⚙ OFF Weekends'!$D$7="OFF","OFF","")</f>
        <v/>
      </c>
      <c r="M29" s="54" t="str">
        <f>IF('⚙ OFF Weekends'!$D$8="OFF","OFF","")</f>
        <v/>
      </c>
      <c r="N29" s="56" t="str">
        <f>IF('⚙ OFF Weekends'!$D$9="OFF","OFF","")</f>
        <v/>
      </c>
      <c r="O29" s="50" t="s">
        <v>37</v>
      </c>
      <c r="P29" s="48" t="s">
        <v>196</v>
      </c>
      <c r="Q29" s="48" t="s">
        <v>196</v>
      </c>
      <c r="R29" s="50" t="s">
        <v>37</v>
      </c>
      <c r="S29" s="52" t="s">
        <v>198</v>
      </c>
      <c r="T29" s="98" t="s">
        <v>198</v>
      </c>
      <c r="U29" s="52" t="s">
        <v>37</v>
      </c>
      <c r="V29" s="53" t="s">
        <v>196</v>
      </c>
      <c r="W29" s="54" t="str">
        <f>IF('⚙ OFF Weekends'!$D$18="OFF","OFF","")</f>
        <v>OFF</v>
      </c>
      <c r="X29" s="53" t="s">
        <v>37</v>
      </c>
      <c r="Y29" s="52" t="s">
        <v>37</v>
      </c>
      <c r="Z29" s="53" t="s">
        <v>37</v>
      </c>
      <c r="AA29" s="105" t="s">
        <v>37</v>
      </c>
      <c r="AB29" s="53" t="s">
        <v>37</v>
      </c>
      <c r="AC29" s="54" t="str">
        <f>IF('⚙ OFF Weekends'!$D$24="OFF","OFF","")</f>
        <v/>
      </c>
      <c r="AD29" s="56" t="str">
        <f>IF('⚙ OFF Weekends'!$D$25="OFF","OFF","")</f>
        <v/>
      </c>
      <c r="AE29" s="54" t="str">
        <f>IF('⚙ OFF Weekends'!$D$26="OFF","OFF","")</f>
        <v/>
      </c>
      <c r="AF29" s="56" t="str">
        <f>IF('⚙ OFF Weekends'!$D$27="OFF","OFF","")</f>
        <v/>
      </c>
      <c r="AG29" s="54" t="str">
        <f>IF('⚙ OFF Weekends'!$D$28="OFF","OFF","")</f>
        <v/>
      </c>
      <c r="AH29" s="56" t="str">
        <f>IF('⚙ OFF Weekends'!$D$29="OFF","OFF","")</f>
        <v/>
      </c>
      <c r="AI29" s="54" t="str">
        <f>IF('⚙ OFF Weekends'!$D$30="OFF","OFF","")</f>
        <v/>
      </c>
      <c r="AJ29" s="56" t="str">
        <f>IF('⚙ OFF Weekends'!$D$31="OFF","OFF","")</f>
        <v/>
      </c>
      <c r="AK29" s="54" t="str">
        <f>IF('⚙ OFF Weekends'!$D$32="OFF","OFF","")</f>
        <v/>
      </c>
      <c r="AL29" s="56" t="str">
        <f>IF('⚙ OFF Weekends'!$D$33="OFF","OFF","")</f>
        <v/>
      </c>
      <c r="AM29" s="54" t="str">
        <f>IF('⚙ OFF Weekends'!$D$34="OFF","OFF","")</f>
        <v/>
      </c>
      <c r="AN29" s="56" t="str">
        <f>IF('⚙ OFF Weekends'!$D$35="OFF","OFF","")</f>
        <v/>
      </c>
      <c r="AO29" s="54" t="str">
        <f>IF('⚙ OFF Weekends'!$D$36="OFF","OFF","")</f>
        <v/>
      </c>
      <c r="AP29" s="56" t="str">
        <f>IF('⚙ OFF Weekends'!$D$37="OFF","OFF","")</f>
        <v/>
      </c>
      <c r="AQ29" s="54" t="str">
        <f>IF('⚙ OFF Weekends'!$D$38="OFF","OFF","")</f>
        <v/>
      </c>
      <c r="AR29" s="56" t="str">
        <f>IF('⚙ OFF Weekends'!$D$39="OFF","OFF","")</f>
        <v/>
      </c>
      <c r="AS29" s="54" t="str">
        <f>IF('⚙ OFF Weekends'!$D$40="OFF","OFF","")</f>
        <v/>
      </c>
      <c r="AT29" s="56" t="str">
        <f>IF('⚙ OFF Weekends'!$D$41="OFF","OFF","")</f>
        <v/>
      </c>
      <c r="AU29" s="54" t="str">
        <f>IF('⚙ OFF Weekends'!$D$42="OFF","OFF","")</f>
        <v/>
      </c>
      <c r="AV29" s="56" t="str">
        <f>IF('⚙ OFF Weekends'!$D$43="OFF","OFF","")</f>
        <v/>
      </c>
      <c r="AW29" s="54" t="str">
        <f>IF('⚙ OFF Weekends'!$D$44="OFF","OFF","")</f>
        <v/>
      </c>
      <c r="AX29" s="56" t="str">
        <f>IF('⚙ OFF Weekends'!$D$45="OFF","OFF","")</f>
        <v/>
      </c>
      <c r="AY29" s="54" t="str">
        <f>IF('⚙ OFF Weekends'!$D$46="OFF","OFF","")</f>
        <v/>
      </c>
      <c r="AZ29" s="56" t="str">
        <f>IF('⚙ OFF Weekends'!$D$47="OFF","OFF","")</f>
        <v/>
      </c>
      <c r="BA29" s="54" t="str">
        <f>IF('⚙ OFF Weekends'!$D$48="OFF","OFF","")</f>
        <v/>
      </c>
      <c r="BB29" s="56" t="str">
        <f>IF('⚙ OFF Weekends'!$D$49="OFF","OFF","")</f>
        <v/>
      </c>
      <c r="BC29" s="54" t="str">
        <f>IF('⚙ OFF Weekends'!$D$50="OFF","OFF","")</f>
        <v/>
      </c>
      <c r="BD29" s="56" t="str">
        <f>IF('⚙ OFF Weekends'!$D$51="OFF","OFF","")</f>
        <v/>
      </c>
      <c r="BE29" s="54" t="str">
        <f>IF('⚙ OFF Weekends'!$D$52="OFF","OFF","")</f>
        <v/>
      </c>
      <c r="BF29" s="56" t="str">
        <f>IF('⚙ OFF Weekends'!$D$53="OFF","OFF","")</f>
        <v/>
      </c>
      <c r="BG29" s="54" t="str">
        <f>IF('⚙ OFF Weekends'!$D$54="OFF","OFF","")</f>
        <v/>
      </c>
      <c r="BH29" s="56" t="str">
        <f>IF('⚙ OFF Weekends'!$D$55="OFF","OFF","")</f>
        <v/>
      </c>
      <c r="BI29" s="54" t="str">
        <f>IF('⚙ OFF Weekends'!$D$56="OFF","OFF","")</f>
        <v/>
      </c>
      <c r="BJ29" s="56" t="str">
        <f>IF('⚙ OFF Weekends'!$D$57="OFF","OFF","")</f>
        <v/>
      </c>
      <c r="BK29" s="54" t="str">
        <f>IF('⚙ OFF Weekends'!$D$58="OFF","OFF","")</f>
        <v/>
      </c>
      <c r="BL29" s="56" t="str">
        <f>IF('⚙ OFF Weekends'!$D$59="OFF","OFF","")</f>
        <v/>
      </c>
      <c r="BM29" s="54" t="str">
        <f>IF('⚙ OFF Weekends'!$D$60="OFF","OFF","")</f>
        <v/>
      </c>
      <c r="BN29" s="56" t="str">
        <f>IF('⚙ OFF Weekends'!$D$61="OFF","OFF","")</f>
        <v/>
      </c>
      <c r="BO29" s="54" t="str">
        <f>IF('⚙ OFF Weekends'!$D$62="OFF","OFF","")</f>
        <v/>
      </c>
      <c r="BP29" s="56" t="str">
        <f>IF('⚙ OFF Weekends'!$D$63="OFF","OFF","")</f>
        <v/>
      </c>
      <c r="BQ29" s="54" t="str">
        <f>IF('⚙ OFF Weekends'!$D$64="OFF","OFF","")</f>
        <v/>
      </c>
      <c r="BR29" s="56" t="str">
        <f>IF('⚙ OFF Weekends'!$D$65="OFF","OFF","")</f>
        <v/>
      </c>
      <c r="BS29" s="54" t="str">
        <f>IF('⚙ OFF Weekends'!$D$66="OFF","OFF","")</f>
        <v/>
      </c>
      <c r="BT29" s="56" t="str">
        <f>IF('⚙ OFF Weekends'!$D$67="OFF","OFF","")</f>
        <v/>
      </c>
      <c r="BU29" s="54" t="str">
        <f>IF('⚙ OFF Weekends'!$D$68="OFF","OFF","")</f>
        <v/>
      </c>
      <c r="BV29" s="56" t="str">
        <f>IF('⚙ OFF Weekends'!$D$69="OFF","OFF","")</f>
        <v/>
      </c>
      <c r="BW29" s="54" t="str">
        <f>IF('⚙ OFF Weekends'!$D$70="OFF","OFF","")</f>
        <v/>
      </c>
      <c r="BX29" s="56" t="str">
        <f>IF('⚙ OFF Weekends'!$D$71="OFF","OFF","")</f>
        <v/>
      </c>
      <c r="BY29" s="54" t="str">
        <f>IF('⚙ OFF Weekends'!$D$72="OFF","OFF","")</f>
        <v/>
      </c>
      <c r="BZ29" s="56" t="str">
        <f>IF('⚙ OFF Weekends'!$D$73="OFF","OFF","")</f>
        <v/>
      </c>
      <c r="CA29" s="54" t="str">
        <f>IF('⚙ OFF Weekends'!$D$74="OFF","OFF","")</f>
        <v/>
      </c>
      <c r="CB29" s="56" t="str">
        <f>IF('⚙ OFF Weekends'!$D$75="OFF","OFF","")</f>
        <v/>
      </c>
      <c r="CC29" s="54" t="str">
        <f>IF('⚙ OFF Weekends'!$D$76="OFF","OFF","")</f>
        <v/>
      </c>
      <c r="CD29" s="56" t="str">
        <f>IF('⚙ OFF Weekends'!$D$77="OFF","OFF","")</f>
        <v/>
      </c>
      <c r="CE29" s="96">
        <f t="shared" si="9"/>
        <v>11</v>
      </c>
      <c r="CF29" s="96">
        <f t="shared" si="10"/>
        <v>0</v>
      </c>
      <c r="CG29" s="96">
        <f t="shared" si="11"/>
        <v>2</v>
      </c>
      <c r="CH29" s="96" t="str">
        <f t="shared" si="12"/>
        <v>100%</v>
      </c>
    </row>
    <row r="30" ht="18.0" customHeight="1">
      <c r="A30" s="95">
        <v>15.0</v>
      </c>
      <c r="B30" s="12" t="s">
        <v>507</v>
      </c>
      <c r="C30" s="14"/>
      <c r="D30" s="17" t="str">
        <f t="shared" si="7"/>
        <v/>
      </c>
      <c r="E30" s="28" t="str">
        <f t="shared" si="8"/>
        <v/>
      </c>
      <c r="F30" s="10"/>
      <c r="G30" s="10"/>
      <c r="H30" s="10"/>
      <c r="I30" s="54" t="str">
        <f>IF('⚙ OFF Weekends'!$D$4="OFF","OFF","")</f>
        <v/>
      </c>
      <c r="J30" s="56" t="str">
        <f>IF('⚙ OFF Weekends'!$D$5="OFF","OFF","")</f>
        <v/>
      </c>
      <c r="K30" s="49" t="s">
        <v>197</v>
      </c>
      <c r="L30" s="56" t="str">
        <f>IF('⚙ OFF Weekends'!$D$7="OFF","OFF","")</f>
        <v/>
      </c>
      <c r="M30" s="54" t="str">
        <f>IF('⚙ OFF Weekends'!$D$8="OFF","OFF","")</f>
        <v/>
      </c>
      <c r="N30" s="56" t="str">
        <f>IF('⚙ OFF Weekends'!$D$9="OFF","OFF","")</f>
        <v/>
      </c>
      <c r="O30" s="48" t="s">
        <v>196</v>
      </c>
      <c r="P30" s="48" t="s">
        <v>196</v>
      </c>
      <c r="Q30" s="48" t="s">
        <v>196</v>
      </c>
      <c r="R30" s="48" t="s">
        <v>196</v>
      </c>
      <c r="S30" s="52" t="s">
        <v>198</v>
      </c>
      <c r="T30" s="98" t="s">
        <v>196</v>
      </c>
      <c r="U30" s="52" t="s">
        <v>223</v>
      </c>
      <c r="V30" s="53" t="s">
        <v>223</v>
      </c>
      <c r="W30" s="54" t="str">
        <f>IF('⚙ OFF Weekends'!$D$18="OFF","OFF","")</f>
        <v>OFF</v>
      </c>
      <c r="X30" s="53" t="s">
        <v>223</v>
      </c>
      <c r="Y30" s="52" t="s">
        <v>223</v>
      </c>
      <c r="Z30" s="53" t="s">
        <v>37</v>
      </c>
      <c r="AA30" s="52" t="s">
        <v>223</v>
      </c>
      <c r="AB30" s="53" t="s">
        <v>223</v>
      </c>
      <c r="AC30" s="54" t="str">
        <f>IF('⚙ OFF Weekends'!$D$24="OFF","OFF","")</f>
        <v/>
      </c>
      <c r="AD30" s="56" t="str">
        <f>IF('⚙ OFF Weekends'!$D$25="OFF","OFF","")</f>
        <v/>
      </c>
      <c r="AE30" s="54" t="str">
        <f>IF('⚙ OFF Weekends'!$D$26="OFF","OFF","")</f>
        <v/>
      </c>
      <c r="AF30" s="56" t="str">
        <f>IF('⚙ OFF Weekends'!$D$27="OFF","OFF","")</f>
        <v/>
      </c>
      <c r="AG30" s="54" t="str">
        <f>IF('⚙ OFF Weekends'!$D$28="OFF","OFF","")</f>
        <v/>
      </c>
      <c r="AH30" s="56" t="str">
        <f>IF('⚙ OFF Weekends'!$D$29="OFF","OFF","")</f>
        <v/>
      </c>
      <c r="AI30" s="54" t="str">
        <f>IF('⚙ OFF Weekends'!$D$30="OFF","OFF","")</f>
        <v/>
      </c>
      <c r="AJ30" s="56" t="str">
        <f>IF('⚙ OFF Weekends'!$D$31="OFF","OFF","")</f>
        <v/>
      </c>
      <c r="AK30" s="54" t="str">
        <f>IF('⚙ OFF Weekends'!$D$32="OFF","OFF","")</f>
        <v/>
      </c>
      <c r="AL30" s="56" t="str">
        <f>IF('⚙ OFF Weekends'!$D$33="OFF","OFF","")</f>
        <v/>
      </c>
      <c r="AM30" s="54" t="str">
        <f>IF('⚙ OFF Weekends'!$D$34="OFF","OFF","")</f>
        <v/>
      </c>
      <c r="AN30" s="56" t="str">
        <f>IF('⚙ OFF Weekends'!$D$35="OFF","OFF","")</f>
        <v/>
      </c>
      <c r="AO30" s="54" t="str">
        <f>IF('⚙ OFF Weekends'!$D$36="OFF","OFF","")</f>
        <v/>
      </c>
      <c r="AP30" s="56" t="str">
        <f>IF('⚙ OFF Weekends'!$D$37="OFF","OFF","")</f>
        <v/>
      </c>
      <c r="AQ30" s="54" t="str">
        <f>IF('⚙ OFF Weekends'!$D$38="OFF","OFF","")</f>
        <v/>
      </c>
      <c r="AR30" s="56" t="str">
        <f>IF('⚙ OFF Weekends'!$D$39="OFF","OFF","")</f>
        <v/>
      </c>
      <c r="AS30" s="54" t="str">
        <f>IF('⚙ OFF Weekends'!$D$40="OFF","OFF","")</f>
        <v/>
      </c>
      <c r="AT30" s="56" t="str">
        <f>IF('⚙ OFF Weekends'!$D$41="OFF","OFF","")</f>
        <v/>
      </c>
      <c r="AU30" s="54" t="str">
        <f>IF('⚙ OFF Weekends'!$D$42="OFF","OFF","")</f>
        <v/>
      </c>
      <c r="AV30" s="56" t="str">
        <f>IF('⚙ OFF Weekends'!$D$43="OFF","OFF","")</f>
        <v/>
      </c>
      <c r="AW30" s="54" t="str">
        <f>IF('⚙ OFF Weekends'!$D$44="OFF","OFF","")</f>
        <v/>
      </c>
      <c r="AX30" s="56" t="str">
        <f>IF('⚙ OFF Weekends'!$D$45="OFF","OFF","")</f>
        <v/>
      </c>
      <c r="AY30" s="54" t="str">
        <f>IF('⚙ OFF Weekends'!$D$46="OFF","OFF","")</f>
        <v/>
      </c>
      <c r="AZ30" s="56" t="str">
        <f>IF('⚙ OFF Weekends'!$D$47="OFF","OFF","")</f>
        <v/>
      </c>
      <c r="BA30" s="54" t="str">
        <f>IF('⚙ OFF Weekends'!$D$48="OFF","OFF","")</f>
        <v/>
      </c>
      <c r="BB30" s="56" t="str">
        <f>IF('⚙ OFF Weekends'!$D$49="OFF","OFF","")</f>
        <v/>
      </c>
      <c r="BC30" s="54" t="str">
        <f>IF('⚙ OFF Weekends'!$D$50="OFF","OFF","")</f>
        <v/>
      </c>
      <c r="BD30" s="56" t="str">
        <f>IF('⚙ OFF Weekends'!$D$51="OFF","OFF","")</f>
        <v/>
      </c>
      <c r="BE30" s="54" t="str">
        <f>IF('⚙ OFF Weekends'!$D$52="OFF","OFF","")</f>
        <v/>
      </c>
      <c r="BF30" s="56" t="str">
        <f>IF('⚙ OFF Weekends'!$D$53="OFF","OFF","")</f>
        <v/>
      </c>
      <c r="BG30" s="54" t="str">
        <f>IF('⚙ OFF Weekends'!$D$54="OFF","OFF","")</f>
        <v/>
      </c>
      <c r="BH30" s="56" t="str">
        <f>IF('⚙ OFF Weekends'!$D$55="OFF","OFF","")</f>
        <v/>
      </c>
      <c r="BI30" s="54" t="str">
        <f>IF('⚙ OFF Weekends'!$D$56="OFF","OFF","")</f>
        <v/>
      </c>
      <c r="BJ30" s="56" t="str">
        <f>IF('⚙ OFF Weekends'!$D$57="OFF","OFF","")</f>
        <v/>
      </c>
      <c r="BK30" s="54" t="str">
        <f>IF('⚙ OFF Weekends'!$D$58="OFF","OFF","")</f>
        <v/>
      </c>
      <c r="BL30" s="56" t="str">
        <f>IF('⚙ OFF Weekends'!$D$59="OFF","OFF","")</f>
        <v/>
      </c>
      <c r="BM30" s="54" t="str">
        <f>IF('⚙ OFF Weekends'!$D$60="OFF","OFF","")</f>
        <v/>
      </c>
      <c r="BN30" s="56" t="str">
        <f>IF('⚙ OFF Weekends'!$D$61="OFF","OFF","")</f>
        <v/>
      </c>
      <c r="BO30" s="54" t="str">
        <f>IF('⚙ OFF Weekends'!$D$62="OFF","OFF","")</f>
        <v/>
      </c>
      <c r="BP30" s="56" t="str">
        <f>IF('⚙ OFF Weekends'!$D$63="OFF","OFF","")</f>
        <v/>
      </c>
      <c r="BQ30" s="54" t="str">
        <f>IF('⚙ OFF Weekends'!$D$64="OFF","OFF","")</f>
        <v/>
      </c>
      <c r="BR30" s="56" t="str">
        <f>IF('⚙ OFF Weekends'!$D$65="OFF","OFF","")</f>
        <v/>
      </c>
      <c r="BS30" s="54" t="str">
        <f>IF('⚙ OFF Weekends'!$D$66="OFF","OFF","")</f>
        <v/>
      </c>
      <c r="BT30" s="56" t="str">
        <f>IF('⚙ OFF Weekends'!$D$67="OFF","OFF","")</f>
        <v/>
      </c>
      <c r="BU30" s="54" t="str">
        <f>IF('⚙ OFF Weekends'!$D$68="OFF","OFF","")</f>
        <v/>
      </c>
      <c r="BV30" s="56" t="str">
        <f>IF('⚙ OFF Weekends'!$D$69="OFF","OFF","")</f>
        <v/>
      </c>
      <c r="BW30" s="54" t="str">
        <f>IF('⚙ OFF Weekends'!$D$70="OFF","OFF","")</f>
        <v/>
      </c>
      <c r="BX30" s="56" t="str">
        <f>IF('⚙ OFF Weekends'!$D$71="OFF","OFF","")</f>
        <v/>
      </c>
      <c r="BY30" s="54" t="str">
        <f>IF('⚙ OFF Weekends'!$D$72="OFF","OFF","")</f>
        <v/>
      </c>
      <c r="BZ30" s="56" t="str">
        <f>IF('⚙ OFF Weekends'!$D$73="OFF","OFF","")</f>
        <v/>
      </c>
      <c r="CA30" s="54" t="str">
        <f>IF('⚙ OFF Weekends'!$D$74="OFF","OFF","")</f>
        <v/>
      </c>
      <c r="CB30" s="56" t="str">
        <f>IF('⚙ OFF Weekends'!$D$75="OFF","OFF","")</f>
        <v/>
      </c>
      <c r="CC30" s="54" t="str">
        <f>IF('⚙ OFF Weekends'!$D$76="OFF","OFF","")</f>
        <v/>
      </c>
      <c r="CD30" s="56" t="str">
        <f>IF('⚙ OFF Weekends'!$D$77="OFF","OFF","")</f>
        <v/>
      </c>
      <c r="CE30" s="95">
        <f t="shared" si="9"/>
        <v>6</v>
      </c>
      <c r="CF30" s="95">
        <f t="shared" si="10"/>
        <v>6</v>
      </c>
      <c r="CG30" s="95">
        <f t="shared" si="11"/>
        <v>1</v>
      </c>
      <c r="CH30" s="95" t="str">
        <f t="shared" si="12"/>
        <v>50%</v>
      </c>
    </row>
    <row r="31" ht="18.0" customHeight="1">
      <c r="A31" s="95">
        <v>16.0</v>
      </c>
      <c r="B31" s="120" t="s">
        <v>521</v>
      </c>
      <c r="C31" s="108"/>
      <c r="D31" s="109" t="str">
        <f t="shared" si="7"/>
        <v/>
      </c>
      <c r="E31" s="110" t="str">
        <f t="shared" si="8"/>
        <v/>
      </c>
      <c r="F31" s="108"/>
      <c r="G31" s="108"/>
      <c r="H31" s="108"/>
      <c r="I31" s="111" t="str">
        <f>IF('⚙ OFF Weekends'!$D$4="OFF","OFF","")</f>
        <v/>
      </c>
      <c r="J31" s="111" t="str">
        <f>IF('⚙ OFF Weekends'!$D$5="OFF","OFF","")</f>
        <v/>
      </c>
      <c r="K31" s="111" t="str">
        <f>IF('⚙ OFF Weekends'!$D$6="OFF","OFF","")</f>
        <v/>
      </c>
      <c r="L31" s="111" t="str">
        <f>IF('⚙ OFF Weekends'!$D$7="OFF","OFF","")</f>
        <v/>
      </c>
      <c r="M31" s="111" t="str">
        <f>IF('⚙ OFF Weekends'!$D$8="OFF","OFF","")</f>
        <v/>
      </c>
      <c r="N31" s="111" t="str">
        <f>IF('⚙ OFF Weekends'!$D$9="OFF","OFF","")</f>
        <v/>
      </c>
      <c r="O31" s="111" t="str">
        <f>IF('⚙ OFF Weekends'!$D$10="OFF","OFF","")</f>
        <v/>
      </c>
      <c r="P31" s="111" t="str">
        <f>IF('⚙ OFF Weekends'!$D$11="OFF","OFF","")</f>
        <v/>
      </c>
      <c r="Q31" s="111" t="str">
        <f>IF('⚙ OFF Weekends'!$D$12="OFF","OFF","")</f>
        <v/>
      </c>
      <c r="R31" s="111" t="str">
        <f>IF('⚙ OFF Weekends'!$D$13="OFF","OFF","")</f>
        <v/>
      </c>
      <c r="S31" s="121" t="s">
        <v>37</v>
      </c>
      <c r="T31" s="121" t="s">
        <v>196</v>
      </c>
      <c r="U31" s="121" t="s">
        <v>37</v>
      </c>
      <c r="V31" s="121" t="s">
        <v>196</v>
      </c>
      <c r="W31" s="111" t="str">
        <f>IF('⚙ OFF Weekends'!$D$18="OFF","OFF","")</f>
        <v>OFF</v>
      </c>
      <c r="X31" s="121" t="s">
        <v>196</v>
      </c>
      <c r="Y31" s="121" t="s">
        <v>223</v>
      </c>
      <c r="Z31" s="121" t="s">
        <v>37</v>
      </c>
      <c r="AA31" s="121" t="s">
        <v>223</v>
      </c>
      <c r="AB31" s="121" t="s">
        <v>37</v>
      </c>
      <c r="AC31" s="111" t="str">
        <f>IF('⚙ OFF Weekends'!$D$24="OFF","OFF","")</f>
        <v/>
      </c>
      <c r="AD31" s="111" t="str">
        <f>IF('⚙ OFF Weekends'!$D$25="OFF","OFF","")</f>
        <v/>
      </c>
      <c r="AE31" s="111" t="str">
        <f>IF('⚙ OFF Weekends'!$D$26="OFF","OFF","")</f>
        <v/>
      </c>
      <c r="AF31" s="111" t="str">
        <f>IF('⚙ OFF Weekends'!$D$27="OFF","OFF","")</f>
        <v/>
      </c>
      <c r="AG31" s="111" t="str">
        <f>IF('⚙ OFF Weekends'!$D$28="OFF","OFF","")</f>
        <v/>
      </c>
      <c r="AH31" s="111" t="str">
        <f>IF('⚙ OFF Weekends'!$D$29="OFF","OFF","")</f>
        <v/>
      </c>
      <c r="AI31" s="111" t="str">
        <f>IF('⚙ OFF Weekends'!$D$30="OFF","OFF","")</f>
        <v/>
      </c>
      <c r="AJ31" s="111" t="str">
        <f>IF('⚙ OFF Weekends'!$D$31="OFF","OFF","")</f>
        <v/>
      </c>
      <c r="AK31" s="111" t="str">
        <f>IF('⚙ OFF Weekends'!$D$32="OFF","OFF","")</f>
        <v/>
      </c>
      <c r="AL31" s="111" t="str">
        <f>IF('⚙ OFF Weekends'!$D$33="OFF","OFF","")</f>
        <v/>
      </c>
      <c r="AM31" s="111" t="str">
        <f>IF('⚙ OFF Weekends'!$D$34="OFF","OFF","")</f>
        <v/>
      </c>
      <c r="AN31" s="111" t="str">
        <f>IF('⚙ OFF Weekends'!$D$35="OFF","OFF","")</f>
        <v/>
      </c>
      <c r="AO31" s="111" t="str">
        <f>IF('⚙ OFF Weekends'!$D$36="OFF","OFF","")</f>
        <v/>
      </c>
      <c r="AP31" s="111" t="str">
        <f>IF('⚙ OFF Weekends'!$D$37="OFF","OFF","")</f>
        <v/>
      </c>
      <c r="AQ31" s="111" t="str">
        <f>IF('⚙ OFF Weekends'!$D$38="OFF","OFF","")</f>
        <v/>
      </c>
      <c r="AR31" s="111" t="str">
        <f>IF('⚙ OFF Weekends'!$D$39="OFF","OFF","")</f>
        <v/>
      </c>
      <c r="AS31" s="111" t="str">
        <f>IF('⚙ OFF Weekends'!$D$40="OFF","OFF","")</f>
        <v/>
      </c>
      <c r="AT31" s="111" t="str">
        <f>IF('⚙ OFF Weekends'!$D$41="OFF","OFF","")</f>
        <v/>
      </c>
      <c r="AU31" s="111" t="str">
        <f>IF('⚙ OFF Weekends'!$D$42="OFF","OFF","")</f>
        <v/>
      </c>
      <c r="AV31" s="111" t="str">
        <f>IF('⚙ OFF Weekends'!$D$43="OFF","OFF","")</f>
        <v/>
      </c>
      <c r="AW31" s="111" t="str">
        <f>IF('⚙ OFF Weekends'!$D$44="OFF","OFF","")</f>
        <v/>
      </c>
      <c r="AX31" s="111" t="str">
        <f>IF('⚙ OFF Weekends'!$D$45="OFF","OFF","")</f>
        <v/>
      </c>
      <c r="AY31" s="111" t="str">
        <f>IF('⚙ OFF Weekends'!$D$46="OFF","OFF","")</f>
        <v/>
      </c>
      <c r="AZ31" s="111" t="str">
        <f>IF('⚙ OFF Weekends'!$D$47="OFF","OFF","")</f>
        <v/>
      </c>
      <c r="BA31" s="111" t="str">
        <f>IF('⚙ OFF Weekends'!$D$48="OFF","OFF","")</f>
        <v/>
      </c>
      <c r="BB31" s="111" t="str">
        <f>IF('⚙ OFF Weekends'!$D$49="OFF","OFF","")</f>
        <v/>
      </c>
      <c r="BC31" s="111" t="str">
        <f>IF('⚙ OFF Weekends'!$D$50="OFF","OFF","")</f>
        <v/>
      </c>
      <c r="BD31" s="111" t="str">
        <f>IF('⚙ OFF Weekends'!$D$51="OFF","OFF","")</f>
        <v/>
      </c>
      <c r="BE31" s="111" t="str">
        <f>IF('⚙ OFF Weekends'!$D$52="OFF","OFF","")</f>
        <v/>
      </c>
      <c r="BF31" s="111" t="str">
        <f>IF('⚙ OFF Weekends'!$D$53="OFF","OFF","")</f>
        <v/>
      </c>
      <c r="BG31" s="111" t="str">
        <f>IF('⚙ OFF Weekends'!$D$54="OFF","OFF","")</f>
        <v/>
      </c>
      <c r="BH31" s="111" t="str">
        <f>IF('⚙ OFF Weekends'!$D$55="OFF","OFF","")</f>
        <v/>
      </c>
      <c r="BI31" s="111" t="str">
        <f>IF('⚙ OFF Weekends'!$D$56="OFF","OFF","")</f>
        <v/>
      </c>
      <c r="BJ31" s="111" t="str">
        <f>IF('⚙ OFF Weekends'!$D$57="OFF","OFF","")</f>
        <v/>
      </c>
      <c r="BK31" s="111" t="str">
        <f>IF('⚙ OFF Weekends'!$D$58="OFF","OFF","")</f>
        <v/>
      </c>
      <c r="BL31" s="111" t="str">
        <f>IF('⚙ OFF Weekends'!$D$59="OFF","OFF","")</f>
        <v/>
      </c>
      <c r="BM31" s="111" t="str">
        <f>IF('⚙ OFF Weekends'!$D$60="OFF","OFF","")</f>
        <v/>
      </c>
      <c r="BN31" s="111" t="str">
        <f>IF('⚙ OFF Weekends'!$D$61="OFF","OFF","")</f>
        <v/>
      </c>
      <c r="BO31" s="111" t="str">
        <f>IF('⚙ OFF Weekends'!$D$62="OFF","OFF","")</f>
        <v/>
      </c>
      <c r="BP31" s="111" t="str">
        <f>IF('⚙ OFF Weekends'!$D$63="OFF","OFF","")</f>
        <v/>
      </c>
      <c r="BQ31" s="111" t="str">
        <f>IF('⚙ OFF Weekends'!$D$64="OFF","OFF","")</f>
        <v/>
      </c>
      <c r="BR31" s="111" t="str">
        <f>IF('⚙ OFF Weekends'!$D$65="OFF","OFF","")</f>
        <v/>
      </c>
      <c r="BS31" s="111" t="str">
        <f>IF('⚙ OFF Weekends'!$D$66="OFF","OFF","")</f>
        <v/>
      </c>
      <c r="BT31" s="111" t="str">
        <f>IF('⚙ OFF Weekends'!$D$67="OFF","OFF","")</f>
        <v/>
      </c>
      <c r="BU31" s="111" t="str">
        <f>IF('⚙ OFF Weekends'!$D$68="OFF","OFF","")</f>
        <v/>
      </c>
      <c r="BV31" s="111" t="str">
        <f>IF('⚙ OFF Weekends'!$D$69="OFF","OFF","")</f>
        <v/>
      </c>
      <c r="BW31" s="111" t="str">
        <f>IF('⚙ OFF Weekends'!$D$70="OFF","OFF","")</f>
        <v/>
      </c>
      <c r="BX31" s="111" t="str">
        <f>IF('⚙ OFF Weekends'!$D$71="OFF","OFF","")</f>
        <v/>
      </c>
      <c r="BY31" s="111" t="str">
        <f>IF('⚙ OFF Weekends'!$D$72="OFF","OFF","")</f>
        <v/>
      </c>
      <c r="BZ31" s="111" t="str">
        <f>IF('⚙ OFF Weekends'!$D$73="OFF","OFF","")</f>
        <v/>
      </c>
      <c r="CA31" s="111" t="str">
        <f>IF('⚙ OFF Weekends'!$D$74="OFF","OFF","")</f>
        <v/>
      </c>
      <c r="CB31" s="111" t="str">
        <f>IF('⚙ OFF Weekends'!$D$75="OFF","OFF","")</f>
        <v/>
      </c>
      <c r="CC31" s="111" t="str">
        <f>IF('⚙ OFF Weekends'!$D$76="OFF","OFF","")</f>
        <v/>
      </c>
      <c r="CD31" s="111" t="str">
        <f>IF('⚙ OFF Weekends'!$D$77="OFF","OFF","")</f>
        <v/>
      </c>
      <c r="CE31" s="112">
        <f t="shared" si="9"/>
        <v>7</v>
      </c>
      <c r="CF31" s="112">
        <f t="shared" si="10"/>
        <v>2</v>
      </c>
      <c r="CG31" s="112">
        <f t="shared" si="11"/>
        <v>0</v>
      </c>
      <c r="CH31" s="112" t="str">
        <f t="shared" si="12"/>
        <v>78%</v>
      </c>
    </row>
    <row r="32" ht="18.0" customHeight="1">
      <c r="A32" s="95">
        <v>17.0</v>
      </c>
      <c r="B32" s="120" t="s">
        <v>533</v>
      </c>
      <c r="C32" s="108"/>
      <c r="D32" s="109" t="str">
        <f t="shared" si="7"/>
        <v/>
      </c>
      <c r="E32" s="110" t="str">
        <f t="shared" si="8"/>
        <v/>
      </c>
      <c r="F32" s="108"/>
      <c r="G32" s="108"/>
      <c r="H32" s="108"/>
      <c r="I32" s="111" t="str">
        <f>IF('⚙ OFF Weekends'!$D$4="OFF","OFF","")</f>
        <v/>
      </c>
      <c r="J32" s="111" t="str">
        <f>IF('⚙ OFF Weekends'!$D$5="OFF","OFF","")</f>
        <v/>
      </c>
      <c r="K32" s="111" t="str">
        <f>IF('⚙ OFF Weekends'!$D$6="OFF","OFF","")</f>
        <v/>
      </c>
      <c r="L32" s="111" t="str">
        <f>IF('⚙ OFF Weekends'!$D$7="OFF","OFF","")</f>
        <v/>
      </c>
      <c r="M32" s="111" t="str">
        <f>IF('⚙ OFF Weekends'!$D$8="OFF","OFF","")</f>
        <v/>
      </c>
      <c r="N32" s="111" t="str">
        <f>IF('⚙ OFF Weekends'!$D$9="OFF","OFF","")</f>
        <v/>
      </c>
      <c r="O32" s="111" t="str">
        <f>IF('⚙ OFF Weekends'!$D$10="OFF","OFF","")</f>
        <v/>
      </c>
      <c r="P32" s="111" t="str">
        <f>IF('⚙ OFF Weekends'!$D$11="OFF","OFF","")</f>
        <v/>
      </c>
      <c r="Q32" s="111" t="str">
        <f>IF('⚙ OFF Weekends'!$D$12="OFF","OFF","")</f>
        <v/>
      </c>
      <c r="R32" s="111" t="str">
        <f>IF('⚙ OFF Weekends'!$D$13="OFF","OFF","")</f>
        <v/>
      </c>
      <c r="S32" s="121" t="s">
        <v>37</v>
      </c>
      <c r="T32" s="121" t="s">
        <v>196</v>
      </c>
      <c r="U32" s="121" t="s">
        <v>37</v>
      </c>
      <c r="V32" s="121" t="s">
        <v>196</v>
      </c>
      <c r="W32" s="111" t="str">
        <f>IF('⚙ OFF Weekends'!$D$18="OFF","OFF","")</f>
        <v>OFF</v>
      </c>
      <c r="X32" s="121" t="s">
        <v>196</v>
      </c>
      <c r="Y32" s="121" t="s">
        <v>37</v>
      </c>
      <c r="Z32" s="121" t="s">
        <v>37</v>
      </c>
      <c r="AA32" s="121" t="s">
        <v>37</v>
      </c>
      <c r="AB32" s="121" t="s">
        <v>37</v>
      </c>
      <c r="AC32" s="111" t="str">
        <f>IF('⚙ OFF Weekends'!$D$24="OFF","OFF","")</f>
        <v/>
      </c>
      <c r="AD32" s="111" t="str">
        <f>IF('⚙ OFF Weekends'!$D$25="OFF","OFF","")</f>
        <v/>
      </c>
      <c r="AE32" s="111" t="str">
        <f>IF('⚙ OFF Weekends'!$D$26="OFF","OFF","")</f>
        <v/>
      </c>
      <c r="AF32" s="111" t="str">
        <f>IF('⚙ OFF Weekends'!$D$27="OFF","OFF","")</f>
        <v/>
      </c>
      <c r="AG32" s="111" t="str">
        <f>IF('⚙ OFF Weekends'!$D$28="OFF","OFF","")</f>
        <v/>
      </c>
      <c r="AH32" s="111" t="str">
        <f>IF('⚙ OFF Weekends'!$D$29="OFF","OFF","")</f>
        <v/>
      </c>
      <c r="AI32" s="111" t="str">
        <f>IF('⚙ OFF Weekends'!$D$30="OFF","OFF","")</f>
        <v/>
      </c>
      <c r="AJ32" s="111" t="str">
        <f>IF('⚙ OFF Weekends'!$D$31="OFF","OFF","")</f>
        <v/>
      </c>
      <c r="AK32" s="111" t="str">
        <f>IF('⚙ OFF Weekends'!$D$32="OFF","OFF","")</f>
        <v/>
      </c>
      <c r="AL32" s="111" t="str">
        <f>IF('⚙ OFF Weekends'!$D$33="OFF","OFF","")</f>
        <v/>
      </c>
      <c r="AM32" s="111" t="str">
        <f>IF('⚙ OFF Weekends'!$D$34="OFF","OFF","")</f>
        <v/>
      </c>
      <c r="AN32" s="111" t="str">
        <f>IF('⚙ OFF Weekends'!$D$35="OFF","OFF","")</f>
        <v/>
      </c>
      <c r="AO32" s="111" t="str">
        <f>IF('⚙ OFF Weekends'!$D$36="OFF","OFF","")</f>
        <v/>
      </c>
      <c r="AP32" s="111" t="str">
        <f>IF('⚙ OFF Weekends'!$D$37="OFF","OFF","")</f>
        <v/>
      </c>
      <c r="AQ32" s="111" t="str">
        <f>IF('⚙ OFF Weekends'!$D$38="OFF","OFF","")</f>
        <v/>
      </c>
      <c r="AR32" s="111" t="str">
        <f>IF('⚙ OFF Weekends'!$D$39="OFF","OFF","")</f>
        <v/>
      </c>
      <c r="AS32" s="111" t="str">
        <f>IF('⚙ OFF Weekends'!$D$40="OFF","OFF","")</f>
        <v/>
      </c>
      <c r="AT32" s="111" t="str">
        <f>IF('⚙ OFF Weekends'!$D$41="OFF","OFF","")</f>
        <v/>
      </c>
      <c r="AU32" s="111" t="str">
        <f>IF('⚙ OFF Weekends'!$D$42="OFF","OFF","")</f>
        <v/>
      </c>
      <c r="AV32" s="111" t="str">
        <f>IF('⚙ OFF Weekends'!$D$43="OFF","OFF","")</f>
        <v/>
      </c>
      <c r="AW32" s="111" t="str">
        <f>IF('⚙ OFF Weekends'!$D$44="OFF","OFF","")</f>
        <v/>
      </c>
      <c r="AX32" s="111" t="str">
        <f>IF('⚙ OFF Weekends'!$D$45="OFF","OFF","")</f>
        <v/>
      </c>
      <c r="AY32" s="111" t="str">
        <f>IF('⚙ OFF Weekends'!$D$46="OFF","OFF","")</f>
        <v/>
      </c>
      <c r="AZ32" s="111" t="str">
        <f>IF('⚙ OFF Weekends'!$D$47="OFF","OFF","")</f>
        <v/>
      </c>
      <c r="BA32" s="111" t="str">
        <f>IF('⚙ OFF Weekends'!$D$48="OFF","OFF","")</f>
        <v/>
      </c>
      <c r="BB32" s="111" t="str">
        <f>IF('⚙ OFF Weekends'!$D$49="OFF","OFF","")</f>
        <v/>
      </c>
      <c r="BC32" s="111" t="str">
        <f>IF('⚙ OFF Weekends'!$D$50="OFF","OFF","")</f>
        <v/>
      </c>
      <c r="BD32" s="111" t="str">
        <f>IF('⚙ OFF Weekends'!$D$51="OFF","OFF","")</f>
        <v/>
      </c>
      <c r="BE32" s="111" t="str">
        <f>IF('⚙ OFF Weekends'!$D$52="OFF","OFF","")</f>
        <v/>
      </c>
      <c r="BF32" s="111" t="str">
        <f>IF('⚙ OFF Weekends'!$D$53="OFF","OFF","")</f>
        <v/>
      </c>
      <c r="BG32" s="111" t="str">
        <f>IF('⚙ OFF Weekends'!$D$54="OFF","OFF","")</f>
        <v/>
      </c>
      <c r="BH32" s="111" t="str">
        <f>IF('⚙ OFF Weekends'!$D$55="OFF","OFF","")</f>
        <v/>
      </c>
      <c r="BI32" s="111" t="str">
        <f>IF('⚙ OFF Weekends'!$D$56="OFF","OFF","")</f>
        <v/>
      </c>
      <c r="BJ32" s="111" t="str">
        <f>IF('⚙ OFF Weekends'!$D$57="OFF","OFF","")</f>
        <v/>
      </c>
      <c r="BK32" s="111" t="str">
        <f>IF('⚙ OFF Weekends'!$D$58="OFF","OFF","")</f>
        <v/>
      </c>
      <c r="BL32" s="111" t="str">
        <f>IF('⚙ OFF Weekends'!$D$59="OFF","OFF","")</f>
        <v/>
      </c>
      <c r="BM32" s="111" t="str">
        <f>IF('⚙ OFF Weekends'!$D$60="OFF","OFF","")</f>
        <v/>
      </c>
      <c r="BN32" s="111" t="str">
        <f>IF('⚙ OFF Weekends'!$D$61="OFF","OFF","")</f>
        <v/>
      </c>
      <c r="BO32" s="111" t="str">
        <f>IF('⚙ OFF Weekends'!$D$62="OFF","OFF","")</f>
        <v/>
      </c>
      <c r="BP32" s="111" t="str">
        <f>IF('⚙ OFF Weekends'!$D$63="OFF","OFF","")</f>
        <v/>
      </c>
      <c r="BQ32" s="111" t="str">
        <f>IF('⚙ OFF Weekends'!$D$64="OFF","OFF","")</f>
        <v/>
      </c>
      <c r="BR32" s="111" t="str">
        <f>IF('⚙ OFF Weekends'!$D$65="OFF","OFF","")</f>
        <v/>
      </c>
      <c r="BS32" s="111" t="str">
        <f>IF('⚙ OFF Weekends'!$D$66="OFF","OFF","")</f>
        <v/>
      </c>
      <c r="BT32" s="111" t="str">
        <f>IF('⚙ OFF Weekends'!$D$67="OFF","OFF","")</f>
        <v/>
      </c>
      <c r="BU32" s="111" t="str">
        <f>IF('⚙ OFF Weekends'!$D$68="OFF","OFF","")</f>
        <v/>
      </c>
      <c r="BV32" s="111" t="str">
        <f>IF('⚙ OFF Weekends'!$D$69="OFF","OFF","")</f>
        <v/>
      </c>
      <c r="BW32" s="111" t="str">
        <f>IF('⚙ OFF Weekends'!$D$70="OFF","OFF","")</f>
        <v/>
      </c>
      <c r="BX32" s="111" t="str">
        <f>IF('⚙ OFF Weekends'!$D$71="OFF","OFF","")</f>
        <v/>
      </c>
      <c r="BY32" s="111" t="str">
        <f>IF('⚙ OFF Weekends'!$D$72="OFF","OFF","")</f>
        <v/>
      </c>
      <c r="BZ32" s="111" t="str">
        <f>IF('⚙ OFF Weekends'!$D$73="OFF","OFF","")</f>
        <v/>
      </c>
      <c r="CA32" s="111" t="str">
        <f>IF('⚙ OFF Weekends'!$D$74="OFF","OFF","")</f>
        <v/>
      </c>
      <c r="CB32" s="111" t="str">
        <f>IF('⚙ OFF Weekends'!$D$75="OFF","OFF","")</f>
        <v/>
      </c>
      <c r="CC32" s="111" t="str">
        <f>IF('⚙ OFF Weekends'!$D$76="OFF","OFF","")</f>
        <v/>
      </c>
      <c r="CD32" s="111" t="str">
        <f>IF('⚙ OFF Weekends'!$D$77="OFF","OFF","")</f>
        <v/>
      </c>
      <c r="CE32" s="112">
        <f t="shared" si="9"/>
        <v>9</v>
      </c>
      <c r="CF32" s="112">
        <f t="shared" si="10"/>
        <v>0</v>
      </c>
      <c r="CG32" s="112">
        <f t="shared" si="11"/>
        <v>0</v>
      </c>
      <c r="CH32" s="112" t="str">
        <f t="shared" si="12"/>
        <v>100%</v>
      </c>
    </row>
    <row r="33" ht="18.0" customHeight="1">
      <c r="A33" s="95">
        <v>18.0</v>
      </c>
      <c r="B33" s="120" t="s">
        <v>544</v>
      </c>
      <c r="C33" s="108"/>
      <c r="D33" s="109" t="str">
        <f t="shared" si="7"/>
        <v/>
      </c>
      <c r="E33" s="110" t="str">
        <f t="shared" si="8"/>
        <v/>
      </c>
      <c r="F33" s="108"/>
      <c r="G33" s="108"/>
      <c r="H33" s="108"/>
      <c r="I33" s="111" t="str">
        <f>IF('⚙ OFF Weekends'!$D$4="OFF","OFF","")</f>
        <v/>
      </c>
      <c r="J33" s="111" t="str">
        <f>IF('⚙ OFF Weekends'!$D$5="OFF","OFF","")</f>
        <v/>
      </c>
      <c r="K33" s="111" t="str">
        <f>IF('⚙ OFF Weekends'!$D$6="OFF","OFF","")</f>
        <v/>
      </c>
      <c r="L33" s="111" t="str">
        <f>IF('⚙ OFF Weekends'!$D$7="OFF","OFF","")</f>
        <v/>
      </c>
      <c r="M33" s="111" t="str">
        <f>IF('⚙ OFF Weekends'!$D$8="OFF","OFF","")</f>
        <v/>
      </c>
      <c r="N33" s="111" t="str">
        <f>IF('⚙ OFF Weekends'!$D$9="OFF","OFF","")</f>
        <v/>
      </c>
      <c r="O33" s="111" t="str">
        <f>IF('⚙ OFF Weekends'!$D$10="OFF","OFF","")</f>
        <v/>
      </c>
      <c r="P33" s="111" t="str">
        <f>IF('⚙ OFF Weekends'!$D$11="OFF","OFF","")</f>
        <v/>
      </c>
      <c r="Q33" s="111" t="str">
        <f>IF('⚙ OFF Weekends'!$D$12="OFF","OFF","")</f>
        <v/>
      </c>
      <c r="R33" s="111" t="str">
        <f>IF('⚙ OFF Weekends'!$D$13="OFF","OFF","")</f>
        <v/>
      </c>
      <c r="S33" s="121" t="s">
        <v>37</v>
      </c>
      <c r="T33" s="121" t="s">
        <v>196</v>
      </c>
      <c r="U33" s="121" t="s">
        <v>37</v>
      </c>
      <c r="V33" s="121" t="s">
        <v>223</v>
      </c>
      <c r="W33" s="111" t="str">
        <f>IF('⚙ OFF Weekends'!$D$18="OFF","OFF","")</f>
        <v>OFF</v>
      </c>
      <c r="X33" s="121" t="s">
        <v>223</v>
      </c>
      <c r="Y33" s="121" t="s">
        <v>223</v>
      </c>
      <c r="Z33" s="121" t="s">
        <v>198</v>
      </c>
      <c r="AA33" s="121" t="s">
        <v>198</v>
      </c>
      <c r="AB33" s="121" t="s">
        <v>198</v>
      </c>
      <c r="AC33" s="111" t="str">
        <f>IF('⚙ OFF Weekends'!$D$24="OFF","OFF","")</f>
        <v/>
      </c>
      <c r="AD33" s="111" t="str">
        <f>IF('⚙ OFF Weekends'!$D$25="OFF","OFF","")</f>
        <v/>
      </c>
      <c r="AE33" s="111" t="str">
        <f>IF('⚙ OFF Weekends'!$D$26="OFF","OFF","")</f>
        <v/>
      </c>
      <c r="AF33" s="111" t="str">
        <f>IF('⚙ OFF Weekends'!$D$27="OFF","OFF","")</f>
        <v/>
      </c>
      <c r="AG33" s="111" t="str">
        <f>IF('⚙ OFF Weekends'!$D$28="OFF","OFF","")</f>
        <v/>
      </c>
      <c r="AH33" s="111" t="str">
        <f>IF('⚙ OFF Weekends'!$D$29="OFF","OFF","")</f>
        <v/>
      </c>
      <c r="AI33" s="111" t="str">
        <f>IF('⚙ OFF Weekends'!$D$30="OFF","OFF","")</f>
        <v/>
      </c>
      <c r="AJ33" s="111" t="str">
        <f>IF('⚙ OFF Weekends'!$D$31="OFF","OFF","")</f>
        <v/>
      </c>
      <c r="AK33" s="111" t="str">
        <f>IF('⚙ OFF Weekends'!$D$32="OFF","OFF","")</f>
        <v/>
      </c>
      <c r="AL33" s="111" t="str">
        <f>IF('⚙ OFF Weekends'!$D$33="OFF","OFF","")</f>
        <v/>
      </c>
      <c r="AM33" s="111" t="str">
        <f>IF('⚙ OFF Weekends'!$D$34="OFF","OFF","")</f>
        <v/>
      </c>
      <c r="AN33" s="111" t="str">
        <f>IF('⚙ OFF Weekends'!$D$35="OFF","OFF","")</f>
        <v/>
      </c>
      <c r="AO33" s="111" t="str">
        <f>IF('⚙ OFF Weekends'!$D$36="OFF","OFF","")</f>
        <v/>
      </c>
      <c r="AP33" s="111" t="str">
        <f>IF('⚙ OFF Weekends'!$D$37="OFF","OFF","")</f>
        <v/>
      </c>
      <c r="AQ33" s="111" t="str">
        <f>IF('⚙ OFF Weekends'!$D$38="OFF","OFF","")</f>
        <v/>
      </c>
      <c r="AR33" s="111" t="str">
        <f>IF('⚙ OFF Weekends'!$D$39="OFF","OFF","")</f>
        <v/>
      </c>
      <c r="AS33" s="111" t="str">
        <f>IF('⚙ OFF Weekends'!$D$40="OFF","OFF","")</f>
        <v/>
      </c>
      <c r="AT33" s="111" t="str">
        <f>IF('⚙ OFF Weekends'!$D$41="OFF","OFF","")</f>
        <v/>
      </c>
      <c r="AU33" s="111" t="str">
        <f>IF('⚙ OFF Weekends'!$D$42="OFF","OFF","")</f>
        <v/>
      </c>
      <c r="AV33" s="111" t="str">
        <f>IF('⚙ OFF Weekends'!$D$43="OFF","OFF","")</f>
        <v/>
      </c>
      <c r="AW33" s="111" t="str">
        <f>IF('⚙ OFF Weekends'!$D$44="OFF","OFF","")</f>
        <v/>
      </c>
      <c r="AX33" s="111" t="str">
        <f>IF('⚙ OFF Weekends'!$D$45="OFF","OFF","")</f>
        <v/>
      </c>
      <c r="AY33" s="111" t="str">
        <f>IF('⚙ OFF Weekends'!$D$46="OFF","OFF","")</f>
        <v/>
      </c>
      <c r="AZ33" s="111" t="str">
        <f>IF('⚙ OFF Weekends'!$D$47="OFF","OFF","")</f>
        <v/>
      </c>
      <c r="BA33" s="111" t="str">
        <f>IF('⚙ OFF Weekends'!$D$48="OFF","OFF","")</f>
        <v/>
      </c>
      <c r="BB33" s="111" t="str">
        <f>IF('⚙ OFF Weekends'!$D$49="OFF","OFF","")</f>
        <v/>
      </c>
      <c r="BC33" s="111" t="str">
        <f>IF('⚙ OFF Weekends'!$D$50="OFF","OFF","")</f>
        <v/>
      </c>
      <c r="BD33" s="111" t="str">
        <f>IF('⚙ OFF Weekends'!$D$51="OFF","OFF","")</f>
        <v/>
      </c>
      <c r="BE33" s="111" t="str">
        <f>IF('⚙ OFF Weekends'!$D$52="OFF","OFF","")</f>
        <v/>
      </c>
      <c r="BF33" s="111" t="str">
        <f>IF('⚙ OFF Weekends'!$D$53="OFF","OFF","")</f>
        <v/>
      </c>
      <c r="BG33" s="111" t="str">
        <f>IF('⚙ OFF Weekends'!$D$54="OFF","OFF","")</f>
        <v/>
      </c>
      <c r="BH33" s="111" t="str">
        <f>IF('⚙ OFF Weekends'!$D$55="OFF","OFF","")</f>
        <v/>
      </c>
      <c r="BI33" s="111" t="str">
        <f>IF('⚙ OFF Weekends'!$D$56="OFF","OFF","")</f>
        <v/>
      </c>
      <c r="BJ33" s="111" t="str">
        <f>IF('⚙ OFF Weekends'!$D$57="OFF","OFF","")</f>
        <v/>
      </c>
      <c r="BK33" s="111" t="str">
        <f>IF('⚙ OFF Weekends'!$D$58="OFF","OFF","")</f>
        <v/>
      </c>
      <c r="BL33" s="111" t="str">
        <f>IF('⚙ OFF Weekends'!$D$59="OFF","OFF","")</f>
        <v/>
      </c>
      <c r="BM33" s="111" t="str">
        <f>IF('⚙ OFF Weekends'!$D$60="OFF","OFF","")</f>
        <v/>
      </c>
      <c r="BN33" s="111" t="str">
        <f>IF('⚙ OFF Weekends'!$D$61="OFF","OFF","")</f>
        <v/>
      </c>
      <c r="BO33" s="111" t="str">
        <f>IF('⚙ OFF Weekends'!$D$62="OFF","OFF","")</f>
        <v/>
      </c>
      <c r="BP33" s="111" t="str">
        <f>IF('⚙ OFF Weekends'!$D$63="OFF","OFF","")</f>
        <v/>
      </c>
      <c r="BQ33" s="111" t="str">
        <f>IF('⚙ OFF Weekends'!$D$64="OFF","OFF","")</f>
        <v/>
      </c>
      <c r="BR33" s="111" t="str">
        <f>IF('⚙ OFF Weekends'!$D$65="OFF","OFF","")</f>
        <v/>
      </c>
      <c r="BS33" s="111" t="str">
        <f>IF('⚙ OFF Weekends'!$D$66="OFF","OFF","")</f>
        <v/>
      </c>
      <c r="BT33" s="111" t="str">
        <f>IF('⚙ OFF Weekends'!$D$67="OFF","OFF","")</f>
        <v/>
      </c>
      <c r="BU33" s="111" t="str">
        <f>IF('⚙ OFF Weekends'!$D$68="OFF","OFF","")</f>
        <v/>
      </c>
      <c r="BV33" s="111" t="str">
        <f>IF('⚙ OFF Weekends'!$D$69="OFF","OFF","")</f>
        <v/>
      </c>
      <c r="BW33" s="111" t="str">
        <f>IF('⚙ OFF Weekends'!$D$70="OFF","OFF","")</f>
        <v/>
      </c>
      <c r="BX33" s="111" t="str">
        <f>IF('⚙ OFF Weekends'!$D$71="OFF","OFF","")</f>
        <v/>
      </c>
      <c r="BY33" s="111" t="str">
        <f>IF('⚙ OFF Weekends'!$D$72="OFF","OFF","")</f>
        <v/>
      </c>
      <c r="BZ33" s="111" t="str">
        <f>IF('⚙ OFF Weekends'!$D$73="OFF","OFF","")</f>
        <v/>
      </c>
      <c r="CA33" s="111" t="str">
        <f>IF('⚙ OFF Weekends'!$D$74="OFF","OFF","")</f>
        <v/>
      </c>
      <c r="CB33" s="111" t="str">
        <f>IF('⚙ OFF Weekends'!$D$75="OFF","OFF","")</f>
        <v/>
      </c>
      <c r="CC33" s="111" t="str">
        <f>IF('⚙ OFF Weekends'!$D$76="OFF","OFF","")</f>
        <v/>
      </c>
      <c r="CD33" s="111" t="str">
        <f>IF('⚙ OFF Weekends'!$D$77="OFF","OFF","")</f>
        <v/>
      </c>
      <c r="CE33" s="112">
        <f t="shared" si="9"/>
        <v>3</v>
      </c>
      <c r="CF33" s="112">
        <f t="shared" si="10"/>
        <v>3</v>
      </c>
      <c r="CG33" s="112">
        <f t="shared" si="11"/>
        <v>3</v>
      </c>
      <c r="CH33" s="112" t="str">
        <f t="shared" si="12"/>
        <v>50%</v>
      </c>
    </row>
    <row r="34" ht="18.0" customHeight="1">
      <c r="A34" s="95">
        <v>19.0</v>
      </c>
      <c r="B34" s="120" t="s">
        <v>553</v>
      </c>
      <c r="C34" s="108"/>
      <c r="D34" s="109" t="str">
        <f t="shared" si="7"/>
        <v/>
      </c>
      <c r="E34" s="110" t="str">
        <f t="shared" si="8"/>
        <v/>
      </c>
      <c r="F34" s="108"/>
      <c r="G34" s="108"/>
      <c r="H34" s="108"/>
      <c r="I34" s="111" t="str">
        <f>IF('⚙ OFF Weekends'!$D$4="OFF","OFF","")</f>
        <v/>
      </c>
      <c r="J34" s="111" t="str">
        <f>IF('⚙ OFF Weekends'!$D$5="OFF","OFF","")</f>
        <v/>
      </c>
      <c r="K34" s="111" t="str">
        <f>IF('⚙ OFF Weekends'!$D$6="OFF","OFF","")</f>
        <v/>
      </c>
      <c r="L34" s="111" t="str">
        <f>IF('⚙ OFF Weekends'!$D$7="OFF","OFF","")</f>
        <v/>
      </c>
      <c r="M34" s="111" t="str">
        <f>IF('⚙ OFF Weekends'!$D$8="OFF","OFF","")</f>
        <v/>
      </c>
      <c r="N34" s="111" t="str">
        <f>IF('⚙ OFF Weekends'!$D$9="OFF","OFF","")</f>
        <v/>
      </c>
      <c r="O34" s="111" t="str">
        <f>IF('⚙ OFF Weekends'!$D$10="OFF","OFF","")</f>
        <v/>
      </c>
      <c r="P34" s="111" t="str">
        <f>IF('⚙ OFF Weekends'!$D$11="OFF","OFF","")</f>
        <v/>
      </c>
      <c r="Q34" s="111" t="str">
        <f>IF('⚙ OFF Weekends'!$D$12="OFF","OFF","")</f>
        <v/>
      </c>
      <c r="R34" s="111" t="str">
        <f>IF('⚙ OFF Weekends'!$D$13="OFF","OFF","")</f>
        <v/>
      </c>
      <c r="S34" s="121" t="s">
        <v>37</v>
      </c>
      <c r="T34" s="121" t="s">
        <v>196</v>
      </c>
      <c r="U34" s="121" t="s">
        <v>223</v>
      </c>
      <c r="V34" s="121" t="s">
        <v>223</v>
      </c>
      <c r="W34" s="111" t="str">
        <f>IF('⚙ OFF Weekends'!$D$18="OFF","OFF","")</f>
        <v>OFF</v>
      </c>
      <c r="X34" s="121" t="s">
        <v>223</v>
      </c>
      <c r="Y34" s="121" t="s">
        <v>223</v>
      </c>
      <c r="Z34" s="121" t="s">
        <v>223</v>
      </c>
      <c r="AA34" s="121" t="s">
        <v>223</v>
      </c>
      <c r="AB34" s="121" t="s">
        <v>223</v>
      </c>
      <c r="AC34" s="111" t="str">
        <f>IF('⚙ OFF Weekends'!$D$24="OFF","OFF","")</f>
        <v/>
      </c>
      <c r="AD34" s="111" t="str">
        <f>IF('⚙ OFF Weekends'!$D$25="OFF","OFF","")</f>
        <v/>
      </c>
      <c r="AE34" s="111" t="str">
        <f>IF('⚙ OFF Weekends'!$D$26="OFF","OFF","")</f>
        <v/>
      </c>
      <c r="AF34" s="111" t="str">
        <f>IF('⚙ OFF Weekends'!$D$27="OFF","OFF","")</f>
        <v/>
      </c>
      <c r="AG34" s="111" t="str">
        <f>IF('⚙ OFF Weekends'!$D$28="OFF","OFF","")</f>
        <v/>
      </c>
      <c r="AH34" s="111" t="str">
        <f>IF('⚙ OFF Weekends'!$D$29="OFF","OFF","")</f>
        <v/>
      </c>
      <c r="AI34" s="111" t="str">
        <f>IF('⚙ OFF Weekends'!$D$30="OFF","OFF","")</f>
        <v/>
      </c>
      <c r="AJ34" s="111" t="str">
        <f>IF('⚙ OFF Weekends'!$D$31="OFF","OFF","")</f>
        <v/>
      </c>
      <c r="AK34" s="111" t="str">
        <f>IF('⚙ OFF Weekends'!$D$32="OFF","OFF","")</f>
        <v/>
      </c>
      <c r="AL34" s="111" t="str">
        <f>IF('⚙ OFF Weekends'!$D$33="OFF","OFF","")</f>
        <v/>
      </c>
      <c r="AM34" s="111" t="str">
        <f>IF('⚙ OFF Weekends'!$D$34="OFF","OFF","")</f>
        <v/>
      </c>
      <c r="AN34" s="111" t="str">
        <f>IF('⚙ OFF Weekends'!$D$35="OFF","OFF","")</f>
        <v/>
      </c>
      <c r="AO34" s="111" t="str">
        <f>IF('⚙ OFF Weekends'!$D$36="OFF","OFF","")</f>
        <v/>
      </c>
      <c r="AP34" s="111" t="str">
        <f>IF('⚙ OFF Weekends'!$D$37="OFF","OFF","")</f>
        <v/>
      </c>
      <c r="AQ34" s="111" t="str">
        <f>IF('⚙ OFF Weekends'!$D$38="OFF","OFF","")</f>
        <v/>
      </c>
      <c r="AR34" s="111" t="str">
        <f>IF('⚙ OFF Weekends'!$D$39="OFF","OFF","")</f>
        <v/>
      </c>
      <c r="AS34" s="111" t="str">
        <f>IF('⚙ OFF Weekends'!$D$40="OFF","OFF","")</f>
        <v/>
      </c>
      <c r="AT34" s="111" t="str">
        <f>IF('⚙ OFF Weekends'!$D$41="OFF","OFF","")</f>
        <v/>
      </c>
      <c r="AU34" s="111" t="str">
        <f>IF('⚙ OFF Weekends'!$D$42="OFF","OFF","")</f>
        <v/>
      </c>
      <c r="AV34" s="111" t="str">
        <f>IF('⚙ OFF Weekends'!$D$43="OFF","OFF","")</f>
        <v/>
      </c>
      <c r="AW34" s="111" t="str">
        <f>IF('⚙ OFF Weekends'!$D$44="OFF","OFF","")</f>
        <v/>
      </c>
      <c r="AX34" s="111" t="str">
        <f>IF('⚙ OFF Weekends'!$D$45="OFF","OFF","")</f>
        <v/>
      </c>
      <c r="AY34" s="111" t="str">
        <f>IF('⚙ OFF Weekends'!$D$46="OFF","OFF","")</f>
        <v/>
      </c>
      <c r="AZ34" s="111" t="str">
        <f>IF('⚙ OFF Weekends'!$D$47="OFF","OFF","")</f>
        <v/>
      </c>
      <c r="BA34" s="111" t="str">
        <f>IF('⚙ OFF Weekends'!$D$48="OFF","OFF","")</f>
        <v/>
      </c>
      <c r="BB34" s="111" t="str">
        <f>IF('⚙ OFF Weekends'!$D$49="OFF","OFF","")</f>
        <v/>
      </c>
      <c r="BC34" s="111" t="str">
        <f>IF('⚙ OFF Weekends'!$D$50="OFF","OFF","")</f>
        <v/>
      </c>
      <c r="BD34" s="111" t="str">
        <f>IF('⚙ OFF Weekends'!$D$51="OFF","OFF","")</f>
        <v/>
      </c>
      <c r="BE34" s="111" t="str">
        <f>IF('⚙ OFF Weekends'!$D$52="OFF","OFF","")</f>
        <v/>
      </c>
      <c r="BF34" s="111" t="str">
        <f>IF('⚙ OFF Weekends'!$D$53="OFF","OFF","")</f>
        <v/>
      </c>
      <c r="BG34" s="111" t="str">
        <f>IF('⚙ OFF Weekends'!$D$54="OFF","OFF","")</f>
        <v/>
      </c>
      <c r="BH34" s="111" t="str">
        <f>IF('⚙ OFF Weekends'!$D$55="OFF","OFF","")</f>
        <v/>
      </c>
      <c r="BI34" s="111" t="str">
        <f>IF('⚙ OFF Weekends'!$D$56="OFF","OFF","")</f>
        <v/>
      </c>
      <c r="BJ34" s="111" t="str">
        <f>IF('⚙ OFF Weekends'!$D$57="OFF","OFF","")</f>
        <v/>
      </c>
      <c r="BK34" s="111" t="str">
        <f>IF('⚙ OFF Weekends'!$D$58="OFF","OFF","")</f>
        <v/>
      </c>
      <c r="BL34" s="111" t="str">
        <f>IF('⚙ OFF Weekends'!$D$59="OFF","OFF","")</f>
        <v/>
      </c>
      <c r="BM34" s="111" t="str">
        <f>IF('⚙ OFF Weekends'!$D$60="OFF","OFF","")</f>
        <v/>
      </c>
      <c r="BN34" s="111" t="str">
        <f>IF('⚙ OFF Weekends'!$D$61="OFF","OFF","")</f>
        <v/>
      </c>
      <c r="BO34" s="111" t="str">
        <f>IF('⚙ OFF Weekends'!$D$62="OFF","OFF","")</f>
        <v/>
      </c>
      <c r="BP34" s="111" t="str">
        <f>IF('⚙ OFF Weekends'!$D$63="OFF","OFF","")</f>
        <v/>
      </c>
      <c r="BQ34" s="111" t="str">
        <f>IF('⚙ OFF Weekends'!$D$64="OFF","OFF","")</f>
        <v/>
      </c>
      <c r="BR34" s="111" t="str">
        <f>IF('⚙ OFF Weekends'!$D$65="OFF","OFF","")</f>
        <v/>
      </c>
      <c r="BS34" s="111" t="str">
        <f>IF('⚙ OFF Weekends'!$D$66="OFF","OFF","")</f>
        <v/>
      </c>
      <c r="BT34" s="111" t="str">
        <f>IF('⚙ OFF Weekends'!$D$67="OFF","OFF","")</f>
        <v/>
      </c>
      <c r="BU34" s="111" t="str">
        <f>IF('⚙ OFF Weekends'!$D$68="OFF","OFF","")</f>
        <v/>
      </c>
      <c r="BV34" s="111" t="str">
        <f>IF('⚙ OFF Weekends'!$D$69="OFF","OFF","")</f>
        <v/>
      </c>
      <c r="BW34" s="111" t="str">
        <f>IF('⚙ OFF Weekends'!$D$70="OFF","OFF","")</f>
        <v/>
      </c>
      <c r="BX34" s="111" t="str">
        <f>IF('⚙ OFF Weekends'!$D$71="OFF","OFF","")</f>
        <v/>
      </c>
      <c r="BY34" s="111" t="str">
        <f>IF('⚙ OFF Weekends'!$D$72="OFF","OFF","")</f>
        <v/>
      </c>
      <c r="BZ34" s="111" t="str">
        <f>IF('⚙ OFF Weekends'!$D$73="OFF","OFF","")</f>
        <v/>
      </c>
      <c r="CA34" s="111" t="str">
        <f>IF('⚙ OFF Weekends'!$D$74="OFF","OFF","")</f>
        <v/>
      </c>
      <c r="CB34" s="111" t="str">
        <f>IF('⚙ OFF Weekends'!$D$75="OFF","OFF","")</f>
        <v/>
      </c>
      <c r="CC34" s="111" t="str">
        <f>IF('⚙ OFF Weekends'!$D$76="OFF","OFF","")</f>
        <v/>
      </c>
      <c r="CD34" s="111" t="str">
        <f>IF('⚙ OFF Weekends'!$D$77="OFF","OFF","")</f>
        <v/>
      </c>
      <c r="CE34" s="112">
        <f t="shared" si="9"/>
        <v>2</v>
      </c>
      <c r="CF34" s="112">
        <f t="shared" si="10"/>
        <v>7</v>
      </c>
      <c r="CG34" s="112">
        <f t="shared" si="11"/>
        <v>0</v>
      </c>
      <c r="CH34" s="112" t="str">
        <f t="shared" si="12"/>
        <v>22%</v>
      </c>
    </row>
    <row r="35" ht="18.0" customHeight="1">
      <c r="A35" s="95">
        <v>20.0</v>
      </c>
      <c r="B35" s="120" t="s">
        <v>558</v>
      </c>
      <c r="C35" s="108"/>
      <c r="D35" s="109" t="str">
        <f t="shared" si="7"/>
        <v/>
      </c>
      <c r="E35" s="110" t="str">
        <f t="shared" si="8"/>
        <v/>
      </c>
      <c r="F35" s="108"/>
      <c r="G35" s="108"/>
      <c r="H35" s="108"/>
      <c r="I35" s="111" t="str">
        <f>IF('⚙ OFF Weekends'!$D$4="OFF","OFF","")</f>
        <v/>
      </c>
      <c r="J35" s="111" t="str">
        <f>IF('⚙ OFF Weekends'!$D$5="OFF","OFF","")</f>
        <v/>
      </c>
      <c r="K35" s="111" t="str">
        <f>IF('⚙ OFF Weekends'!$D$6="OFF","OFF","")</f>
        <v/>
      </c>
      <c r="L35" s="111" t="str">
        <f>IF('⚙ OFF Weekends'!$D$7="OFF","OFF","")</f>
        <v/>
      </c>
      <c r="M35" s="111" t="str">
        <f>IF('⚙ OFF Weekends'!$D$8="OFF","OFF","")</f>
        <v/>
      </c>
      <c r="N35" s="111" t="str">
        <f>IF('⚙ OFF Weekends'!$D$9="OFF","OFF","")</f>
        <v/>
      </c>
      <c r="O35" s="111" t="str">
        <f>IF('⚙ OFF Weekends'!$D$10="OFF","OFF","")</f>
        <v/>
      </c>
      <c r="P35" s="111" t="str">
        <f>IF('⚙ OFF Weekends'!$D$11="OFF","OFF","")</f>
        <v/>
      </c>
      <c r="Q35" s="111" t="str">
        <f>IF('⚙ OFF Weekends'!$D$12="OFF","OFF","")</f>
        <v/>
      </c>
      <c r="R35" s="111" t="str">
        <f>IF('⚙ OFF Weekends'!$D$13="OFF","OFF","")</f>
        <v/>
      </c>
      <c r="S35" s="121" t="s">
        <v>37</v>
      </c>
      <c r="T35" s="121" t="s">
        <v>223</v>
      </c>
      <c r="U35" s="121" t="s">
        <v>37</v>
      </c>
      <c r="V35" s="121" t="s">
        <v>196</v>
      </c>
      <c r="W35" s="111" t="str">
        <f>IF('⚙ OFF Weekends'!$D$18="OFF","OFF","")</f>
        <v>OFF</v>
      </c>
      <c r="X35" s="121" t="s">
        <v>196</v>
      </c>
      <c r="Y35" s="121" t="s">
        <v>37</v>
      </c>
      <c r="Z35" s="121" t="s">
        <v>198</v>
      </c>
      <c r="AA35" s="121" t="s">
        <v>37</v>
      </c>
      <c r="AB35" s="121" t="s">
        <v>37</v>
      </c>
      <c r="AC35" s="111" t="str">
        <f>IF('⚙ OFF Weekends'!$D$24="OFF","OFF","")</f>
        <v/>
      </c>
      <c r="AD35" s="111" t="str">
        <f>IF('⚙ OFF Weekends'!$D$25="OFF","OFF","")</f>
        <v/>
      </c>
      <c r="AE35" s="111" t="str">
        <f>IF('⚙ OFF Weekends'!$D$26="OFF","OFF","")</f>
        <v/>
      </c>
      <c r="AF35" s="111" t="str">
        <f>IF('⚙ OFF Weekends'!$D$27="OFF","OFF","")</f>
        <v/>
      </c>
      <c r="AG35" s="111" t="str">
        <f>IF('⚙ OFF Weekends'!$D$28="OFF","OFF","")</f>
        <v/>
      </c>
      <c r="AH35" s="111" t="str">
        <f>IF('⚙ OFF Weekends'!$D$29="OFF","OFF","")</f>
        <v/>
      </c>
      <c r="AI35" s="111" t="str">
        <f>IF('⚙ OFF Weekends'!$D$30="OFF","OFF","")</f>
        <v/>
      </c>
      <c r="AJ35" s="111" t="str">
        <f>IF('⚙ OFF Weekends'!$D$31="OFF","OFF","")</f>
        <v/>
      </c>
      <c r="AK35" s="111" t="str">
        <f>IF('⚙ OFF Weekends'!$D$32="OFF","OFF","")</f>
        <v/>
      </c>
      <c r="AL35" s="111" t="str">
        <f>IF('⚙ OFF Weekends'!$D$33="OFF","OFF","")</f>
        <v/>
      </c>
      <c r="AM35" s="111" t="str">
        <f>IF('⚙ OFF Weekends'!$D$34="OFF","OFF","")</f>
        <v/>
      </c>
      <c r="AN35" s="111" t="str">
        <f>IF('⚙ OFF Weekends'!$D$35="OFF","OFF","")</f>
        <v/>
      </c>
      <c r="AO35" s="111" t="str">
        <f>IF('⚙ OFF Weekends'!$D$36="OFF","OFF","")</f>
        <v/>
      </c>
      <c r="AP35" s="111" t="str">
        <f>IF('⚙ OFF Weekends'!$D$37="OFF","OFF","")</f>
        <v/>
      </c>
      <c r="AQ35" s="111" t="str">
        <f>IF('⚙ OFF Weekends'!$D$38="OFF","OFF","")</f>
        <v/>
      </c>
      <c r="AR35" s="111" t="str">
        <f>IF('⚙ OFF Weekends'!$D$39="OFF","OFF","")</f>
        <v/>
      </c>
      <c r="AS35" s="111" t="str">
        <f>IF('⚙ OFF Weekends'!$D$40="OFF","OFF","")</f>
        <v/>
      </c>
      <c r="AT35" s="111" t="str">
        <f>IF('⚙ OFF Weekends'!$D$41="OFF","OFF","")</f>
        <v/>
      </c>
      <c r="AU35" s="111" t="str">
        <f>IF('⚙ OFF Weekends'!$D$42="OFF","OFF","")</f>
        <v/>
      </c>
      <c r="AV35" s="111" t="str">
        <f>IF('⚙ OFF Weekends'!$D$43="OFF","OFF","")</f>
        <v/>
      </c>
      <c r="AW35" s="111" t="str">
        <f>IF('⚙ OFF Weekends'!$D$44="OFF","OFF","")</f>
        <v/>
      </c>
      <c r="AX35" s="111" t="str">
        <f>IF('⚙ OFF Weekends'!$D$45="OFF","OFF","")</f>
        <v/>
      </c>
      <c r="AY35" s="111" t="str">
        <f>IF('⚙ OFF Weekends'!$D$46="OFF","OFF","")</f>
        <v/>
      </c>
      <c r="AZ35" s="111" t="str">
        <f>IF('⚙ OFF Weekends'!$D$47="OFF","OFF","")</f>
        <v/>
      </c>
      <c r="BA35" s="111" t="str">
        <f>IF('⚙ OFF Weekends'!$D$48="OFF","OFF","")</f>
        <v/>
      </c>
      <c r="BB35" s="111" t="str">
        <f>IF('⚙ OFF Weekends'!$D$49="OFF","OFF","")</f>
        <v/>
      </c>
      <c r="BC35" s="111" t="str">
        <f>IF('⚙ OFF Weekends'!$D$50="OFF","OFF","")</f>
        <v/>
      </c>
      <c r="BD35" s="111" t="str">
        <f>IF('⚙ OFF Weekends'!$D$51="OFF","OFF","")</f>
        <v/>
      </c>
      <c r="BE35" s="111" t="str">
        <f>IF('⚙ OFF Weekends'!$D$52="OFF","OFF","")</f>
        <v/>
      </c>
      <c r="BF35" s="111" t="str">
        <f>IF('⚙ OFF Weekends'!$D$53="OFF","OFF","")</f>
        <v/>
      </c>
      <c r="BG35" s="111" t="str">
        <f>IF('⚙ OFF Weekends'!$D$54="OFF","OFF","")</f>
        <v/>
      </c>
      <c r="BH35" s="111" t="str">
        <f>IF('⚙ OFF Weekends'!$D$55="OFF","OFF","")</f>
        <v/>
      </c>
      <c r="BI35" s="111" t="str">
        <f>IF('⚙ OFF Weekends'!$D$56="OFF","OFF","")</f>
        <v/>
      </c>
      <c r="BJ35" s="111" t="str">
        <f>IF('⚙ OFF Weekends'!$D$57="OFF","OFF","")</f>
        <v/>
      </c>
      <c r="BK35" s="111" t="str">
        <f>IF('⚙ OFF Weekends'!$D$58="OFF","OFF","")</f>
        <v/>
      </c>
      <c r="BL35" s="111" t="str">
        <f>IF('⚙ OFF Weekends'!$D$59="OFF","OFF","")</f>
        <v/>
      </c>
      <c r="BM35" s="111" t="str">
        <f>IF('⚙ OFF Weekends'!$D$60="OFF","OFF","")</f>
        <v/>
      </c>
      <c r="BN35" s="111" t="str">
        <f>IF('⚙ OFF Weekends'!$D$61="OFF","OFF","")</f>
        <v/>
      </c>
      <c r="BO35" s="111" t="str">
        <f>IF('⚙ OFF Weekends'!$D$62="OFF","OFF","")</f>
        <v/>
      </c>
      <c r="BP35" s="111" t="str">
        <f>IF('⚙ OFF Weekends'!$D$63="OFF","OFF","")</f>
        <v/>
      </c>
      <c r="BQ35" s="111" t="str">
        <f>IF('⚙ OFF Weekends'!$D$64="OFF","OFF","")</f>
        <v/>
      </c>
      <c r="BR35" s="111" t="str">
        <f>IF('⚙ OFF Weekends'!$D$65="OFF","OFF","")</f>
        <v/>
      </c>
      <c r="BS35" s="111" t="str">
        <f>IF('⚙ OFF Weekends'!$D$66="OFF","OFF","")</f>
        <v/>
      </c>
      <c r="BT35" s="111" t="str">
        <f>IF('⚙ OFF Weekends'!$D$67="OFF","OFF","")</f>
        <v/>
      </c>
      <c r="BU35" s="111" t="str">
        <f>IF('⚙ OFF Weekends'!$D$68="OFF","OFF","")</f>
        <v/>
      </c>
      <c r="BV35" s="111" t="str">
        <f>IF('⚙ OFF Weekends'!$D$69="OFF","OFF","")</f>
        <v/>
      </c>
      <c r="BW35" s="111" t="str">
        <f>IF('⚙ OFF Weekends'!$D$70="OFF","OFF","")</f>
        <v/>
      </c>
      <c r="BX35" s="111" t="str">
        <f>IF('⚙ OFF Weekends'!$D$71="OFF","OFF","")</f>
        <v/>
      </c>
      <c r="BY35" s="111" t="str">
        <f>IF('⚙ OFF Weekends'!$D$72="OFF","OFF","")</f>
        <v/>
      </c>
      <c r="BZ35" s="111" t="str">
        <f>IF('⚙ OFF Weekends'!$D$73="OFF","OFF","")</f>
        <v/>
      </c>
      <c r="CA35" s="111" t="str">
        <f>IF('⚙ OFF Weekends'!$D$74="OFF","OFF","")</f>
        <v/>
      </c>
      <c r="CB35" s="111" t="str">
        <f>IF('⚙ OFF Weekends'!$D$75="OFF","OFF","")</f>
        <v/>
      </c>
      <c r="CC35" s="111" t="str">
        <f>IF('⚙ OFF Weekends'!$D$76="OFF","OFF","")</f>
        <v/>
      </c>
      <c r="CD35" s="111" t="str">
        <f>IF('⚙ OFF Weekends'!$D$77="OFF","OFF","")</f>
        <v/>
      </c>
      <c r="CE35" s="112">
        <f t="shared" si="9"/>
        <v>7</v>
      </c>
      <c r="CF35" s="112">
        <f t="shared" si="10"/>
        <v>1</v>
      </c>
      <c r="CG35" s="112">
        <f t="shared" si="11"/>
        <v>1</v>
      </c>
      <c r="CH35" s="112" t="str">
        <f t="shared" si="12"/>
        <v>88%</v>
      </c>
    </row>
    <row r="36" ht="18.0" customHeight="1">
      <c r="A36" s="95">
        <v>21.0</v>
      </c>
      <c r="B36" s="123" t="s">
        <v>566</v>
      </c>
      <c r="C36" s="124"/>
      <c r="D36" s="125"/>
      <c r="E36" s="126"/>
      <c r="F36" s="124"/>
      <c r="G36" s="124"/>
      <c r="H36" s="124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8" t="s">
        <v>37</v>
      </c>
      <c r="T36" s="128" t="s">
        <v>196</v>
      </c>
      <c r="U36" s="128" t="s">
        <v>223</v>
      </c>
      <c r="V36" s="128" t="s">
        <v>196</v>
      </c>
      <c r="W36" s="127"/>
      <c r="X36" s="128" t="s">
        <v>37</v>
      </c>
      <c r="Y36" s="128" t="s">
        <v>37</v>
      </c>
      <c r="Z36" s="128" t="s">
        <v>37</v>
      </c>
      <c r="AA36" s="128" t="s">
        <v>223</v>
      </c>
      <c r="AB36" s="128" t="s">
        <v>37</v>
      </c>
      <c r="AC36" s="127"/>
      <c r="AD36" s="127"/>
      <c r="AE36" s="127"/>
      <c r="AF36" s="127"/>
      <c r="AG36" s="127"/>
      <c r="AH36" s="127"/>
      <c r="AI36" s="127"/>
      <c r="AJ36" s="127"/>
      <c r="AK36" s="127"/>
      <c r="AL36" s="127"/>
      <c r="AM36" s="127"/>
      <c r="AN36" s="127"/>
      <c r="AO36" s="127"/>
      <c r="AP36" s="127"/>
      <c r="AQ36" s="127"/>
      <c r="AR36" s="127"/>
      <c r="AS36" s="127"/>
      <c r="AT36" s="127"/>
      <c r="AU36" s="127"/>
      <c r="AV36" s="127"/>
      <c r="AW36" s="127"/>
      <c r="AX36" s="127"/>
      <c r="AY36" s="127"/>
      <c r="AZ36" s="127"/>
      <c r="BA36" s="127"/>
      <c r="BB36" s="127"/>
      <c r="BC36" s="127"/>
      <c r="BD36" s="127"/>
      <c r="BE36" s="127"/>
      <c r="BF36" s="127"/>
      <c r="BG36" s="127"/>
      <c r="BH36" s="127"/>
      <c r="BI36" s="127"/>
      <c r="BJ36" s="127"/>
      <c r="BK36" s="127"/>
      <c r="BL36" s="127"/>
      <c r="BM36" s="127"/>
      <c r="BN36" s="127"/>
      <c r="BO36" s="127"/>
      <c r="BP36" s="127"/>
      <c r="BQ36" s="127"/>
      <c r="BR36" s="127"/>
      <c r="BS36" s="127"/>
      <c r="BT36" s="127"/>
      <c r="BU36" s="127"/>
      <c r="BV36" s="127"/>
      <c r="BW36" s="127"/>
      <c r="BX36" s="127"/>
      <c r="BY36" s="127"/>
      <c r="BZ36" s="127"/>
      <c r="CA36" s="127"/>
      <c r="CB36" s="127"/>
      <c r="CC36" s="127"/>
      <c r="CD36" s="127"/>
      <c r="CE36" s="129"/>
      <c r="CF36" s="129"/>
      <c r="CG36" s="129"/>
      <c r="CH36" s="129"/>
    </row>
    <row r="37" ht="18.0" customHeight="1">
      <c r="A37" s="95">
        <v>22.0</v>
      </c>
      <c r="B37" s="123" t="s">
        <v>569</v>
      </c>
      <c r="C37" s="124"/>
      <c r="D37" s="125"/>
      <c r="E37" s="126"/>
      <c r="F37" s="124"/>
      <c r="G37" s="124"/>
      <c r="H37" s="124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8"/>
      <c r="T37" s="128"/>
      <c r="U37" s="128"/>
      <c r="V37" s="128"/>
      <c r="W37" s="127"/>
      <c r="X37" s="128"/>
      <c r="Y37" s="128"/>
      <c r="Z37" s="128"/>
      <c r="AA37" s="128" t="s">
        <v>37</v>
      </c>
      <c r="AB37" s="128" t="s">
        <v>37</v>
      </c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7"/>
      <c r="BJ37" s="127"/>
      <c r="BK37" s="127"/>
      <c r="BL37" s="127"/>
      <c r="BM37" s="127"/>
      <c r="BN37" s="127"/>
      <c r="BO37" s="127"/>
      <c r="BP37" s="127"/>
      <c r="BQ37" s="127"/>
      <c r="BR37" s="127"/>
      <c r="BS37" s="127"/>
      <c r="BT37" s="127"/>
      <c r="BU37" s="127"/>
      <c r="BV37" s="127"/>
      <c r="BW37" s="127"/>
      <c r="BX37" s="127"/>
      <c r="BY37" s="127"/>
      <c r="BZ37" s="127"/>
      <c r="CA37" s="127"/>
      <c r="CB37" s="127"/>
      <c r="CC37" s="127"/>
      <c r="CD37" s="127"/>
      <c r="CE37" s="129"/>
      <c r="CF37" s="129"/>
      <c r="CG37" s="129"/>
      <c r="CH37" s="129"/>
    </row>
    <row r="38" ht="27.0" customHeight="1">
      <c r="A38" s="113" t="str">
        <f>"Group Strength: "&amp;COUNTA(B16:B35)</f>
        <v>Group Strength: 20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3"/>
    </row>
    <row r="39" ht="4.5" customHeight="1">
      <c r="A39" s="11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3"/>
    </row>
    <row r="40" ht="19.5" customHeight="1">
      <c r="A40" s="8" t="s">
        <v>574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3"/>
    </row>
    <row r="41" ht="18.0" customHeight="1">
      <c r="A41" s="95">
        <v>1.0</v>
      </c>
      <c r="B41" s="12" t="s">
        <v>576</v>
      </c>
      <c r="C41" s="14" t="s">
        <v>456</v>
      </c>
      <c r="D41" s="17" t="str">
        <f t="shared" ref="D41:D60" si="13">IF(C41&lt;&gt;"",HYPERLINK("tel:"&amp;SUBSTITUTE(SUBSTITUTE(C41," ",""),"+","+"),"📞 Call"),"")</f>
        <v>📞 Call</v>
      </c>
      <c r="E41" s="19" t="str">
        <f t="shared" ref="E41:E60" si="14">IF(C41&lt;&gt;"",HYPERLINK("https://wa.me/"&amp;SUBSTITUTE(SUBSTITUTE(C41,"+","")," ",""),"💬 WhatsApp"),"")</f>
        <v>💬 WhatsApp</v>
      </c>
      <c r="F41" s="10"/>
      <c r="G41" s="10" t="s">
        <v>339</v>
      </c>
      <c r="H41" s="10"/>
      <c r="I41" s="50" t="s">
        <v>37</v>
      </c>
      <c r="J41" s="48" t="s">
        <v>196</v>
      </c>
      <c r="K41" s="49" t="s">
        <v>197</v>
      </c>
      <c r="L41" s="50" t="s">
        <v>37</v>
      </c>
      <c r="M41" s="48" t="s">
        <v>196</v>
      </c>
      <c r="N41" s="50" t="s">
        <v>37</v>
      </c>
      <c r="O41" s="54" t="str">
        <f>IF('⚙ OFF Weekends'!$D$10="OFF","OFF","")</f>
        <v/>
      </c>
      <c r="P41" s="56" t="str">
        <f>IF('⚙ OFF Weekends'!$D$11="OFF","OFF","")</f>
        <v/>
      </c>
      <c r="Q41" s="48" t="s">
        <v>196</v>
      </c>
      <c r="R41" s="50" t="s">
        <v>37</v>
      </c>
      <c r="S41" s="52" t="s">
        <v>37</v>
      </c>
      <c r="T41" s="98" t="s">
        <v>196</v>
      </c>
      <c r="U41" s="52" t="s">
        <v>37</v>
      </c>
      <c r="V41" s="53" t="s">
        <v>196</v>
      </c>
      <c r="W41" s="54" t="str">
        <f>IF('⚙ OFF Weekends'!$D$18="OFF","OFF","")</f>
        <v>OFF</v>
      </c>
      <c r="X41" s="53" t="s">
        <v>37</v>
      </c>
      <c r="Y41" s="52" t="s">
        <v>37</v>
      </c>
      <c r="Z41" s="53" t="s">
        <v>37</v>
      </c>
      <c r="AA41" s="105" t="s">
        <v>37</v>
      </c>
      <c r="AB41" s="53" t="s">
        <v>223</v>
      </c>
      <c r="AC41" s="54" t="str">
        <f>IF('⚙ OFF Weekends'!$D$24="OFF","OFF","")</f>
        <v/>
      </c>
      <c r="AD41" s="56" t="str">
        <f>IF('⚙ OFF Weekends'!$D$25="OFF","OFF","")</f>
        <v/>
      </c>
      <c r="AE41" s="54" t="str">
        <f>IF('⚙ OFF Weekends'!$D$26="OFF","OFF","")</f>
        <v/>
      </c>
      <c r="AF41" s="56" t="str">
        <f>IF('⚙ OFF Weekends'!$D$27="OFF","OFF","")</f>
        <v/>
      </c>
      <c r="AG41" s="54" t="str">
        <f>IF('⚙ OFF Weekends'!$D$28="OFF","OFF","")</f>
        <v/>
      </c>
      <c r="AH41" s="56" t="str">
        <f>IF('⚙ OFF Weekends'!$D$29="OFF","OFF","")</f>
        <v/>
      </c>
      <c r="AI41" s="54" t="str">
        <f>IF('⚙ OFF Weekends'!$D$30="OFF","OFF","")</f>
        <v/>
      </c>
      <c r="AJ41" s="56" t="str">
        <f>IF('⚙ OFF Weekends'!$D$31="OFF","OFF","")</f>
        <v/>
      </c>
      <c r="AK41" s="54" t="str">
        <f>IF('⚙ OFF Weekends'!$D$32="OFF","OFF","")</f>
        <v/>
      </c>
      <c r="AL41" s="56" t="str">
        <f>IF('⚙ OFF Weekends'!$D$33="OFF","OFF","")</f>
        <v/>
      </c>
      <c r="AM41" s="54" t="str">
        <f>IF('⚙ OFF Weekends'!$D$34="OFF","OFF","")</f>
        <v/>
      </c>
      <c r="AN41" s="56" t="str">
        <f>IF('⚙ OFF Weekends'!$D$35="OFF","OFF","")</f>
        <v/>
      </c>
      <c r="AO41" s="54" t="str">
        <f>IF('⚙ OFF Weekends'!$D$36="OFF","OFF","")</f>
        <v/>
      </c>
      <c r="AP41" s="56" t="str">
        <f>IF('⚙ OFF Weekends'!$D$37="OFF","OFF","")</f>
        <v/>
      </c>
      <c r="AQ41" s="54" t="str">
        <f>IF('⚙ OFF Weekends'!$D$38="OFF","OFF","")</f>
        <v/>
      </c>
      <c r="AR41" s="56" t="str">
        <f>IF('⚙ OFF Weekends'!$D$39="OFF","OFF","")</f>
        <v/>
      </c>
      <c r="AS41" s="54" t="str">
        <f>IF('⚙ OFF Weekends'!$D$40="OFF","OFF","")</f>
        <v/>
      </c>
      <c r="AT41" s="56" t="str">
        <f>IF('⚙ OFF Weekends'!$D$41="OFF","OFF","")</f>
        <v/>
      </c>
      <c r="AU41" s="54" t="str">
        <f>IF('⚙ OFF Weekends'!$D$42="OFF","OFF","")</f>
        <v/>
      </c>
      <c r="AV41" s="56" t="str">
        <f>IF('⚙ OFF Weekends'!$D$43="OFF","OFF","")</f>
        <v/>
      </c>
      <c r="AW41" s="54" t="str">
        <f>IF('⚙ OFF Weekends'!$D$44="OFF","OFF","")</f>
        <v/>
      </c>
      <c r="AX41" s="56" t="str">
        <f>IF('⚙ OFF Weekends'!$D$45="OFF","OFF","")</f>
        <v/>
      </c>
      <c r="AY41" s="54" t="str">
        <f>IF('⚙ OFF Weekends'!$D$46="OFF","OFF","")</f>
        <v/>
      </c>
      <c r="AZ41" s="56" t="str">
        <f>IF('⚙ OFF Weekends'!$D$47="OFF","OFF","")</f>
        <v/>
      </c>
      <c r="BA41" s="54" t="str">
        <f>IF('⚙ OFF Weekends'!$D$48="OFF","OFF","")</f>
        <v/>
      </c>
      <c r="BB41" s="56" t="str">
        <f>IF('⚙ OFF Weekends'!$D$49="OFF","OFF","")</f>
        <v/>
      </c>
      <c r="BC41" s="54" t="str">
        <f>IF('⚙ OFF Weekends'!$D$50="OFF","OFF","")</f>
        <v/>
      </c>
      <c r="BD41" s="56" t="str">
        <f>IF('⚙ OFF Weekends'!$D$51="OFF","OFF","")</f>
        <v/>
      </c>
      <c r="BE41" s="54" t="str">
        <f>IF('⚙ OFF Weekends'!$D$52="OFF","OFF","")</f>
        <v/>
      </c>
      <c r="BF41" s="56" t="str">
        <f>IF('⚙ OFF Weekends'!$D$53="OFF","OFF","")</f>
        <v/>
      </c>
      <c r="BG41" s="54" t="str">
        <f>IF('⚙ OFF Weekends'!$D$54="OFF","OFF","")</f>
        <v/>
      </c>
      <c r="BH41" s="56" t="str">
        <f>IF('⚙ OFF Weekends'!$D$55="OFF","OFF","")</f>
        <v/>
      </c>
      <c r="BI41" s="54" t="str">
        <f>IF('⚙ OFF Weekends'!$D$56="OFF","OFF","")</f>
        <v/>
      </c>
      <c r="BJ41" s="56" t="str">
        <f>IF('⚙ OFF Weekends'!$D$57="OFF","OFF","")</f>
        <v/>
      </c>
      <c r="BK41" s="54" t="str">
        <f>IF('⚙ OFF Weekends'!$D$58="OFF","OFF","")</f>
        <v/>
      </c>
      <c r="BL41" s="56" t="str">
        <f>IF('⚙ OFF Weekends'!$D$59="OFF","OFF","")</f>
        <v/>
      </c>
      <c r="BM41" s="54" t="str">
        <f>IF('⚙ OFF Weekends'!$D$60="OFF","OFF","")</f>
        <v/>
      </c>
      <c r="BN41" s="56" t="str">
        <f>IF('⚙ OFF Weekends'!$D$61="OFF","OFF","")</f>
        <v/>
      </c>
      <c r="BO41" s="54" t="str">
        <f>IF('⚙ OFF Weekends'!$D$62="OFF","OFF","")</f>
        <v/>
      </c>
      <c r="BP41" s="56" t="str">
        <f>IF('⚙ OFF Weekends'!$D$63="OFF","OFF","")</f>
        <v/>
      </c>
      <c r="BQ41" s="54" t="str">
        <f>IF('⚙ OFF Weekends'!$D$64="OFF","OFF","")</f>
        <v/>
      </c>
      <c r="BR41" s="56" t="str">
        <f>IF('⚙ OFF Weekends'!$D$65="OFF","OFF","")</f>
        <v/>
      </c>
      <c r="BS41" s="54" t="str">
        <f>IF('⚙ OFF Weekends'!$D$66="OFF","OFF","")</f>
        <v/>
      </c>
      <c r="BT41" s="56" t="str">
        <f>IF('⚙ OFF Weekends'!$D$67="OFF","OFF","")</f>
        <v/>
      </c>
      <c r="BU41" s="54" t="str">
        <f>IF('⚙ OFF Weekends'!$D$68="OFF","OFF","")</f>
        <v/>
      </c>
      <c r="BV41" s="56" t="str">
        <f>IF('⚙ OFF Weekends'!$D$69="OFF","OFF","")</f>
        <v/>
      </c>
      <c r="BW41" s="54" t="str">
        <f>IF('⚙ OFF Weekends'!$D$70="OFF","OFF","")</f>
        <v/>
      </c>
      <c r="BX41" s="56" t="str">
        <f>IF('⚙ OFF Weekends'!$D$71="OFF","OFF","")</f>
        <v/>
      </c>
      <c r="BY41" s="54" t="str">
        <f>IF('⚙ OFF Weekends'!$D$72="OFF","OFF","")</f>
        <v/>
      </c>
      <c r="BZ41" s="56" t="str">
        <f>IF('⚙ OFF Weekends'!$D$73="OFF","OFF","")</f>
        <v/>
      </c>
      <c r="CA41" s="54" t="str">
        <f>IF('⚙ OFF Weekends'!$D$74="OFF","OFF","")</f>
        <v/>
      </c>
      <c r="CB41" s="56" t="str">
        <f>IF('⚙ OFF Weekends'!$D$75="OFF","OFF","")</f>
        <v/>
      </c>
      <c r="CC41" s="54" t="str">
        <f>IF('⚙ OFF Weekends'!$D$76="OFF","OFF","")</f>
        <v/>
      </c>
      <c r="CD41" s="56" t="str">
        <f>IF('⚙ OFF Weekends'!$D$77="OFF","OFF","")</f>
        <v/>
      </c>
      <c r="CE41" s="95">
        <f t="shared" ref="CE41:CE60" si="15">COUNTIF(I41:CD41,"Present")+COUNTIF(I41:CD41,"Late")</f>
        <v>15</v>
      </c>
      <c r="CF41" s="95">
        <f t="shared" ref="CF41:CF60" si="16">COUNTIF(I41:CD41,"Absent")</f>
        <v>1</v>
      </c>
      <c r="CG41" s="95">
        <f t="shared" ref="CG41:CG60" si="17">COUNTIF(I41:CD41,"Leave")</f>
        <v>0</v>
      </c>
      <c r="CH41" s="95" t="str">
        <f t="shared" ref="CH41:CH60" si="18">IF(CE41+CF41=0,"0%",TEXT(CE41/(CE41+CF41),"0%"))</f>
        <v>94%</v>
      </c>
    </row>
    <row r="42" ht="18.0" customHeight="1">
      <c r="A42" s="96">
        <v>2.0</v>
      </c>
      <c r="B42" s="22" t="s">
        <v>585</v>
      </c>
      <c r="C42" s="23" t="s">
        <v>453</v>
      </c>
      <c r="D42" s="24" t="str">
        <f t="shared" si="13"/>
        <v>📞 Call</v>
      </c>
      <c r="E42" s="41" t="str">
        <f t="shared" si="14"/>
        <v>💬 WhatsApp</v>
      </c>
      <c r="F42" s="20"/>
      <c r="G42" s="20" t="s">
        <v>339</v>
      </c>
      <c r="H42" s="20" t="s">
        <v>299</v>
      </c>
      <c r="I42" s="50" t="s">
        <v>37</v>
      </c>
      <c r="J42" s="79" t="s">
        <v>223</v>
      </c>
      <c r="K42" s="49" t="s">
        <v>197</v>
      </c>
      <c r="L42" s="50" t="s">
        <v>37</v>
      </c>
      <c r="M42" s="79" t="s">
        <v>223</v>
      </c>
      <c r="N42" s="53" t="s">
        <v>223</v>
      </c>
      <c r="O42" s="54" t="str">
        <f>IF('⚙ OFF Weekends'!$D$10="OFF","OFF","")</f>
        <v/>
      </c>
      <c r="P42" s="56" t="str">
        <f>IF('⚙ OFF Weekends'!$D$11="OFF","OFF","")</f>
        <v/>
      </c>
      <c r="Q42" s="50" t="s">
        <v>37</v>
      </c>
      <c r="R42" s="50" t="s">
        <v>37</v>
      </c>
      <c r="S42" s="52" t="s">
        <v>37</v>
      </c>
      <c r="T42" s="98" t="s">
        <v>196</v>
      </c>
      <c r="U42" s="52" t="s">
        <v>37</v>
      </c>
      <c r="V42" s="53" t="s">
        <v>198</v>
      </c>
      <c r="W42" s="54" t="str">
        <f>IF('⚙ OFF Weekends'!$D$18="OFF","OFF","")</f>
        <v>OFF</v>
      </c>
      <c r="X42" s="53" t="s">
        <v>196</v>
      </c>
      <c r="Y42" s="52" t="s">
        <v>196</v>
      </c>
      <c r="Z42" s="53" t="s">
        <v>223</v>
      </c>
      <c r="AA42" s="105" t="s">
        <v>196</v>
      </c>
      <c r="AB42" s="53" t="s">
        <v>37</v>
      </c>
      <c r="AC42" s="54" t="str">
        <f>IF('⚙ OFF Weekends'!$D$24="OFF","OFF","")</f>
        <v/>
      </c>
      <c r="AD42" s="56" t="str">
        <f>IF('⚙ OFF Weekends'!$D$25="OFF","OFF","")</f>
        <v/>
      </c>
      <c r="AE42" s="54" t="str">
        <f>IF('⚙ OFF Weekends'!$D$26="OFF","OFF","")</f>
        <v/>
      </c>
      <c r="AF42" s="56" t="str">
        <f>IF('⚙ OFF Weekends'!$D$27="OFF","OFF","")</f>
        <v/>
      </c>
      <c r="AG42" s="54" t="str">
        <f>IF('⚙ OFF Weekends'!$D$28="OFF","OFF","")</f>
        <v/>
      </c>
      <c r="AH42" s="56" t="str">
        <f>IF('⚙ OFF Weekends'!$D$29="OFF","OFF","")</f>
        <v/>
      </c>
      <c r="AI42" s="54" t="str">
        <f>IF('⚙ OFF Weekends'!$D$30="OFF","OFF","")</f>
        <v/>
      </c>
      <c r="AJ42" s="56" t="str">
        <f>IF('⚙ OFF Weekends'!$D$31="OFF","OFF","")</f>
        <v/>
      </c>
      <c r="AK42" s="54" t="str">
        <f>IF('⚙ OFF Weekends'!$D$32="OFF","OFF","")</f>
        <v/>
      </c>
      <c r="AL42" s="56" t="str">
        <f>IF('⚙ OFF Weekends'!$D$33="OFF","OFF","")</f>
        <v/>
      </c>
      <c r="AM42" s="54" t="str">
        <f>IF('⚙ OFF Weekends'!$D$34="OFF","OFF","")</f>
        <v/>
      </c>
      <c r="AN42" s="56" t="str">
        <f>IF('⚙ OFF Weekends'!$D$35="OFF","OFF","")</f>
        <v/>
      </c>
      <c r="AO42" s="54" t="str">
        <f>IF('⚙ OFF Weekends'!$D$36="OFF","OFF","")</f>
        <v/>
      </c>
      <c r="AP42" s="56" t="str">
        <f>IF('⚙ OFF Weekends'!$D$37="OFF","OFF","")</f>
        <v/>
      </c>
      <c r="AQ42" s="54" t="str">
        <f>IF('⚙ OFF Weekends'!$D$38="OFF","OFF","")</f>
        <v/>
      </c>
      <c r="AR42" s="56" t="str">
        <f>IF('⚙ OFF Weekends'!$D$39="OFF","OFF","")</f>
        <v/>
      </c>
      <c r="AS42" s="54" t="str">
        <f>IF('⚙ OFF Weekends'!$D$40="OFF","OFF","")</f>
        <v/>
      </c>
      <c r="AT42" s="56" t="str">
        <f>IF('⚙ OFF Weekends'!$D$41="OFF","OFF","")</f>
        <v/>
      </c>
      <c r="AU42" s="54" t="str">
        <f>IF('⚙ OFF Weekends'!$D$42="OFF","OFF","")</f>
        <v/>
      </c>
      <c r="AV42" s="56" t="str">
        <f>IF('⚙ OFF Weekends'!$D$43="OFF","OFF","")</f>
        <v/>
      </c>
      <c r="AW42" s="54" t="str">
        <f>IF('⚙ OFF Weekends'!$D$44="OFF","OFF","")</f>
        <v/>
      </c>
      <c r="AX42" s="56" t="str">
        <f>IF('⚙ OFF Weekends'!$D$45="OFF","OFF","")</f>
        <v/>
      </c>
      <c r="AY42" s="54" t="str">
        <f>IF('⚙ OFF Weekends'!$D$46="OFF","OFF","")</f>
        <v/>
      </c>
      <c r="AZ42" s="56" t="str">
        <f>IF('⚙ OFF Weekends'!$D$47="OFF","OFF","")</f>
        <v/>
      </c>
      <c r="BA42" s="54" t="str">
        <f>IF('⚙ OFF Weekends'!$D$48="OFF","OFF","")</f>
        <v/>
      </c>
      <c r="BB42" s="56" t="str">
        <f>IF('⚙ OFF Weekends'!$D$49="OFF","OFF","")</f>
        <v/>
      </c>
      <c r="BC42" s="54" t="str">
        <f>IF('⚙ OFF Weekends'!$D$50="OFF","OFF","")</f>
        <v/>
      </c>
      <c r="BD42" s="56" t="str">
        <f>IF('⚙ OFF Weekends'!$D$51="OFF","OFF","")</f>
        <v/>
      </c>
      <c r="BE42" s="54" t="str">
        <f>IF('⚙ OFF Weekends'!$D$52="OFF","OFF","")</f>
        <v/>
      </c>
      <c r="BF42" s="56" t="str">
        <f>IF('⚙ OFF Weekends'!$D$53="OFF","OFF","")</f>
        <v/>
      </c>
      <c r="BG42" s="54" t="str">
        <f>IF('⚙ OFF Weekends'!$D$54="OFF","OFF","")</f>
        <v/>
      </c>
      <c r="BH42" s="56" t="str">
        <f>IF('⚙ OFF Weekends'!$D$55="OFF","OFF","")</f>
        <v/>
      </c>
      <c r="BI42" s="54" t="str">
        <f>IF('⚙ OFF Weekends'!$D$56="OFF","OFF","")</f>
        <v/>
      </c>
      <c r="BJ42" s="56" t="str">
        <f>IF('⚙ OFF Weekends'!$D$57="OFF","OFF","")</f>
        <v/>
      </c>
      <c r="BK42" s="54" t="str">
        <f>IF('⚙ OFF Weekends'!$D$58="OFF","OFF","")</f>
        <v/>
      </c>
      <c r="BL42" s="56" t="str">
        <f>IF('⚙ OFF Weekends'!$D$59="OFF","OFF","")</f>
        <v/>
      </c>
      <c r="BM42" s="54" t="str">
        <f>IF('⚙ OFF Weekends'!$D$60="OFF","OFF","")</f>
        <v/>
      </c>
      <c r="BN42" s="56" t="str">
        <f>IF('⚙ OFF Weekends'!$D$61="OFF","OFF","")</f>
        <v/>
      </c>
      <c r="BO42" s="54" t="str">
        <f>IF('⚙ OFF Weekends'!$D$62="OFF","OFF","")</f>
        <v/>
      </c>
      <c r="BP42" s="56" t="str">
        <f>IF('⚙ OFF Weekends'!$D$63="OFF","OFF","")</f>
        <v/>
      </c>
      <c r="BQ42" s="54" t="str">
        <f>IF('⚙ OFF Weekends'!$D$64="OFF","OFF","")</f>
        <v/>
      </c>
      <c r="BR42" s="56" t="str">
        <f>IF('⚙ OFF Weekends'!$D$65="OFF","OFF","")</f>
        <v/>
      </c>
      <c r="BS42" s="54" t="str">
        <f>IF('⚙ OFF Weekends'!$D$66="OFF","OFF","")</f>
        <v/>
      </c>
      <c r="BT42" s="56" t="str">
        <f>IF('⚙ OFF Weekends'!$D$67="OFF","OFF","")</f>
        <v/>
      </c>
      <c r="BU42" s="54" t="str">
        <f>IF('⚙ OFF Weekends'!$D$68="OFF","OFF","")</f>
        <v/>
      </c>
      <c r="BV42" s="56" t="str">
        <f>IF('⚙ OFF Weekends'!$D$69="OFF","OFF","")</f>
        <v/>
      </c>
      <c r="BW42" s="54" t="str">
        <f>IF('⚙ OFF Weekends'!$D$70="OFF","OFF","")</f>
        <v/>
      </c>
      <c r="BX42" s="56" t="str">
        <f>IF('⚙ OFF Weekends'!$D$71="OFF","OFF","")</f>
        <v/>
      </c>
      <c r="BY42" s="54" t="str">
        <f>IF('⚙ OFF Weekends'!$D$72="OFF","OFF","")</f>
        <v/>
      </c>
      <c r="BZ42" s="56" t="str">
        <f>IF('⚙ OFF Weekends'!$D$73="OFF","OFF","")</f>
        <v/>
      </c>
      <c r="CA42" s="54" t="str">
        <f>IF('⚙ OFF Weekends'!$D$74="OFF","OFF","")</f>
        <v/>
      </c>
      <c r="CB42" s="56" t="str">
        <f>IF('⚙ OFF Weekends'!$D$75="OFF","OFF","")</f>
        <v/>
      </c>
      <c r="CC42" s="54" t="str">
        <f>IF('⚙ OFF Weekends'!$D$76="OFF","OFF","")</f>
        <v/>
      </c>
      <c r="CD42" s="56" t="str">
        <f>IF('⚙ OFF Weekends'!$D$77="OFF","OFF","")</f>
        <v/>
      </c>
      <c r="CE42" s="96">
        <f t="shared" si="15"/>
        <v>11</v>
      </c>
      <c r="CF42" s="96">
        <f t="shared" si="16"/>
        <v>4</v>
      </c>
      <c r="CG42" s="96">
        <f t="shared" si="17"/>
        <v>1</v>
      </c>
      <c r="CH42" s="96" t="str">
        <f t="shared" si="18"/>
        <v>73%</v>
      </c>
    </row>
    <row r="43" ht="18.0" customHeight="1">
      <c r="A43" s="95">
        <v>3.0</v>
      </c>
      <c r="B43" s="12" t="s">
        <v>590</v>
      </c>
      <c r="C43" s="14" t="s">
        <v>591</v>
      </c>
      <c r="D43" s="17" t="str">
        <f t="shared" si="13"/>
        <v>📞 Call</v>
      </c>
      <c r="E43" s="19" t="str">
        <f t="shared" si="14"/>
        <v>💬 WhatsApp</v>
      </c>
      <c r="F43" s="10"/>
      <c r="G43" s="10" t="s">
        <v>339</v>
      </c>
      <c r="H43" s="10"/>
      <c r="I43" s="130" t="s">
        <v>592</v>
      </c>
      <c r="J43" s="48" t="s">
        <v>196</v>
      </c>
      <c r="K43" s="49" t="s">
        <v>197</v>
      </c>
      <c r="L43" s="79" t="s">
        <v>223</v>
      </c>
      <c r="M43" s="79" t="s">
        <v>223</v>
      </c>
      <c r="N43" s="53" t="s">
        <v>223</v>
      </c>
      <c r="O43" s="54" t="str">
        <f>IF('⚙ OFF Weekends'!$D$10="OFF","OFF","")</f>
        <v/>
      </c>
      <c r="P43" s="56" t="str">
        <f>IF('⚙ OFF Weekends'!$D$11="OFF","OFF","")</f>
        <v/>
      </c>
      <c r="Q43" s="52" t="s">
        <v>223</v>
      </c>
      <c r="R43" s="53" t="s">
        <v>223</v>
      </c>
      <c r="S43" s="52" t="s">
        <v>223</v>
      </c>
      <c r="T43" s="53" t="s">
        <v>223</v>
      </c>
      <c r="U43" s="52" t="s">
        <v>223</v>
      </c>
      <c r="V43" s="53" t="s">
        <v>223</v>
      </c>
      <c r="W43" s="54" t="str">
        <f>IF('⚙ OFF Weekends'!$D$18="OFF","OFF","")</f>
        <v>OFF</v>
      </c>
      <c r="X43" s="53" t="s">
        <v>223</v>
      </c>
      <c r="Y43" s="52" t="s">
        <v>196</v>
      </c>
      <c r="Z43" s="53" t="s">
        <v>223</v>
      </c>
      <c r="AA43" s="105" t="s">
        <v>223</v>
      </c>
      <c r="AB43" s="53" t="s">
        <v>223</v>
      </c>
      <c r="AC43" s="54" t="str">
        <f>IF('⚙ OFF Weekends'!$D$24="OFF","OFF","")</f>
        <v/>
      </c>
      <c r="AD43" s="56" t="str">
        <f>IF('⚙ OFF Weekends'!$D$25="OFF","OFF","")</f>
        <v/>
      </c>
      <c r="AE43" s="54" t="str">
        <f>IF('⚙ OFF Weekends'!$D$26="OFF","OFF","")</f>
        <v/>
      </c>
      <c r="AF43" s="56" t="str">
        <f>IF('⚙ OFF Weekends'!$D$27="OFF","OFF","")</f>
        <v/>
      </c>
      <c r="AG43" s="54" t="str">
        <f>IF('⚙ OFF Weekends'!$D$28="OFF","OFF","")</f>
        <v/>
      </c>
      <c r="AH43" s="56" t="str">
        <f>IF('⚙ OFF Weekends'!$D$29="OFF","OFF","")</f>
        <v/>
      </c>
      <c r="AI43" s="54" t="str">
        <f>IF('⚙ OFF Weekends'!$D$30="OFF","OFF","")</f>
        <v/>
      </c>
      <c r="AJ43" s="56" t="str">
        <f>IF('⚙ OFF Weekends'!$D$31="OFF","OFF","")</f>
        <v/>
      </c>
      <c r="AK43" s="54" t="str">
        <f>IF('⚙ OFF Weekends'!$D$32="OFF","OFF","")</f>
        <v/>
      </c>
      <c r="AL43" s="56" t="str">
        <f>IF('⚙ OFF Weekends'!$D$33="OFF","OFF","")</f>
        <v/>
      </c>
      <c r="AM43" s="54" t="str">
        <f>IF('⚙ OFF Weekends'!$D$34="OFF","OFF","")</f>
        <v/>
      </c>
      <c r="AN43" s="56" t="str">
        <f>IF('⚙ OFF Weekends'!$D$35="OFF","OFF","")</f>
        <v/>
      </c>
      <c r="AO43" s="54" t="str">
        <f>IF('⚙ OFF Weekends'!$D$36="OFF","OFF","")</f>
        <v/>
      </c>
      <c r="AP43" s="56" t="str">
        <f>IF('⚙ OFF Weekends'!$D$37="OFF","OFF","")</f>
        <v/>
      </c>
      <c r="AQ43" s="54" t="str">
        <f>IF('⚙ OFF Weekends'!$D$38="OFF","OFF","")</f>
        <v/>
      </c>
      <c r="AR43" s="56" t="str">
        <f>IF('⚙ OFF Weekends'!$D$39="OFF","OFF","")</f>
        <v/>
      </c>
      <c r="AS43" s="54" t="str">
        <f>IF('⚙ OFF Weekends'!$D$40="OFF","OFF","")</f>
        <v/>
      </c>
      <c r="AT43" s="56" t="str">
        <f>IF('⚙ OFF Weekends'!$D$41="OFF","OFF","")</f>
        <v/>
      </c>
      <c r="AU43" s="54" t="str">
        <f>IF('⚙ OFF Weekends'!$D$42="OFF","OFF","")</f>
        <v/>
      </c>
      <c r="AV43" s="56" t="str">
        <f>IF('⚙ OFF Weekends'!$D$43="OFF","OFF","")</f>
        <v/>
      </c>
      <c r="AW43" s="54" t="str">
        <f>IF('⚙ OFF Weekends'!$D$44="OFF","OFF","")</f>
        <v/>
      </c>
      <c r="AX43" s="56" t="str">
        <f>IF('⚙ OFF Weekends'!$D$45="OFF","OFF","")</f>
        <v/>
      </c>
      <c r="AY43" s="54" t="str">
        <f>IF('⚙ OFF Weekends'!$D$46="OFF","OFF","")</f>
        <v/>
      </c>
      <c r="AZ43" s="56" t="str">
        <f>IF('⚙ OFF Weekends'!$D$47="OFF","OFF","")</f>
        <v/>
      </c>
      <c r="BA43" s="54" t="str">
        <f>IF('⚙ OFF Weekends'!$D$48="OFF","OFF","")</f>
        <v/>
      </c>
      <c r="BB43" s="56" t="str">
        <f>IF('⚙ OFF Weekends'!$D$49="OFF","OFF","")</f>
        <v/>
      </c>
      <c r="BC43" s="54" t="str">
        <f>IF('⚙ OFF Weekends'!$D$50="OFF","OFF","")</f>
        <v/>
      </c>
      <c r="BD43" s="56" t="str">
        <f>IF('⚙ OFF Weekends'!$D$51="OFF","OFF","")</f>
        <v/>
      </c>
      <c r="BE43" s="54" t="str">
        <f>IF('⚙ OFF Weekends'!$D$52="OFF","OFF","")</f>
        <v/>
      </c>
      <c r="BF43" s="56" t="str">
        <f>IF('⚙ OFF Weekends'!$D$53="OFF","OFF","")</f>
        <v/>
      </c>
      <c r="BG43" s="54" t="str">
        <f>IF('⚙ OFF Weekends'!$D$54="OFF","OFF","")</f>
        <v/>
      </c>
      <c r="BH43" s="56" t="str">
        <f>IF('⚙ OFF Weekends'!$D$55="OFF","OFF","")</f>
        <v/>
      </c>
      <c r="BI43" s="54" t="str">
        <f>IF('⚙ OFF Weekends'!$D$56="OFF","OFF","")</f>
        <v/>
      </c>
      <c r="BJ43" s="56" t="str">
        <f>IF('⚙ OFF Weekends'!$D$57="OFF","OFF","")</f>
        <v/>
      </c>
      <c r="BK43" s="54" t="str">
        <f>IF('⚙ OFF Weekends'!$D$58="OFF","OFF","")</f>
        <v/>
      </c>
      <c r="BL43" s="56" t="str">
        <f>IF('⚙ OFF Weekends'!$D$59="OFF","OFF","")</f>
        <v/>
      </c>
      <c r="BM43" s="54" t="str">
        <f>IF('⚙ OFF Weekends'!$D$60="OFF","OFF","")</f>
        <v/>
      </c>
      <c r="BN43" s="56" t="str">
        <f>IF('⚙ OFF Weekends'!$D$61="OFF","OFF","")</f>
        <v/>
      </c>
      <c r="BO43" s="54" t="str">
        <f>IF('⚙ OFF Weekends'!$D$62="OFF","OFF","")</f>
        <v/>
      </c>
      <c r="BP43" s="56" t="str">
        <f>IF('⚙ OFF Weekends'!$D$63="OFF","OFF","")</f>
        <v/>
      </c>
      <c r="BQ43" s="54" t="str">
        <f>IF('⚙ OFF Weekends'!$D$64="OFF","OFF","")</f>
        <v/>
      </c>
      <c r="BR43" s="56" t="str">
        <f>IF('⚙ OFF Weekends'!$D$65="OFF","OFF","")</f>
        <v/>
      </c>
      <c r="BS43" s="54" t="str">
        <f>IF('⚙ OFF Weekends'!$D$66="OFF","OFF","")</f>
        <v/>
      </c>
      <c r="BT43" s="56" t="str">
        <f>IF('⚙ OFF Weekends'!$D$67="OFF","OFF","")</f>
        <v/>
      </c>
      <c r="BU43" s="54" t="str">
        <f>IF('⚙ OFF Weekends'!$D$68="OFF","OFF","")</f>
        <v/>
      </c>
      <c r="BV43" s="56" t="str">
        <f>IF('⚙ OFF Weekends'!$D$69="OFF","OFF","")</f>
        <v/>
      </c>
      <c r="BW43" s="54" t="str">
        <f>IF('⚙ OFF Weekends'!$D$70="OFF","OFF","")</f>
        <v/>
      </c>
      <c r="BX43" s="56" t="str">
        <f>IF('⚙ OFF Weekends'!$D$71="OFF","OFF","")</f>
        <v/>
      </c>
      <c r="BY43" s="54" t="str">
        <f>IF('⚙ OFF Weekends'!$D$72="OFF","OFF","")</f>
        <v/>
      </c>
      <c r="BZ43" s="56" t="str">
        <f>IF('⚙ OFF Weekends'!$D$73="OFF","OFF","")</f>
        <v/>
      </c>
      <c r="CA43" s="54" t="str">
        <f>IF('⚙ OFF Weekends'!$D$74="OFF","OFF","")</f>
        <v/>
      </c>
      <c r="CB43" s="56" t="str">
        <f>IF('⚙ OFF Weekends'!$D$75="OFF","OFF","")</f>
        <v/>
      </c>
      <c r="CC43" s="54" t="str">
        <f>IF('⚙ OFF Weekends'!$D$76="OFF","OFF","")</f>
        <v/>
      </c>
      <c r="CD43" s="56" t="str">
        <f>IF('⚙ OFF Weekends'!$D$77="OFF","OFF","")</f>
        <v/>
      </c>
      <c r="CE43" s="95">
        <f t="shared" si="15"/>
        <v>2</v>
      </c>
      <c r="CF43" s="95">
        <f t="shared" si="16"/>
        <v>13</v>
      </c>
      <c r="CG43" s="95">
        <f t="shared" si="17"/>
        <v>0</v>
      </c>
      <c r="CH43" s="95" t="str">
        <f t="shared" si="18"/>
        <v>13%</v>
      </c>
    </row>
    <row r="44" ht="18.0" customHeight="1">
      <c r="A44" s="96">
        <v>4.0</v>
      </c>
      <c r="B44" s="22" t="s">
        <v>595</v>
      </c>
      <c r="C44" s="23" t="s">
        <v>596</v>
      </c>
      <c r="D44" s="24" t="str">
        <f t="shared" si="13"/>
        <v>📞 Call</v>
      </c>
      <c r="E44" s="41" t="str">
        <f t="shared" si="14"/>
        <v>💬 WhatsApp</v>
      </c>
      <c r="F44" s="20"/>
      <c r="G44" s="20" t="s">
        <v>339</v>
      </c>
      <c r="H44" s="20" t="s">
        <v>299</v>
      </c>
      <c r="I44" s="50" t="s">
        <v>37</v>
      </c>
      <c r="J44" s="79" t="s">
        <v>223</v>
      </c>
      <c r="K44" s="49" t="s">
        <v>197</v>
      </c>
      <c r="L44" s="50" t="s">
        <v>37</v>
      </c>
      <c r="M44" s="48" t="s">
        <v>196</v>
      </c>
      <c r="N44" s="50" t="s">
        <v>37</v>
      </c>
      <c r="O44" s="54" t="str">
        <f>IF('⚙ OFF Weekends'!$D$10="OFF","OFF","")</f>
        <v/>
      </c>
      <c r="P44" s="56" t="str">
        <f>IF('⚙ OFF Weekends'!$D$11="OFF","OFF","")</f>
        <v/>
      </c>
      <c r="Q44" s="48" t="s">
        <v>196</v>
      </c>
      <c r="R44" s="50" t="s">
        <v>37</v>
      </c>
      <c r="S44" s="52" t="s">
        <v>196</v>
      </c>
      <c r="T44" s="98" t="s">
        <v>196</v>
      </c>
      <c r="U44" s="52" t="s">
        <v>196</v>
      </c>
      <c r="V44" s="53" t="s">
        <v>198</v>
      </c>
      <c r="W44" s="54" t="str">
        <f>IF('⚙ OFF Weekends'!$D$18="OFF","OFF","")</f>
        <v>OFF</v>
      </c>
      <c r="X44" s="53" t="s">
        <v>196</v>
      </c>
      <c r="Y44" s="52" t="s">
        <v>223</v>
      </c>
      <c r="Z44" s="53" t="s">
        <v>196</v>
      </c>
      <c r="AA44" s="105" t="s">
        <v>223</v>
      </c>
      <c r="AB44" s="53" t="s">
        <v>223</v>
      </c>
      <c r="AC44" s="54" t="str">
        <f>IF('⚙ OFF Weekends'!$D$24="OFF","OFF","")</f>
        <v/>
      </c>
      <c r="AD44" s="56" t="str">
        <f>IF('⚙ OFF Weekends'!$D$25="OFF","OFF","")</f>
        <v/>
      </c>
      <c r="AE44" s="54" t="str">
        <f>IF('⚙ OFF Weekends'!$D$26="OFF","OFF","")</f>
        <v/>
      </c>
      <c r="AF44" s="56" t="str">
        <f>IF('⚙ OFF Weekends'!$D$27="OFF","OFF","")</f>
        <v/>
      </c>
      <c r="AG44" s="54" t="str">
        <f>IF('⚙ OFF Weekends'!$D$28="OFF","OFF","")</f>
        <v/>
      </c>
      <c r="AH44" s="56" t="str">
        <f>IF('⚙ OFF Weekends'!$D$29="OFF","OFF","")</f>
        <v/>
      </c>
      <c r="AI44" s="54" t="str">
        <f>IF('⚙ OFF Weekends'!$D$30="OFF","OFF","")</f>
        <v/>
      </c>
      <c r="AJ44" s="56" t="str">
        <f>IF('⚙ OFF Weekends'!$D$31="OFF","OFF","")</f>
        <v/>
      </c>
      <c r="AK44" s="54" t="str">
        <f>IF('⚙ OFF Weekends'!$D$32="OFF","OFF","")</f>
        <v/>
      </c>
      <c r="AL44" s="56" t="str">
        <f>IF('⚙ OFF Weekends'!$D$33="OFF","OFF","")</f>
        <v/>
      </c>
      <c r="AM44" s="54" t="str">
        <f>IF('⚙ OFF Weekends'!$D$34="OFF","OFF","")</f>
        <v/>
      </c>
      <c r="AN44" s="56" t="str">
        <f>IF('⚙ OFF Weekends'!$D$35="OFF","OFF","")</f>
        <v/>
      </c>
      <c r="AO44" s="54" t="str">
        <f>IF('⚙ OFF Weekends'!$D$36="OFF","OFF","")</f>
        <v/>
      </c>
      <c r="AP44" s="56" t="str">
        <f>IF('⚙ OFF Weekends'!$D$37="OFF","OFF","")</f>
        <v/>
      </c>
      <c r="AQ44" s="54" t="str">
        <f>IF('⚙ OFF Weekends'!$D$38="OFF","OFF","")</f>
        <v/>
      </c>
      <c r="AR44" s="56" t="str">
        <f>IF('⚙ OFF Weekends'!$D$39="OFF","OFF","")</f>
        <v/>
      </c>
      <c r="AS44" s="54" t="str">
        <f>IF('⚙ OFF Weekends'!$D$40="OFF","OFF","")</f>
        <v/>
      </c>
      <c r="AT44" s="56" t="str">
        <f>IF('⚙ OFF Weekends'!$D$41="OFF","OFF","")</f>
        <v/>
      </c>
      <c r="AU44" s="54" t="str">
        <f>IF('⚙ OFF Weekends'!$D$42="OFF","OFF","")</f>
        <v/>
      </c>
      <c r="AV44" s="56" t="str">
        <f>IF('⚙ OFF Weekends'!$D$43="OFF","OFF","")</f>
        <v/>
      </c>
      <c r="AW44" s="54" t="str">
        <f>IF('⚙ OFF Weekends'!$D$44="OFF","OFF","")</f>
        <v/>
      </c>
      <c r="AX44" s="56" t="str">
        <f>IF('⚙ OFF Weekends'!$D$45="OFF","OFF","")</f>
        <v/>
      </c>
      <c r="AY44" s="54" t="str">
        <f>IF('⚙ OFF Weekends'!$D$46="OFF","OFF","")</f>
        <v/>
      </c>
      <c r="AZ44" s="56" t="str">
        <f>IF('⚙ OFF Weekends'!$D$47="OFF","OFF","")</f>
        <v/>
      </c>
      <c r="BA44" s="54" t="str">
        <f>IF('⚙ OFF Weekends'!$D$48="OFF","OFF","")</f>
        <v/>
      </c>
      <c r="BB44" s="56" t="str">
        <f>IF('⚙ OFF Weekends'!$D$49="OFF","OFF","")</f>
        <v/>
      </c>
      <c r="BC44" s="54" t="str">
        <f>IF('⚙ OFF Weekends'!$D$50="OFF","OFF","")</f>
        <v/>
      </c>
      <c r="BD44" s="56" t="str">
        <f>IF('⚙ OFF Weekends'!$D$51="OFF","OFF","")</f>
        <v/>
      </c>
      <c r="BE44" s="54" t="str">
        <f>IF('⚙ OFF Weekends'!$D$52="OFF","OFF","")</f>
        <v/>
      </c>
      <c r="BF44" s="56" t="str">
        <f>IF('⚙ OFF Weekends'!$D$53="OFF","OFF","")</f>
        <v/>
      </c>
      <c r="BG44" s="54" t="str">
        <f>IF('⚙ OFF Weekends'!$D$54="OFF","OFF","")</f>
        <v/>
      </c>
      <c r="BH44" s="56" t="str">
        <f>IF('⚙ OFF Weekends'!$D$55="OFF","OFF","")</f>
        <v/>
      </c>
      <c r="BI44" s="54" t="str">
        <f>IF('⚙ OFF Weekends'!$D$56="OFF","OFF","")</f>
        <v/>
      </c>
      <c r="BJ44" s="56" t="str">
        <f>IF('⚙ OFF Weekends'!$D$57="OFF","OFF","")</f>
        <v/>
      </c>
      <c r="BK44" s="54" t="str">
        <f>IF('⚙ OFF Weekends'!$D$58="OFF","OFF","")</f>
        <v/>
      </c>
      <c r="BL44" s="56" t="str">
        <f>IF('⚙ OFF Weekends'!$D$59="OFF","OFF","")</f>
        <v/>
      </c>
      <c r="BM44" s="54" t="str">
        <f>IF('⚙ OFF Weekends'!$D$60="OFF","OFF","")</f>
        <v/>
      </c>
      <c r="BN44" s="56" t="str">
        <f>IF('⚙ OFF Weekends'!$D$61="OFF","OFF","")</f>
        <v/>
      </c>
      <c r="BO44" s="54" t="str">
        <f>IF('⚙ OFF Weekends'!$D$62="OFF","OFF","")</f>
        <v/>
      </c>
      <c r="BP44" s="56" t="str">
        <f>IF('⚙ OFF Weekends'!$D$63="OFF","OFF","")</f>
        <v/>
      </c>
      <c r="BQ44" s="54" t="str">
        <f>IF('⚙ OFF Weekends'!$D$64="OFF","OFF","")</f>
        <v/>
      </c>
      <c r="BR44" s="56" t="str">
        <f>IF('⚙ OFF Weekends'!$D$65="OFF","OFF","")</f>
        <v/>
      </c>
      <c r="BS44" s="54" t="str">
        <f>IF('⚙ OFF Weekends'!$D$66="OFF","OFF","")</f>
        <v/>
      </c>
      <c r="BT44" s="56" t="str">
        <f>IF('⚙ OFF Weekends'!$D$67="OFF","OFF","")</f>
        <v/>
      </c>
      <c r="BU44" s="54" t="str">
        <f>IF('⚙ OFF Weekends'!$D$68="OFF","OFF","")</f>
        <v/>
      </c>
      <c r="BV44" s="56" t="str">
        <f>IF('⚙ OFF Weekends'!$D$69="OFF","OFF","")</f>
        <v/>
      </c>
      <c r="BW44" s="54" t="str">
        <f>IF('⚙ OFF Weekends'!$D$70="OFF","OFF","")</f>
        <v/>
      </c>
      <c r="BX44" s="56" t="str">
        <f>IF('⚙ OFF Weekends'!$D$71="OFF","OFF","")</f>
        <v/>
      </c>
      <c r="BY44" s="54" t="str">
        <f>IF('⚙ OFF Weekends'!$D$72="OFF","OFF","")</f>
        <v/>
      </c>
      <c r="BZ44" s="56" t="str">
        <f>IF('⚙ OFF Weekends'!$D$73="OFF","OFF","")</f>
        <v/>
      </c>
      <c r="CA44" s="54" t="str">
        <f>IF('⚙ OFF Weekends'!$D$74="OFF","OFF","")</f>
        <v/>
      </c>
      <c r="CB44" s="56" t="str">
        <f>IF('⚙ OFF Weekends'!$D$75="OFF","OFF","")</f>
        <v/>
      </c>
      <c r="CC44" s="54" t="str">
        <f>IF('⚙ OFF Weekends'!$D$76="OFF","OFF","")</f>
        <v/>
      </c>
      <c r="CD44" s="56" t="str">
        <f>IF('⚙ OFF Weekends'!$D$77="OFF","OFF","")</f>
        <v/>
      </c>
      <c r="CE44" s="96">
        <f t="shared" si="15"/>
        <v>11</v>
      </c>
      <c r="CF44" s="96">
        <f t="shared" si="16"/>
        <v>4</v>
      </c>
      <c r="CG44" s="96">
        <f t="shared" si="17"/>
        <v>1</v>
      </c>
      <c r="CH44" s="96" t="str">
        <f t="shared" si="18"/>
        <v>73%</v>
      </c>
    </row>
    <row r="45" ht="18.0" customHeight="1">
      <c r="A45" s="95">
        <v>5.0</v>
      </c>
      <c r="B45" s="12" t="s">
        <v>601</v>
      </c>
      <c r="C45" s="14" t="s">
        <v>602</v>
      </c>
      <c r="D45" s="17" t="str">
        <f t="shared" si="13"/>
        <v>📞 Call</v>
      </c>
      <c r="E45" s="19" t="str">
        <f t="shared" si="14"/>
        <v>💬 WhatsApp</v>
      </c>
      <c r="F45" s="10"/>
      <c r="G45" s="10" t="s">
        <v>420</v>
      </c>
      <c r="H45" s="10" t="s">
        <v>409</v>
      </c>
      <c r="I45" s="130" t="s">
        <v>603</v>
      </c>
      <c r="J45" s="79" t="s">
        <v>223</v>
      </c>
      <c r="K45" s="49" t="s">
        <v>197</v>
      </c>
      <c r="L45" s="79" t="s">
        <v>223</v>
      </c>
      <c r="M45" s="79" t="s">
        <v>223</v>
      </c>
      <c r="N45" s="53" t="s">
        <v>223</v>
      </c>
      <c r="O45" s="54" t="str">
        <f>IF('⚙ OFF Weekends'!$D$10="OFF","OFF","")</f>
        <v/>
      </c>
      <c r="P45" s="56" t="str">
        <f>IF('⚙ OFF Weekends'!$D$11="OFF","OFF","")</f>
        <v/>
      </c>
      <c r="Q45" s="52" t="s">
        <v>223</v>
      </c>
      <c r="R45" s="53" t="s">
        <v>223</v>
      </c>
      <c r="S45" s="52" t="s">
        <v>223</v>
      </c>
      <c r="T45" s="53" t="s">
        <v>223</v>
      </c>
      <c r="U45" s="52" t="s">
        <v>223</v>
      </c>
      <c r="V45" s="53" t="s">
        <v>223</v>
      </c>
      <c r="W45" s="54" t="str">
        <f>IF('⚙ OFF Weekends'!$D$18="OFF","OFF","")</f>
        <v>OFF</v>
      </c>
      <c r="X45" s="53" t="s">
        <v>37</v>
      </c>
      <c r="Y45" s="52" t="s">
        <v>223</v>
      </c>
      <c r="Z45" s="53" t="s">
        <v>223</v>
      </c>
      <c r="AA45" s="105" t="s">
        <v>223</v>
      </c>
      <c r="AB45" s="53" t="s">
        <v>223</v>
      </c>
      <c r="AC45" s="54" t="str">
        <f>IF('⚙ OFF Weekends'!$D$24="OFF","OFF","")</f>
        <v/>
      </c>
      <c r="AD45" s="56" t="str">
        <f>IF('⚙ OFF Weekends'!$D$25="OFF","OFF","")</f>
        <v/>
      </c>
      <c r="AE45" s="54" t="str">
        <f>IF('⚙ OFF Weekends'!$D$26="OFF","OFF","")</f>
        <v/>
      </c>
      <c r="AF45" s="56" t="str">
        <f>IF('⚙ OFF Weekends'!$D$27="OFF","OFF","")</f>
        <v/>
      </c>
      <c r="AG45" s="54" t="str">
        <f>IF('⚙ OFF Weekends'!$D$28="OFF","OFF","")</f>
        <v/>
      </c>
      <c r="AH45" s="56" t="str">
        <f>IF('⚙ OFF Weekends'!$D$29="OFF","OFF","")</f>
        <v/>
      </c>
      <c r="AI45" s="54" t="str">
        <f>IF('⚙ OFF Weekends'!$D$30="OFF","OFF","")</f>
        <v/>
      </c>
      <c r="AJ45" s="56" t="str">
        <f>IF('⚙ OFF Weekends'!$D$31="OFF","OFF","")</f>
        <v/>
      </c>
      <c r="AK45" s="54" t="str">
        <f>IF('⚙ OFF Weekends'!$D$32="OFF","OFF","")</f>
        <v/>
      </c>
      <c r="AL45" s="56" t="str">
        <f>IF('⚙ OFF Weekends'!$D$33="OFF","OFF","")</f>
        <v/>
      </c>
      <c r="AM45" s="54" t="str">
        <f>IF('⚙ OFF Weekends'!$D$34="OFF","OFF","")</f>
        <v/>
      </c>
      <c r="AN45" s="56" t="str">
        <f>IF('⚙ OFF Weekends'!$D$35="OFF","OFF","")</f>
        <v/>
      </c>
      <c r="AO45" s="54" t="str">
        <f>IF('⚙ OFF Weekends'!$D$36="OFF","OFF","")</f>
        <v/>
      </c>
      <c r="AP45" s="56" t="str">
        <f>IF('⚙ OFF Weekends'!$D$37="OFF","OFF","")</f>
        <v/>
      </c>
      <c r="AQ45" s="54" t="str">
        <f>IF('⚙ OFF Weekends'!$D$38="OFF","OFF","")</f>
        <v/>
      </c>
      <c r="AR45" s="56" t="str">
        <f>IF('⚙ OFF Weekends'!$D$39="OFF","OFF","")</f>
        <v/>
      </c>
      <c r="AS45" s="54" t="str">
        <f>IF('⚙ OFF Weekends'!$D$40="OFF","OFF","")</f>
        <v/>
      </c>
      <c r="AT45" s="56" t="str">
        <f>IF('⚙ OFF Weekends'!$D$41="OFF","OFF","")</f>
        <v/>
      </c>
      <c r="AU45" s="54" t="str">
        <f>IF('⚙ OFF Weekends'!$D$42="OFF","OFF","")</f>
        <v/>
      </c>
      <c r="AV45" s="56" t="str">
        <f>IF('⚙ OFF Weekends'!$D$43="OFF","OFF","")</f>
        <v/>
      </c>
      <c r="AW45" s="54" t="str">
        <f>IF('⚙ OFF Weekends'!$D$44="OFF","OFF","")</f>
        <v/>
      </c>
      <c r="AX45" s="56" t="str">
        <f>IF('⚙ OFF Weekends'!$D$45="OFF","OFF","")</f>
        <v/>
      </c>
      <c r="AY45" s="54" t="str">
        <f>IF('⚙ OFF Weekends'!$D$46="OFF","OFF","")</f>
        <v/>
      </c>
      <c r="AZ45" s="56" t="str">
        <f>IF('⚙ OFF Weekends'!$D$47="OFF","OFF","")</f>
        <v/>
      </c>
      <c r="BA45" s="54" t="str">
        <f>IF('⚙ OFF Weekends'!$D$48="OFF","OFF","")</f>
        <v/>
      </c>
      <c r="BB45" s="56" t="str">
        <f>IF('⚙ OFF Weekends'!$D$49="OFF","OFF","")</f>
        <v/>
      </c>
      <c r="BC45" s="54" t="str">
        <f>IF('⚙ OFF Weekends'!$D$50="OFF","OFF","")</f>
        <v/>
      </c>
      <c r="BD45" s="56" t="str">
        <f>IF('⚙ OFF Weekends'!$D$51="OFF","OFF","")</f>
        <v/>
      </c>
      <c r="BE45" s="54" t="str">
        <f>IF('⚙ OFF Weekends'!$D$52="OFF","OFF","")</f>
        <v/>
      </c>
      <c r="BF45" s="56" t="str">
        <f>IF('⚙ OFF Weekends'!$D$53="OFF","OFF","")</f>
        <v/>
      </c>
      <c r="BG45" s="54" t="str">
        <f>IF('⚙ OFF Weekends'!$D$54="OFF","OFF","")</f>
        <v/>
      </c>
      <c r="BH45" s="56" t="str">
        <f>IF('⚙ OFF Weekends'!$D$55="OFF","OFF","")</f>
        <v/>
      </c>
      <c r="BI45" s="54" t="str">
        <f>IF('⚙ OFF Weekends'!$D$56="OFF","OFF","")</f>
        <v/>
      </c>
      <c r="BJ45" s="56" t="str">
        <f>IF('⚙ OFF Weekends'!$D$57="OFF","OFF","")</f>
        <v/>
      </c>
      <c r="BK45" s="54" t="str">
        <f>IF('⚙ OFF Weekends'!$D$58="OFF","OFF","")</f>
        <v/>
      </c>
      <c r="BL45" s="56" t="str">
        <f>IF('⚙ OFF Weekends'!$D$59="OFF","OFF","")</f>
        <v/>
      </c>
      <c r="BM45" s="54" t="str">
        <f>IF('⚙ OFF Weekends'!$D$60="OFF","OFF","")</f>
        <v/>
      </c>
      <c r="BN45" s="56" t="str">
        <f>IF('⚙ OFF Weekends'!$D$61="OFF","OFF","")</f>
        <v/>
      </c>
      <c r="BO45" s="54" t="str">
        <f>IF('⚙ OFF Weekends'!$D$62="OFF","OFF","")</f>
        <v/>
      </c>
      <c r="BP45" s="56" t="str">
        <f>IF('⚙ OFF Weekends'!$D$63="OFF","OFF","")</f>
        <v/>
      </c>
      <c r="BQ45" s="54" t="str">
        <f>IF('⚙ OFF Weekends'!$D$64="OFF","OFF","")</f>
        <v/>
      </c>
      <c r="BR45" s="56" t="str">
        <f>IF('⚙ OFF Weekends'!$D$65="OFF","OFF","")</f>
        <v/>
      </c>
      <c r="BS45" s="54" t="str">
        <f>IF('⚙ OFF Weekends'!$D$66="OFF","OFF","")</f>
        <v/>
      </c>
      <c r="BT45" s="56" t="str">
        <f>IF('⚙ OFF Weekends'!$D$67="OFF","OFF","")</f>
        <v/>
      </c>
      <c r="BU45" s="54" t="str">
        <f>IF('⚙ OFF Weekends'!$D$68="OFF","OFF","")</f>
        <v/>
      </c>
      <c r="BV45" s="56" t="str">
        <f>IF('⚙ OFF Weekends'!$D$69="OFF","OFF","")</f>
        <v/>
      </c>
      <c r="BW45" s="54" t="str">
        <f>IF('⚙ OFF Weekends'!$D$70="OFF","OFF","")</f>
        <v/>
      </c>
      <c r="BX45" s="56" t="str">
        <f>IF('⚙ OFF Weekends'!$D$71="OFF","OFF","")</f>
        <v/>
      </c>
      <c r="BY45" s="54" t="str">
        <f>IF('⚙ OFF Weekends'!$D$72="OFF","OFF","")</f>
        <v/>
      </c>
      <c r="BZ45" s="56" t="str">
        <f>IF('⚙ OFF Weekends'!$D$73="OFF","OFF","")</f>
        <v/>
      </c>
      <c r="CA45" s="54" t="str">
        <f>IF('⚙ OFF Weekends'!$D$74="OFF","OFF","")</f>
        <v/>
      </c>
      <c r="CB45" s="56" t="str">
        <f>IF('⚙ OFF Weekends'!$D$75="OFF","OFF","")</f>
        <v/>
      </c>
      <c r="CC45" s="54" t="str">
        <f>IF('⚙ OFF Weekends'!$D$76="OFF","OFF","")</f>
        <v/>
      </c>
      <c r="CD45" s="56" t="str">
        <f>IF('⚙ OFF Weekends'!$D$77="OFF","OFF","")</f>
        <v/>
      </c>
      <c r="CE45" s="95">
        <f t="shared" si="15"/>
        <v>1</v>
      </c>
      <c r="CF45" s="95">
        <f t="shared" si="16"/>
        <v>14</v>
      </c>
      <c r="CG45" s="95">
        <f t="shared" si="17"/>
        <v>0</v>
      </c>
      <c r="CH45" s="95" t="str">
        <f t="shared" si="18"/>
        <v>7%</v>
      </c>
    </row>
    <row r="46" ht="18.0" customHeight="1">
      <c r="A46" s="96">
        <v>6.0</v>
      </c>
      <c r="B46" s="22" t="s">
        <v>608</v>
      </c>
      <c r="C46" s="23" t="s">
        <v>609</v>
      </c>
      <c r="D46" s="24" t="str">
        <f t="shared" si="13"/>
        <v>📞 Call</v>
      </c>
      <c r="E46" s="41" t="str">
        <f t="shared" si="14"/>
        <v>💬 WhatsApp</v>
      </c>
      <c r="F46" s="20"/>
      <c r="G46" s="20" t="s">
        <v>420</v>
      </c>
      <c r="H46" s="20" t="s">
        <v>409</v>
      </c>
      <c r="I46" s="79" t="s">
        <v>223</v>
      </c>
      <c r="J46" s="79" t="s">
        <v>223</v>
      </c>
      <c r="K46" s="49" t="s">
        <v>197</v>
      </c>
      <c r="L46" s="79" t="s">
        <v>223</v>
      </c>
      <c r="M46" s="79" t="s">
        <v>223</v>
      </c>
      <c r="N46" s="53" t="s">
        <v>223</v>
      </c>
      <c r="O46" s="54" t="str">
        <f>IF('⚙ OFF Weekends'!$D$10="OFF","OFF","")</f>
        <v/>
      </c>
      <c r="P46" s="56" t="str">
        <f>IF('⚙ OFF Weekends'!$D$11="OFF","OFF","")</f>
        <v/>
      </c>
      <c r="Q46" s="52" t="s">
        <v>223</v>
      </c>
      <c r="R46" s="53" t="s">
        <v>223</v>
      </c>
      <c r="S46" s="52" t="s">
        <v>223</v>
      </c>
      <c r="T46" s="53" t="s">
        <v>223</v>
      </c>
      <c r="U46" s="52" t="s">
        <v>223</v>
      </c>
      <c r="V46" s="53" t="s">
        <v>223</v>
      </c>
      <c r="W46" s="54" t="str">
        <f>IF('⚙ OFF Weekends'!$D$18="OFF","OFF","")</f>
        <v>OFF</v>
      </c>
      <c r="X46" s="53" t="s">
        <v>223</v>
      </c>
      <c r="Y46" s="52" t="s">
        <v>223</v>
      </c>
      <c r="Z46" s="53" t="s">
        <v>223</v>
      </c>
      <c r="AA46" s="105" t="s">
        <v>223</v>
      </c>
      <c r="AB46" s="53" t="s">
        <v>223</v>
      </c>
      <c r="AC46" s="54" t="str">
        <f>IF('⚙ OFF Weekends'!$D$24="OFF","OFF","")</f>
        <v/>
      </c>
      <c r="AD46" s="56" t="str">
        <f>IF('⚙ OFF Weekends'!$D$25="OFF","OFF","")</f>
        <v/>
      </c>
      <c r="AE46" s="54" t="str">
        <f>IF('⚙ OFF Weekends'!$D$26="OFF","OFF","")</f>
        <v/>
      </c>
      <c r="AF46" s="56" t="str">
        <f>IF('⚙ OFF Weekends'!$D$27="OFF","OFF","")</f>
        <v/>
      </c>
      <c r="AG46" s="54" t="str">
        <f>IF('⚙ OFF Weekends'!$D$28="OFF","OFF","")</f>
        <v/>
      </c>
      <c r="AH46" s="56" t="str">
        <f>IF('⚙ OFF Weekends'!$D$29="OFF","OFF","")</f>
        <v/>
      </c>
      <c r="AI46" s="54" t="str">
        <f>IF('⚙ OFF Weekends'!$D$30="OFF","OFF","")</f>
        <v/>
      </c>
      <c r="AJ46" s="56" t="str">
        <f>IF('⚙ OFF Weekends'!$D$31="OFF","OFF","")</f>
        <v/>
      </c>
      <c r="AK46" s="54" t="str">
        <f>IF('⚙ OFF Weekends'!$D$32="OFF","OFF","")</f>
        <v/>
      </c>
      <c r="AL46" s="56" t="str">
        <f>IF('⚙ OFF Weekends'!$D$33="OFF","OFF","")</f>
        <v/>
      </c>
      <c r="AM46" s="54" t="str">
        <f>IF('⚙ OFF Weekends'!$D$34="OFF","OFF","")</f>
        <v/>
      </c>
      <c r="AN46" s="56" t="str">
        <f>IF('⚙ OFF Weekends'!$D$35="OFF","OFF","")</f>
        <v/>
      </c>
      <c r="AO46" s="54" t="str">
        <f>IF('⚙ OFF Weekends'!$D$36="OFF","OFF","")</f>
        <v/>
      </c>
      <c r="AP46" s="56" t="str">
        <f>IF('⚙ OFF Weekends'!$D$37="OFF","OFF","")</f>
        <v/>
      </c>
      <c r="AQ46" s="54" t="str">
        <f>IF('⚙ OFF Weekends'!$D$38="OFF","OFF","")</f>
        <v/>
      </c>
      <c r="AR46" s="56" t="str">
        <f>IF('⚙ OFF Weekends'!$D$39="OFF","OFF","")</f>
        <v/>
      </c>
      <c r="AS46" s="54" t="str">
        <f>IF('⚙ OFF Weekends'!$D$40="OFF","OFF","")</f>
        <v/>
      </c>
      <c r="AT46" s="56" t="str">
        <f>IF('⚙ OFF Weekends'!$D$41="OFF","OFF","")</f>
        <v/>
      </c>
      <c r="AU46" s="54" t="str">
        <f>IF('⚙ OFF Weekends'!$D$42="OFF","OFF","")</f>
        <v/>
      </c>
      <c r="AV46" s="56" t="str">
        <f>IF('⚙ OFF Weekends'!$D$43="OFF","OFF","")</f>
        <v/>
      </c>
      <c r="AW46" s="54" t="str">
        <f>IF('⚙ OFF Weekends'!$D$44="OFF","OFF","")</f>
        <v/>
      </c>
      <c r="AX46" s="56" t="str">
        <f>IF('⚙ OFF Weekends'!$D$45="OFF","OFF","")</f>
        <v/>
      </c>
      <c r="AY46" s="54" t="str">
        <f>IF('⚙ OFF Weekends'!$D$46="OFF","OFF","")</f>
        <v/>
      </c>
      <c r="AZ46" s="56" t="str">
        <f>IF('⚙ OFF Weekends'!$D$47="OFF","OFF","")</f>
        <v/>
      </c>
      <c r="BA46" s="54" t="str">
        <f>IF('⚙ OFF Weekends'!$D$48="OFF","OFF","")</f>
        <v/>
      </c>
      <c r="BB46" s="56" t="str">
        <f>IF('⚙ OFF Weekends'!$D$49="OFF","OFF","")</f>
        <v/>
      </c>
      <c r="BC46" s="54" t="str">
        <f>IF('⚙ OFF Weekends'!$D$50="OFF","OFF","")</f>
        <v/>
      </c>
      <c r="BD46" s="56" t="str">
        <f>IF('⚙ OFF Weekends'!$D$51="OFF","OFF","")</f>
        <v/>
      </c>
      <c r="BE46" s="54" t="str">
        <f>IF('⚙ OFF Weekends'!$D$52="OFF","OFF","")</f>
        <v/>
      </c>
      <c r="BF46" s="56" t="str">
        <f>IF('⚙ OFF Weekends'!$D$53="OFF","OFF","")</f>
        <v/>
      </c>
      <c r="BG46" s="54" t="str">
        <f>IF('⚙ OFF Weekends'!$D$54="OFF","OFF","")</f>
        <v/>
      </c>
      <c r="BH46" s="56" t="str">
        <f>IF('⚙ OFF Weekends'!$D$55="OFF","OFF","")</f>
        <v/>
      </c>
      <c r="BI46" s="54" t="str">
        <f>IF('⚙ OFF Weekends'!$D$56="OFF","OFF","")</f>
        <v/>
      </c>
      <c r="BJ46" s="56" t="str">
        <f>IF('⚙ OFF Weekends'!$D$57="OFF","OFF","")</f>
        <v/>
      </c>
      <c r="BK46" s="54" t="str">
        <f>IF('⚙ OFF Weekends'!$D$58="OFF","OFF","")</f>
        <v/>
      </c>
      <c r="BL46" s="56" t="str">
        <f>IF('⚙ OFF Weekends'!$D$59="OFF","OFF","")</f>
        <v/>
      </c>
      <c r="BM46" s="54" t="str">
        <f>IF('⚙ OFF Weekends'!$D$60="OFF","OFF","")</f>
        <v/>
      </c>
      <c r="BN46" s="56" t="str">
        <f>IF('⚙ OFF Weekends'!$D$61="OFF","OFF","")</f>
        <v/>
      </c>
      <c r="BO46" s="54" t="str">
        <f>IF('⚙ OFF Weekends'!$D$62="OFF","OFF","")</f>
        <v/>
      </c>
      <c r="BP46" s="56" t="str">
        <f>IF('⚙ OFF Weekends'!$D$63="OFF","OFF","")</f>
        <v/>
      </c>
      <c r="BQ46" s="54" t="str">
        <f>IF('⚙ OFF Weekends'!$D$64="OFF","OFF","")</f>
        <v/>
      </c>
      <c r="BR46" s="56" t="str">
        <f>IF('⚙ OFF Weekends'!$D$65="OFF","OFF","")</f>
        <v/>
      </c>
      <c r="BS46" s="54" t="str">
        <f>IF('⚙ OFF Weekends'!$D$66="OFF","OFF","")</f>
        <v/>
      </c>
      <c r="BT46" s="56" t="str">
        <f>IF('⚙ OFF Weekends'!$D$67="OFF","OFF","")</f>
        <v/>
      </c>
      <c r="BU46" s="54" t="str">
        <f>IF('⚙ OFF Weekends'!$D$68="OFF","OFF","")</f>
        <v/>
      </c>
      <c r="BV46" s="56" t="str">
        <f>IF('⚙ OFF Weekends'!$D$69="OFF","OFF","")</f>
        <v/>
      </c>
      <c r="BW46" s="54" t="str">
        <f>IF('⚙ OFF Weekends'!$D$70="OFF","OFF","")</f>
        <v/>
      </c>
      <c r="BX46" s="56" t="str">
        <f>IF('⚙ OFF Weekends'!$D$71="OFF","OFF","")</f>
        <v/>
      </c>
      <c r="BY46" s="54" t="str">
        <f>IF('⚙ OFF Weekends'!$D$72="OFF","OFF","")</f>
        <v/>
      </c>
      <c r="BZ46" s="56" t="str">
        <f>IF('⚙ OFF Weekends'!$D$73="OFF","OFF","")</f>
        <v/>
      </c>
      <c r="CA46" s="54" t="str">
        <f>IF('⚙ OFF Weekends'!$D$74="OFF","OFF","")</f>
        <v/>
      </c>
      <c r="CB46" s="56" t="str">
        <f>IF('⚙ OFF Weekends'!$D$75="OFF","OFF","")</f>
        <v/>
      </c>
      <c r="CC46" s="54" t="str">
        <f>IF('⚙ OFF Weekends'!$D$76="OFF","OFF","")</f>
        <v/>
      </c>
      <c r="CD46" s="56" t="str">
        <f>IF('⚙ OFF Weekends'!$D$77="OFF","OFF","")</f>
        <v/>
      </c>
      <c r="CE46" s="96">
        <f t="shared" si="15"/>
        <v>0</v>
      </c>
      <c r="CF46" s="96">
        <f t="shared" si="16"/>
        <v>16</v>
      </c>
      <c r="CG46" s="96">
        <f t="shared" si="17"/>
        <v>0</v>
      </c>
      <c r="CH46" s="96" t="str">
        <f t="shared" si="18"/>
        <v>0%</v>
      </c>
    </row>
    <row r="47" ht="18.0" customHeight="1">
      <c r="A47" s="95">
        <v>7.0</v>
      </c>
      <c r="B47" s="12" t="s">
        <v>410</v>
      </c>
      <c r="C47" s="14" t="s">
        <v>621</v>
      </c>
      <c r="D47" s="17" t="str">
        <f t="shared" si="13"/>
        <v>📞 Call</v>
      </c>
      <c r="E47" s="19" t="str">
        <f t="shared" si="14"/>
        <v>💬 WhatsApp</v>
      </c>
      <c r="F47" s="10"/>
      <c r="G47" s="10" t="s">
        <v>624</v>
      </c>
      <c r="H47" s="10"/>
      <c r="I47" s="50" t="s">
        <v>37</v>
      </c>
      <c r="J47" s="79" t="s">
        <v>223</v>
      </c>
      <c r="K47" s="49" t="s">
        <v>197</v>
      </c>
      <c r="L47" s="79" t="s">
        <v>223</v>
      </c>
      <c r="M47" s="79" t="s">
        <v>223</v>
      </c>
      <c r="N47" s="53" t="s">
        <v>223</v>
      </c>
      <c r="O47" s="54" t="str">
        <f>IF('⚙ OFF Weekends'!$D$10="OFF","OFF","")</f>
        <v/>
      </c>
      <c r="P47" s="56" t="str">
        <f>IF('⚙ OFF Weekends'!$D$11="OFF","OFF","")</f>
        <v/>
      </c>
      <c r="Q47" s="52" t="s">
        <v>223</v>
      </c>
      <c r="R47" s="53" t="s">
        <v>223</v>
      </c>
      <c r="S47" s="52" t="s">
        <v>223</v>
      </c>
      <c r="T47" s="53" t="s">
        <v>223</v>
      </c>
      <c r="U47" s="52" t="s">
        <v>223</v>
      </c>
      <c r="V47" s="53" t="s">
        <v>223</v>
      </c>
      <c r="W47" s="54" t="str">
        <f>IF('⚙ OFF Weekends'!$D$18="OFF","OFF","")</f>
        <v>OFF</v>
      </c>
      <c r="X47" s="53" t="s">
        <v>223</v>
      </c>
      <c r="Y47" s="52" t="s">
        <v>223</v>
      </c>
      <c r="Z47" s="53" t="s">
        <v>223</v>
      </c>
      <c r="AA47" s="105" t="s">
        <v>223</v>
      </c>
      <c r="AB47" s="53" t="s">
        <v>223</v>
      </c>
      <c r="AC47" s="54" t="str">
        <f>IF('⚙ OFF Weekends'!$D$24="OFF","OFF","")</f>
        <v/>
      </c>
      <c r="AD47" s="56" t="str">
        <f>IF('⚙ OFF Weekends'!$D$25="OFF","OFF","")</f>
        <v/>
      </c>
      <c r="AE47" s="54" t="str">
        <f>IF('⚙ OFF Weekends'!$D$26="OFF","OFF","")</f>
        <v/>
      </c>
      <c r="AF47" s="56" t="str">
        <f>IF('⚙ OFF Weekends'!$D$27="OFF","OFF","")</f>
        <v/>
      </c>
      <c r="AG47" s="54" t="str">
        <f>IF('⚙ OFF Weekends'!$D$28="OFF","OFF","")</f>
        <v/>
      </c>
      <c r="AH47" s="56" t="str">
        <f>IF('⚙ OFF Weekends'!$D$29="OFF","OFF","")</f>
        <v/>
      </c>
      <c r="AI47" s="54" t="str">
        <f>IF('⚙ OFF Weekends'!$D$30="OFF","OFF","")</f>
        <v/>
      </c>
      <c r="AJ47" s="56" t="str">
        <f>IF('⚙ OFF Weekends'!$D$31="OFF","OFF","")</f>
        <v/>
      </c>
      <c r="AK47" s="54" t="str">
        <f>IF('⚙ OFF Weekends'!$D$32="OFF","OFF","")</f>
        <v/>
      </c>
      <c r="AL47" s="56" t="str">
        <f>IF('⚙ OFF Weekends'!$D$33="OFF","OFF","")</f>
        <v/>
      </c>
      <c r="AM47" s="54" t="str">
        <f>IF('⚙ OFF Weekends'!$D$34="OFF","OFF","")</f>
        <v/>
      </c>
      <c r="AN47" s="56" t="str">
        <f>IF('⚙ OFF Weekends'!$D$35="OFF","OFF","")</f>
        <v/>
      </c>
      <c r="AO47" s="54" t="str">
        <f>IF('⚙ OFF Weekends'!$D$36="OFF","OFF","")</f>
        <v/>
      </c>
      <c r="AP47" s="56" t="str">
        <f>IF('⚙ OFF Weekends'!$D$37="OFF","OFF","")</f>
        <v/>
      </c>
      <c r="AQ47" s="54" t="str">
        <f>IF('⚙ OFF Weekends'!$D$38="OFF","OFF","")</f>
        <v/>
      </c>
      <c r="AR47" s="56" t="str">
        <f>IF('⚙ OFF Weekends'!$D$39="OFF","OFF","")</f>
        <v/>
      </c>
      <c r="AS47" s="54" t="str">
        <f>IF('⚙ OFF Weekends'!$D$40="OFF","OFF","")</f>
        <v/>
      </c>
      <c r="AT47" s="56" t="str">
        <f>IF('⚙ OFF Weekends'!$D$41="OFF","OFF","")</f>
        <v/>
      </c>
      <c r="AU47" s="54" t="str">
        <f>IF('⚙ OFF Weekends'!$D$42="OFF","OFF","")</f>
        <v/>
      </c>
      <c r="AV47" s="56" t="str">
        <f>IF('⚙ OFF Weekends'!$D$43="OFF","OFF","")</f>
        <v/>
      </c>
      <c r="AW47" s="54" t="str">
        <f>IF('⚙ OFF Weekends'!$D$44="OFF","OFF","")</f>
        <v/>
      </c>
      <c r="AX47" s="56" t="str">
        <f>IF('⚙ OFF Weekends'!$D$45="OFF","OFF","")</f>
        <v/>
      </c>
      <c r="AY47" s="54" t="str">
        <f>IF('⚙ OFF Weekends'!$D$46="OFF","OFF","")</f>
        <v/>
      </c>
      <c r="AZ47" s="56" t="str">
        <f>IF('⚙ OFF Weekends'!$D$47="OFF","OFF","")</f>
        <v/>
      </c>
      <c r="BA47" s="54" t="str">
        <f>IF('⚙ OFF Weekends'!$D$48="OFF","OFF","")</f>
        <v/>
      </c>
      <c r="BB47" s="56" t="str">
        <f>IF('⚙ OFF Weekends'!$D$49="OFF","OFF","")</f>
        <v/>
      </c>
      <c r="BC47" s="54" t="str">
        <f>IF('⚙ OFF Weekends'!$D$50="OFF","OFF","")</f>
        <v/>
      </c>
      <c r="BD47" s="56" t="str">
        <f>IF('⚙ OFF Weekends'!$D$51="OFF","OFF","")</f>
        <v/>
      </c>
      <c r="BE47" s="54" t="str">
        <f>IF('⚙ OFF Weekends'!$D$52="OFF","OFF","")</f>
        <v/>
      </c>
      <c r="BF47" s="56" t="str">
        <f>IF('⚙ OFF Weekends'!$D$53="OFF","OFF","")</f>
        <v/>
      </c>
      <c r="BG47" s="54" t="str">
        <f>IF('⚙ OFF Weekends'!$D$54="OFF","OFF","")</f>
        <v/>
      </c>
      <c r="BH47" s="56" t="str">
        <f>IF('⚙ OFF Weekends'!$D$55="OFF","OFF","")</f>
        <v/>
      </c>
      <c r="BI47" s="54" t="str">
        <f>IF('⚙ OFF Weekends'!$D$56="OFF","OFF","")</f>
        <v/>
      </c>
      <c r="BJ47" s="56" t="str">
        <f>IF('⚙ OFF Weekends'!$D$57="OFF","OFF","")</f>
        <v/>
      </c>
      <c r="BK47" s="54" t="str">
        <f>IF('⚙ OFF Weekends'!$D$58="OFF","OFF","")</f>
        <v/>
      </c>
      <c r="BL47" s="56" t="str">
        <f>IF('⚙ OFF Weekends'!$D$59="OFF","OFF","")</f>
        <v/>
      </c>
      <c r="BM47" s="54" t="str">
        <f>IF('⚙ OFF Weekends'!$D$60="OFF","OFF","")</f>
        <v/>
      </c>
      <c r="BN47" s="56" t="str">
        <f>IF('⚙ OFF Weekends'!$D$61="OFF","OFF","")</f>
        <v/>
      </c>
      <c r="BO47" s="54" t="str">
        <f>IF('⚙ OFF Weekends'!$D$62="OFF","OFF","")</f>
        <v/>
      </c>
      <c r="BP47" s="56" t="str">
        <f>IF('⚙ OFF Weekends'!$D$63="OFF","OFF","")</f>
        <v/>
      </c>
      <c r="BQ47" s="54" t="str">
        <f>IF('⚙ OFF Weekends'!$D$64="OFF","OFF","")</f>
        <v/>
      </c>
      <c r="BR47" s="56" t="str">
        <f>IF('⚙ OFF Weekends'!$D$65="OFF","OFF","")</f>
        <v/>
      </c>
      <c r="BS47" s="54" t="str">
        <f>IF('⚙ OFF Weekends'!$D$66="OFF","OFF","")</f>
        <v/>
      </c>
      <c r="BT47" s="56" t="str">
        <f>IF('⚙ OFF Weekends'!$D$67="OFF","OFF","")</f>
        <v/>
      </c>
      <c r="BU47" s="54" t="str">
        <f>IF('⚙ OFF Weekends'!$D$68="OFF","OFF","")</f>
        <v/>
      </c>
      <c r="BV47" s="56" t="str">
        <f>IF('⚙ OFF Weekends'!$D$69="OFF","OFF","")</f>
        <v/>
      </c>
      <c r="BW47" s="54" t="str">
        <f>IF('⚙ OFF Weekends'!$D$70="OFF","OFF","")</f>
        <v/>
      </c>
      <c r="BX47" s="56" t="str">
        <f>IF('⚙ OFF Weekends'!$D$71="OFF","OFF","")</f>
        <v/>
      </c>
      <c r="BY47" s="54" t="str">
        <f>IF('⚙ OFF Weekends'!$D$72="OFF","OFF","")</f>
        <v/>
      </c>
      <c r="BZ47" s="56" t="str">
        <f>IF('⚙ OFF Weekends'!$D$73="OFF","OFF","")</f>
        <v/>
      </c>
      <c r="CA47" s="54" t="str">
        <f>IF('⚙ OFF Weekends'!$D$74="OFF","OFF","")</f>
        <v/>
      </c>
      <c r="CB47" s="56" t="str">
        <f>IF('⚙ OFF Weekends'!$D$75="OFF","OFF","")</f>
        <v/>
      </c>
      <c r="CC47" s="54" t="str">
        <f>IF('⚙ OFF Weekends'!$D$76="OFF","OFF","")</f>
        <v/>
      </c>
      <c r="CD47" s="56" t="str">
        <f>IF('⚙ OFF Weekends'!$D$77="OFF","OFF","")</f>
        <v/>
      </c>
      <c r="CE47" s="95">
        <f t="shared" si="15"/>
        <v>1</v>
      </c>
      <c r="CF47" s="95">
        <f t="shared" si="16"/>
        <v>15</v>
      </c>
      <c r="CG47" s="95">
        <f t="shared" si="17"/>
        <v>0</v>
      </c>
      <c r="CH47" s="95" t="str">
        <f t="shared" si="18"/>
        <v>6%</v>
      </c>
    </row>
    <row r="48" ht="18.0" customHeight="1">
      <c r="A48" s="96">
        <v>8.0</v>
      </c>
      <c r="B48" s="22" t="s">
        <v>629</v>
      </c>
      <c r="C48" s="23" t="s">
        <v>630</v>
      </c>
      <c r="D48" s="24" t="str">
        <f t="shared" si="13"/>
        <v>📞 Call</v>
      </c>
      <c r="E48" s="41" t="str">
        <f t="shared" si="14"/>
        <v>💬 WhatsApp</v>
      </c>
      <c r="F48" s="20"/>
      <c r="G48" s="20" t="s">
        <v>525</v>
      </c>
      <c r="H48" s="20"/>
      <c r="I48" s="50" t="s">
        <v>37</v>
      </c>
      <c r="J48" s="79" t="s">
        <v>223</v>
      </c>
      <c r="K48" s="49" t="s">
        <v>197</v>
      </c>
      <c r="L48" s="79" t="s">
        <v>223</v>
      </c>
      <c r="M48" s="48" t="s">
        <v>196</v>
      </c>
      <c r="N48" s="53" t="s">
        <v>223</v>
      </c>
      <c r="O48" s="54" t="str">
        <f>IF('⚙ OFF Weekends'!$D$10="OFF","OFF","")</f>
        <v/>
      </c>
      <c r="P48" s="56" t="str">
        <f>IF('⚙ OFF Weekends'!$D$11="OFF","OFF","")</f>
        <v/>
      </c>
      <c r="Q48" s="52" t="s">
        <v>223</v>
      </c>
      <c r="R48" s="53" t="s">
        <v>223</v>
      </c>
      <c r="S48" s="52" t="s">
        <v>223</v>
      </c>
      <c r="T48" s="53" t="s">
        <v>223</v>
      </c>
      <c r="U48" s="52" t="s">
        <v>223</v>
      </c>
      <c r="V48" s="53" t="s">
        <v>223</v>
      </c>
      <c r="W48" s="54" t="str">
        <f>IF('⚙ OFF Weekends'!$D$18="OFF","OFF","")</f>
        <v>OFF</v>
      </c>
      <c r="X48" s="53" t="s">
        <v>223</v>
      </c>
      <c r="Y48" s="52" t="s">
        <v>223</v>
      </c>
      <c r="Z48" s="53" t="s">
        <v>223</v>
      </c>
      <c r="AA48" s="105" t="s">
        <v>223</v>
      </c>
      <c r="AB48" s="53" t="s">
        <v>223</v>
      </c>
      <c r="AC48" s="54" t="str">
        <f>IF('⚙ OFF Weekends'!$D$24="OFF","OFF","")</f>
        <v/>
      </c>
      <c r="AD48" s="56" t="str">
        <f>IF('⚙ OFF Weekends'!$D$25="OFF","OFF","")</f>
        <v/>
      </c>
      <c r="AE48" s="54" t="str">
        <f>IF('⚙ OFF Weekends'!$D$26="OFF","OFF","")</f>
        <v/>
      </c>
      <c r="AF48" s="56" t="str">
        <f>IF('⚙ OFF Weekends'!$D$27="OFF","OFF","")</f>
        <v/>
      </c>
      <c r="AG48" s="54" t="str">
        <f>IF('⚙ OFF Weekends'!$D$28="OFF","OFF","")</f>
        <v/>
      </c>
      <c r="AH48" s="56" t="str">
        <f>IF('⚙ OFF Weekends'!$D$29="OFF","OFF","")</f>
        <v/>
      </c>
      <c r="AI48" s="54" t="str">
        <f>IF('⚙ OFF Weekends'!$D$30="OFF","OFF","")</f>
        <v/>
      </c>
      <c r="AJ48" s="56" t="str">
        <f>IF('⚙ OFF Weekends'!$D$31="OFF","OFF","")</f>
        <v/>
      </c>
      <c r="AK48" s="54" t="str">
        <f>IF('⚙ OFF Weekends'!$D$32="OFF","OFF","")</f>
        <v/>
      </c>
      <c r="AL48" s="56" t="str">
        <f>IF('⚙ OFF Weekends'!$D$33="OFF","OFF","")</f>
        <v/>
      </c>
      <c r="AM48" s="54" t="str">
        <f>IF('⚙ OFF Weekends'!$D$34="OFF","OFF","")</f>
        <v/>
      </c>
      <c r="AN48" s="56" t="str">
        <f>IF('⚙ OFF Weekends'!$D$35="OFF","OFF","")</f>
        <v/>
      </c>
      <c r="AO48" s="54" t="str">
        <f>IF('⚙ OFF Weekends'!$D$36="OFF","OFF","")</f>
        <v/>
      </c>
      <c r="AP48" s="56" t="str">
        <f>IF('⚙ OFF Weekends'!$D$37="OFF","OFF","")</f>
        <v/>
      </c>
      <c r="AQ48" s="54" t="str">
        <f>IF('⚙ OFF Weekends'!$D$38="OFF","OFF","")</f>
        <v/>
      </c>
      <c r="AR48" s="56" t="str">
        <f>IF('⚙ OFF Weekends'!$D$39="OFF","OFF","")</f>
        <v/>
      </c>
      <c r="AS48" s="54" t="str">
        <f>IF('⚙ OFF Weekends'!$D$40="OFF","OFF","")</f>
        <v/>
      </c>
      <c r="AT48" s="56" t="str">
        <f>IF('⚙ OFF Weekends'!$D$41="OFF","OFF","")</f>
        <v/>
      </c>
      <c r="AU48" s="54" t="str">
        <f>IF('⚙ OFF Weekends'!$D$42="OFF","OFF","")</f>
        <v/>
      </c>
      <c r="AV48" s="56" t="str">
        <f>IF('⚙ OFF Weekends'!$D$43="OFF","OFF","")</f>
        <v/>
      </c>
      <c r="AW48" s="54" t="str">
        <f>IF('⚙ OFF Weekends'!$D$44="OFF","OFF","")</f>
        <v/>
      </c>
      <c r="AX48" s="56" t="str">
        <f>IF('⚙ OFF Weekends'!$D$45="OFF","OFF","")</f>
        <v/>
      </c>
      <c r="AY48" s="54" t="str">
        <f>IF('⚙ OFF Weekends'!$D$46="OFF","OFF","")</f>
        <v/>
      </c>
      <c r="AZ48" s="56" t="str">
        <f>IF('⚙ OFF Weekends'!$D$47="OFF","OFF","")</f>
        <v/>
      </c>
      <c r="BA48" s="54" t="str">
        <f>IF('⚙ OFF Weekends'!$D$48="OFF","OFF","")</f>
        <v/>
      </c>
      <c r="BB48" s="56" t="str">
        <f>IF('⚙ OFF Weekends'!$D$49="OFF","OFF","")</f>
        <v/>
      </c>
      <c r="BC48" s="54" t="str">
        <f>IF('⚙ OFF Weekends'!$D$50="OFF","OFF","")</f>
        <v/>
      </c>
      <c r="BD48" s="56" t="str">
        <f>IF('⚙ OFF Weekends'!$D$51="OFF","OFF","")</f>
        <v/>
      </c>
      <c r="BE48" s="54" t="str">
        <f>IF('⚙ OFF Weekends'!$D$52="OFF","OFF","")</f>
        <v/>
      </c>
      <c r="BF48" s="56" t="str">
        <f>IF('⚙ OFF Weekends'!$D$53="OFF","OFF","")</f>
        <v/>
      </c>
      <c r="BG48" s="54" t="str">
        <f>IF('⚙ OFF Weekends'!$D$54="OFF","OFF","")</f>
        <v/>
      </c>
      <c r="BH48" s="56" t="str">
        <f>IF('⚙ OFF Weekends'!$D$55="OFF","OFF","")</f>
        <v/>
      </c>
      <c r="BI48" s="54" t="str">
        <f>IF('⚙ OFF Weekends'!$D$56="OFF","OFF","")</f>
        <v/>
      </c>
      <c r="BJ48" s="56" t="str">
        <f>IF('⚙ OFF Weekends'!$D$57="OFF","OFF","")</f>
        <v/>
      </c>
      <c r="BK48" s="54" t="str">
        <f>IF('⚙ OFF Weekends'!$D$58="OFF","OFF","")</f>
        <v/>
      </c>
      <c r="BL48" s="56" t="str">
        <f>IF('⚙ OFF Weekends'!$D$59="OFF","OFF","")</f>
        <v/>
      </c>
      <c r="BM48" s="54" t="str">
        <f>IF('⚙ OFF Weekends'!$D$60="OFF","OFF","")</f>
        <v/>
      </c>
      <c r="BN48" s="56" t="str">
        <f>IF('⚙ OFF Weekends'!$D$61="OFF","OFF","")</f>
        <v/>
      </c>
      <c r="BO48" s="54" t="str">
        <f>IF('⚙ OFF Weekends'!$D$62="OFF","OFF","")</f>
        <v/>
      </c>
      <c r="BP48" s="56" t="str">
        <f>IF('⚙ OFF Weekends'!$D$63="OFF","OFF","")</f>
        <v/>
      </c>
      <c r="BQ48" s="54" t="str">
        <f>IF('⚙ OFF Weekends'!$D$64="OFF","OFF","")</f>
        <v/>
      </c>
      <c r="BR48" s="56" t="str">
        <f>IF('⚙ OFF Weekends'!$D$65="OFF","OFF","")</f>
        <v/>
      </c>
      <c r="BS48" s="54" t="str">
        <f>IF('⚙ OFF Weekends'!$D$66="OFF","OFF","")</f>
        <v/>
      </c>
      <c r="BT48" s="56" t="str">
        <f>IF('⚙ OFF Weekends'!$D$67="OFF","OFF","")</f>
        <v/>
      </c>
      <c r="BU48" s="54" t="str">
        <f>IF('⚙ OFF Weekends'!$D$68="OFF","OFF","")</f>
        <v/>
      </c>
      <c r="BV48" s="56" t="str">
        <f>IF('⚙ OFF Weekends'!$D$69="OFF","OFF","")</f>
        <v/>
      </c>
      <c r="BW48" s="54" t="str">
        <f>IF('⚙ OFF Weekends'!$D$70="OFF","OFF","")</f>
        <v/>
      </c>
      <c r="BX48" s="56" t="str">
        <f>IF('⚙ OFF Weekends'!$D$71="OFF","OFF","")</f>
        <v/>
      </c>
      <c r="BY48" s="54" t="str">
        <f>IF('⚙ OFF Weekends'!$D$72="OFF","OFF","")</f>
        <v/>
      </c>
      <c r="BZ48" s="56" t="str">
        <f>IF('⚙ OFF Weekends'!$D$73="OFF","OFF","")</f>
        <v/>
      </c>
      <c r="CA48" s="54" t="str">
        <f>IF('⚙ OFF Weekends'!$D$74="OFF","OFF","")</f>
        <v/>
      </c>
      <c r="CB48" s="56" t="str">
        <f>IF('⚙ OFF Weekends'!$D$75="OFF","OFF","")</f>
        <v/>
      </c>
      <c r="CC48" s="54" t="str">
        <f>IF('⚙ OFF Weekends'!$D$76="OFF","OFF","")</f>
        <v/>
      </c>
      <c r="CD48" s="56" t="str">
        <f>IF('⚙ OFF Weekends'!$D$77="OFF","OFF","")</f>
        <v/>
      </c>
      <c r="CE48" s="96">
        <f t="shared" si="15"/>
        <v>2</v>
      </c>
      <c r="CF48" s="96">
        <f t="shared" si="16"/>
        <v>14</v>
      </c>
      <c r="CG48" s="96">
        <f t="shared" si="17"/>
        <v>0</v>
      </c>
      <c r="CH48" s="96" t="str">
        <f t="shared" si="18"/>
        <v>13%</v>
      </c>
    </row>
    <row r="49" ht="18.0" customHeight="1">
      <c r="A49" s="95">
        <v>9.0</v>
      </c>
      <c r="B49" s="12" t="s">
        <v>632</v>
      </c>
      <c r="C49" s="14" t="s">
        <v>633</v>
      </c>
      <c r="D49" s="17" t="str">
        <f t="shared" si="13"/>
        <v>📞 Call</v>
      </c>
      <c r="E49" s="19" t="str">
        <f t="shared" si="14"/>
        <v>💬 WhatsApp</v>
      </c>
      <c r="F49" s="10"/>
      <c r="G49" s="10" t="s">
        <v>634</v>
      </c>
      <c r="H49" s="10"/>
      <c r="I49" s="50" t="s">
        <v>37</v>
      </c>
      <c r="J49" s="48" t="s">
        <v>196</v>
      </c>
      <c r="K49" s="49" t="s">
        <v>197</v>
      </c>
      <c r="L49" s="79" t="s">
        <v>223</v>
      </c>
      <c r="M49" s="79" t="s">
        <v>223</v>
      </c>
      <c r="N49" s="53" t="s">
        <v>223</v>
      </c>
      <c r="O49" s="54" t="str">
        <f>IF('⚙ OFF Weekends'!$D$10="OFF","OFF","")</f>
        <v/>
      </c>
      <c r="P49" s="56" t="str">
        <f>IF('⚙ OFF Weekends'!$D$11="OFF","OFF","")</f>
        <v/>
      </c>
      <c r="Q49" s="52" t="s">
        <v>223</v>
      </c>
      <c r="R49" s="53" t="s">
        <v>223</v>
      </c>
      <c r="S49" s="52" t="s">
        <v>223</v>
      </c>
      <c r="T49" s="53" t="s">
        <v>223</v>
      </c>
      <c r="U49" s="52" t="s">
        <v>223</v>
      </c>
      <c r="V49" s="53" t="s">
        <v>223</v>
      </c>
      <c r="W49" s="54" t="str">
        <f>IF('⚙ OFF Weekends'!$D$18="OFF","OFF","")</f>
        <v>OFF</v>
      </c>
      <c r="X49" s="53" t="s">
        <v>223</v>
      </c>
      <c r="Y49" s="52" t="s">
        <v>223</v>
      </c>
      <c r="Z49" s="53" t="s">
        <v>223</v>
      </c>
      <c r="AA49" s="105" t="s">
        <v>223</v>
      </c>
      <c r="AB49" s="53" t="s">
        <v>223</v>
      </c>
      <c r="AC49" s="54" t="str">
        <f>IF('⚙ OFF Weekends'!$D$24="OFF","OFF","")</f>
        <v/>
      </c>
      <c r="AD49" s="56" t="str">
        <f>IF('⚙ OFF Weekends'!$D$25="OFF","OFF","")</f>
        <v/>
      </c>
      <c r="AE49" s="54" t="str">
        <f>IF('⚙ OFF Weekends'!$D$26="OFF","OFF","")</f>
        <v/>
      </c>
      <c r="AF49" s="56" t="str">
        <f>IF('⚙ OFF Weekends'!$D$27="OFF","OFF","")</f>
        <v/>
      </c>
      <c r="AG49" s="54" t="str">
        <f>IF('⚙ OFF Weekends'!$D$28="OFF","OFF","")</f>
        <v/>
      </c>
      <c r="AH49" s="56" t="str">
        <f>IF('⚙ OFF Weekends'!$D$29="OFF","OFF","")</f>
        <v/>
      </c>
      <c r="AI49" s="54" t="str">
        <f>IF('⚙ OFF Weekends'!$D$30="OFF","OFF","")</f>
        <v/>
      </c>
      <c r="AJ49" s="56" t="str">
        <f>IF('⚙ OFF Weekends'!$D$31="OFF","OFF","")</f>
        <v/>
      </c>
      <c r="AK49" s="54" t="str">
        <f>IF('⚙ OFF Weekends'!$D$32="OFF","OFF","")</f>
        <v/>
      </c>
      <c r="AL49" s="56" t="str">
        <f>IF('⚙ OFF Weekends'!$D$33="OFF","OFF","")</f>
        <v/>
      </c>
      <c r="AM49" s="54" t="str">
        <f>IF('⚙ OFF Weekends'!$D$34="OFF","OFF","")</f>
        <v/>
      </c>
      <c r="AN49" s="56" t="str">
        <f>IF('⚙ OFF Weekends'!$D$35="OFF","OFF","")</f>
        <v/>
      </c>
      <c r="AO49" s="54" t="str">
        <f>IF('⚙ OFF Weekends'!$D$36="OFF","OFF","")</f>
        <v/>
      </c>
      <c r="AP49" s="56" t="str">
        <f>IF('⚙ OFF Weekends'!$D$37="OFF","OFF","")</f>
        <v/>
      </c>
      <c r="AQ49" s="54" t="str">
        <f>IF('⚙ OFF Weekends'!$D$38="OFF","OFF","")</f>
        <v/>
      </c>
      <c r="AR49" s="56" t="str">
        <f>IF('⚙ OFF Weekends'!$D$39="OFF","OFF","")</f>
        <v/>
      </c>
      <c r="AS49" s="54" t="str">
        <f>IF('⚙ OFF Weekends'!$D$40="OFF","OFF","")</f>
        <v/>
      </c>
      <c r="AT49" s="56" t="str">
        <f>IF('⚙ OFF Weekends'!$D$41="OFF","OFF","")</f>
        <v/>
      </c>
      <c r="AU49" s="54" t="str">
        <f>IF('⚙ OFF Weekends'!$D$42="OFF","OFF","")</f>
        <v/>
      </c>
      <c r="AV49" s="56" t="str">
        <f>IF('⚙ OFF Weekends'!$D$43="OFF","OFF","")</f>
        <v/>
      </c>
      <c r="AW49" s="54" t="str">
        <f>IF('⚙ OFF Weekends'!$D$44="OFF","OFF","")</f>
        <v/>
      </c>
      <c r="AX49" s="56" t="str">
        <f>IF('⚙ OFF Weekends'!$D$45="OFF","OFF","")</f>
        <v/>
      </c>
      <c r="AY49" s="54" t="str">
        <f>IF('⚙ OFF Weekends'!$D$46="OFF","OFF","")</f>
        <v/>
      </c>
      <c r="AZ49" s="56" t="str">
        <f>IF('⚙ OFF Weekends'!$D$47="OFF","OFF","")</f>
        <v/>
      </c>
      <c r="BA49" s="54" t="str">
        <f>IF('⚙ OFF Weekends'!$D$48="OFF","OFF","")</f>
        <v/>
      </c>
      <c r="BB49" s="56" t="str">
        <f>IF('⚙ OFF Weekends'!$D$49="OFF","OFF","")</f>
        <v/>
      </c>
      <c r="BC49" s="54" t="str">
        <f>IF('⚙ OFF Weekends'!$D$50="OFF","OFF","")</f>
        <v/>
      </c>
      <c r="BD49" s="56" t="str">
        <f>IF('⚙ OFF Weekends'!$D$51="OFF","OFF","")</f>
        <v/>
      </c>
      <c r="BE49" s="54" t="str">
        <f>IF('⚙ OFF Weekends'!$D$52="OFF","OFF","")</f>
        <v/>
      </c>
      <c r="BF49" s="56" t="str">
        <f>IF('⚙ OFF Weekends'!$D$53="OFF","OFF","")</f>
        <v/>
      </c>
      <c r="BG49" s="54" t="str">
        <f>IF('⚙ OFF Weekends'!$D$54="OFF","OFF","")</f>
        <v/>
      </c>
      <c r="BH49" s="56" t="str">
        <f>IF('⚙ OFF Weekends'!$D$55="OFF","OFF","")</f>
        <v/>
      </c>
      <c r="BI49" s="54" t="str">
        <f>IF('⚙ OFF Weekends'!$D$56="OFF","OFF","")</f>
        <v/>
      </c>
      <c r="BJ49" s="56" t="str">
        <f>IF('⚙ OFF Weekends'!$D$57="OFF","OFF","")</f>
        <v/>
      </c>
      <c r="BK49" s="54" t="str">
        <f>IF('⚙ OFF Weekends'!$D$58="OFF","OFF","")</f>
        <v/>
      </c>
      <c r="BL49" s="56" t="str">
        <f>IF('⚙ OFF Weekends'!$D$59="OFF","OFF","")</f>
        <v/>
      </c>
      <c r="BM49" s="54" t="str">
        <f>IF('⚙ OFF Weekends'!$D$60="OFF","OFF","")</f>
        <v/>
      </c>
      <c r="BN49" s="56" t="str">
        <f>IF('⚙ OFF Weekends'!$D$61="OFF","OFF","")</f>
        <v/>
      </c>
      <c r="BO49" s="54" t="str">
        <f>IF('⚙ OFF Weekends'!$D$62="OFF","OFF","")</f>
        <v/>
      </c>
      <c r="BP49" s="56" t="str">
        <f>IF('⚙ OFF Weekends'!$D$63="OFF","OFF","")</f>
        <v/>
      </c>
      <c r="BQ49" s="54" t="str">
        <f>IF('⚙ OFF Weekends'!$D$64="OFF","OFF","")</f>
        <v/>
      </c>
      <c r="BR49" s="56" t="str">
        <f>IF('⚙ OFF Weekends'!$D$65="OFF","OFF","")</f>
        <v/>
      </c>
      <c r="BS49" s="54" t="str">
        <f>IF('⚙ OFF Weekends'!$D$66="OFF","OFF","")</f>
        <v/>
      </c>
      <c r="BT49" s="56" t="str">
        <f>IF('⚙ OFF Weekends'!$D$67="OFF","OFF","")</f>
        <v/>
      </c>
      <c r="BU49" s="54" t="str">
        <f>IF('⚙ OFF Weekends'!$D$68="OFF","OFF","")</f>
        <v/>
      </c>
      <c r="BV49" s="56" t="str">
        <f>IF('⚙ OFF Weekends'!$D$69="OFF","OFF","")</f>
        <v/>
      </c>
      <c r="BW49" s="54" t="str">
        <f>IF('⚙ OFF Weekends'!$D$70="OFF","OFF","")</f>
        <v/>
      </c>
      <c r="BX49" s="56" t="str">
        <f>IF('⚙ OFF Weekends'!$D$71="OFF","OFF","")</f>
        <v/>
      </c>
      <c r="BY49" s="54" t="str">
        <f>IF('⚙ OFF Weekends'!$D$72="OFF","OFF","")</f>
        <v/>
      </c>
      <c r="BZ49" s="56" t="str">
        <f>IF('⚙ OFF Weekends'!$D$73="OFF","OFF","")</f>
        <v/>
      </c>
      <c r="CA49" s="54" t="str">
        <f>IF('⚙ OFF Weekends'!$D$74="OFF","OFF","")</f>
        <v/>
      </c>
      <c r="CB49" s="56" t="str">
        <f>IF('⚙ OFF Weekends'!$D$75="OFF","OFF","")</f>
        <v/>
      </c>
      <c r="CC49" s="54" t="str">
        <f>IF('⚙ OFF Weekends'!$D$76="OFF","OFF","")</f>
        <v/>
      </c>
      <c r="CD49" s="56" t="str">
        <f>IF('⚙ OFF Weekends'!$D$77="OFF","OFF","")</f>
        <v/>
      </c>
      <c r="CE49" s="95">
        <f t="shared" si="15"/>
        <v>2</v>
      </c>
      <c r="CF49" s="95">
        <f t="shared" si="16"/>
        <v>14</v>
      </c>
      <c r="CG49" s="95">
        <f t="shared" si="17"/>
        <v>0</v>
      </c>
      <c r="CH49" s="95" t="str">
        <f t="shared" si="18"/>
        <v>13%</v>
      </c>
    </row>
    <row r="50" ht="18.0" customHeight="1">
      <c r="A50" s="96">
        <v>10.0</v>
      </c>
      <c r="B50" s="22" t="s">
        <v>636</v>
      </c>
      <c r="C50" s="23" t="s">
        <v>637</v>
      </c>
      <c r="D50" s="24" t="str">
        <f t="shared" si="13"/>
        <v>📞 Call</v>
      </c>
      <c r="E50" s="41" t="str">
        <f t="shared" si="14"/>
        <v>💬 WhatsApp</v>
      </c>
      <c r="F50" s="20"/>
      <c r="G50" s="20" t="s">
        <v>638</v>
      </c>
      <c r="H50" s="20" t="s">
        <v>518</v>
      </c>
      <c r="I50" s="50" t="s">
        <v>37</v>
      </c>
      <c r="J50" s="48" t="s">
        <v>196</v>
      </c>
      <c r="K50" s="49" t="s">
        <v>197</v>
      </c>
      <c r="L50" s="50" t="s">
        <v>37</v>
      </c>
      <c r="M50" s="79" t="s">
        <v>223</v>
      </c>
      <c r="N50" s="53" t="s">
        <v>223</v>
      </c>
      <c r="O50" s="54" t="str">
        <f>IF('⚙ OFF Weekends'!$D$10="OFF","OFF","")</f>
        <v/>
      </c>
      <c r="P50" s="56" t="str">
        <f>IF('⚙ OFF Weekends'!$D$11="OFF","OFF","")</f>
        <v/>
      </c>
      <c r="Q50" s="50" t="s">
        <v>37</v>
      </c>
      <c r="R50" s="53" t="s">
        <v>223</v>
      </c>
      <c r="S50" s="52" t="s">
        <v>37</v>
      </c>
      <c r="T50" s="98" t="s">
        <v>196</v>
      </c>
      <c r="U50" s="52" t="s">
        <v>37</v>
      </c>
      <c r="V50" s="53" t="s">
        <v>37</v>
      </c>
      <c r="W50" s="54" t="str">
        <f>IF('⚙ OFF Weekends'!$D$18="OFF","OFF","")</f>
        <v>OFF</v>
      </c>
      <c r="X50" s="53" t="s">
        <v>223</v>
      </c>
      <c r="Y50" s="52" t="s">
        <v>223</v>
      </c>
      <c r="Z50" s="53" t="s">
        <v>223</v>
      </c>
      <c r="AA50" s="105" t="s">
        <v>223</v>
      </c>
      <c r="AB50" s="53" t="s">
        <v>223</v>
      </c>
      <c r="AC50" s="54" t="str">
        <f>IF('⚙ OFF Weekends'!$D$24="OFF","OFF","")</f>
        <v/>
      </c>
      <c r="AD50" s="56" t="str">
        <f>IF('⚙ OFF Weekends'!$D$25="OFF","OFF","")</f>
        <v/>
      </c>
      <c r="AE50" s="54" t="str">
        <f>IF('⚙ OFF Weekends'!$D$26="OFF","OFF","")</f>
        <v/>
      </c>
      <c r="AF50" s="56" t="str">
        <f>IF('⚙ OFF Weekends'!$D$27="OFF","OFF","")</f>
        <v/>
      </c>
      <c r="AG50" s="54" t="str">
        <f>IF('⚙ OFF Weekends'!$D$28="OFF","OFF","")</f>
        <v/>
      </c>
      <c r="AH50" s="56" t="str">
        <f>IF('⚙ OFF Weekends'!$D$29="OFF","OFF","")</f>
        <v/>
      </c>
      <c r="AI50" s="54" t="str">
        <f>IF('⚙ OFF Weekends'!$D$30="OFF","OFF","")</f>
        <v/>
      </c>
      <c r="AJ50" s="56" t="str">
        <f>IF('⚙ OFF Weekends'!$D$31="OFF","OFF","")</f>
        <v/>
      </c>
      <c r="AK50" s="54" t="str">
        <f>IF('⚙ OFF Weekends'!$D$32="OFF","OFF","")</f>
        <v/>
      </c>
      <c r="AL50" s="56" t="str">
        <f>IF('⚙ OFF Weekends'!$D$33="OFF","OFF","")</f>
        <v/>
      </c>
      <c r="AM50" s="54" t="str">
        <f>IF('⚙ OFF Weekends'!$D$34="OFF","OFF","")</f>
        <v/>
      </c>
      <c r="AN50" s="56" t="str">
        <f>IF('⚙ OFF Weekends'!$D$35="OFF","OFF","")</f>
        <v/>
      </c>
      <c r="AO50" s="54" t="str">
        <f>IF('⚙ OFF Weekends'!$D$36="OFF","OFF","")</f>
        <v/>
      </c>
      <c r="AP50" s="56" t="str">
        <f>IF('⚙ OFF Weekends'!$D$37="OFF","OFF","")</f>
        <v/>
      </c>
      <c r="AQ50" s="54" t="str">
        <f>IF('⚙ OFF Weekends'!$D$38="OFF","OFF","")</f>
        <v/>
      </c>
      <c r="AR50" s="56" t="str">
        <f>IF('⚙ OFF Weekends'!$D$39="OFF","OFF","")</f>
        <v/>
      </c>
      <c r="AS50" s="54" t="str">
        <f>IF('⚙ OFF Weekends'!$D$40="OFF","OFF","")</f>
        <v/>
      </c>
      <c r="AT50" s="56" t="str">
        <f>IF('⚙ OFF Weekends'!$D$41="OFF","OFF","")</f>
        <v/>
      </c>
      <c r="AU50" s="54" t="str">
        <f>IF('⚙ OFF Weekends'!$D$42="OFF","OFF","")</f>
        <v/>
      </c>
      <c r="AV50" s="56" t="str">
        <f>IF('⚙ OFF Weekends'!$D$43="OFF","OFF","")</f>
        <v/>
      </c>
      <c r="AW50" s="54" t="str">
        <f>IF('⚙ OFF Weekends'!$D$44="OFF","OFF","")</f>
        <v/>
      </c>
      <c r="AX50" s="56" t="str">
        <f>IF('⚙ OFF Weekends'!$D$45="OFF","OFF","")</f>
        <v/>
      </c>
      <c r="AY50" s="54" t="str">
        <f>IF('⚙ OFF Weekends'!$D$46="OFF","OFF","")</f>
        <v/>
      </c>
      <c r="AZ50" s="56" t="str">
        <f>IF('⚙ OFF Weekends'!$D$47="OFF","OFF","")</f>
        <v/>
      </c>
      <c r="BA50" s="54" t="str">
        <f>IF('⚙ OFF Weekends'!$D$48="OFF","OFF","")</f>
        <v/>
      </c>
      <c r="BB50" s="56" t="str">
        <f>IF('⚙ OFF Weekends'!$D$49="OFF","OFF","")</f>
        <v/>
      </c>
      <c r="BC50" s="54" t="str">
        <f>IF('⚙ OFF Weekends'!$D$50="OFF","OFF","")</f>
        <v/>
      </c>
      <c r="BD50" s="56" t="str">
        <f>IF('⚙ OFF Weekends'!$D$51="OFF","OFF","")</f>
        <v/>
      </c>
      <c r="BE50" s="54" t="str">
        <f>IF('⚙ OFF Weekends'!$D$52="OFF","OFF","")</f>
        <v/>
      </c>
      <c r="BF50" s="56" t="str">
        <f>IF('⚙ OFF Weekends'!$D$53="OFF","OFF","")</f>
        <v/>
      </c>
      <c r="BG50" s="54" t="str">
        <f>IF('⚙ OFF Weekends'!$D$54="OFF","OFF","")</f>
        <v/>
      </c>
      <c r="BH50" s="56" t="str">
        <f>IF('⚙ OFF Weekends'!$D$55="OFF","OFF","")</f>
        <v/>
      </c>
      <c r="BI50" s="54" t="str">
        <f>IF('⚙ OFF Weekends'!$D$56="OFF","OFF","")</f>
        <v/>
      </c>
      <c r="BJ50" s="56" t="str">
        <f>IF('⚙ OFF Weekends'!$D$57="OFF","OFF","")</f>
        <v/>
      </c>
      <c r="BK50" s="54" t="str">
        <f>IF('⚙ OFF Weekends'!$D$58="OFF","OFF","")</f>
        <v/>
      </c>
      <c r="BL50" s="56" t="str">
        <f>IF('⚙ OFF Weekends'!$D$59="OFF","OFF","")</f>
        <v/>
      </c>
      <c r="BM50" s="54" t="str">
        <f>IF('⚙ OFF Weekends'!$D$60="OFF","OFF","")</f>
        <v/>
      </c>
      <c r="BN50" s="56" t="str">
        <f>IF('⚙ OFF Weekends'!$D$61="OFF","OFF","")</f>
        <v/>
      </c>
      <c r="BO50" s="54" t="str">
        <f>IF('⚙ OFF Weekends'!$D$62="OFF","OFF","")</f>
        <v/>
      </c>
      <c r="BP50" s="56" t="str">
        <f>IF('⚙ OFF Weekends'!$D$63="OFF","OFF","")</f>
        <v/>
      </c>
      <c r="BQ50" s="54" t="str">
        <f>IF('⚙ OFF Weekends'!$D$64="OFF","OFF","")</f>
        <v/>
      </c>
      <c r="BR50" s="56" t="str">
        <f>IF('⚙ OFF Weekends'!$D$65="OFF","OFF","")</f>
        <v/>
      </c>
      <c r="BS50" s="54" t="str">
        <f>IF('⚙ OFF Weekends'!$D$66="OFF","OFF","")</f>
        <v/>
      </c>
      <c r="BT50" s="56" t="str">
        <f>IF('⚙ OFF Weekends'!$D$67="OFF","OFF","")</f>
        <v/>
      </c>
      <c r="BU50" s="54" t="str">
        <f>IF('⚙ OFF Weekends'!$D$68="OFF","OFF","")</f>
        <v/>
      </c>
      <c r="BV50" s="56" t="str">
        <f>IF('⚙ OFF Weekends'!$D$69="OFF","OFF","")</f>
        <v/>
      </c>
      <c r="BW50" s="54" t="str">
        <f>IF('⚙ OFF Weekends'!$D$70="OFF","OFF","")</f>
        <v/>
      </c>
      <c r="BX50" s="56" t="str">
        <f>IF('⚙ OFF Weekends'!$D$71="OFF","OFF","")</f>
        <v/>
      </c>
      <c r="BY50" s="54" t="str">
        <f>IF('⚙ OFF Weekends'!$D$72="OFF","OFF","")</f>
        <v/>
      </c>
      <c r="BZ50" s="56" t="str">
        <f>IF('⚙ OFF Weekends'!$D$73="OFF","OFF","")</f>
        <v/>
      </c>
      <c r="CA50" s="54" t="str">
        <f>IF('⚙ OFF Weekends'!$D$74="OFF","OFF","")</f>
        <v/>
      </c>
      <c r="CB50" s="56" t="str">
        <f>IF('⚙ OFF Weekends'!$D$75="OFF","OFF","")</f>
        <v/>
      </c>
      <c r="CC50" s="54" t="str">
        <f>IF('⚙ OFF Weekends'!$D$76="OFF","OFF","")</f>
        <v/>
      </c>
      <c r="CD50" s="56" t="str">
        <f>IF('⚙ OFF Weekends'!$D$77="OFF","OFF","")</f>
        <v/>
      </c>
      <c r="CE50" s="96">
        <f t="shared" si="15"/>
        <v>8</v>
      </c>
      <c r="CF50" s="96">
        <f t="shared" si="16"/>
        <v>8</v>
      </c>
      <c r="CG50" s="96">
        <f t="shared" si="17"/>
        <v>0</v>
      </c>
      <c r="CH50" s="96" t="str">
        <f t="shared" si="18"/>
        <v>50%</v>
      </c>
    </row>
    <row r="51" ht="18.0" customHeight="1">
      <c r="A51" s="95">
        <v>11.0</v>
      </c>
      <c r="B51" s="12" t="s">
        <v>639</v>
      </c>
      <c r="C51" s="14" t="s">
        <v>640</v>
      </c>
      <c r="D51" s="17" t="str">
        <f t="shared" si="13"/>
        <v>📞 Call</v>
      </c>
      <c r="E51" s="19" t="str">
        <f t="shared" si="14"/>
        <v>💬 WhatsApp</v>
      </c>
      <c r="F51" s="10"/>
      <c r="G51" s="10" t="s">
        <v>641</v>
      </c>
      <c r="H51" s="10" t="s">
        <v>299</v>
      </c>
      <c r="I51" s="79" t="s">
        <v>223</v>
      </c>
      <c r="J51" s="79" t="s">
        <v>223</v>
      </c>
      <c r="K51" s="49" t="s">
        <v>197</v>
      </c>
      <c r="L51" s="79" t="s">
        <v>223</v>
      </c>
      <c r="M51" s="79" t="s">
        <v>223</v>
      </c>
      <c r="N51" s="53" t="s">
        <v>223</v>
      </c>
      <c r="O51" s="54" t="str">
        <f>IF('⚙ OFF Weekends'!$D$10="OFF","OFF","")</f>
        <v/>
      </c>
      <c r="P51" s="56" t="str">
        <f>IF('⚙ OFF Weekends'!$D$11="OFF","OFF","")</f>
        <v/>
      </c>
      <c r="Q51" s="52" t="s">
        <v>223</v>
      </c>
      <c r="R51" s="53" t="s">
        <v>223</v>
      </c>
      <c r="S51" s="52" t="s">
        <v>223</v>
      </c>
      <c r="T51" s="53" t="s">
        <v>223</v>
      </c>
      <c r="U51" s="52" t="s">
        <v>223</v>
      </c>
      <c r="V51" s="53" t="s">
        <v>223</v>
      </c>
      <c r="W51" s="54" t="str">
        <f>IF('⚙ OFF Weekends'!$D$18="OFF","OFF","")</f>
        <v>OFF</v>
      </c>
      <c r="X51" s="53" t="s">
        <v>223</v>
      </c>
      <c r="Y51" s="52" t="s">
        <v>223</v>
      </c>
      <c r="Z51" s="53" t="s">
        <v>223</v>
      </c>
      <c r="AA51" s="105" t="s">
        <v>223</v>
      </c>
      <c r="AB51" s="53" t="s">
        <v>223</v>
      </c>
      <c r="AC51" s="54" t="str">
        <f>IF('⚙ OFF Weekends'!$D$24="OFF","OFF","")</f>
        <v/>
      </c>
      <c r="AD51" s="56" t="str">
        <f>IF('⚙ OFF Weekends'!$D$25="OFF","OFF","")</f>
        <v/>
      </c>
      <c r="AE51" s="54" t="str">
        <f>IF('⚙ OFF Weekends'!$D$26="OFF","OFF","")</f>
        <v/>
      </c>
      <c r="AF51" s="56" t="str">
        <f>IF('⚙ OFF Weekends'!$D$27="OFF","OFF","")</f>
        <v/>
      </c>
      <c r="AG51" s="54" t="str">
        <f>IF('⚙ OFF Weekends'!$D$28="OFF","OFF","")</f>
        <v/>
      </c>
      <c r="AH51" s="56" t="str">
        <f>IF('⚙ OFF Weekends'!$D$29="OFF","OFF","")</f>
        <v/>
      </c>
      <c r="AI51" s="54" t="str">
        <f>IF('⚙ OFF Weekends'!$D$30="OFF","OFF","")</f>
        <v/>
      </c>
      <c r="AJ51" s="56" t="str">
        <f>IF('⚙ OFF Weekends'!$D$31="OFF","OFF","")</f>
        <v/>
      </c>
      <c r="AK51" s="54" t="str">
        <f>IF('⚙ OFF Weekends'!$D$32="OFF","OFF","")</f>
        <v/>
      </c>
      <c r="AL51" s="56" t="str">
        <f>IF('⚙ OFF Weekends'!$D$33="OFF","OFF","")</f>
        <v/>
      </c>
      <c r="AM51" s="54" t="str">
        <f>IF('⚙ OFF Weekends'!$D$34="OFF","OFF","")</f>
        <v/>
      </c>
      <c r="AN51" s="56" t="str">
        <f>IF('⚙ OFF Weekends'!$D$35="OFF","OFF","")</f>
        <v/>
      </c>
      <c r="AO51" s="54" t="str">
        <f>IF('⚙ OFF Weekends'!$D$36="OFF","OFF","")</f>
        <v/>
      </c>
      <c r="AP51" s="56" t="str">
        <f>IF('⚙ OFF Weekends'!$D$37="OFF","OFF","")</f>
        <v/>
      </c>
      <c r="AQ51" s="54" t="str">
        <f>IF('⚙ OFF Weekends'!$D$38="OFF","OFF","")</f>
        <v/>
      </c>
      <c r="AR51" s="56" t="str">
        <f>IF('⚙ OFF Weekends'!$D$39="OFF","OFF","")</f>
        <v/>
      </c>
      <c r="AS51" s="54" t="str">
        <f>IF('⚙ OFF Weekends'!$D$40="OFF","OFF","")</f>
        <v/>
      </c>
      <c r="AT51" s="56" t="str">
        <f>IF('⚙ OFF Weekends'!$D$41="OFF","OFF","")</f>
        <v/>
      </c>
      <c r="AU51" s="54" t="str">
        <f>IF('⚙ OFF Weekends'!$D$42="OFF","OFF","")</f>
        <v/>
      </c>
      <c r="AV51" s="56" t="str">
        <f>IF('⚙ OFF Weekends'!$D$43="OFF","OFF","")</f>
        <v/>
      </c>
      <c r="AW51" s="54" t="str">
        <f>IF('⚙ OFF Weekends'!$D$44="OFF","OFF","")</f>
        <v/>
      </c>
      <c r="AX51" s="56" t="str">
        <f>IF('⚙ OFF Weekends'!$D$45="OFF","OFF","")</f>
        <v/>
      </c>
      <c r="AY51" s="54" t="str">
        <f>IF('⚙ OFF Weekends'!$D$46="OFF","OFF","")</f>
        <v/>
      </c>
      <c r="AZ51" s="56" t="str">
        <f>IF('⚙ OFF Weekends'!$D$47="OFF","OFF","")</f>
        <v/>
      </c>
      <c r="BA51" s="54" t="str">
        <f>IF('⚙ OFF Weekends'!$D$48="OFF","OFF","")</f>
        <v/>
      </c>
      <c r="BB51" s="56" t="str">
        <f>IF('⚙ OFF Weekends'!$D$49="OFF","OFF","")</f>
        <v/>
      </c>
      <c r="BC51" s="54" t="str">
        <f>IF('⚙ OFF Weekends'!$D$50="OFF","OFF","")</f>
        <v/>
      </c>
      <c r="BD51" s="56" t="str">
        <f>IF('⚙ OFF Weekends'!$D$51="OFF","OFF","")</f>
        <v/>
      </c>
      <c r="BE51" s="54" t="str">
        <f>IF('⚙ OFF Weekends'!$D$52="OFF","OFF","")</f>
        <v/>
      </c>
      <c r="BF51" s="56" t="str">
        <f>IF('⚙ OFF Weekends'!$D$53="OFF","OFF","")</f>
        <v/>
      </c>
      <c r="BG51" s="54" t="str">
        <f>IF('⚙ OFF Weekends'!$D$54="OFF","OFF","")</f>
        <v/>
      </c>
      <c r="BH51" s="56" t="str">
        <f>IF('⚙ OFF Weekends'!$D$55="OFF","OFF","")</f>
        <v/>
      </c>
      <c r="BI51" s="54" t="str">
        <f>IF('⚙ OFF Weekends'!$D$56="OFF","OFF","")</f>
        <v/>
      </c>
      <c r="BJ51" s="56" t="str">
        <f>IF('⚙ OFF Weekends'!$D$57="OFF","OFF","")</f>
        <v/>
      </c>
      <c r="BK51" s="54" t="str">
        <f>IF('⚙ OFF Weekends'!$D$58="OFF","OFF","")</f>
        <v/>
      </c>
      <c r="BL51" s="56" t="str">
        <f>IF('⚙ OFF Weekends'!$D$59="OFF","OFF","")</f>
        <v/>
      </c>
      <c r="BM51" s="54" t="str">
        <f>IF('⚙ OFF Weekends'!$D$60="OFF","OFF","")</f>
        <v/>
      </c>
      <c r="BN51" s="56" t="str">
        <f>IF('⚙ OFF Weekends'!$D$61="OFF","OFF","")</f>
        <v/>
      </c>
      <c r="BO51" s="54" t="str">
        <f>IF('⚙ OFF Weekends'!$D$62="OFF","OFF","")</f>
        <v/>
      </c>
      <c r="BP51" s="56" t="str">
        <f>IF('⚙ OFF Weekends'!$D$63="OFF","OFF","")</f>
        <v/>
      </c>
      <c r="BQ51" s="54" t="str">
        <f>IF('⚙ OFF Weekends'!$D$64="OFF","OFF","")</f>
        <v/>
      </c>
      <c r="BR51" s="56" t="str">
        <f>IF('⚙ OFF Weekends'!$D$65="OFF","OFF","")</f>
        <v/>
      </c>
      <c r="BS51" s="54" t="str">
        <f>IF('⚙ OFF Weekends'!$D$66="OFF","OFF","")</f>
        <v/>
      </c>
      <c r="BT51" s="56" t="str">
        <f>IF('⚙ OFF Weekends'!$D$67="OFF","OFF","")</f>
        <v/>
      </c>
      <c r="BU51" s="54" t="str">
        <f>IF('⚙ OFF Weekends'!$D$68="OFF","OFF","")</f>
        <v/>
      </c>
      <c r="BV51" s="56" t="str">
        <f>IF('⚙ OFF Weekends'!$D$69="OFF","OFF","")</f>
        <v/>
      </c>
      <c r="BW51" s="54" t="str">
        <f>IF('⚙ OFF Weekends'!$D$70="OFF","OFF","")</f>
        <v/>
      </c>
      <c r="BX51" s="56" t="str">
        <f>IF('⚙ OFF Weekends'!$D$71="OFF","OFF","")</f>
        <v/>
      </c>
      <c r="BY51" s="54" t="str">
        <f>IF('⚙ OFF Weekends'!$D$72="OFF","OFF","")</f>
        <v/>
      </c>
      <c r="BZ51" s="56" t="str">
        <f>IF('⚙ OFF Weekends'!$D$73="OFF","OFF","")</f>
        <v/>
      </c>
      <c r="CA51" s="54" t="str">
        <f>IF('⚙ OFF Weekends'!$D$74="OFF","OFF","")</f>
        <v/>
      </c>
      <c r="CB51" s="56" t="str">
        <f>IF('⚙ OFF Weekends'!$D$75="OFF","OFF","")</f>
        <v/>
      </c>
      <c r="CC51" s="54" t="str">
        <f>IF('⚙ OFF Weekends'!$D$76="OFF","OFF","")</f>
        <v/>
      </c>
      <c r="CD51" s="56" t="str">
        <f>IF('⚙ OFF Weekends'!$D$77="OFF","OFF","")</f>
        <v/>
      </c>
      <c r="CE51" s="95">
        <f t="shared" si="15"/>
        <v>0</v>
      </c>
      <c r="CF51" s="95">
        <f t="shared" si="16"/>
        <v>16</v>
      </c>
      <c r="CG51" s="95">
        <f t="shared" si="17"/>
        <v>0</v>
      </c>
      <c r="CH51" s="95" t="str">
        <f t="shared" si="18"/>
        <v>0%</v>
      </c>
    </row>
    <row r="52" ht="18.0" customHeight="1">
      <c r="A52" s="96">
        <v>12.0</v>
      </c>
      <c r="B52" s="22" t="s">
        <v>643</v>
      </c>
      <c r="C52" s="23"/>
      <c r="D52" s="24" t="str">
        <f t="shared" si="13"/>
        <v/>
      </c>
      <c r="E52" s="26" t="str">
        <f t="shared" si="14"/>
        <v/>
      </c>
      <c r="F52" s="20"/>
      <c r="G52" s="20"/>
      <c r="H52" s="20"/>
      <c r="I52" s="79" t="s">
        <v>223</v>
      </c>
      <c r="J52" s="79" t="s">
        <v>223</v>
      </c>
      <c r="K52" s="49" t="s">
        <v>197</v>
      </c>
      <c r="L52" s="50" t="s">
        <v>37</v>
      </c>
      <c r="M52" s="79" t="s">
        <v>223</v>
      </c>
      <c r="N52" s="53" t="s">
        <v>223</v>
      </c>
      <c r="O52" s="54" t="str">
        <f>IF('⚙ OFF Weekends'!$D$10="OFF","OFF","")</f>
        <v/>
      </c>
      <c r="P52" s="56" t="str">
        <f>IF('⚙ OFF Weekends'!$D$11="OFF","OFF","")</f>
        <v/>
      </c>
      <c r="Q52" s="52" t="s">
        <v>223</v>
      </c>
      <c r="R52" s="53" t="s">
        <v>223</v>
      </c>
      <c r="S52" s="52" t="s">
        <v>223</v>
      </c>
      <c r="T52" s="53" t="s">
        <v>223</v>
      </c>
      <c r="U52" s="52" t="s">
        <v>223</v>
      </c>
      <c r="V52" s="53" t="s">
        <v>223</v>
      </c>
      <c r="W52" s="54" t="str">
        <f>IF('⚙ OFF Weekends'!$D$18="OFF","OFF","")</f>
        <v>OFF</v>
      </c>
      <c r="X52" s="53" t="s">
        <v>223</v>
      </c>
      <c r="Y52" s="52" t="s">
        <v>223</v>
      </c>
      <c r="Z52" s="53" t="s">
        <v>223</v>
      </c>
      <c r="AA52" s="105" t="s">
        <v>223</v>
      </c>
      <c r="AB52" s="53" t="s">
        <v>223</v>
      </c>
      <c r="AC52" s="54" t="str">
        <f>IF('⚙ OFF Weekends'!$D$24="OFF","OFF","")</f>
        <v/>
      </c>
      <c r="AD52" s="56" t="str">
        <f>IF('⚙ OFF Weekends'!$D$25="OFF","OFF","")</f>
        <v/>
      </c>
      <c r="AE52" s="54" t="str">
        <f>IF('⚙ OFF Weekends'!$D$26="OFF","OFF","")</f>
        <v/>
      </c>
      <c r="AF52" s="56" t="str">
        <f>IF('⚙ OFF Weekends'!$D$27="OFF","OFF","")</f>
        <v/>
      </c>
      <c r="AG52" s="54" t="str">
        <f>IF('⚙ OFF Weekends'!$D$28="OFF","OFF","")</f>
        <v/>
      </c>
      <c r="AH52" s="56" t="str">
        <f>IF('⚙ OFF Weekends'!$D$29="OFF","OFF","")</f>
        <v/>
      </c>
      <c r="AI52" s="54" t="str">
        <f>IF('⚙ OFF Weekends'!$D$30="OFF","OFF","")</f>
        <v/>
      </c>
      <c r="AJ52" s="56" t="str">
        <f>IF('⚙ OFF Weekends'!$D$31="OFF","OFF","")</f>
        <v/>
      </c>
      <c r="AK52" s="54" t="str">
        <f>IF('⚙ OFF Weekends'!$D$32="OFF","OFF","")</f>
        <v/>
      </c>
      <c r="AL52" s="56" t="str">
        <f>IF('⚙ OFF Weekends'!$D$33="OFF","OFF","")</f>
        <v/>
      </c>
      <c r="AM52" s="54" t="str">
        <f>IF('⚙ OFF Weekends'!$D$34="OFF","OFF","")</f>
        <v/>
      </c>
      <c r="AN52" s="56" t="str">
        <f>IF('⚙ OFF Weekends'!$D$35="OFF","OFF","")</f>
        <v/>
      </c>
      <c r="AO52" s="54" t="str">
        <f>IF('⚙ OFF Weekends'!$D$36="OFF","OFF","")</f>
        <v/>
      </c>
      <c r="AP52" s="56" t="str">
        <f>IF('⚙ OFF Weekends'!$D$37="OFF","OFF","")</f>
        <v/>
      </c>
      <c r="AQ52" s="54" t="str">
        <f>IF('⚙ OFF Weekends'!$D$38="OFF","OFF","")</f>
        <v/>
      </c>
      <c r="AR52" s="56" t="str">
        <f>IF('⚙ OFF Weekends'!$D$39="OFF","OFF","")</f>
        <v/>
      </c>
      <c r="AS52" s="54" t="str">
        <f>IF('⚙ OFF Weekends'!$D$40="OFF","OFF","")</f>
        <v/>
      </c>
      <c r="AT52" s="56" t="str">
        <f>IF('⚙ OFF Weekends'!$D$41="OFF","OFF","")</f>
        <v/>
      </c>
      <c r="AU52" s="54" t="str">
        <f>IF('⚙ OFF Weekends'!$D$42="OFF","OFF","")</f>
        <v/>
      </c>
      <c r="AV52" s="56" t="str">
        <f>IF('⚙ OFF Weekends'!$D$43="OFF","OFF","")</f>
        <v/>
      </c>
      <c r="AW52" s="54" t="str">
        <f>IF('⚙ OFF Weekends'!$D$44="OFF","OFF","")</f>
        <v/>
      </c>
      <c r="AX52" s="56" t="str">
        <f>IF('⚙ OFF Weekends'!$D$45="OFF","OFF","")</f>
        <v/>
      </c>
      <c r="AY52" s="54" t="str">
        <f>IF('⚙ OFF Weekends'!$D$46="OFF","OFF","")</f>
        <v/>
      </c>
      <c r="AZ52" s="56" t="str">
        <f>IF('⚙ OFF Weekends'!$D$47="OFF","OFF","")</f>
        <v/>
      </c>
      <c r="BA52" s="54" t="str">
        <f>IF('⚙ OFF Weekends'!$D$48="OFF","OFF","")</f>
        <v/>
      </c>
      <c r="BB52" s="56" t="str">
        <f>IF('⚙ OFF Weekends'!$D$49="OFF","OFF","")</f>
        <v/>
      </c>
      <c r="BC52" s="54" t="str">
        <f>IF('⚙ OFF Weekends'!$D$50="OFF","OFF","")</f>
        <v/>
      </c>
      <c r="BD52" s="56" t="str">
        <f>IF('⚙ OFF Weekends'!$D$51="OFF","OFF","")</f>
        <v/>
      </c>
      <c r="BE52" s="54" t="str">
        <f>IF('⚙ OFF Weekends'!$D$52="OFF","OFF","")</f>
        <v/>
      </c>
      <c r="BF52" s="56" t="str">
        <f>IF('⚙ OFF Weekends'!$D$53="OFF","OFF","")</f>
        <v/>
      </c>
      <c r="BG52" s="54" t="str">
        <f>IF('⚙ OFF Weekends'!$D$54="OFF","OFF","")</f>
        <v/>
      </c>
      <c r="BH52" s="56" t="str">
        <f>IF('⚙ OFF Weekends'!$D$55="OFF","OFF","")</f>
        <v/>
      </c>
      <c r="BI52" s="54" t="str">
        <f>IF('⚙ OFF Weekends'!$D$56="OFF","OFF","")</f>
        <v/>
      </c>
      <c r="BJ52" s="56" t="str">
        <f>IF('⚙ OFF Weekends'!$D$57="OFF","OFF","")</f>
        <v/>
      </c>
      <c r="BK52" s="54" t="str">
        <f>IF('⚙ OFF Weekends'!$D$58="OFF","OFF","")</f>
        <v/>
      </c>
      <c r="BL52" s="56" t="str">
        <f>IF('⚙ OFF Weekends'!$D$59="OFF","OFF","")</f>
        <v/>
      </c>
      <c r="BM52" s="54" t="str">
        <f>IF('⚙ OFF Weekends'!$D$60="OFF","OFF","")</f>
        <v/>
      </c>
      <c r="BN52" s="56" t="str">
        <f>IF('⚙ OFF Weekends'!$D$61="OFF","OFF","")</f>
        <v/>
      </c>
      <c r="BO52" s="54" t="str">
        <f>IF('⚙ OFF Weekends'!$D$62="OFF","OFF","")</f>
        <v/>
      </c>
      <c r="BP52" s="56" t="str">
        <f>IF('⚙ OFF Weekends'!$D$63="OFF","OFF","")</f>
        <v/>
      </c>
      <c r="BQ52" s="54" t="str">
        <f>IF('⚙ OFF Weekends'!$D$64="OFF","OFF","")</f>
        <v/>
      </c>
      <c r="BR52" s="56" t="str">
        <f>IF('⚙ OFF Weekends'!$D$65="OFF","OFF","")</f>
        <v/>
      </c>
      <c r="BS52" s="54" t="str">
        <f>IF('⚙ OFF Weekends'!$D$66="OFF","OFF","")</f>
        <v/>
      </c>
      <c r="BT52" s="56" t="str">
        <f>IF('⚙ OFF Weekends'!$D$67="OFF","OFF","")</f>
        <v/>
      </c>
      <c r="BU52" s="54" t="str">
        <f>IF('⚙ OFF Weekends'!$D$68="OFF","OFF","")</f>
        <v/>
      </c>
      <c r="BV52" s="56" t="str">
        <f>IF('⚙ OFF Weekends'!$D$69="OFF","OFF","")</f>
        <v/>
      </c>
      <c r="BW52" s="54" t="str">
        <f>IF('⚙ OFF Weekends'!$D$70="OFF","OFF","")</f>
        <v/>
      </c>
      <c r="BX52" s="56" t="str">
        <f>IF('⚙ OFF Weekends'!$D$71="OFF","OFF","")</f>
        <v/>
      </c>
      <c r="BY52" s="54" t="str">
        <f>IF('⚙ OFF Weekends'!$D$72="OFF","OFF","")</f>
        <v/>
      </c>
      <c r="BZ52" s="56" t="str">
        <f>IF('⚙ OFF Weekends'!$D$73="OFF","OFF","")</f>
        <v/>
      </c>
      <c r="CA52" s="54" t="str">
        <f>IF('⚙ OFF Weekends'!$D$74="OFF","OFF","")</f>
        <v/>
      </c>
      <c r="CB52" s="56" t="str">
        <f>IF('⚙ OFF Weekends'!$D$75="OFF","OFF","")</f>
        <v/>
      </c>
      <c r="CC52" s="54" t="str">
        <f>IF('⚙ OFF Weekends'!$D$76="OFF","OFF","")</f>
        <v/>
      </c>
      <c r="CD52" s="56" t="str">
        <f>IF('⚙ OFF Weekends'!$D$77="OFF","OFF","")</f>
        <v/>
      </c>
      <c r="CE52" s="96">
        <f t="shared" si="15"/>
        <v>1</v>
      </c>
      <c r="CF52" s="96">
        <f t="shared" si="16"/>
        <v>15</v>
      </c>
      <c r="CG52" s="96">
        <f t="shared" si="17"/>
        <v>0</v>
      </c>
      <c r="CH52" s="96" t="str">
        <f t="shared" si="18"/>
        <v>6%</v>
      </c>
    </row>
    <row r="53" ht="18.0" customHeight="1">
      <c r="A53" s="95">
        <v>13.0</v>
      </c>
      <c r="B53" s="12" t="s">
        <v>645</v>
      </c>
      <c r="C53" s="14"/>
      <c r="D53" s="17" t="str">
        <f t="shared" si="13"/>
        <v/>
      </c>
      <c r="E53" s="28" t="str">
        <f t="shared" si="14"/>
        <v/>
      </c>
      <c r="F53" s="10"/>
      <c r="G53" s="10"/>
      <c r="H53" s="10"/>
      <c r="I53" s="79" t="s">
        <v>223</v>
      </c>
      <c r="J53" s="79" t="s">
        <v>223</v>
      </c>
      <c r="K53" s="49" t="s">
        <v>197</v>
      </c>
      <c r="L53" s="50" t="s">
        <v>37</v>
      </c>
      <c r="M53" s="79" t="s">
        <v>223</v>
      </c>
      <c r="N53" s="53" t="s">
        <v>223</v>
      </c>
      <c r="O53" s="54" t="str">
        <f>IF('⚙ OFF Weekends'!$D$10="OFF","OFF","")</f>
        <v/>
      </c>
      <c r="P53" s="56" t="str">
        <f>IF('⚙ OFF Weekends'!$D$11="OFF","OFF","")</f>
        <v/>
      </c>
      <c r="Q53" s="48" t="s">
        <v>196</v>
      </c>
      <c r="R53" s="53" t="s">
        <v>223</v>
      </c>
      <c r="S53" s="52" t="s">
        <v>37</v>
      </c>
      <c r="T53" s="98" t="s">
        <v>196</v>
      </c>
      <c r="U53" s="52" t="s">
        <v>37</v>
      </c>
      <c r="V53" s="53" t="s">
        <v>223</v>
      </c>
      <c r="W53" s="54" t="str">
        <f>IF('⚙ OFF Weekends'!$D$18="OFF","OFF","")</f>
        <v>OFF</v>
      </c>
      <c r="X53" s="53" t="s">
        <v>196</v>
      </c>
      <c r="Y53" s="52" t="s">
        <v>223</v>
      </c>
      <c r="Z53" s="53" t="s">
        <v>223</v>
      </c>
      <c r="AA53" s="105" t="s">
        <v>196</v>
      </c>
      <c r="AB53" s="53" t="s">
        <v>37</v>
      </c>
      <c r="AC53" s="54" t="str">
        <f>IF('⚙ OFF Weekends'!$D$24="OFF","OFF","")</f>
        <v/>
      </c>
      <c r="AD53" s="56" t="str">
        <f>IF('⚙ OFF Weekends'!$D$25="OFF","OFF","")</f>
        <v/>
      </c>
      <c r="AE53" s="54" t="str">
        <f>IF('⚙ OFF Weekends'!$D$26="OFF","OFF","")</f>
        <v/>
      </c>
      <c r="AF53" s="56" t="str">
        <f>IF('⚙ OFF Weekends'!$D$27="OFF","OFF","")</f>
        <v/>
      </c>
      <c r="AG53" s="54" t="str">
        <f>IF('⚙ OFF Weekends'!$D$28="OFF","OFF","")</f>
        <v/>
      </c>
      <c r="AH53" s="56" t="str">
        <f>IF('⚙ OFF Weekends'!$D$29="OFF","OFF","")</f>
        <v/>
      </c>
      <c r="AI53" s="54" t="str">
        <f>IF('⚙ OFF Weekends'!$D$30="OFF","OFF","")</f>
        <v/>
      </c>
      <c r="AJ53" s="56" t="str">
        <f>IF('⚙ OFF Weekends'!$D$31="OFF","OFF","")</f>
        <v/>
      </c>
      <c r="AK53" s="54" t="str">
        <f>IF('⚙ OFF Weekends'!$D$32="OFF","OFF","")</f>
        <v/>
      </c>
      <c r="AL53" s="56" t="str">
        <f>IF('⚙ OFF Weekends'!$D$33="OFF","OFF","")</f>
        <v/>
      </c>
      <c r="AM53" s="54" t="str">
        <f>IF('⚙ OFF Weekends'!$D$34="OFF","OFF","")</f>
        <v/>
      </c>
      <c r="AN53" s="56" t="str">
        <f>IF('⚙ OFF Weekends'!$D$35="OFF","OFF","")</f>
        <v/>
      </c>
      <c r="AO53" s="54" t="str">
        <f>IF('⚙ OFF Weekends'!$D$36="OFF","OFF","")</f>
        <v/>
      </c>
      <c r="AP53" s="56" t="str">
        <f>IF('⚙ OFF Weekends'!$D$37="OFF","OFF","")</f>
        <v/>
      </c>
      <c r="AQ53" s="54" t="str">
        <f>IF('⚙ OFF Weekends'!$D$38="OFF","OFF","")</f>
        <v/>
      </c>
      <c r="AR53" s="56" t="str">
        <f>IF('⚙ OFF Weekends'!$D$39="OFF","OFF","")</f>
        <v/>
      </c>
      <c r="AS53" s="54" t="str">
        <f>IF('⚙ OFF Weekends'!$D$40="OFF","OFF","")</f>
        <v/>
      </c>
      <c r="AT53" s="56" t="str">
        <f>IF('⚙ OFF Weekends'!$D$41="OFF","OFF","")</f>
        <v/>
      </c>
      <c r="AU53" s="54" t="str">
        <f>IF('⚙ OFF Weekends'!$D$42="OFF","OFF","")</f>
        <v/>
      </c>
      <c r="AV53" s="56" t="str">
        <f>IF('⚙ OFF Weekends'!$D$43="OFF","OFF","")</f>
        <v/>
      </c>
      <c r="AW53" s="54" t="str">
        <f>IF('⚙ OFF Weekends'!$D$44="OFF","OFF","")</f>
        <v/>
      </c>
      <c r="AX53" s="56" t="str">
        <f>IF('⚙ OFF Weekends'!$D$45="OFF","OFF","")</f>
        <v/>
      </c>
      <c r="AY53" s="54" t="str">
        <f>IF('⚙ OFF Weekends'!$D$46="OFF","OFF","")</f>
        <v/>
      </c>
      <c r="AZ53" s="56" t="str">
        <f>IF('⚙ OFF Weekends'!$D$47="OFF","OFF","")</f>
        <v/>
      </c>
      <c r="BA53" s="54" t="str">
        <f>IF('⚙ OFF Weekends'!$D$48="OFF","OFF","")</f>
        <v/>
      </c>
      <c r="BB53" s="56" t="str">
        <f>IF('⚙ OFF Weekends'!$D$49="OFF","OFF","")</f>
        <v/>
      </c>
      <c r="BC53" s="54" t="str">
        <f>IF('⚙ OFF Weekends'!$D$50="OFF","OFF","")</f>
        <v/>
      </c>
      <c r="BD53" s="56" t="str">
        <f>IF('⚙ OFF Weekends'!$D$51="OFF","OFF","")</f>
        <v/>
      </c>
      <c r="BE53" s="54" t="str">
        <f>IF('⚙ OFF Weekends'!$D$52="OFF","OFF","")</f>
        <v/>
      </c>
      <c r="BF53" s="56" t="str">
        <f>IF('⚙ OFF Weekends'!$D$53="OFF","OFF","")</f>
        <v/>
      </c>
      <c r="BG53" s="54" t="str">
        <f>IF('⚙ OFF Weekends'!$D$54="OFF","OFF","")</f>
        <v/>
      </c>
      <c r="BH53" s="56" t="str">
        <f>IF('⚙ OFF Weekends'!$D$55="OFF","OFF","")</f>
        <v/>
      </c>
      <c r="BI53" s="54" t="str">
        <f>IF('⚙ OFF Weekends'!$D$56="OFF","OFF","")</f>
        <v/>
      </c>
      <c r="BJ53" s="56" t="str">
        <f>IF('⚙ OFF Weekends'!$D$57="OFF","OFF","")</f>
        <v/>
      </c>
      <c r="BK53" s="54" t="str">
        <f>IF('⚙ OFF Weekends'!$D$58="OFF","OFF","")</f>
        <v/>
      </c>
      <c r="BL53" s="56" t="str">
        <f>IF('⚙ OFF Weekends'!$D$59="OFF","OFF","")</f>
        <v/>
      </c>
      <c r="BM53" s="54" t="str">
        <f>IF('⚙ OFF Weekends'!$D$60="OFF","OFF","")</f>
        <v/>
      </c>
      <c r="BN53" s="56" t="str">
        <f>IF('⚙ OFF Weekends'!$D$61="OFF","OFF","")</f>
        <v/>
      </c>
      <c r="BO53" s="54" t="str">
        <f>IF('⚙ OFF Weekends'!$D$62="OFF","OFF","")</f>
        <v/>
      </c>
      <c r="BP53" s="56" t="str">
        <f>IF('⚙ OFF Weekends'!$D$63="OFF","OFF","")</f>
        <v/>
      </c>
      <c r="BQ53" s="54" t="str">
        <f>IF('⚙ OFF Weekends'!$D$64="OFF","OFF","")</f>
        <v/>
      </c>
      <c r="BR53" s="56" t="str">
        <f>IF('⚙ OFF Weekends'!$D$65="OFF","OFF","")</f>
        <v/>
      </c>
      <c r="BS53" s="54" t="str">
        <f>IF('⚙ OFF Weekends'!$D$66="OFF","OFF","")</f>
        <v/>
      </c>
      <c r="BT53" s="56" t="str">
        <f>IF('⚙ OFF Weekends'!$D$67="OFF","OFF","")</f>
        <v/>
      </c>
      <c r="BU53" s="54" t="str">
        <f>IF('⚙ OFF Weekends'!$D$68="OFF","OFF","")</f>
        <v/>
      </c>
      <c r="BV53" s="56" t="str">
        <f>IF('⚙ OFF Weekends'!$D$69="OFF","OFF","")</f>
        <v/>
      </c>
      <c r="BW53" s="54" t="str">
        <f>IF('⚙ OFF Weekends'!$D$70="OFF","OFF","")</f>
        <v/>
      </c>
      <c r="BX53" s="56" t="str">
        <f>IF('⚙ OFF Weekends'!$D$71="OFF","OFF","")</f>
        <v/>
      </c>
      <c r="BY53" s="54" t="str">
        <f>IF('⚙ OFF Weekends'!$D$72="OFF","OFF","")</f>
        <v/>
      </c>
      <c r="BZ53" s="56" t="str">
        <f>IF('⚙ OFF Weekends'!$D$73="OFF","OFF","")</f>
        <v/>
      </c>
      <c r="CA53" s="54" t="str">
        <f>IF('⚙ OFF Weekends'!$D$74="OFF","OFF","")</f>
        <v/>
      </c>
      <c r="CB53" s="56" t="str">
        <f>IF('⚙ OFF Weekends'!$D$75="OFF","OFF","")</f>
        <v/>
      </c>
      <c r="CC53" s="54" t="str">
        <f>IF('⚙ OFF Weekends'!$D$76="OFF","OFF","")</f>
        <v/>
      </c>
      <c r="CD53" s="56" t="str">
        <f>IF('⚙ OFF Weekends'!$D$77="OFF","OFF","")</f>
        <v/>
      </c>
      <c r="CE53" s="95">
        <f t="shared" si="15"/>
        <v>8</v>
      </c>
      <c r="CF53" s="95">
        <f t="shared" si="16"/>
        <v>8</v>
      </c>
      <c r="CG53" s="95">
        <f t="shared" si="17"/>
        <v>0</v>
      </c>
      <c r="CH53" s="95" t="str">
        <f t="shared" si="18"/>
        <v>50%</v>
      </c>
    </row>
    <row r="54" ht="18.0" customHeight="1">
      <c r="A54" s="96">
        <v>14.0</v>
      </c>
      <c r="B54" s="22" t="s">
        <v>648</v>
      </c>
      <c r="C54" s="23"/>
      <c r="D54" s="24" t="str">
        <f t="shared" si="13"/>
        <v/>
      </c>
      <c r="E54" s="26" t="str">
        <f t="shared" si="14"/>
        <v/>
      </c>
      <c r="F54" s="20"/>
      <c r="G54" s="20"/>
      <c r="H54" s="20"/>
      <c r="I54" s="50" t="s">
        <v>37</v>
      </c>
      <c r="J54" s="79" t="s">
        <v>223</v>
      </c>
      <c r="K54" s="49" t="s">
        <v>197</v>
      </c>
      <c r="L54" s="79" t="s">
        <v>223</v>
      </c>
      <c r="M54" s="48" t="s">
        <v>196</v>
      </c>
      <c r="N54" s="50" t="s">
        <v>37</v>
      </c>
      <c r="O54" s="54" t="str">
        <f>IF('⚙ OFF Weekends'!$D$10="OFF","OFF","")</f>
        <v/>
      </c>
      <c r="P54" s="56" t="str">
        <f>IF('⚙ OFF Weekends'!$D$11="OFF","OFF","")</f>
        <v/>
      </c>
      <c r="Q54" s="79" t="s">
        <v>223</v>
      </c>
      <c r="R54" s="53" t="s">
        <v>223</v>
      </c>
      <c r="S54" s="52" t="s">
        <v>196</v>
      </c>
      <c r="T54" s="98" t="s">
        <v>196</v>
      </c>
      <c r="U54" s="52" t="s">
        <v>198</v>
      </c>
      <c r="V54" s="53" t="s">
        <v>198</v>
      </c>
      <c r="W54" s="54" t="str">
        <f>IF('⚙ OFF Weekends'!$D$18="OFF","OFF","")</f>
        <v>OFF</v>
      </c>
      <c r="X54" s="53" t="s">
        <v>223</v>
      </c>
      <c r="Y54" s="52" t="s">
        <v>223</v>
      </c>
      <c r="Z54" s="53" t="s">
        <v>223</v>
      </c>
      <c r="AA54" s="105" t="s">
        <v>223</v>
      </c>
      <c r="AB54" s="53" t="s">
        <v>223</v>
      </c>
      <c r="AC54" s="54" t="str">
        <f>IF('⚙ OFF Weekends'!$D$24="OFF","OFF","")</f>
        <v/>
      </c>
      <c r="AD54" s="56" t="str">
        <f>IF('⚙ OFF Weekends'!$D$25="OFF","OFF","")</f>
        <v/>
      </c>
      <c r="AE54" s="54" t="str">
        <f>IF('⚙ OFF Weekends'!$D$26="OFF","OFF","")</f>
        <v/>
      </c>
      <c r="AF54" s="56" t="str">
        <f>IF('⚙ OFF Weekends'!$D$27="OFF","OFF","")</f>
        <v/>
      </c>
      <c r="AG54" s="54" t="str">
        <f>IF('⚙ OFF Weekends'!$D$28="OFF","OFF","")</f>
        <v/>
      </c>
      <c r="AH54" s="56" t="str">
        <f>IF('⚙ OFF Weekends'!$D$29="OFF","OFF","")</f>
        <v/>
      </c>
      <c r="AI54" s="54" t="str">
        <f>IF('⚙ OFF Weekends'!$D$30="OFF","OFF","")</f>
        <v/>
      </c>
      <c r="AJ54" s="56" t="str">
        <f>IF('⚙ OFF Weekends'!$D$31="OFF","OFF","")</f>
        <v/>
      </c>
      <c r="AK54" s="54" t="str">
        <f>IF('⚙ OFF Weekends'!$D$32="OFF","OFF","")</f>
        <v/>
      </c>
      <c r="AL54" s="56" t="str">
        <f>IF('⚙ OFF Weekends'!$D$33="OFF","OFF","")</f>
        <v/>
      </c>
      <c r="AM54" s="54" t="str">
        <f>IF('⚙ OFF Weekends'!$D$34="OFF","OFF","")</f>
        <v/>
      </c>
      <c r="AN54" s="56" t="str">
        <f>IF('⚙ OFF Weekends'!$D$35="OFF","OFF","")</f>
        <v/>
      </c>
      <c r="AO54" s="54" t="str">
        <f>IF('⚙ OFF Weekends'!$D$36="OFF","OFF","")</f>
        <v/>
      </c>
      <c r="AP54" s="56" t="str">
        <f>IF('⚙ OFF Weekends'!$D$37="OFF","OFF","")</f>
        <v/>
      </c>
      <c r="AQ54" s="54" t="str">
        <f>IF('⚙ OFF Weekends'!$D$38="OFF","OFF","")</f>
        <v/>
      </c>
      <c r="AR54" s="56" t="str">
        <f>IF('⚙ OFF Weekends'!$D$39="OFF","OFF","")</f>
        <v/>
      </c>
      <c r="AS54" s="54" t="str">
        <f>IF('⚙ OFF Weekends'!$D$40="OFF","OFF","")</f>
        <v/>
      </c>
      <c r="AT54" s="56" t="str">
        <f>IF('⚙ OFF Weekends'!$D$41="OFF","OFF","")</f>
        <v/>
      </c>
      <c r="AU54" s="54" t="str">
        <f>IF('⚙ OFF Weekends'!$D$42="OFF","OFF","")</f>
        <v/>
      </c>
      <c r="AV54" s="56" t="str">
        <f>IF('⚙ OFF Weekends'!$D$43="OFF","OFF","")</f>
        <v/>
      </c>
      <c r="AW54" s="54" t="str">
        <f>IF('⚙ OFF Weekends'!$D$44="OFF","OFF","")</f>
        <v/>
      </c>
      <c r="AX54" s="56" t="str">
        <f>IF('⚙ OFF Weekends'!$D$45="OFF","OFF","")</f>
        <v/>
      </c>
      <c r="AY54" s="54" t="str">
        <f>IF('⚙ OFF Weekends'!$D$46="OFF","OFF","")</f>
        <v/>
      </c>
      <c r="AZ54" s="56" t="str">
        <f>IF('⚙ OFF Weekends'!$D$47="OFF","OFF","")</f>
        <v/>
      </c>
      <c r="BA54" s="54" t="str">
        <f>IF('⚙ OFF Weekends'!$D$48="OFF","OFF","")</f>
        <v/>
      </c>
      <c r="BB54" s="56" t="str">
        <f>IF('⚙ OFF Weekends'!$D$49="OFF","OFF","")</f>
        <v/>
      </c>
      <c r="BC54" s="54" t="str">
        <f>IF('⚙ OFF Weekends'!$D$50="OFF","OFF","")</f>
        <v/>
      </c>
      <c r="BD54" s="56" t="str">
        <f>IF('⚙ OFF Weekends'!$D$51="OFF","OFF","")</f>
        <v/>
      </c>
      <c r="BE54" s="54" t="str">
        <f>IF('⚙ OFF Weekends'!$D$52="OFF","OFF","")</f>
        <v/>
      </c>
      <c r="BF54" s="56" t="str">
        <f>IF('⚙ OFF Weekends'!$D$53="OFF","OFF","")</f>
        <v/>
      </c>
      <c r="BG54" s="54" t="str">
        <f>IF('⚙ OFF Weekends'!$D$54="OFF","OFF","")</f>
        <v/>
      </c>
      <c r="BH54" s="56" t="str">
        <f>IF('⚙ OFF Weekends'!$D$55="OFF","OFF","")</f>
        <v/>
      </c>
      <c r="BI54" s="54" t="str">
        <f>IF('⚙ OFF Weekends'!$D$56="OFF","OFF","")</f>
        <v/>
      </c>
      <c r="BJ54" s="56" t="str">
        <f>IF('⚙ OFF Weekends'!$D$57="OFF","OFF","")</f>
        <v/>
      </c>
      <c r="BK54" s="54" t="str">
        <f>IF('⚙ OFF Weekends'!$D$58="OFF","OFF","")</f>
        <v/>
      </c>
      <c r="BL54" s="56" t="str">
        <f>IF('⚙ OFF Weekends'!$D$59="OFF","OFF","")</f>
        <v/>
      </c>
      <c r="BM54" s="54" t="str">
        <f>IF('⚙ OFF Weekends'!$D$60="OFF","OFF","")</f>
        <v/>
      </c>
      <c r="BN54" s="56" t="str">
        <f>IF('⚙ OFF Weekends'!$D$61="OFF","OFF","")</f>
        <v/>
      </c>
      <c r="BO54" s="54" t="str">
        <f>IF('⚙ OFF Weekends'!$D$62="OFF","OFF","")</f>
        <v/>
      </c>
      <c r="BP54" s="56" t="str">
        <f>IF('⚙ OFF Weekends'!$D$63="OFF","OFF","")</f>
        <v/>
      </c>
      <c r="BQ54" s="54" t="str">
        <f>IF('⚙ OFF Weekends'!$D$64="OFF","OFF","")</f>
        <v/>
      </c>
      <c r="BR54" s="56" t="str">
        <f>IF('⚙ OFF Weekends'!$D$65="OFF","OFF","")</f>
        <v/>
      </c>
      <c r="BS54" s="54" t="str">
        <f>IF('⚙ OFF Weekends'!$D$66="OFF","OFF","")</f>
        <v/>
      </c>
      <c r="BT54" s="56" t="str">
        <f>IF('⚙ OFF Weekends'!$D$67="OFF","OFF","")</f>
        <v/>
      </c>
      <c r="BU54" s="54" t="str">
        <f>IF('⚙ OFF Weekends'!$D$68="OFF","OFF","")</f>
        <v/>
      </c>
      <c r="BV54" s="56" t="str">
        <f>IF('⚙ OFF Weekends'!$D$69="OFF","OFF","")</f>
        <v/>
      </c>
      <c r="BW54" s="54" t="str">
        <f>IF('⚙ OFF Weekends'!$D$70="OFF","OFF","")</f>
        <v/>
      </c>
      <c r="BX54" s="56" t="str">
        <f>IF('⚙ OFF Weekends'!$D$71="OFF","OFF","")</f>
        <v/>
      </c>
      <c r="BY54" s="54" t="str">
        <f>IF('⚙ OFF Weekends'!$D$72="OFF","OFF","")</f>
        <v/>
      </c>
      <c r="BZ54" s="56" t="str">
        <f>IF('⚙ OFF Weekends'!$D$73="OFF","OFF","")</f>
        <v/>
      </c>
      <c r="CA54" s="54" t="str">
        <f>IF('⚙ OFF Weekends'!$D$74="OFF","OFF","")</f>
        <v/>
      </c>
      <c r="CB54" s="56" t="str">
        <f>IF('⚙ OFF Weekends'!$D$75="OFF","OFF","")</f>
        <v/>
      </c>
      <c r="CC54" s="54" t="str">
        <f>IF('⚙ OFF Weekends'!$D$76="OFF","OFF","")</f>
        <v/>
      </c>
      <c r="CD54" s="56" t="str">
        <f>IF('⚙ OFF Weekends'!$D$77="OFF","OFF","")</f>
        <v/>
      </c>
      <c r="CE54" s="96">
        <f t="shared" si="15"/>
        <v>5</v>
      </c>
      <c r="CF54" s="96">
        <f t="shared" si="16"/>
        <v>9</v>
      </c>
      <c r="CG54" s="96">
        <f t="shared" si="17"/>
        <v>2</v>
      </c>
      <c r="CH54" s="96" t="str">
        <f t="shared" si="18"/>
        <v>36%</v>
      </c>
    </row>
    <row r="55" ht="18.0" customHeight="1">
      <c r="A55" s="95">
        <v>15.0</v>
      </c>
      <c r="B55" s="12" t="s">
        <v>649</v>
      </c>
      <c r="C55" s="14"/>
      <c r="D55" s="17" t="str">
        <f t="shared" si="13"/>
        <v/>
      </c>
      <c r="E55" s="28" t="str">
        <f t="shared" si="14"/>
        <v/>
      </c>
      <c r="F55" s="10"/>
      <c r="G55" s="10"/>
      <c r="H55" s="10"/>
      <c r="I55" s="54" t="str">
        <f>IF('⚙ OFF Weekends'!$D$4="OFF","OFF","")</f>
        <v/>
      </c>
      <c r="J55" s="56" t="str">
        <f>IF('⚙ OFF Weekends'!$D$5="OFF","OFF","")</f>
        <v/>
      </c>
      <c r="K55" s="54" t="str">
        <f>IF('⚙ OFF Weekends'!$D$6="OFF","OFF","")</f>
        <v/>
      </c>
      <c r="L55" s="56" t="str">
        <f>IF('⚙ OFF Weekends'!$D$7="OFF","OFF","")</f>
        <v/>
      </c>
      <c r="M55" s="54" t="str">
        <f>IF('⚙ OFF Weekends'!$D$8="OFF","OFF","")</f>
        <v/>
      </c>
      <c r="N55" s="53" t="s">
        <v>223</v>
      </c>
      <c r="O55" s="54" t="str">
        <f>IF('⚙ OFF Weekends'!$D$10="OFF","OFF","")</f>
        <v/>
      </c>
      <c r="P55" s="56" t="str">
        <f>IF('⚙ OFF Weekends'!$D$11="OFF","OFF","")</f>
        <v/>
      </c>
      <c r="Q55" s="52" t="s">
        <v>223</v>
      </c>
      <c r="R55" s="50" t="s">
        <v>37</v>
      </c>
      <c r="S55" s="52" t="s">
        <v>223</v>
      </c>
      <c r="T55" s="98" t="s">
        <v>196</v>
      </c>
      <c r="U55" s="52" t="s">
        <v>37</v>
      </c>
      <c r="V55" s="53" t="s">
        <v>196</v>
      </c>
      <c r="W55" s="54" t="str">
        <f>IF('⚙ OFF Weekends'!$D$18="OFF","OFF","")</f>
        <v>OFF</v>
      </c>
      <c r="X55" s="53" t="s">
        <v>196</v>
      </c>
      <c r="Y55" s="52" t="s">
        <v>198</v>
      </c>
      <c r="Z55" s="53" t="s">
        <v>37</v>
      </c>
      <c r="AA55" s="105" t="s">
        <v>223</v>
      </c>
      <c r="AB55" s="53" t="s">
        <v>223</v>
      </c>
      <c r="AC55" s="54" t="str">
        <f>IF('⚙ OFF Weekends'!$D$24="OFF","OFF","")</f>
        <v/>
      </c>
      <c r="AD55" s="56" t="str">
        <f>IF('⚙ OFF Weekends'!$D$25="OFF","OFF","")</f>
        <v/>
      </c>
      <c r="AE55" s="54" t="str">
        <f>IF('⚙ OFF Weekends'!$D$26="OFF","OFF","")</f>
        <v/>
      </c>
      <c r="AF55" s="56" t="str">
        <f>IF('⚙ OFF Weekends'!$D$27="OFF","OFF","")</f>
        <v/>
      </c>
      <c r="AG55" s="54" t="str">
        <f>IF('⚙ OFF Weekends'!$D$28="OFF","OFF","")</f>
        <v/>
      </c>
      <c r="AH55" s="56" t="str">
        <f>IF('⚙ OFF Weekends'!$D$29="OFF","OFF","")</f>
        <v/>
      </c>
      <c r="AI55" s="54" t="str">
        <f>IF('⚙ OFF Weekends'!$D$30="OFF","OFF","")</f>
        <v/>
      </c>
      <c r="AJ55" s="56" t="str">
        <f>IF('⚙ OFF Weekends'!$D$31="OFF","OFF","")</f>
        <v/>
      </c>
      <c r="AK55" s="54" t="str">
        <f>IF('⚙ OFF Weekends'!$D$32="OFF","OFF","")</f>
        <v/>
      </c>
      <c r="AL55" s="56" t="str">
        <f>IF('⚙ OFF Weekends'!$D$33="OFF","OFF","")</f>
        <v/>
      </c>
      <c r="AM55" s="54" t="str">
        <f>IF('⚙ OFF Weekends'!$D$34="OFF","OFF","")</f>
        <v/>
      </c>
      <c r="AN55" s="56" t="str">
        <f>IF('⚙ OFF Weekends'!$D$35="OFF","OFF","")</f>
        <v/>
      </c>
      <c r="AO55" s="54" t="str">
        <f>IF('⚙ OFF Weekends'!$D$36="OFF","OFF","")</f>
        <v/>
      </c>
      <c r="AP55" s="56" t="str">
        <f>IF('⚙ OFF Weekends'!$D$37="OFF","OFF","")</f>
        <v/>
      </c>
      <c r="AQ55" s="54" t="str">
        <f>IF('⚙ OFF Weekends'!$D$38="OFF","OFF","")</f>
        <v/>
      </c>
      <c r="AR55" s="56" t="str">
        <f>IF('⚙ OFF Weekends'!$D$39="OFF","OFF","")</f>
        <v/>
      </c>
      <c r="AS55" s="54" t="str">
        <f>IF('⚙ OFF Weekends'!$D$40="OFF","OFF","")</f>
        <v/>
      </c>
      <c r="AT55" s="56" t="str">
        <f>IF('⚙ OFF Weekends'!$D$41="OFF","OFF","")</f>
        <v/>
      </c>
      <c r="AU55" s="54" t="str">
        <f>IF('⚙ OFF Weekends'!$D$42="OFF","OFF","")</f>
        <v/>
      </c>
      <c r="AV55" s="56" t="str">
        <f>IF('⚙ OFF Weekends'!$D$43="OFF","OFF","")</f>
        <v/>
      </c>
      <c r="AW55" s="54" t="str">
        <f>IF('⚙ OFF Weekends'!$D$44="OFF","OFF","")</f>
        <v/>
      </c>
      <c r="AX55" s="56" t="str">
        <f>IF('⚙ OFF Weekends'!$D$45="OFF","OFF","")</f>
        <v/>
      </c>
      <c r="AY55" s="54" t="str">
        <f>IF('⚙ OFF Weekends'!$D$46="OFF","OFF","")</f>
        <v/>
      </c>
      <c r="AZ55" s="56" t="str">
        <f>IF('⚙ OFF Weekends'!$D$47="OFF","OFF","")</f>
        <v/>
      </c>
      <c r="BA55" s="54" t="str">
        <f>IF('⚙ OFF Weekends'!$D$48="OFF","OFF","")</f>
        <v/>
      </c>
      <c r="BB55" s="56" t="str">
        <f>IF('⚙ OFF Weekends'!$D$49="OFF","OFF","")</f>
        <v/>
      </c>
      <c r="BC55" s="54" t="str">
        <f>IF('⚙ OFF Weekends'!$D$50="OFF","OFF","")</f>
        <v/>
      </c>
      <c r="BD55" s="56" t="str">
        <f>IF('⚙ OFF Weekends'!$D$51="OFF","OFF","")</f>
        <v/>
      </c>
      <c r="BE55" s="54" t="str">
        <f>IF('⚙ OFF Weekends'!$D$52="OFF","OFF","")</f>
        <v/>
      </c>
      <c r="BF55" s="56" t="str">
        <f>IF('⚙ OFF Weekends'!$D$53="OFF","OFF","")</f>
        <v/>
      </c>
      <c r="BG55" s="54" t="str">
        <f>IF('⚙ OFF Weekends'!$D$54="OFF","OFF","")</f>
        <v/>
      </c>
      <c r="BH55" s="56" t="str">
        <f>IF('⚙ OFF Weekends'!$D$55="OFF","OFF","")</f>
        <v/>
      </c>
      <c r="BI55" s="54" t="str">
        <f>IF('⚙ OFF Weekends'!$D$56="OFF","OFF","")</f>
        <v/>
      </c>
      <c r="BJ55" s="56" t="str">
        <f>IF('⚙ OFF Weekends'!$D$57="OFF","OFF","")</f>
        <v/>
      </c>
      <c r="BK55" s="54" t="str">
        <f>IF('⚙ OFF Weekends'!$D$58="OFF","OFF","")</f>
        <v/>
      </c>
      <c r="BL55" s="56" t="str">
        <f>IF('⚙ OFF Weekends'!$D$59="OFF","OFF","")</f>
        <v/>
      </c>
      <c r="BM55" s="54" t="str">
        <f>IF('⚙ OFF Weekends'!$D$60="OFF","OFF","")</f>
        <v/>
      </c>
      <c r="BN55" s="56" t="str">
        <f>IF('⚙ OFF Weekends'!$D$61="OFF","OFF","")</f>
        <v/>
      </c>
      <c r="BO55" s="54" t="str">
        <f>IF('⚙ OFF Weekends'!$D$62="OFF","OFF","")</f>
        <v/>
      </c>
      <c r="BP55" s="56" t="str">
        <f>IF('⚙ OFF Weekends'!$D$63="OFF","OFF","")</f>
        <v/>
      </c>
      <c r="BQ55" s="54" t="str">
        <f>IF('⚙ OFF Weekends'!$D$64="OFF","OFF","")</f>
        <v/>
      </c>
      <c r="BR55" s="56" t="str">
        <f>IF('⚙ OFF Weekends'!$D$65="OFF","OFF","")</f>
        <v/>
      </c>
      <c r="BS55" s="54" t="str">
        <f>IF('⚙ OFF Weekends'!$D$66="OFF","OFF","")</f>
        <v/>
      </c>
      <c r="BT55" s="56" t="str">
        <f>IF('⚙ OFF Weekends'!$D$67="OFF","OFF","")</f>
        <v/>
      </c>
      <c r="BU55" s="54" t="str">
        <f>IF('⚙ OFF Weekends'!$D$68="OFF","OFF","")</f>
        <v/>
      </c>
      <c r="BV55" s="56" t="str">
        <f>IF('⚙ OFF Weekends'!$D$69="OFF","OFF","")</f>
        <v/>
      </c>
      <c r="BW55" s="54" t="str">
        <f>IF('⚙ OFF Weekends'!$D$70="OFF","OFF","")</f>
        <v/>
      </c>
      <c r="BX55" s="56" t="str">
        <f>IF('⚙ OFF Weekends'!$D$71="OFF","OFF","")</f>
        <v/>
      </c>
      <c r="BY55" s="54" t="str">
        <f>IF('⚙ OFF Weekends'!$D$72="OFF","OFF","")</f>
        <v/>
      </c>
      <c r="BZ55" s="56" t="str">
        <f>IF('⚙ OFF Weekends'!$D$73="OFF","OFF","")</f>
        <v/>
      </c>
      <c r="CA55" s="54" t="str">
        <f>IF('⚙ OFF Weekends'!$D$74="OFF","OFF","")</f>
        <v/>
      </c>
      <c r="CB55" s="56" t="str">
        <f>IF('⚙ OFF Weekends'!$D$75="OFF","OFF","")</f>
        <v/>
      </c>
      <c r="CC55" s="54" t="str">
        <f>IF('⚙ OFF Weekends'!$D$76="OFF","OFF","")</f>
        <v/>
      </c>
      <c r="CD55" s="56" t="str">
        <f>IF('⚙ OFF Weekends'!$D$77="OFF","OFF","")</f>
        <v/>
      </c>
      <c r="CE55" s="95">
        <f t="shared" si="15"/>
        <v>6</v>
      </c>
      <c r="CF55" s="95">
        <f t="shared" si="16"/>
        <v>5</v>
      </c>
      <c r="CG55" s="95">
        <f t="shared" si="17"/>
        <v>1</v>
      </c>
      <c r="CH55" s="95" t="str">
        <f t="shared" si="18"/>
        <v>55%</v>
      </c>
    </row>
    <row r="56" ht="18.0" customHeight="1">
      <c r="A56" s="107">
        <v>16.0</v>
      </c>
      <c r="B56" s="120" t="s">
        <v>655</v>
      </c>
      <c r="C56" s="108"/>
      <c r="D56" s="109" t="str">
        <f t="shared" si="13"/>
        <v/>
      </c>
      <c r="E56" s="110" t="str">
        <f t="shared" si="14"/>
        <v/>
      </c>
      <c r="F56" s="108"/>
      <c r="G56" s="108"/>
      <c r="H56" s="108"/>
      <c r="I56" s="111" t="str">
        <f>IF('⚙ OFF Weekends'!$D$4="OFF","OFF","")</f>
        <v/>
      </c>
      <c r="J56" s="111" t="str">
        <f>IF('⚙ OFF Weekends'!$D$5="OFF","OFF","")</f>
        <v/>
      </c>
      <c r="K56" s="111" t="str">
        <f>IF('⚙ OFF Weekends'!$D$6="OFF","OFF","")</f>
        <v/>
      </c>
      <c r="L56" s="111" t="str">
        <f>IF('⚙ OFF Weekends'!$D$7="OFF","OFF","")</f>
        <v/>
      </c>
      <c r="M56" s="111" t="str">
        <f>IF('⚙ OFF Weekends'!$D$8="OFF","OFF","")</f>
        <v/>
      </c>
      <c r="N56" s="121" t="s">
        <v>196</v>
      </c>
      <c r="O56" s="111" t="str">
        <f>IF('⚙ OFF Weekends'!$D$10="OFF","OFF","")</f>
        <v/>
      </c>
      <c r="P56" s="111" t="str">
        <f>IF('⚙ OFF Weekends'!$D$11="OFF","OFF","")</f>
        <v/>
      </c>
      <c r="Q56" s="121" t="s">
        <v>223</v>
      </c>
      <c r="R56" s="121" t="s">
        <v>223</v>
      </c>
      <c r="S56" s="121" t="s">
        <v>196</v>
      </c>
      <c r="T56" s="121" t="s">
        <v>196</v>
      </c>
      <c r="U56" s="121" t="s">
        <v>196</v>
      </c>
      <c r="V56" s="121" t="s">
        <v>37</v>
      </c>
      <c r="W56" s="111" t="str">
        <f>IF('⚙ OFF Weekends'!$D$18="OFF","OFF","")</f>
        <v>OFF</v>
      </c>
      <c r="X56" s="121" t="s">
        <v>196</v>
      </c>
      <c r="Y56" s="121" t="s">
        <v>37</v>
      </c>
      <c r="Z56" s="121" t="s">
        <v>37</v>
      </c>
      <c r="AA56" s="121" t="s">
        <v>37</v>
      </c>
      <c r="AB56" s="121" t="s">
        <v>223</v>
      </c>
      <c r="AC56" s="111" t="str">
        <f>IF('⚙ OFF Weekends'!$D$24="OFF","OFF","")</f>
        <v/>
      </c>
      <c r="AD56" s="111" t="str">
        <f>IF('⚙ OFF Weekends'!$D$25="OFF","OFF","")</f>
        <v/>
      </c>
      <c r="AE56" s="111" t="str">
        <f>IF('⚙ OFF Weekends'!$D$26="OFF","OFF","")</f>
        <v/>
      </c>
      <c r="AF56" s="111" t="str">
        <f>IF('⚙ OFF Weekends'!$D$27="OFF","OFF","")</f>
        <v/>
      </c>
      <c r="AG56" s="111" t="str">
        <f>IF('⚙ OFF Weekends'!$D$28="OFF","OFF","")</f>
        <v/>
      </c>
      <c r="AH56" s="111" t="str">
        <f>IF('⚙ OFF Weekends'!$D$29="OFF","OFF","")</f>
        <v/>
      </c>
      <c r="AI56" s="111" t="str">
        <f>IF('⚙ OFF Weekends'!$D$30="OFF","OFF","")</f>
        <v/>
      </c>
      <c r="AJ56" s="111" t="str">
        <f>IF('⚙ OFF Weekends'!$D$31="OFF","OFF","")</f>
        <v/>
      </c>
      <c r="AK56" s="111" t="str">
        <f>IF('⚙ OFF Weekends'!$D$32="OFF","OFF","")</f>
        <v/>
      </c>
      <c r="AL56" s="111" t="str">
        <f>IF('⚙ OFF Weekends'!$D$33="OFF","OFF","")</f>
        <v/>
      </c>
      <c r="AM56" s="111" t="str">
        <f>IF('⚙ OFF Weekends'!$D$34="OFF","OFF","")</f>
        <v/>
      </c>
      <c r="AN56" s="111" t="str">
        <f>IF('⚙ OFF Weekends'!$D$35="OFF","OFF","")</f>
        <v/>
      </c>
      <c r="AO56" s="111" t="str">
        <f>IF('⚙ OFF Weekends'!$D$36="OFF","OFF","")</f>
        <v/>
      </c>
      <c r="AP56" s="111" t="str">
        <f>IF('⚙ OFF Weekends'!$D$37="OFF","OFF","")</f>
        <v/>
      </c>
      <c r="AQ56" s="111" t="str">
        <f>IF('⚙ OFF Weekends'!$D$38="OFF","OFF","")</f>
        <v/>
      </c>
      <c r="AR56" s="111" t="str">
        <f>IF('⚙ OFF Weekends'!$D$39="OFF","OFF","")</f>
        <v/>
      </c>
      <c r="AS56" s="111" t="str">
        <f>IF('⚙ OFF Weekends'!$D$40="OFF","OFF","")</f>
        <v/>
      </c>
      <c r="AT56" s="111" t="str">
        <f>IF('⚙ OFF Weekends'!$D$41="OFF","OFF","")</f>
        <v/>
      </c>
      <c r="AU56" s="111" t="str">
        <f>IF('⚙ OFF Weekends'!$D$42="OFF","OFF","")</f>
        <v/>
      </c>
      <c r="AV56" s="111" t="str">
        <f>IF('⚙ OFF Weekends'!$D$43="OFF","OFF","")</f>
        <v/>
      </c>
      <c r="AW56" s="111" t="str">
        <f>IF('⚙ OFF Weekends'!$D$44="OFF","OFF","")</f>
        <v/>
      </c>
      <c r="AX56" s="111" t="str">
        <f>IF('⚙ OFF Weekends'!$D$45="OFF","OFF","")</f>
        <v/>
      </c>
      <c r="AY56" s="111" t="str">
        <f>IF('⚙ OFF Weekends'!$D$46="OFF","OFF","")</f>
        <v/>
      </c>
      <c r="AZ56" s="111" t="str">
        <f>IF('⚙ OFF Weekends'!$D$47="OFF","OFF","")</f>
        <v/>
      </c>
      <c r="BA56" s="111" t="str">
        <f>IF('⚙ OFF Weekends'!$D$48="OFF","OFF","")</f>
        <v/>
      </c>
      <c r="BB56" s="111" t="str">
        <f>IF('⚙ OFF Weekends'!$D$49="OFF","OFF","")</f>
        <v/>
      </c>
      <c r="BC56" s="111" t="str">
        <f>IF('⚙ OFF Weekends'!$D$50="OFF","OFF","")</f>
        <v/>
      </c>
      <c r="BD56" s="111" t="str">
        <f>IF('⚙ OFF Weekends'!$D$51="OFF","OFF","")</f>
        <v/>
      </c>
      <c r="BE56" s="111" t="str">
        <f>IF('⚙ OFF Weekends'!$D$52="OFF","OFF","")</f>
        <v/>
      </c>
      <c r="BF56" s="111" t="str">
        <f>IF('⚙ OFF Weekends'!$D$53="OFF","OFF","")</f>
        <v/>
      </c>
      <c r="BG56" s="111" t="str">
        <f>IF('⚙ OFF Weekends'!$D$54="OFF","OFF","")</f>
        <v/>
      </c>
      <c r="BH56" s="111" t="str">
        <f>IF('⚙ OFF Weekends'!$D$55="OFF","OFF","")</f>
        <v/>
      </c>
      <c r="BI56" s="111" t="str">
        <f>IF('⚙ OFF Weekends'!$D$56="OFF","OFF","")</f>
        <v/>
      </c>
      <c r="BJ56" s="111" t="str">
        <f>IF('⚙ OFF Weekends'!$D$57="OFF","OFF","")</f>
        <v/>
      </c>
      <c r="BK56" s="111" t="str">
        <f>IF('⚙ OFF Weekends'!$D$58="OFF","OFF","")</f>
        <v/>
      </c>
      <c r="BL56" s="111" t="str">
        <f>IF('⚙ OFF Weekends'!$D$59="OFF","OFF","")</f>
        <v/>
      </c>
      <c r="BM56" s="111" t="str">
        <f>IF('⚙ OFF Weekends'!$D$60="OFF","OFF","")</f>
        <v/>
      </c>
      <c r="BN56" s="111" t="str">
        <f>IF('⚙ OFF Weekends'!$D$61="OFF","OFF","")</f>
        <v/>
      </c>
      <c r="BO56" s="111" t="str">
        <f>IF('⚙ OFF Weekends'!$D$62="OFF","OFF","")</f>
        <v/>
      </c>
      <c r="BP56" s="111" t="str">
        <f>IF('⚙ OFF Weekends'!$D$63="OFF","OFF","")</f>
        <v/>
      </c>
      <c r="BQ56" s="111" t="str">
        <f>IF('⚙ OFF Weekends'!$D$64="OFF","OFF","")</f>
        <v/>
      </c>
      <c r="BR56" s="111" t="str">
        <f>IF('⚙ OFF Weekends'!$D$65="OFF","OFF","")</f>
        <v/>
      </c>
      <c r="BS56" s="111" t="str">
        <f>IF('⚙ OFF Weekends'!$D$66="OFF","OFF","")</f>
        <v/>
      </c>
      <c r="BT56" s="111" t="str">
        <f>IF('⚙ OFF Weekends'!$D$67="OFF","OFF","")</f>
        <v/>
      </c>
      <c r="BU56" s="111" t="str">
        <f>IF('⚙ OFF Weekends'!$D$68="OFF","OFF","")</f>
        <v/>
      </c>
      <c r="BV56" s="111" t="str">
        <f>IF('⚙ OFF Weekends'!$D$69="OFF","OFF","")</f>
        <v/>
      </c>
      <c r="BW56" s="111" t="str">
        <f>IF('⚙ OFF Weekends'!$D$70="OFF","OFF","")</f>
        <v/>
      </c>
      <c r="BX56" s="111" t="str">
        <f>IF('⚙ OFF Weekends'!$D$71="OFF","OFF","")</f>
        <v/>
      </c>
      <c r="BY56" s="111" t="str">
        <f>IF('⚙ OFF Weekends'!$D$72="OFF","OFF","")</f>
        <v/>
      </c>
      <c r="BZ56" s="111" t="str">
        <f>IF('⚙ OFF Weekends'!$D$73="OFF","OFF","")</f>
        <v/>
      </c>
      <c r="CA56" s="111" t="str">
        <f>IF('⚙ OFF Weekends'!$D$74="OFF","OFF","")</f>
        <v/>
      </c>
      <c r="CB56" s="111" t="str">
        <f>IF('⚙ OFF Weekends'!$D$75="OFF","OFF","")</f>
        <v/>
      </c>
      <c r="CC56" s="111" t="str">
        <f>IF('⚙ OFF Weekends'!$D$76="OFF","OFF","")</f>
        <v/>
      </c>
      <c r="CD56" s="111" t="str">
        <f>IF('⚙ OFF Weekends'!$D$77="OFF","OFF","")</f>
        <v/>
      </c>
      <c r="CE56" s="112">
        <f t="shared" si="15"/>
        <v>9</v>
      </c>
      <c r="CF56" s="112">
        <f t="shared" si="16"/>
        <v>3</v>
      </c>
      <c r="CG56" s="112">
        <f t="shared" si="17"/>
        <v>0</v>
      </c>
      <c r="CH56" s="112" t="str">
        <f t="shared" si="18"/>
        <v>75%</v>
      </c>
    </row>
    <row r="57" ht="18.0" customHeight="1">
      <c r="A57" s="107">
        <v>17.0</v>
      </c>
      <c r="B57" s="120" t="s">
        <v>658</v>
      </c>
      <c r="C57" s="108"/>
      <c r="D57" s="109" t="str">
        <f t="shared" si="13"/>
        <v/>
      </c>
      <c r="E57" s="110" t="str">
        <f t="shared" si="14"/>
        <v/>
      </c>
      <c r="F57" s="108"/>
      <c r="G57" s="108"/>
      <c r="H57" s="108"/>
      <c r="I57" s="111" t="str">
        <f>IF('⚙ OFF Weekends'!$D$4="OFF","OFF","")</f>
        <v/>
      </c>
      <c r="J57" s="111" t="str">
        <f>IF('⚙ OFF Weekends'!$D$5="OFF","OFF","")</f>
        <v/>
      </c>
      <c r="K57" s="111" t="str">
        <f>IF('⚙ OFF Weekends'!$D$6="OFF","OFF","")</f>
        <v/>
      </c>
      <c r="L57" s="111" t="str">
        <f>IF('⚙ OFF Weekends'!$D$7="OFF","OFF","")</f>
        <v/>
      </c>
      <c r="M57" s="111" t="str">
        <f>IF('⚙ OFF Weekends'!$D$8="OFF","OFF","")</f>
        <v/>
      </c>
      <c r="N57" s="121" t="s">
        <v>196</v>
      </c>
      <c r="O57" s="111" t="str">
        <f>IF('⚙ OFF Weekends'!$D$10="OFF","OFF","")</f>
        <v/>
      </c>
      <c r="P57" s="111" t="str">
        <f>IF('⚙ OFF Weekends'!$D$11="OFF","OFF","")</f>
        <v/>
      </c>
      <c r="Q57" s="121" t="s">
        <v>223</v>
      </c>
      <c r="R57" s="121" t="s">
        <v>223</v>
      </c>
      <c r="S57" s="121" t="s">
        <v>196</v>
      </c>
      <c r="T57" s="121" t="s">
        <v>196</v>
      </c>
      <c r="U57" s="121" t="s">
        <v>196</v>
      </c>
      <c r="V57" s="121" t="s">
        <v>37</v>
      </c>
      <c r="W57" s="111" t="str">
        <f>IF('⚙ OFF Weekends'!$D$18="OFF","OFF","")</f>
        <v>OFF</v>
      </c>
      <c r="X57" s="121" t="s">
        <v>196</v>
      </c>
      <c r="Y57" s="121" t="s">
        <v>37</v>
      </c>
      <c r="Z57" s="121" t="s">
        <v>37</v>
      </c>
      <c r="AA57" s="121" t="s">
        <v>37</v>
      </c>
      <c r="AB57" s="121" t="s">
        <v>223</v>
      </c>
      <c r="AC57" s="111" t="str">
        <f>IF('⚙ OFF Weekends'!$D$24="OFF","OFF","")</f>
        <v/>
      </c>
      <c r="AD57" s="111" t="str">
        <f>IF('⚙ OFF Weekends'!$D$25="OFF","OFF","")</f>
        <v/>
      </c>
      <c r="AE57" s="111" t="str">
        <f>IF('⚙ OFF Weekends'!$D$26="OFF","OFF","")</f>
        <v/>
      </c>
      <c r="AF57" s="111" t="str">
        <f>IF('⚙ OFF Weekends'!$D$27="OFF","OFF","")</f>
        <v/>
      </c>
      <c r="AG57" s="111" t="str">
        <f>IF('⚙ OFF Weekends'!$D$28="OFF","OFF","")</f>
        <v/>
      </c>
      <c r="AH57" s="111" t="str">
        <f>IF('⚙ OFF Weekends'!$D$29="OFF","OFF","")</f>
        <v/>
      </c>
      <c r="AI57" s="111" t="str">
        <f>IF('⚙ OFF Weekends'!$D$30="OFF","OFF","")</f>
        <v/>
      </c>
      <c r="AJ57" s="111" t="str">
        <f>IF('⚙ OFF Weekends'!$D$31="OFF","OFF","")</f>
        <v/>
      </c>
      <c r="AK57" s="111" t="str">
        <f>IF('⚙ OFF Weekends'!$D$32="OFF","OFF","")</f>
        <v/>
      </c>
      <c r="AL57" s="111" t="str">
        <f>IF('⚙ OFF Weekends'!$D$33="OFF","OFF","")</f>
        <v/>
      </c>
      <c r="AM57" s="111" t="str">
        <f>IF('⚙ OFF Weekends'!$D$34="OFF","OFF","")</f>
        <v/>
      </c>
      <c r="AN57" s="111" t="str">
        <f>IF('⚙ OFF Weekends'!$D$35="OFF","OFF","")</f>
        <v/>
      </c>
      <c r="AO57" s="111" t="str">
        <f>IF('⚙ OFF Weekends'!$D$36="OFF","OFF","")</f>
        <v/>
      </c>
      <c r="AP57" s="111" t="str">
        <f>IF('⚙ OFF Weekends'!$D$37="OFF","OFF","")</f>
        <v/>
      </c>
      <c r="AQ57" s="111" t="str">
        <f>IF('⚙ OFF Weekends'!$D$38="OFF","OFF","")</f>
        <v/>
      </c>
      <c r="AR57" s="111" t="str">
        <f>IF('⚙ OFF Weekends'!$D$39="OFF","OFF","")</f>
        <v/>
      </c>
      <c r="AS57" s="111" t="str">
        <f>IF('⚙ OFF Weekends'!$D$40="OFF","OFF","")</f>
        <v/>
      </c>
      <c r="AT57" s="111" t="str">
        <f>IF('⚙ OFF Weekends'!$D$41="OFF","OFF","")</f>
        <v/>
      </c>
      <c r="AU57" s="111" t="str">
        <f>IF('⚙ OFF Weekends'!$D$42="OFF","OFF","")</f>
        <v/>
      </c>
      <c r="AV57" s="111" t="str">
        <f>IF('⚙ OFF Weekends'!$D$43="OFF","OFF","")</f>
        <v/>
      </c>
      <c r="AW57" s="111" t="str">
        <f>IF('⚙ OFF Weekends'!$D$44="OFF","OFF","")</f>
        <v/>
      </c>
      <c r="AX57" s="111" t="str">
        <f>IF('⚙ OFF Weekends'!$D$45="OFF","OFF","")</f>
        <v/>
      </c>
      <c r="AY57" s="111" t="str">
        <f>IF('⚙ OFF Weekends'!$D$46="OFF","OFF","")</f>
        <v/>
      </c>
      <c r="AZ57" s="111" t="str">
        <f>IF('⚙ OFF Weekends'!$D$47="OFF","OFF","")</f>
        <v/>
      </c>
      <c r="BA57" s="111" t="str">
        <f>IF('⚙ OFF Weekends'!$D$48="OFF","OFF","")</f>
        <v/>
      </c>
      <c r="BB57" s="111" t="str">
        <f>IF('⚙ OFF Weekends'!$D$49="OFF","OFF","")</f>
        <v/>
      </c>
      <c r="BC57" s="111" t="str">
        <f>IF('⚙ OFF Weekends'!$D$50="OFF","OFF","")</f>
        <v/>
      </c>
      <c r="BD57" s="111" t="str">
        <f>IF('⚙ OFF Weekends'!$D$51="OFF","OFF","")</f>
        <v/>
      </c>
      <c r="BE57" s="111" t="str">
        <f>IF('⚙ OFF Weekends'!$D$52="OFF","OFF","")</f>
        <v/>
      </c>
      <c r="BF57" s="111" t="str">
        <f>IF('⚙ OFF Weekends'!$D$53="OFF","OFF","")</f>
        <v/>
      </c>
      <c r="BG57" s="111" t="str">
        <f>IF('⚙ OFF Weekends'!$D$54="OFF","OFF","")</f>
        <v/>
      </c>
      <c r="BH57" s="111" t="str">
        <f>IF('⚙ OFF Weekends'!$D$55="OFF","OFF","")</f>
        <v/>
      </c>
      <c r="BI57" s="111" t="str">
        <f>IF('⚙ OFF Weekends'!$D$56="OFF","OFF","")</f>
        <v/>
      </c>
      <c r="BJ57" s="111" t="str">
        <f>IF('⚙ OFF Weekends'!$D$57="OFF","OFF","")</f>
        <v/>
      </c>
      <c r="BK57" s="111" t="str">
        <f>IF('⚙ OFF Weekends'!$D$58="OFF","OFF","")</f>
        <v/>
      </c>
      <c r="BL57" s="111" t="str">
        <f>IF('⚙ OFF Weekends'!$D$59="OFF","OFF","")</f>
        <v/>
      </c>
      <c r="BM57" s="111" t="str">
        <f>IF('⚙ OFF Weekends'!$D$60="OFF","OFF","")</f>
        <v/>
      </c>
      <c r="BN57" s="111" t="str">
        <f>IF('⚙ OFF Weekends'!$D$61="OFF","OFF","")</f>
        <v/>
      </c>
      <c r="BO57" s="111" t="str">
        <f>IF('⚙ OFF Weekends'!$D$62="OFF","OFF","")</f>
        <v/>
      </c>
      <c r="BP57" s="111" t="str">
        <f>IF('⚙ OFF Weekends'!$D$63="OFF","OFF","")</f>
        <v/>
      </c>
      <c r="BQ57" s="111" t="str">
        <f>IF('⚙ OFF Weekends'!$D$64="OFF","OFF","")</f>
        <v/>
      </c>
      <c r="BR57" s="111" t="str">
        <f>IF('⚙ OFF Weekends'!$D$65="OFF","OFF","")</f>
        <v/>
      </c>
      <c r="BS57" s="111" t="str">
        <f>IF('⚙ OFF Weekends'!$D$66="OFF","OFF","")</f>
        <v/>
      </c>
      <c r="BT57" s="111" t="str">
        <f>IF('⚙ OFF Weekends'!$D$67="OFF","OFF","")</f>
        <v/>
      </c>
      <c r="BU57" s="111" t="str">
        <f>IF('⚙ OFF Weekends'!$D$68="OFF","OFF","")</f>
        <v/>
      </c>
      <c r="BV57" s="111" t="str">
        <f>IF('⚙ OFF Weekends'!$D$69="OFF","OFF","")</f>
        <v/>
      </c>
      <c r="BW57" s="111" t="str">
        <f>IF('⚙ OFF Weekends'!$D$70="OFF","OFF","")</f>
        <v/>
      </c>
      <c r="BX57" s="111" t="str">
        <f>IF('⚙ OFF Weekends'!$D$71="OFF","OFF","")</f>
        <v/>
      </c>
      <c r="BY57" s="111" t="str">
        <f>IF('⚙ OFF Weekends'!$D$72="OFF","OFF","")</f>
        <v/>
      </c>
      <c r="BZ57" s="111" t="str">
        <f>IF('⚙ OFF Weekends'!$D$73="OFF","OFF","")</f>
        <v/>
      </c>
      <c r="CA57" s="111" t="str">
        <f>IF('⚙ OFF Weekends'!$D$74="OFF","OFF","")</f>
        <v/>
      </c>
      <c r="CB57" s="111" t="str">
        <f>IF('⚙ OFF Weekends'!$D$75="OFF","OFF","")</f>
        <v/>
      </c>
      <c r="CC57" s="111" t="str">
        <f>IF('⚙ OFF Weekends'!$D$76="OFF","OFF","")</f>
        <v/>
      </c>
      <c r="CD57" s="111" t="str">
        <f>IF('⚙ OFF Weekends'!$D$77="OFF","OFF","")</f>
        <v/>
      </c>
      <c r="CE57" s="112">
        <f t="shared" si="15"/>
        <v>9</v>
      </c>
      <c r="CF57" s="112">
        <f t="shared" si="16"/>
        <v>3</v>
      </c>
      <c r="CG57" s="112">
        <f t="shared" si="17"/>
        <v>0</v>
      </c>
      <c r="CH57" s="112" t="str">
        <f t="shared" si="18"/>
        <v>75%</v>
      </c>
    </row>
    <row r="58" ht="18.0" customHeight="1">
      <c r="A58" s="107">
        <v>18.0</v>
      </c>
      <c r="B58" s="120" t="s">
        <v>664</v>
      </c>
      <c r="C58" s="108"/>
      <c r="D58" s="109" t="str">
        <f t="shared" si="13"/>
        <v/>
      </c>
      <c r="E58" s="110" t="str">
        <f t="shared" si="14"/>
        <v/>
      </c>
      <c r="F58" s="108"/>
      <c r="G58" s="108"/>
      <c r="H58" s="108"/>
      <c r="I58" s="111" t="str">
        <f>IF('⚙ OFF Weekends'!$D$4="OFF","OFF","")</f>
        <v/>
      </c>
      <c r="J58" s="111" t="str">
        <f>IF('⚙ OFF Weekends'!$D$5="OFF","OFF","")</f>
        <v/>
      </c>
      <c r="K58" s="111" t="str">
        <f>IF('⚙ OFF Weekends'!$D$6="OFF","OFF","")</f>
        <v/>
      </c>
      <c r="L58" s="111" t="str">
        <f>IF('⚙ OFF Weekends'!$D$7="OFF","OFF","")</f>
        <v/>
      </c>
      <c r="M58" s="111" t="str">
        <f>IF('⚙ OFF Weekends'!$D$8="OFF","OFF","")</f>
        <v/>
      </c>
      <c r="N58" s="111" t="str">
        <f>IF('⚙ OFF Weekends'!$D$9="OFF","OFF","")</f>
        <v/>
      </c>
      <c r="O58" s="111" t="str">
        <f>IF('⚙ OFF Weekends'!$D$10="OFF","OFF","")</f>
        <v/>
      </c>
      <c r="P58" s="111" t="str">
        <f>IF('⚙ OFF Weekends'!$D$11="OFF","OFF","")</f>
        <v/>
      </c>
      <c r="Q58" s="121" t="s">
        <v>198</v>
      </c>
      <c r="R58" s="121" t="s">
        <v>198</v>
      </c>
      <c r="S58" s="121" t="s">
        <v>198</v>
      </c>
      <c r="T58" s="121" t="s">
        <v>198</v>
      </c>
      <c r="U58" s="121" t="s">
        <v>198</v>
      </c>
      <c r="V58" s="121" t="s">
        <v>198</v>
      </c>
      <c r="W58" s="111" t="str">
        <f>IF('⚙ OFF Weekends'!$D$18="OFF","OFF","")</f>
        <v>OFF</v>
      </c>
      <c r="X58" s="121" t="s">
        <v>198</v>
      </c>
      <c r="Y58" s="121" t="s">
        <v>198</v>
      </c>
      <c r="Z58" s="121" t="s">
        <v>198</v>
      </c>
      <c r="AA58" s="121" t="s">
        <v>198</v>
      </c>
      <c r="AB58" s="121" t="s">
        <v>198</v>
      </c>
      <c r="AC58" s="111" t="str">
        <f>IF('⚙ OFF Weekends'!$D$24="OFF","OFF","")</f>
        <v/>
      </c>
      <c r="AD58" s="111" t="str">
        <f>IF('⚙ OFF Weekends'!$D$25="OFF","OFF","")</f>
        <v/>
      </c>
      <c r="AE58" s="111" t="str">
        <f>IF('⚙ OFF Weekends'!$D$26="OFF","OFF","")</f>
        <v/>
      </c>
      <c r="AF58" s="111" t="str">
        <f>IF('⚙ OFF Weekends'!$D$27="OFF","OFF","")</f>
        <v/>
      </c>
      <c r="AG58" s="111" t="str">
        <f>IF('⚙ OFF Weekends'!$D$28="OFF","OFF","")</f>
        <v/>
      </c>
      <c r="AH58" s="111" t="str">
        <f>IF('⚙ OFF Weekends'!$D$29="OFF","OFF","")</f>
        <v/>
      </c>
      <c r="AI58" s="111" t="str">
        <f>IF('⚙ OFF Weekends'!$D$30="OFF","OFF","")</f>
        <v/>
      </c>
      <c r="AJ58" s="111" t="str">
        <f>IF('⚙ OFF Weekends'!$D$31="OFF","OFF","")</f>
        <v/>
      </c>
      <c r="AK58" s="111" t="str">
        <f>IF('⚙ OFF Weekends'!$D$32="OFF","OFF","")</f>
        <v/>
      </c>
      <c r="AL58" s="111" t="str">
        <f>IF('⚙ OFF Weekends'!$D$33="OFF","OFF","")</f>
        <v/>
      </c>
      <c r="AM58" s="111" t="str">
        <f>IF('⚙ OFF Weekends'!$D$34="OFF","OFF","")</f>
        <v/>
      </c>
      <c r="AN58" s="111" t="str">
        <f>IF('⚙ OFF Weekends'!$D$35="OFF","OFF","")</f>
        <v/>
      </c>
      <c r="AO58" s="111" t="str">
        <f>IF('⚙ OFF Weekends'!$D$36="OFF","OFF","")</f>
        <v/>
      </c>
      <c r="AP58" s="111" t="str">
        <f>IF('⚙ OFF Weekends'!$D$37="OFF","OFF","")</f>
        <v/>
      </c>
      <c r="AQ58" s="111" t="str">
        <f>IF('⚙ OFF Weekends'!$D$38="OFF","OFF","")</f>
        <v/>
      </c>
      <c r="AR58" s="111" t="str">
        <f>IF('⚙ OFF Weekends'!$D$39="OFF","OFF","")</f>
        <v/>
      </c>
      <c r="AS58" s="111" t="str">
        <f>IF('⚙ OFF Weekends'!$D$40="OFF","OFF","")</f>
        <v/>
      </c>
      <c r="AT58" s="111" t="str">
        <f>IF('⚙ OFF Weekends'!$D$41="OFF","OFF","")</f>
        <v/>
      </c>
      <c r="AU58" s="111" t="str">
        <f>IF('⚙ OFF Weekends'!$D$42="OFF","OFF","")</f>
        <v/>
      </c>
      <c r="AV58" s="111" t="str">
        <f>IF('⚙ OFF Weekends'!$D$43="OFF","OFF","")</f>
        <v/>
      </c>
      <c r="AW58" s="111" t="str">
        <f>IF('⚙ OFF Weekends'!$D$44="OFF","OFF","")</f>
        <v/>
      </c>
      <c r="AX58" s="111" t="str">
        <f>IF('⚙ OFF Weekends'!$D$45="OFF","OFF","")</f>
        <v/>
      </c>
      <c r="AY58" s="111" t="str">
        <f>IF('⚙ OFF Weekends'!$D$46="OFF","OFF","")</f>
        <v/>
      </c>
      <c r="AZ58" s="111" t="str">
        <f>IF('⚙ OFF Weekends'!$D$47="OFF","OFF","")</f>
        <v/>
      </c>
      <c r="BA58" s="111" t="str">
        <f>IF('⚙ OFF Weekends'!$D$48="OFF","OFF","")</f>
        <v/>
      </c>
      <c r="BB58" s="111" t="str">
        <f>IF('⚙ OFF Weekends'!$D$49="OFF","OFF","")</f>
        <v/>
      </c>
      <c r="BC58" s="111" t="str">
        <f>IF('⚙ OFF Weekends'!$D$50="OFF","OFF","")</f>
        <v/>
      </c>
      <c r="BD58" s="111" t="str">
        <f>IF('⚙ OFF Weekends'!$D$51="OFF","OFF","")</f>
        <v/>
      </c>
      <c r="BE58" s="111" t="str">
        <f>IF('⚙ OFF Weekends'!$D$52="OFF","OFF","")</f>
        <v/>
      </c>
      <c r="BF58" s="111" t="str">
        <f>IF('⚙ OFF Weekends'!$D$53="OFF","OFF","")</f>
        <v/>
      </c>
      <c r="BG58" s="111" t="str">
        <f>IF('⚙ OFF Weekends'!$D$54="OFF","OFF","")</f>
        <v/>
      </c>
      <c r="BH58" s="111" t="str">
        <f>IF('⚙ OFF Weekends'!$D$55="OFF","OFF","")</f>
        <v/>
      </c>
      <c r="BI58" s="111" t="str">
        <f>IF('⚙ OFF Weekends'!$D$56="OFF","OFF","")</f>
        <v/>
      </c>
      <c r="BJ58" s="111" t="str">
        <f>IF('⚙ OFF Weekends'!$D$57="OFF","OFF","")</f>
        <v/>
      </c>
      <c r="BK58" s="111" t="str">
        <f>IF('⚙ OFF Weekends'!$D$58="OFF","OFF","")</f>
        <v/>
      </c>
      <c r="BL58" s="111" t="str">
        <f>IF('⚙ OFF Weekends'!$D$59="OFF","OFF","")</f>
        <v/>
      </c>
      <c r="BM58" s="111" t="str">
        <f>IF('⚙ OFF Weekends'!$D$60="OFF","OFF","")</f>
        <v/>
      </c>
      <c r="BN58" s="111" t="str">
        <f>IF('⚙ OFF Weekends'!$D$61="OFF","OFF","")</f>
        <v/>
      </c>
      <c r="BO58" s="111" t="str">
        <f>IF('⚙ OFF Weekends'!$D$62="OFF","OFF","")</f>
        <v/>
      </c>
      <c r="BP58" s="111" t="str">
        <f>IF('⚙ OFF Weekends'!$D$63="OFF","OFF","")</f>
        <v/>
      </c>
      <c r="BQ58" s="111" t="str">
        <f>IF('⚙ OFF Weekends'!$D$64="OFF","OFF","")</f>
        <v/>
      </c>
      <c r="BR58" s="111" t="str">
        <f>IF('⚙ OFF Weekends'!$D$65="OFF","OFF","")</f>
        <v/>
      </c>
      <c r="BS58" s="111" t="str">
        <f>IF('⚙ OFF Weekends'!$D$66="OFF","OFF","")</f>
        <v/>
      </c>
      <c r="BT58" s="111" t="str">
        <f>IF('⚙ OFF Weekends'!$D$67="OFF","OFF","")</f>
        <v/>
      </c>
      <c r="BU58" s="111" t="str">
        <f>IF('⚙ OFF Weekends'!$D$68="OFF","OFF","")</f>
        <v/>
      </c>
      <c r="BV58" s="111" t="str">
        <f>IF('⚙ OFF Weekends'!$D$69="OFF","OFF","")</f>
        <v/>
      </c>
      <c r="BW58" s="111" t="str">
        <f>IF('⚙ OFF Weekends'!$D$70="OFF","OFF","")</f>
        <v/>
      </c>
      <c r="BX58" s="111" t="str">
        <f>IF('⚙ OFF Weekends'!$D$71="OFF","OFF","")</f>
        <v/>
      </c>
      <c r="BY58" s="111" t="str">
        <f>IF('⚙ OFF Weekends'!$D$72="OFF","OFF","")</f>
        <v/>
      </c>
      <c r="BZ58" s="111" t="str">
        <f>IF('⚙ OFF Weekends'!$D$73="OFF","OFF","")</f>
        <v/>
      </c>
      <c r="CA58" s="111" t="str">
        <f>IF('⚙ OFF Weekends'!$D$74="OFF","OFF","")</f>
        <v/>
      </c>
      <c r="CB58" s="111" t="str">
        <f>IF('⚙ OFF Weekends'!$D$75="OFF","OFF","")</f>
        <v/>
      </c>
      <c r="CC58" s="111" t="str">
        <f>IF('⚙ OFF Weekends'!$D$76="OFF","OFF","")</f>
        <v/>
      </c>
      <c r="CD58" s="111" t="str">
        <f>IF('⚙ OFF Weekends'!$D$77="OFF","OFF","")</f>
        <v/>
      </c>
      <c r="CE58" s="112">
        <f t="shared" si="15"/>
        <v>0</v>
      </c>
      <c r="CF58" s="112">
        <f t="shared" si="16"/>
        <v>0</v>
      </c>
      <c r="CG58" s="112">
        <f t="shared" si="17"/>
        <v>11</v>
      </c>
      <c r="CH58" s="112" t="str">
        <f t="shared" si="18"/>
        <v>0%</v>
      </c>
    </row>
    <row r="59" ht="18.0" customHeight="1">
      <c r="A59" s="107">
        <v>19.0</v>
      </c>
      <c r="B59" s="120" t="s">
        <v>667</v>
      </c>
      <c r="C59" s="108"/>
      <c r="D59" s="109" t="str">
        <f t="shared" si="13"/>
        <v/>
      </c>
      <c r="E59" s="110" t="str">
        <f t="shared" si="14"/>
        <v/>
      </c>
      <c r="F59" s="108"/>
      <c r="G59" s="108"/>
      <c r="H59" s="108"/>
      <c r="I59" s="111" t="str">
        <f>IF('⚙ OFF Weekends'!$D$4="OFF","OFF","")</f>
        <v/>
      </c>
      <c r="J59" s="111" t="str">
        <f>IF('⚙ OFF Weekends'!$D$5="OFF","OFF","")</f>
        <v/>
      </c>
      <c r="K59" s="111" t="str">
        <f>IF('⚙ OFF Weekends'!$D$6="OFF","OFF","")</f>
        <v/>
      </c>
      <c r="L59" s="111" t="str">
        <f>IF('⚙ OFF Weekends'!$D$7="OFF","OFF","")</f>
        <v/>
      </c>
      <c r="M59" s="111" t="str">
        <f>IF('⚙ OFF Weekends'!$D$8="OFF","OFF","")</f>
        <v/>
      </c>
      <c r="N59" s="111" t="str">
        <f>IF('⚙ OFF Weekends'!$D$9="OFF","OFF","")</f>
        <v/>
      </c>
      <c r="O59" s="111" t="str">
        <f>IF('⚙ OFF Weekends'!$D$10="OFF","OFF","")</f>
        <v/>
      </c>
      <c r="P59" s="111" t="str">
        <f>IF('⚙ OFF Weekends'!$D$11="OFF","OFF","")</f>
        <v/>
      </c>
      <c r="Q59" s="111" t="str">
        <f>IF('⚙ OFF Weekends'!$D$12="OFF","OFF","")</f>
        <v/>
      </c>
      <c r="R59" s="111" t="str">
        <f>IF('⚙ OFF Weekends'!$D$13="OFF","OFF","")</f>
        <v/>
      </c>
      <c r="S59" s="111" t="str">
        <f>IF('⚙ OFF Weekends'!$D$14="OFF","OFF","")</f>
        <v/>
      </c>
      <c r="T59" s="121" t="s">
        <v>196</v>
      </c>
      <c r="U59" s="121" t="s">
        <v>223</v>
      </c>
      <c r="V59" s="121" t="s">
        <v>37</v>
      </c>
      <c r="W59" s="111" t="str">
        <f>IF('⚙ OFF Weekends'!$D$18="OFF","OFF","")</f>
        <v>OFF</v>
      </c>
      <c r="X59" s="121" t="s">
        <v>223</v>
      </c>
      <c r="Y59" s="121" t="s">
        <v>37</v>
      </c>
      <c r="Z59" s="121" t="s">
        <v>223</v>
      </c>
      <c r="AA59" s="121" t="s">
        <v>223</v>
      </c>
      <c r="AB59" s="121" t="s">
        <v>37</v>
      </c>
      <c r="AC59" s="111" t="str">
        <f>IF('⚙ OFF Weekends'!$D$24="OFF","OFF","")</f>
        <v/>
      </c>
      <c r="AD59" s="111" t="str">
        <f>IF('⚙ OFF Weekends'!$D$25="OFF","OFF","")</f>
        <v/>
      </c>
      <c r="AE59" s="111" t="str">
        <f>IF('⚙ OFF Weekends'!$D$26="OFF","OFF","")</f>
        <v/>
      </c>
      <c r="AF59" s="111" t="str">
        <f>IF('⚙ OFF Weekends'!$D$27="OFF","OFF","")</f>
        <v/>
      </c>
      <c r="AG59" s="111" t="str">
        <f>IF('⚙ OFF Weekends'!$D$28="OFF","OFF","")</f>
        <v/>
      </c>
      <c r="AH59" s="111" t="str">
        <f>IF('⚙ OFF Weekends'!$D$29="OFF","OFF","")</f>
        <v/>
      </c>
      <c r="AI59" s="111" t="str">
        <f>IF('⚙ OFF Weekends'!$D$30="OFF","OFF","")</f>
        <v/>
      </c>
      <c r="AJ59" s="111" t="str">
        <f>IF('⚙ OFF Weekends'!$D$31="OFF","OFF","")</f>
        <v/>
      </c>
      <c r="AK59" s="111" t="str">
        <f>IF('⚙ OFF Weekends'!$D$32="OFF","OFF","")</f>
        <v/>
      </c>
      <c r="AL59" s="111" t="str">
        <f>IF('⚙ OFF Weekends'!$D$33="OFF","OFF","")</f>
        <v/>
      </c>
      <c r="AM59" s="111" t="str">
        <f>IF('⚙ OFF Weekends'!$D$34="OFF","OFF","")</f>
        <v/>
      </c>
      <c r="AN59" s="111" t="str">
        <f>IF('⚙ OFF Weekends'!$D$35="OFF","OFF","")</f>
        <v/>
      </c>
      <c r="AO59" s="111" t="str">
        <f>IF('⚙ OFF Weekends'!$D$36="OFF","OFF","")</f>
        <v/>
      </c>
      <c r="AP59" s="111" t="str">
        <f>IF('⚙ OFF Weekends'!$D$37="OFF","OFF","")</f>
        <v/>
      </c>
      <c r="AQ59" s="111" t="str">
        <f>IF('⚙ OFF Weekends'!$D$38="OFF","OFF","")</f>
        <v/>
      </c>
      <c r="AR59" s="111" t="str">
        <f>IF('⚙ OFF Weekends'!$D$39="OFF","OFF","")</f>
        <v/>
      </c>
      <c r="AS59" s="111" t="str">
        <f>IF('⚙ OFF Weekends'!$D$40="OFF","OFF","")</f>
        <v/>
      </c>
      <c r="AT59" s="111" t="str">
        <f>IF('⚙ OFF Weekends'!$D$41="OFF","OFF","")</f>
        <v/>
      </c>
      <c r="AU59" s="111" t="str">
        <f>IF('⚙ OFF Weekends'!$D$42="OFF","OFF","")</f>
        <v/>
      </c>
      <c r="AV59" s="111" t="str">
        <f>IF('⚙ OFF Weekends'!$D$43="OFF","OFF","")</f>
        <v/>
      </c>
      <c r="AW59" s="111" t="str">
        <f>IF('⚙ OFF Weekends'!$D$44="OFF","OFF","")</f>
        <v/>
      </c>
      <c r="AX59" s="111" t="str">
        <f>IF('⚙ OFF Weekends'!$D$45="OFF","OFF","")</f>
        <v/>
      </c>
      <c r="AY59" s="111" t="str">
        <f>IF('⚙ OFF Weekends'!$D$46="OFF","OFF","")</f>
        <v/>
      </c>
      <c r="AZ59" s="111" t="str">
        <f>IF('⚙ OFF Weekends'!$D$47="OFF","OFF","")</f>
        <v/>
      </c>
      <c r="BA59" s="111" t="str">
        <f>IF('⚙ OFF Weekends'!$D$48="OFF","OFF","")</f>
        <v/>
      </c>
      <c r="BB59" s="111" t="str">
        <f>IF('⚙ OFF Weekends'!$D$49="OFF","OFF","")</f>
        <v/>
      </c>
      <c r="BC59" s="111" t="str">
        <f>IF('⚙ OFF Weekends'!$D$50="OFF","OFF","")</f>
        <v/>
      </c>
      <c r="BD59" s="111" t="str">
        <f>IF('⚙ OFF Weekends'!$D$51="OFF","OFF","")</f>
        <v/>
      </c>
      <c r="BE59" s="111" t="str">
        <f>IF('⚙ OFF Weekends'!$D$52="OFF","OFF","")</f>
        <v/>
      </c>
      <c r="BF59" s="111" t="str">
        <f>IF('⚙ OFF Weekends'!$D$53="OFF","OFF","")</f>
        <v/>
      </c>
      <c r="BG59" s="111" t="str">
        <f>IF('⚙ OFF Weekends'!$D$54="OFF","OFF","")</f>
        <v/>
      </c>
      <c r="BH59" s="111" t="str">
        <f>IF('⚙ OFF Weekends'!$D$55="OFF","OFF","")</f>
        <v/>
      </c>
      <c r="BI59" s="111" t="str">
        <f>IF('⚙ OFF Weekends'!$D$56="OFF","OFF","")</f>
        <v/>
      </c>
      <c r="BJ59" s="111" t="str">
        <f>IF('⚙ OFF Weekends'!$D$57="OFF","OFF","")</f>
        <v/>
      </c>
      <c r="BK59" s="111" t="str">
        <f>IF('⚙ OFF Weekends'!$D$58="OFF","OFF","")</f>
        <v/>
      </c>
      <c r="BL59" s="111" t="str">
        <f>IF('⚙ OFF Weekends'!$D$59="OFF","OFF","")</f>
        <v/>
      </c>
      <c r="BM59" s="111" t="str">
        <f>IF('⚙ OFF Weekends'!$D$60="OFF","OFF","")</f>
        <v/>
      </c>
      <c r="BN59" s="111" t="str">
        <f>IF('⚙ OFF Weekends'!$D$61="OFF","OFF","")</f>
        <v/>
      </c>
      <c r="BO59" s="111" t="str">
        <f>IF('⚙ OFF Weekends'!$D$62="OFF","OFF","")</f>
        <v/>
      </c>
      <c r="BP59" s="111" t="str">
        <f>IF('⚙ OFF Weekends'!$D$63="OFF","OFF","")</f>
        <v/>
      </c>
      <c r="BQ59" s="111" t="str">
        <f>IF('⚙ OFF Weekends'!$D$64="OFF","OFF","")</f>
        <v/>
      </c>
      <c r="BR59" s="111" t="str">
        <f>IF('⚙ OFF Weekends'!$D$65="OFF","OFF","")</f>
        <v/>
      </c>
      <c r="BS59" s="111" t="str">
        <f>IF('⚙ OFF Weekends'!$D$66="OFF","OFF","")</f>
        <v/>
      </c>
      <c r="BT59" s="111" t="str">
        <f>IF('⚙ OFF Weekends'!$D$67="OFF","OFF","")</f>
        <v/>
      </c>
      <c r="BU59" s="111" t="str">
        <f>IF('⚙ OFF Weekends'!$D$68="OFF","OFF","")</f>
        <v/>
      </c>
      <c r="BV59" s="111" t="str">
        <f>IF('⚙ OFF Weekends'!$D$69="OFF","OFF","")</f>
        <v/>
      </c>
      <c r="BW59" s="111" t="str">
        <f>IF('⚙ OFF Weekends'!$D$70="OFF","OFF","")</f>
        <v/>
      </c>
      <c r="BX59" s="111" t="str">
        <f>IF('⚙ OFF Weekends'!$D$71="OFF","OFF","")</f>
        <v/>
      </c>
      <c r="BY59" s="111" t="str">
        <f>IF('⚙ OFF Weekends'!$D$72="OFF","OFF","")</f>
        <v/>
      </c>
      <c r="BZ59" s="111" t="str">
        <f>IF('⚙ OFF Weekends'!$D$73="OFF","OFF","")</f>
        <v/>
      </c>
      <c r="CA59" s="111" t="str">
        <f>IF('⚙ OFF Weekends'!$D$74="OFF","OFF","")</f>
        <v/>
      </c>
      <c r="CB59" s="111" t="str">
        <f>IF('⚙ OFF Weekends'!$D$75="OFF","OFF","")</f>
        <v/>
      </c>
      <c r="CC59" s="111" t="str">
        <f>IF('⚙ OFF Weekends'!$D$76="OFF","OFF","")</f>
        <v/>
      </c>
      <c r="CD59" s="111" t="str">
        <f>IF('⚙ OFF Weekends'!$D$77="OFF","OFF","")</f>
        <v/>
      </c>
      <c r="CE59" s="112">
        <f t="shared" si="15"/>
        <v>4</v>
      </c>
      <c r="CF59" s="112">
        <f t="shared" si="16"/>
        <v>4</v>
      </c>
      <c r="CG59" s="112">
        <f t="shared" si="17"/>
        <v>0</v>
      </c>
      <c r="CH59" s="112" t="str">
        <f t="shared" si="18"/>
        <v>50%</v>
      </c>
    </row>
    <row r="60" ht="18.0" customHeight="1">
      <c r="A60" s="107">
        <v>20.0</v>
      </c>
      <c r="B60" s="120" t="s">
        <v>668</v>
      </c>
      <c r="C60" s="108"/>
      <c r="D60" s="109" t="str">
        <f t="shared" si="13"/>
        <v/>
      </c>
      <c r="E60" s="110" t="str">
        <f t="shared" si="14"/>
        <v/>
      </c>
      <c r="F60" s="108"/>
      <c r="G60" s="108"/>
      <c r="H60" s="108"/>
      <c r="I60" s="111" t="str">
        <f>IF('⚙ OFF Weekends'!$D$4="OFF","OFF","")</f>
        <v/>
      </c>
      <c r="J60" s="111" t="str">
        <f>IF('⚙ OFF Weekends'!$D$5="OFF","OFF","")</f>
        <v/>
      </c>
      <c r="K60" s="111" t="str">
        <f>IF('⚙ OFF Weekends'!$D$6="OFF","OFF","")</f>
        <v/>
      </c>
      <c r="L60" s="111" t="str">
        <f>IF('⚙ OFF Weekends'!$D$7="OFF","OFF","")</f>
        <v/>
      </c>
      <c r="M60" s="111" t="str">
        <f>IF('⚙ OFF Weekends'!$D$8="OFF","OFF","")</f>
        <v/>
      </c>
      <c r="N60" s="111" t="str">
        <f>IF('⚙ OFF Weekends'!$D$9="OFF","OFF","")</f>
        <v/>
      </c>
      <c r="O60" s="111" t="str">
        <f>IF('⚙ OFF Weekends'!$D$10="OFF","OFF","")</f>
        <v/>
      </c>
      <c r="P60" s="111" t="str">
        <f>IF('⚙ OFF Weekends'!$D$11="OFF","OFF","")</f>
        <v/>
      </c>
      <c r="Q60" s="111" t="str">
        <f>IF('⚙ OFF Weekends'!$D$12="OFF","OFF","")</f>
        <v/>
      </c>
      <c r="R60" s="111" t="str">
        <f>IF('⚙ OFF Weekends'!$D$13="OFF","OFF","")</f>
        <v/>
      </c>
      <c r="S60" s="111" t="str">
        <f>IF('⚙ OFF Weekends'!$D$14="OFF","OFF","")</f>
        <v/>
      </c>
      <c r="T60" s="111" t="str">
        <f>IF('⚙ OFF Weekends'!$D$15="OFF","OFF","")</f>
        <v/>
      </c>
      <c r="U60" s="111" t="str">
        <f>IF('⚙ OFF Weekends'!$D$16="OFF","OFF","")</f>
        <v/>
      </c>
      <c r="V60" s="121" t="s">
        <v>196</v>
      </c>
      <c r="W60" s="111" t="str">
        <f>IF('⚙ OFF Weekends'!$D$18="OFF","OFF","")</f>
        <v>OFF</v>
      </c>
      <c r="X60" s="121" t="s">
        <v>37</v>
      </c>
      <c r="Y60" s="121" t="s">
        <v>37</v>
      </c>
      <c r="Z60" s="121" t="s">
        <v>37</v>
      </c>
      <c r="AA60" s="121" t="s">
        <v>37</v>
      </c>
      <c r="AB60" s="121" t="s">
        <v>223</v>
      </c>
      <c r="AC60" s="111" t="str">
        <f>IF('⚙ OFF Weekends'!$D$24="OFF","OFF","")</f>
        <v/>
      </c>
      <c r="AD60" s="111" t="str">
        <f>IF('⚙ OFF Weekends'!$D$25="OFF","OFF","")</f>
        <v/>
      </c>
      <c r="AE60" s="111" t="str">
        <f>IF('⚙ OFF Weekends'!$D$26="OFF","OFF","")</f>
        <v/>
      </c>
      <c r="AF60" s="111" t="str">
        <f>IF('⚙ OFF Weekends'!$D$27="OFF","OFF","")</f>
        <v/>
      </c>
      <c r="AG60" s="111" t="str">
        <f>IF('⚙ OFF Weekends'!$D$28="OFF","OFF","")</f>
        <v/>
      </c>
      <c r="AH60" s="111" t="str">
        <f>IF('⚙ OFF Weekends'!$D$29="OFF","OFF","")</f>
        <v/>
      </c>
      <c r="AI60" s="111" t="str">
        <f>IF('⚙ OFF Weekends'!$D$30="OFF","OFF","")</f>
        <v/>
      </c>
      <c r="AJ60" s="111" t="str">
        <f>IF('⚙ OFF Weekends'!$D$31="OFF","OFF","")</f>
        <v/>
      </c>
      <c r="AK60" s="111" t="str">
        <f>IF('⚙ OFF Weekends'!$D$32="OFF","OFF","")</f>
        <v/>
      </c>
      <c r="AL60" s="111" t="str">
        <f>IF('⚙ OFF Weekends'!$D$33="OFF","OFF","")</f>
        <v/>
      </c>
      <c r="AM60" s="111" t="str">
        <f>IF('⚙ OFF Weekends'!$D$34="OFF","OFF","")</f>
        <v/>
      </c>
      <c r="AN60" s="111" t="str">
        <f>IF('⚙ OFF Weekends'!$D$35="OFF","OFF","")</f>
        <v/>
      </c>
      <c r="AO60" s="111" t="str">
        <f>IF('⚙ OFF Weekends'!$D$36="OFF","OFF","")</f>
        <v/>
      </c>
      <c r="AP60" s="111" t="str">
        <f>IF('⚙ OFF Weekends'!$D$37="OFF","OFF","")</f>
        <v/>
      </c>
      <c r="AQ60" s="111" t="str">
        <f>IF('⚙ OFF Weekends'!$D$38="OFF","OFF","")</f>
        <v/>
      </c>
      <c r="AR60" s="111" t="str">
        <f>IF('⚙ OFF Weekends'!$D$39="OFF","OFF","")</f>
        <v/>
      </c>
      <c r="AS60" s="111" t="str">
        <f>IF('⚙ OFF Weekends'!$D$40="OFF","OFF","")</f>
        <v/>
      </c>
      <c r="AT60" s="111" t="str">
        <f>IF('⚙ OFF Weekends'!$D$41="OFF","OFF","")</f>
        <v/>
      </c>
      <c r="AU60" s="111" t="str">
        <f>IF('⚙ OFF Weekends'!$D$42="OFF","OFF","")</f>
        <v/>
      </c>
      <c r="AV60" s="111" t="str">
        <f>IF('⚙ OFF Weekends'!$D$43="OFF","OFF","")</f>
        <v/>
      </c>
      <c r="AW60" s="111" t="str">
        <f>IF('⚙ OFF Weekends'!$D$44="OFF","OFF","")</f>
        <v/>
      </c>
      <c r="AX60" s="111" t="str">
        <f>IF('⚙ OFF Weekends'!$D$45="OFF","OFF","")</f>
        <v/>
      </c>
      <c r="AY60" s="111" t="str">
        <f>IF('⚙ OFF Weekends'!$D$46="OFF","OFF","")</f>
        <v/>
      </c>
      <c r="AZ60" s="111" t="str">
        <f>IF('⚙ OFF Weekends'!$D$47="OFF","OFF","")</f>
        <v/>
      </c>
      <c r="BA60" s="111" t="str">
        <f>IF('⚙ OFF Weekends'!$D$48="OFF","OFF","")</f>
        <v/>
      </c>
      <c r="BB60" s="111" t="str">
        <f>IF('⚙ OFF Weekends'!$D$49="OFF","OFF","")</f>
        <v/>
      </c>
      <c r="BC60" s="111" t="str">
        <f>IF('⚙ OFF Weekends'!$D$50="OFF","OFF","")</f>
        <v/>
      </c>
      <c r="BD60" s="111" t="str">
        <f>IF('⚙ OFF Weekends'!$D$51="OFF","OFF","")</f>
        <v/>
      </c>
      <c r="BE60" s="111" t="str">
        <f>IF('⚙ OFF Weekends'!$D$52="OFF","OFF","")</f>
        <v/>
      </c>
      <c r="BF60" s="111" t="str">
        <f>IF('⚙ OFF Weekends'!$D$53="OFF","OFF","")</f>
        <v/>
      </c>
      <c r="BG60" s="111" t="str">
        <f>IF('⚙ OFF Weekends'!$D$54="OFF","OFF","")</f>
        <v/>
      </c>
      <c r="BH60" s="111" t="str">
        <f>IF('⚙ OFF Weekends'!$D$55="OFF","OFF","")</f>
        <v/>
      </c>
      <c r="BI60" s="111" t="str">
        <f>IF('⚙ OFF Weekends'!$D$56="OFF","OFF","")</f>
        <v/>
      </c>
      <c r="BJ60" s="111" t="str">
        <f>IF('⚙ OFF Weekends'!$D$57="OFF","OFF","")</f>
        <v/>
      </c>
      <c r="BK60" s="111" t="str">
        <f>IF('⚙ OFF Weekends'!$D$58="OFF","OFF","")</f>
        <v/>
      </c>
      <c r="BL60" s="111" t="str">
        <f>IF('⚙ OFF Weekends'!$D$59="OFF","OFF","")</f>
        <v/>
      </c>
      <c r="BM60" s="111" t="str">
        <f>IF('⚙ OFF Weekends'!$D$60="OFF","OFF","")</f>
        <v/>
      </c>
      <c r="BN60" s="111" t="str">
        <f>IF('⚙ OFF Weekends'!$D$61="OFF","OFF","")</f>
        <v/>
      </c>
      <c r="BO60" s="111" t="str">
        <f>IF('⚙ OFF Weekends'!$D$62="OFF","OFF","")</f>
        <v/>
      </c>
      <c r="BP60" s="111" t="str">
        <f>IF('⚙ OFF Weekends'!$D$63="OFF","OFF","")</f>
        <v/>
      </c>
      <c r="BQ60" s="111" t="str">
        <f>IF('⚙ OFF Weekends'!$D$64="OFF","OFF","")</f>
        <v/>
      </c>
      <c r="BR60" s="111" t="str">
        <f>IF('⚙ OFF Weekends'!$D$65="OFF","OFF","")</f>
        <v/>
      </c>
      <c r="BS60" s="111" t="str">
        <f>IF('⚙ OFF Weekends'!$D$66="OFF","OFF","")</f>
        <v/>
      </c>
      <c r="BT60" s="111" t="str">
        <f>IF('⚙ OFF Weekends'!$D$67="OFF","OFF","")</f>
        <v/>
      </c>
      <c r="BU60" s="111" t="str">
        <f>IF('⚙ OFF Weekends'!$D$68="OFF","OFF","")</f>
        <v/>
      </c>
      <c r="BV60" s="111" t="str">
        <f>IF('⚙ OFF Weekends'!$D$69="OFF","OFF","")</f>
        <v/>
      </c>
      <c r="BW60" s="111" t="str">
        <f>IF('⚙ OFF Weekends'!$D$70="OFF","OFF","")</f>
        <v/>
      </c>
      <c r="BX60" s="111" t="str">
        <f>IF('⚙ OFF Weekends'!$D$71="OFF","OFF","")</f>
        <v/>
      </c>
      <c r="BY60" s="111" t="str">
        <f>IF('⚙ OFF Weekends'!$D$72="OFF","OFF","")</f>
        <v/>
      </c>
      <c r="BZ60" s="111" t="str">
        <f>IF('⚙ OFF Weekends'!$D$73="OFF","OFF","")</f>
        <v/>
      </c>
      <c r="CA60" s="111" t="str">
        <f>IF('⚙ OFF Weekends'!$D$74="OFF","OFF","")</f>
        <v/>
      </c>
      <c r="CB60" s="111" t="str">
        <f>IF('⚙ OFF Weekends'!$D$75="OFF","OFF","")</f>
        <v/>
      </c>
      <c r="CC60" s="111" t="str">
        <f>IF('⚙ OFF Weekends'!$D$76="OFF","OFF","")</f>
        <v/>
      </c>
      <c r="CD60" s="111" t="str">
        <f>IF('⚙ OFF Weekends'!$D$77="OFF","OFF","")</f>
        <v/>
      </c>
      <c r="CE60" s="112">
        <f t="shared" si="15"/>
        <v>5</v>
      </c>
      <c r="CF60" s="112">
        <f t="shared" si="16"/>
        <v>1</v>
      </c>
      <c r="CG60" s="112">
        <f t="shared" si="17"/>
        <v>0</v>
      </c>
      <c r="CH60" s="112" t="str">
        <f t="shared" si="18"/>
        <v>83%</v>
      </c>
    </row>
    <row r="61" ht="15.0" customHeight="1">
      <c r="A61" s="113" t="str">
        <f>"Group Strength: "&amp;COUNTA(B41:B60)</f>
        <v>Group Strength: 20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3"/>
    </row>
    <row r="62" ht="4.5" customHeight="1">
      <c r="A62" s="11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3"/>
    </row>
    <row r="63" ht="15.75" customHeight="1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72"/>
      <c r="BK63" s="72"/>
      <c r="BL63" s="72"/>
      <c r="BM63" s="72"/>
      <c r="BN63" s="72"/>
      <c r="BO63" s="72"/>
      <c r="BP63" s="72"/>
      <c r="BQ63" s="72"/>
      <c r="BR63" s="72"/>
      <c r="BS63" s="72"/>
      <c r="BT63" s="72"/>
      <c r="BU63" s="72"/>
      <c r="BV63" s="72"/>
      <c r="BW63" s="72"/>
      <c r="BX63" s="72"/>
      <c r="BY63" s="72"/>
      <c r="BZ63" s="72"/>
      <c r="CA63" s="72"/>
      <c r="CB63" s="72"/>
      <c r="CC63" s="72"/>
      <c r="CD63" s="72"/>
      <c r="CE63" s="72"/>
      <c r="CF63" s="72"/>
      <c r="CG63" s="72"/>
      <c r="CH63" s="72"/>
    </row>
    <row r="64" ht="15.75" customHeight="1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72"/>
      <c r="AS64" s="72"/>
      <c r="AT64" s="72"/>
      <c r="AU64" s="72"/>
      <c r="AV64" s="72"/>
      <c r="AW64" s="72"/>
      <c r="AX64" s="72"/>
      <c r="AY64" s="72"/>
      <c r="AZ64" s="72"/>
      <c r="BA64" s="72"/>
      <c r="BB64" s="72"/>
      <c r="BC64" s="72"/>
      <c r="BD64" s="72"/>
      <c r="BE64" s="72"/>
      <c r="BF64" s="72"/>
      <c r="BG64" s="72"/>
      <c r="BH64" s="72"/>
      <c r="BI64" s="72"/>
      <c r="BJ64" s="72"/>
      <c r="BK64" s="72"/>
      <c r="BL64" s="72"/>
      <c r="BM64" s="72"/>
      <c r="BN64" s="72"/>
      <c r="BO64" s="72"/>
      <c r="BP64" s="72"/>
      <c r="BQ64" s="72"/>
      <c r="BR64" s="72"/>
      <c r="BS64" s="72"/>
      <c r="BT64" s="72"/>
      <c r="BU64" s="72"/>
      <c r="BV64" s="72"/>
      <c r="BW64" s="72"/>
      <c r="BX64" s="72"/>
      <c r="BY64" s="72"/>
      <c r="BZ64" s="72"/>
      <c r="CA64" s="72"/>
      <c r="CB64" s="72"/>
      <c r="CC64" s="72"/>
      <c r="CD64" s="72"/>
      <c r="CE64" s="72"/>
      <c r="CF64" s="72"/>
      <c r="CG64" s="72"/>
      <c r="CH64" s="72"/>
    </row>
    <row r="65" ht="15.75" customHeight="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2"/>
      <c r="AU65" s="72"/>
      <c r="AV65" s="72"/>
      <c r="AW65" s="72"/>
      <c r="AX65" s="72"/>
      <c r="AY65" s="72"/>
      <c r="AZ65" s="72"/>
      <c r="BA65" s="72"/>
      <c r="BB65" s="72"/>
      <c r="BC65" s="72"/>
      <c r="BD65" s="72"/>
      <c r="BE65" s="72"/>
      <c r="BF65" s="72"/>
      <c r="BG65" s="72"/>
      <c r="BH65" s="72"/>
      <c r="BI65" s="72"/>
      <c r="BJ65" s="72"/>
      <c r="BK65" s="72"/>
      <c r="BL65" s="72"/>
      <c r="BM65" s="72"/>
      <c r="BN65" s="72"/>
      <c r="BO65" s="72"/>
      <c r="BP65" s="72"/>
      <c r="BQ65" s="72"/>
      <c r="BR65" s="72"/>
      <c r="BS65" s="72"/>
      <c r="BT65" s="72"/>
      <c r="BU65" s="72"/>
      <c r="BV65" s="72"/>
      <c r="BW65" s="72"/>
      <c r="BX65" s="72"/>
      <c r="BY65" s="72"/>
      <c r="BZ65" s="72"/>
      <c r="CA65" s="72"/>
      <c r="CB65" s="72"/>
      <c r="CC65" s="72"/>
      <c r="CD65" s="72"/>
      <c r="CE65" s="72"/>
      <c r="CF65" s="72"/>
      <c r="CG65" s="72"/>
      <c r="CH65" s="72"/>
    </row>
    <row r="66" ht="15.75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72"/>
      <c r="AS66" s="72"/>
      <c r="AT66" s="72"/>
      <c r="AU66" s="72"/>
      <c r="AV66" s="72"/>
      <c r="AW66" s="72"/>
      <c r="AX66" s="72"/>
      <c r="AY66" s="72"/>
      <c r="AZ66" s="72"/>
      <c r="BA66" s="72"/>
      <c r="BB66" s="72"/>
      <c r="BC66" s="72"/>
      <c r="BD66" s="72"/>
      <c r="BE66" s="72"/>
      <c r="BF66" s="72"/>
      <c r="BG66" s="72"/>
      <c r="BH66" s="72"/>
      <c r="BI66" s="72"/>
      <c r="BJ66" s="72"/>
      <c r="BK66" s="72"/>
      <c r="BL66" s="72"/>
      <c r="BM66" s="72"/>
      <c r="BN66" s="72"/>
      <c r="BO66" s="72"/>
      <c r="BP66" s="72"/>
      <c r="BQ66" s="72"/>
      <c r="BR66" s="72"/>
      <c r="BS66" s="72"/>
      <c r="BT66" s="72"/>
      <c r="BU66" s="72"/>
      <c r="BV66" s="72"/>
      <c r="BW66" s="72"/>
      <c r="BX66" s="72"/>
      <c r="BY66" s="72"/>
      <c r="BZ66" s="72"/>
      <c r="CA66" s="72"/>
      <c r="CB66" s="72"/>
      <c r="CC66" s="72"/>
      <c r="CD66" s="72"/>
      <c r="CE66" s="72"/>
      <c r="CF66" s="72"/>
      <c r="CG66" s="72"/>
      <c r="CH66" s="72"/>
    </row>
    <row r="67" ht="15.75" customHeight="1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72"/>
      <c r="BC67" s="72"/>
      <c r="BD67" s="72"/>
      <c r="BE67" s="72"/>
      <c r="BF67" s="72"/>
      <c r="BG67" s="72"/>
      <c r="BH67" s="72"/>
      <c r="BI67" s="72"/>
      <c r="BJ67" s="72"/>
      <c r="BK67" s="72"/>
      <c r="BL67" s="72"/>
      <c r="BM67" s="72"/>
      <c r="BN67" s="72"/>
      <c r="BO67" s="72"/>
      <c r="BP67" s="72"/>
      <c r="BQ67" s="72"/>
      <c r="BR67" s="72"/>
      <c r="BS67" s="72"/>
      <c r="BT67" s="72"/>
      <c r="BU67" s="72"/>
      <c r="BV67" s="72"/>
      <c r="BW67" s="72"/>
      <c r="BX67" s="72"/>
      <c r="BY67" s="72"/>
      <c r="BZ67" s="72"/>
      <c r="CA67" s="72"/>
      <c r="CB67" s="72"/>
      <c r="CC67" s="72"/>
      <c r="CD67" s="72"/>
      <c r="CE67" s="72"/>
      <c r="CF67" s="72"/>
      <c r="CG67" s="72"/>
      <c r="CH67" s="72"/>
    </row>
    <row r="68" ht="15.75" customHeight="1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72"/>
      <c r="AS68" s="72"/>
      <c r="AT68" s="72"/>
      <c r="AU68" s="72"/>
      <c r="AV68" s="72"/>
      <c r="AW68" s="72"/>
      <c r="AX68" s="72"/>
      <c r="AY68" s="72"/>
      <c r="AZ68" s="72"/>
      <c r="BA68" s="72"/>
      <c r="BB68" s="72"/>
      <c r="BC68" s="72"/>
      <c r="BD68" s="72"/>
      <c r="BE68" s="72"/>
      <c r="BF68" s="72"/>
      <c r="BG68" s="72"/>
      <c r="BH68" s="72"/>
      <c r="BI68" s="72"/>
      <c r="BJ68" s="72"/>
      <c r="BK68" s="72"/>
      <c r="BL68" s="72"/>
      <c r="BM68" s="72"/>
      <c r="BN68" s="72"/>
      <c r="BO68" s="72"/>
      <c r="BP68" s="72"/>
      <c r="BQ68" s="72"/>
      <c r="BR68" s="72"/>
      <c r="BS68" s="72"/>
      <c r="BT68" s="72"/>
      <c r="BU68" s="72"/>
      <c r="BV68" s="72"/>
      <c r="BW68" s="72"/>
      <c r="BX68" s="72"/>
      <c r="BY68" s="72"/>
      <c r="BZ68" s="72"/>
      <c r="CA68" s="72"/>
      <c r="CB68" s="72"/>
      <c r="CC68" s="72"/>
      <c r="CD68" s="72"/>
      <c r="CE68" s="72"/>
      <c r="CF68" s="72"/>
      <c r="CG68" s="72"/>
      <c r="CH68" s="72"/>
    </row>
    <row r="69" ht="15.75" customHeight="1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72"/>
      <c r="AS69" s="72"/>
      <c r="AT69" s="72"/>
      <c r="AU69" s="72"/>
      <c r="AV69" s="72"/>
      <c r="AW69" s="72"/>
      <c r="AX69" s="72"/>
      <c r="AY69" s="72"/>
      <c r="AZ69" s="72"/>
      <c r="BA69" s="72"/>
      <c r="BB69" s="72"/>
      <c r="BC69" s="72"/>
      <c r="BD69" s="72"/>
      <c r="BE69" s="72"/>
      <c r="BF69" s="72"/>
      <c r="BG69" s="72"/>
      <c r="BH69" s="72"/>
      <c r="BI69" s="72"/>
      <c r="BJ69" s="72"/>
      <c r="BK69" s="72"/>
      <c r="BL69" s="72"/>
      <c r="BM69" s="72"/>
      <c r="BN69" s="72"/>
      <c r="BO69" s="72"/>
      <c r="BP69" s="72"/>
      <c r="BQ69" s="72"/>
      <c r="BR69" s="72"/>
      <c r="BS69" s="72"/>
      <c r="BT69" s="72"/>
      <c r="BU69" s="72"/>
      <c r="BV69" s="72"/>
      <c r="BW69" s="72"/>
      <c r="BX69" s="72"/>
      <c r="BY69" s="72"/>
      <c r="BZ69" s="72"/>
      <c r="CA69" s="72"/>
      <c r="CB69" s="72"/>
      <c r="CC69" s="72"/>
      <c r="CD69" s="72"/>
      <c r="CE69" s="72"/>
      <c r="CF69" s="72"/>
      <c r="CG69" s="72"/>
      <c r="CH69" s="72"/>
    </row>
    <row r="70" ht="15.75" customHeight="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2"/>
      <c r="AV70" s="72"/>
      <c r="AW70" s="72"/>
      <c r="AX70" s="72"/>
      <c r="AY70" s="72"/>
      <c r="AZ70" s="72"/>
      <c r="BA70" s="72"/>
      <c r="BB70" s="72"/>
      <c r="BC70" s="72"/>
      <c r="BD70" s="72"/>
      <c r="BE70" s="72"/>
      <c r="BF70" s="72"/>
      <c r="BG70" s="72"/>
      <c r="BH70" s="72"/>
      <c r="BI70" s="72"/>
      <c r="BJ70" s="72"/>
      <c r="BK70" s="72"/>
      <c r="BL70" s="72"/>
      <c r="BM70" s="72"/>
      <c r="BN70" s="72"/>
      <c r="BO70" s="72"/>
      <c r="BP70" s="72"/>
      <c r="BQ70" s="72"/>
      <c r="BR70" s="72"/>
      <c r="BS70" s="72"/>
      <c r="BT70" s="72"/>
      <c r="BU70" s="72"/>
      <c r="BV70" s="72"/>
      <c r="BW70" s="72"/>
      <c r="BX70" s="72"/>
      <c r="BY70" s="72"/>
      <c r="BZ70" s="72"/>
      <c r="CA70" s="72"/>
      <c r="CB70" s="72"/>
      <c r="CC70" s="72"/>
      <c r="CD70" s="72"/>
      <c r="CE70" s="72"/>
      <c r="CF70" s="72"/>
      <c r="CG70" s="72"/>
      <c r="CH70" s="72"/>
    </row>
    <row r="71" ht="15.75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  <c r="AV71" s="72"/>
      <c r="AW71" s="72"/>
      <c r="AX71" s="72"/>
      <c r="AY71" s="72"/>
      <c r="AZ71" s="72"/>
      <c r="BA71" s="72"/>
      <c r="BB71" s="72"/>
      <c r="BC71" s="72"/>
      <c r="BD71" s="72"/>
      <c r="BE71" s="72"/>
      <c r="BF71" s="72"/>
      <c r="BG71" s="72"/>
      <c r="BH71" s="72"/>
      <c r="BI71" s="72"/>
      <c r="BJ71" s="72"/>
      <c r="BK71" s="72"/>
      <c r="BL71" s="72"/>
      <c r="BM71" s="72"/>
      <c r="BN71" s="72"/>
      <c r="BO71" s="72"/>
      <c r="BP71" s="72"/>
      <c r="BQ71" s="72"/>
      <c r="BR71" s="72"/>
      <c r="BS71" s="72"/>
      <c r="BT71" s="72"/>
      <c r="BU71" s="72"/>
      <c r="BV71" s="72"/>
      <c r="BW71" s="72"/>
      <c r="BX71" s="72"/>
      <c r="BY71" s="72"/>
      <c r="BZ71" s="72"/>
      <c r="CA71" s="72"/>
      <c r="CB71" s="72"/>
      <c r="CC71" s="72"/>
      <c r="CD71" s="72"/>
      <c r="CE71" s="72"/>
      <c r="CF71" s="72"/>
      <c r="CG71" s="72"/>
      <c r="CH71" s="72"/>
    </row>
    <row r="72" ht="15.75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  <c r="AT72" s="72"/>
      <c r="AU72" s="72"/>
      <c r="AV72" s="72"/>
      <c r="AW72" s="72"/>
      <c r="AX72" s="72"/>
      <c r="AY72" s="72"/>
      <c r="AZ72" s="72"/>
      <c r="BA72" s="72"/>
      <c r="BB72" s="72"/>
      <c r="BC72" s="72"/>
      <c r="BD72" s="72"/>
      <c r="BE72" s="72"/>
      <c r="BF72" s="72"/>
      <c r="BG72" s="72"/>
      <c r="BH72" s="72"/>
      <c r="BI72" s="72"/>
      <c r="BJ72" s="72"/>
      <c r="BK72" s="72"/>
      <c r="BL72" s="72"/>
      <c r="BM72" s="72"/>
      <c r="BN72" s="72"/>
      <c r="BO72" s="72"/>
      <c r="BP72" s="72"/>
      <c r="BQ72" s="72"/>
      <c r="BR72" s="72"/>
      <c r="BS72" s="72"/>
      <c r="BT72" s="72"/>
      <c r="BU72" s="72"/>
      <c r="BV72" s="72"/>
      <c r="BW72" s="72"/>
      <c r="BX72" s="72"/>
      <c r="BY72" s="72"/>
      <c r="BZ72" s="72"/>
      <c r="CA72" s="72"/>
      <c r="CB72" s="72"/>
      <c r="CC72" s="72"/>
      <c r="CD72" s="72"/>
      <c r="CE72" s="72"/>
      <c r="CF72" s="72"/>
      <c r="CG72" s="72"/>
      <c r="CH72" s="72"/>
    </row>
    <row r="73" ht="15.75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72"/>
      <c r="AS73" s="72"/>
      <c r="AT73" s="72"/>
      <c r="AU73" s="72"/>
      <c r="AV73" s="72"/>
      <c r="AW73" s="72"/>
      <c r="AX73" s="72"/>
      <c r="AY73" s="72"/>
      <c r="AZ73" s="72"/>
      <c r="BA73" s="72"/>
      <c r="BB73" s="72"/>
      <c r="BC73" s="72"/>
      <c r="BD73" s="72"/>
      <c r="BE73" s="72"/>
      <c r="BF73" s="72"/>
      <c r="BG73" s="72"/>
      <c r="BH73" s="72"/>
      <c r="BI73" s="72"/>
      <c r="BJ73" s="72"/>
      <c r="BK73" s="72"/>
      <c r="BL73" s="72"/>
      <c r="BM73" s="72"/>
      <c r="BN73" s="72"/>
      <c r="BO73" s="72"/>
      <c r="BP73" s="72"/>
      <c r="BQ73" s="72"/>
      <c r="BR73" s="72"/>
      <c r="BS73" s="72"/>
      <c r="BT73" s="72"/>
      <c r="BU73" s="72"/>
      <c r="BV73" s="72"/>
      <c r="BW73" s="72"/>
      <c r="BX73" s="72"/>
      <c r="BY73" s="72"/>
      <c r="BZ73" s="72"/>
      <c r="CA73" s="72"/>
      <c r="CB73" s="72"/>
      <c r="CC73" s="72"/>
      <c r="CD73" s="72"/>
      <c r="CE73" s="72"/>
      <c r="CF73" s="72"/>
      <c r="CG73" s="72"/>
      <c r="CH73" s="72"/>
    </row>
    <row r="74" ht="15.75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72"/>
      <c r="AS74" s="72"/>
      <c r="AT74" s="72"/>
      <c r="AU74" s="72"/>
      <c r="AV74" s="72"/>
      <c r="AW74" s="72"/>
      <c r="AX74" s="72"/>
      <c r="AY74" s="72"/>
      <c r="AZ74" s="72"/>
      <c r="BA74" s="72"/>
      <c r="BB74" s="72"/>
      <c r="BC74" s="72"/>
      <c r="BD74" s="72"/>
      <c r="BE74" s="72"/>
      <c r="BF74" s="72"/>
      <c r="BG74" s="72"/>
      <c r="BH74" s="72"/>
      <c r="BI74" s="72"/>
      <c r="BJ74" s="72"/>
      <c r="BK74" s="72"/>
      <c r="BL74" s="72"/>
      <c r="BM74" s="72"/>
      <c r="BN74" s="72"/>
      <c r="BO74" s="72"/>
      <c r="BP74" s="72"/>
      <c r="BQ74" s="72"/>
      <c r="BR74" s="72"/>
      <c r="BS74" s="72"/>
      <c r="BT74" s="72"/>
      <c r="BU74" s="72"/>
      <c r="BV74" s="72"/>
      <c r="BW74" s="72"/>
      <c r="BX74" s="72"/>
      <c r="BY74" s="72"/>
      <c r="BZ74" s="72"/>
      <c r="CA74" s="72"/>
      <c r="CB74" s="72"/>
      <c r="CC74" s="72"/>
      <c r="CD74" s="72"/>
      <c r="CE74" s="72"/>
      <c r="CF74" s="72"/>
      <c r="CG74" s="72"/>
      <c r="CH74" s="72"/>
    </row>
    <row r="75" ht="15.75" customHeight="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72"/>
      <c r="AS75" s="72"/>
      <c r="AT75" s="72"/>
      <c r="AU75" s="72"/>
      <c r="AV75" s="72"/>
      <c r="AW75" s="72"/>
      <c r="AX75" s="72"/>
      <c r="AY75" s="72"/>
      <c r="AZ75" s="72"/>
      <c r="BA75" s="72"/>
      <c r="BB75" s="72"/>
      <c r="BC75" s="72"/>
      <c r="BD75" s="72"/>
      <c r="BE75" s="72"/>
      <c r="BF75" s="72"/>
      <c r="BG75" s="72"/>
      <c r="BH75" s="72"/>
      <c r="BI75" s="72"/>
      <c r="BJ75" s="72"/>
      <c r="BK75" s="72"/>
      <c r="BL75" s="72"/>
      <c r="BM75" s="72"/>
      <c r="BN75" s="72"/>
      <c r="BO75" s="72"/>
      <c r="BP75" s="72"/>
      <c r="BQ75" s="72"/>
      <c r="BR75" s="72"/>
      <c r="BS75" s="72"/>
      <c r="BT75" s="72"/>
      <c r="BU75" s="72"/>
      <c r="BV75" s="72"/>
      <c r="BW75" s="72"/>
      <c r="BX75" s="72"/>
      <c r="BY75" s="72"/>
      <c r="BZ75" s="72"/>
      <c r="CA75" s="72"/>
      <c r="CB75" s="72"/>
      <c r="CC75" s="72"/>
      <c r="CD75" s="72"/>
      <c r="CE75" s="72"/>
      <c r="CF75" s="72"/>
      <c r="CG75" s="72"/>
      <c r="CH75" s="72"/>
    </row>
    <row r="76" ht="15.75" customHeight="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  <c r="AQ76" s="72"/>
      <c r="AR76" s="72"/>
      <c r="AS76" s="72"/>
      <c r="AT76" s="72"/>
      <c r="AU76" s="72"/>
      <c r="AV76" s="72"/>
      <c r="AW76" s="72"/>
      <c r="AX76" s="72"/>
      <c r="AY76" s="72"/>
      <c r="AZ76" s="72"/>
      <c r="BA76" s="72"/>
      <c r="BB76" s="72"/>
      <c r="BC76" s="72"/>
      <c r="BD76" s="72"/>
      <c r="BE76" s="72"/>
      <c r="BF76" s="72"/>
      <c r="BG76" s="72"/>
      <c r="BH76" s="72"/>
      <c r="BI76" s="72"/>
      <c r="BJ76" s="72"/>
      <c r="BK76" s="72"/>
      <c r="BL76" s="72"/>
      <c r="BM76" s="72"/>
      <c r="BN76" s="72"/>
      <c r="BO76" s="72"/>
      <c r="BP76" s="72"/>
      <c r="BQ76" s="72"/>
      <c r="BR76" s="72"/>
      <c r="BS76" s="72"/>
      <c r="BT76" s="72"/>
      <c r="BU76" s="72"/>
      <c r="BV76" s="72"/>
      <c r="BW76" s="72"/>
      <c r="BX76" s="72"/>
      <c r="BY76" s="72"/>
      <c r="BZ76" s="72"/>
      <c r="CA76" s="72"/>
      <c r="CB76" s="72"/>
      <c r="CC76" s="72"/>
      <c r="CD76" s="72"/>
      <c r="CE76" s="72"/>
      <c r="CF76" s="72"/>
      <c r="CG76" s="72"/>
      <c r="CH76" s="72"/>
    </row>
    <row r="77" ht="15.75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  <c r="AQ77" s="72"/>
      <c r="AR77" s="72"/>
      <c r="AS77" s="72"/>
      <c r="AT77" s="72"/>
      <c r="AU77" s="72"/>
      <c r="AV77" s="72"/>
      <c r="AW77" s="72"/>
      <c r="AX77" s="72"/>
      <c r="AY77" s="72"/>
      <c r="AZ77" s="72"/>
      <c r="BA77" s="72"/>
      <c r="BB77" s="72"/>
      <c r="BC77" s="72"/>
      <c r="BD77" s="72"/>
      <c r="BE77" s="72"/>
      <c r="BF77" s="72"/>
      <c r="BG77" s="72"/>
      <c r="BH77" s="72"/>
      <c r="BI77" s="72"/>
      <c r="BJ77" s="72"/>
      <c r="BK77" s="72"/>
      <c r="BL77" s="72"/>
      <c r="BM77" s="72"/>
      <c r="BN77" s="72"/>
      <c r="BO77" s="72"/>
      <c r="BP77" s="72"/>
      <c r="BQ77" s="72"/>
      <c r="BR77" s="72"/>
      <c r="BS77" s="72"/>
      <c r="BT77" s="72"/>
      <c r="BU77" s="72"/>
      <c r="BV77" s="72"/>
      <c r="BW77" s="72"/>
      <c r="BX77" s="72"/>
      <c r="BY77" s="72"/>
      <c r="BZ77" s="72"/>
      <c r="CA77" s="72"/>
      <c r="CB77" s="72"/>
      <c r="CC77" s="72"/>
      <c r="CD77" s="72"/>
      <c r="CE77" s="72"/>
      <c r="CF77" s="72"/>
      <c r="CG77" s="72"/>
      <c r="CH77" s="72"/>
    </row>
    <row r="78" ht="15.75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  <c r="AQ78" s="72"/>
      <c r="AR78" s="72"/>
      <c r="AS78" s="72"/>
      <c r="AT78" s="72"/>
      <c r="AU78" s="72"/>
      <c r="AV78" s="72"/>
      <c r="AW78" s="72"/>
      <c r="AX78" s="72"/>
      <c r="AY78" s="72"/>
      <c r="AZ78" s="72"/>
      <c r="BA78" s="72"/>
      <c r="BB78" s="72"/>
      <c r="BC78" s="72"/>
      <c r="BD78" s="72"/>
      <c r="BE78" s="72"/>
      <c r="BF78" s="72"/>
      <c r="BG78" s="72"/>
      <c r="BH78" s="72"/>
      <c r="BI78" s="72"/>
      <c r="BJ78" s="72"/>
      <c r="BK78" s="72"/>
      <c r="BL78" s="72"/>
      <c r="BM78" s="72"/>
      <c r="BN78" s="72"/>
      <c r="BO78" s="72"/>
      <c r="BP78" s="72"/>
      <c r="BQ78" s="72"/>
      <c r="BR78" s="72"/>
      <c r="BS78" s="72"/>
      <c r="BT78" s="72"/>
      <c r="BU78" s="72"/>
      <c r="BV78" s="72"/>
      <c r="BW78" s="72"/>
      <c r="BX78" s="72"/>
      <c r="BY78" s="72"/>
      <c r="BZ78" s="72"/>
      <c r="CA78" s="72"/>
      <c r="CB78" s="72"/>
      <c r="CC78" s="72"/>
      <c r="CD78" s="72"/>
      <c r="CE78" s="72"/>
      <c r="CF78" s="72"/>
      <c r="CG78" s="72"/>
      <c r="CH78" s="72"/>
    </row>
    <row r="79" ht="15.75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  <c r="AQ79" s="72"/>
      <c r="AR79" s="72"/>
      <c r="AS79" s="72"/>
      <c r="AT79" s="72"/>
      <c r="AU79" s="72"/>
      <c r="AV79" s="72"/>
      <c r="AW79" s="72"/>
      <c r="AX79" s="72"/>
      <c r="AY79" s="72"/>
      <c r="AZ79" s="72"/>
      <c r="BA79" s="72"/>
      <c r="BB79" s="72"/>
      <c r="BC79" s="72"/>
      <c r="BD79" s="72"/>
      <c r="BE79" s="72"/>
      <c r="BF79" s="72"/>
      <c r="BG79" s="72"/>
      <c r="BH79" s="72"/>
      <c r="BI79" s="72"/>
      <c r="BJ79" s="72"/>
      <c r="BK79" s="72"/>
      <c r="BL79" s="72"/>
      <c r="BM79" s="72"/>
      <c r="BN79" s="72"/>
      <c r="BO79" s="72"/>
      <c r="BP79" s="72"/>
      <c r="BQ79" s="72"/>
      <c r="BR79" s="72"/>
      <c r="BS79" s="72"/>
      <c r="BT79" s="72"/>
      <c r="BU79" s="72"/>
      <c r="BV79" s="72"/>
      <c r="BW79" s="72"/>
      <c r="BX79" s="72"/>
      <c r="BY79" s="72"/>
      <c r="BZ79" s="72"/>
      <c r="CA79" s="72"/>
      <c r="CB79" s="72"/>
      <c r="CC79" s="72"/>
      <c r="CD79" s="72"/>
      <c r="CE79" s="72"/>
      <c r="CF79" s="72"/>
      <c r="CG79" s="72"/>
      <c r="CH79" s="72"/>
    </row>
    <row r="80" ht="15.75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  <c r="AQ80" s="72"/>
      <c r="AR80" s="72"/>
      <c r="AS80" s="72"/>
      <c r="AT80" s="72"/>
      <c r="AU80" s="72"/>
      <c r="AV80" s="72"/>
      <c r="AW80" s="72"/>
      <c r="AX80" s="72"/>
      <c r="AY80" s="72"/>
      <c r="AZ80" s="72"/>
      <c r="BA80" s="72"/>
      <c r="BB80" s="72"/>
      <c r="BC80" s="72"/>
      <c r="BD80" s="72"/>
      <c r="BE80" s="72"/>
      <c r="BF80" s="72"/>
      <c r="BG80" s="72"/>
      <c r="BH80" s="72"/>
      <c r="BI80" s="72"/>
      <c r="BJ80" s="72"/>
      <c r="BK80" s="72"/>
      <c r="BL80" s="72"/>
      <c r="BM80" s="72"/>
      <c r="BN80" s="72"/>
      <c r="BO80" s="72"/>
      <c r="BP80" s="72"/>
      <c r="BQ80" s="72"/>
      <c r="BR80" s="72"/>
      <c r="BS80" s="72"/>
      <c r="BT80" s="72"/>
      <c r="BU80" s="72"/>
      <c r="BV80" s="72"/>
      <c r="BW80" s="72"/>
      <c r="BX80" s="72"/>
      <c r="BY80" s="72"/>
      <c r="BZ80" s="72"/>
      <c r="CA80" s="72"/>
      <c r="CB80" s="72"/>
      <c r="CC80" s="72"/>
      <c r="CD80" s="72"/>
      <c r="CE80" s="72"/>
      <c r="CF80" s="72"/>
      <c r="CG80" s="72"/>
      <c r="CH80" s="72"/>
    </row>
    <row r="81" ht="15.75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  <c r="AQ81" s="72"/>
      <c r="AR81" s="72"/>
      <c r="AS81" s="72"/>
      <c r="AT81" s="72"/>
      <c r="AU81" s="72"/>
      <c r="AV81" s="72"/>
      <c r="AW81" s="72"/>
      <c r="AX81" s="72"/>
      <c r="AY81" s="72"/>
      <c r="AZ81" s="72"/>
      <c r="BA81" s="72"/>
      <c r="BB81" s="72"/>
      <c r="BC81" s="72"/>
      <c r="BD81" s="72"/>
      <c r="BE81" s="72"/>
      <c r="BF81" s="72"/>
      <c r="BG81" s="72"/>
      <c r="BH81" s="72"/>
      <c r="BI81" s="72"/>
      <c r="BJ81" s="72"/>
      <c r="BK81" s="72"/>
      <c r="BL81" s="72"/>
      <c r="BM81" s="72"/>
      <c r="BN81" s="72"/>
      <c r="BO81" s="72"/>
      <c r="BP81" s="72"/>
      <c r="BQ81" s="72"/>
      <c r="BR81" s="72"/>
      <c r="BS81" s="72"/>
      <c r="BT81" s="72"/>
      <c r="BU81" s="72"/>
      <c r="BV81" s="72"/>
      <c r="BW81" s="72"/>
      <c r="BX81" s="72"/>
      <c r="BY81" s="72"/>
      <c r="BZ81" s="72"/>
      <c r="CA81" s="72"/>
      <c r="CB81" s="72"/>
      <c r="CC81" s="72"/>
      <c r="CD81" s="72"/>
      <c r="CE81" s="72"/>
      <c r="CF81" s="72"/>
      <c r="CG81" s="72"/>
      <c r="CH81" s="72"/>
    </row>
    <row r="82" ht="15.75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  <c r="AQ82" s="72"/>
      <c r="AR82" s="72"/>
      <c r="AS82" s="72"/>
      <c r="AT82" s="72"/>
      <c r="AU82" s="72"/>
      <c r="AV82" s="72"/>
      <c r="AW82" s="72"/>
      <c r="AX82" s="72"/>
      <c r="AY82" s="72"/>
      <c r="AZ82" s="72"/>
      <c r="BA82" s="72"/>
      <c r="BB82" s="72"/>
      <c r="BC82" s="72"/>
      <c r="BD82" s="72"/>
      <c r="BE82" s="72"/>
      <c r="BF82" s="72"/>
      <c r="BG82" s="72"/>
      <c r="BH82" s="72"/>
      <c r="BI82" s="72"/>
      <c r="BJ82" s="72"/>
      <c r="BK82" s="72"/>
      <c r="BL82" s="72"/>
      <c r="BM82" s="72"/>
      <c r="BN82" s="72"/>
      <c r="BO82" s="72"/>
      <c r="BP82" s="72"/>
      <c r="BQ82" s="72"/>
      <c r="BR82" s="72"/>
      <c r="BS82" s="72"/>
      <c r="BT82" s="72"/>
      <c r="BU82" s="72"/>
      <c r="BV82" s="72"/>
      <c r="BW82" s="72"/>
      <c r="BX82" s="72"/>
      <c r="BY82" s="72"/>
      <c r="BZ82" s="72"/>
      <c r="CA82" s="72"/>
      <c r="CB82" s="72"/>
      <c r="CC82" s="72"/>
      <c r="CD82" s="72"/>
      <c r="CE82" s="72"/>
      <c r="CF82" s="72"/>
      <c r="CG82" s="72"/>
      <c r="CH82" s="72"/>
    </row>
    <row r="83" ht="15.75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  <c r="AQ83" s="72"/>
      <c r="AR83" s="72"/>
      <c r="AS83" s="72"/>
      <c r="AT83" s="72"/>
      <c r="AU83" s="72"/>
      <c r="AV83" s="72"/>
      <c r="AW83" s="72"/>
      <c r="AX83" s="72"/>
      <c r="AY83" s="72"/>
      <c r="AZ83" s="72"/>
      <c r="BA83" s="72"/>
      <c r="BB83" s="72"/>
      <c r="BC83" s="72"/>
      <c r="BD83" s="72"/>
      <c r="BE83" s="72"/>
      <c r="BF83" s="72"/>
      <c r="BG83" s="72"/>
      <c r="BH83" s="72"/>
      <c r="BI83" s="72"/>
      <c r="BJ83" s="72"/>
      <c r="BK83" s="72"/>
      <c r="BL83" s="72"/>
      <c r="BM83" s="72"/>
      <c r="BN83" s="72"/>
      <c r="BO83" s="72"/>
      <c r="BP83" s="72"/>
      <c r="BQ83" s="72"/>
      <c r="BR83" s="72"/>
      <c r="BS83" s="72"/>
      <c r="BT83" s="72"/>
      <c r="BU83" s="72"/>
      <c r="BV83" s="72"/>
      <c r="BW83" s="72"/>
      <c r="BX83" s="72"/>
      <c r="BY83" s="72"/>
      <c r="BZ83" s="72"/>
      <c r="CA83" s="72"/>
      <c r="CB83" s="72"/>
      <c r="CC83" s="72"/>
      <c r="CD83" s="72"/>
      <c r="CE83" s="72"/>
      <c r="CF83" s="72"/>
      <c r="CG83" s="72"/>
      <c r="CH83" s="72"/>
    </row>
    <row r="84" ht="15.75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  <c r="AQ84" s="72"/>
      <c r="AR84" s="72"/>
      <c r="AS84" s="72"/>
      <c r="AT84" s="72"/>
      <c r="AU84" s="72"/>
      <c r="AV84" s="72"/>
      <c r="AW84" s="72"/>
      <c r="AX84" s="72"/>
      <c r="AY84" s="72"/>
      <c r="AZ84" s="72"/>
      <c r="BA84" s="72"/>
      <c r="BB84" s="72"/>
      <c r="BC84" s="72"/>
      <c r="BD84" s="72"/>
      <c r="BE84" s="72"/>
      <c r="BF84" s="72"/>
      <c r="BG84" s="72"/>
      <c r="BH84" s="72"/>
      <c r="BI84" s="72"/>
      <c r="BJ84" s="72"/>
      <c r="BK84" s="72"/>
      <c r="BL84" s="72"/>
      <c r="BM84" s="72"/>
      <c r="BN84" s="72"/>
      <c r="BO84" s="72"/>
      <c r="BP84" s="72"/>
      <c r="BQ84" s="72"/>
      <c r="BR84" s="72"/>
      <c r="BS84" s="72"/>
      <c r="BT84" s="72"/>
      <c r="BU84" s="72"/>
      <c r="BV84" s="72"/>
      <c r="BW84" s="72"/>
      <c r="BX84" s="72"/>
      <c r="BY84" s="72"/>
      <c r="BZ84" s="72"/>
      <c r="CA84" s="72"/>
      <c r="CB84" s="72"/>
      <c r="CC84" s="72"/>
      <c r="CD84" s="72"/>
      <c r="CE84" s="72"/>
      <c r="CF84" s="72"/>
      <c r="CG84" s="72"/>
      <c r="CH84" s="72"/>
    </row>
    <row r="85" ht="15.75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  <c r="AQ85" s="72"/>
      <c r="AR85" s="72"/>
      <c r="AS85" s="72"/>
      <c r="AT85" s="72"/>
      <c r="AU85" s="72"/>
      <c r="AV85" s="72"/>
      <c r="AW85" s="72"/>
      <c r="AX85" s="72"/>
      <c r="AY85" s="72"/>
      <c r="AZ85" s="72"/>
      <c r="BA85" s="72"/>
      <c r="BB85" s="72"/>
      <c r="BC85" s="72"/>
      <c r="BD85" s="72"/>
      <c r="BE85" s="72"/>
      <c r="BF85" s="72"/>
      <c r="BG85" s="72"/>
      <c r="BH85" s="72"/>
      <c r="BI85" s="72"/>
      <c r="BJ85" s="72"/>
      <c r="BK85" s="72"/>
      <c r="BL85" s="72"/>
      <c r="BM85" s="72"/>
      <c r="BN85" s="72"/>
      <c r="BO85" s="72"/>
      <c r="BP85" s="72"/>
      <c r="BQ85" s="72"/>
      <c r="BR85" s="72"/>
      <c r="BS85" s="72"/>
      <c r="BT85" s="72"/>
      <c r="BU85" s="72"/>
      <c r="BV85" s="72"/>
      <c r="BW85" s="72"/>
      <c r="BX85" s="72"/>
      <c r="BY85" s="72"/>
      <c r="BZ85" s="72"/>
      <c r="CA85" s="72"/>
      <c r="CB85" s="72"/>
      <c r="CC85" s="72"/>
      <c r="CD85" s="72"/>
      <c r="CE85" s="72"/>
      <c r="CF85" s="72"/>
      <c r="CG85" s="72"/>
      <c r="CH85" s="72"/>
    </row>
    <row r="86" ht="15.75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  <c r="AQ86" s="72"/>
      <c r="AR86" s="72"/>
      <c r="AS86" s="72"/>
      <c r="AT86" s="72"/>
      <c r="AU86" s="72"/>
      <c r="AV86" s="72"/>
      <c r="AW86" s="72"/>
      <c r="AX86" s="72"/>
      <c r="AY86" s="72"/>
      <c r="AZ86" s="72"/>
      <c r="BA86" s="72"/>
      <c r="BB86" s="72"/>
      <c r="BC86" s="72"/>
      <c r="BD86" s="72"/>
      <c r="BE86" s="72"/>
      <c r="BF86" s="72"/>
      <c r="BG86" s="72"/>
      <c r="BH86" s="72"/>
      <c r="BI86" s="72"/>
      <c r="BJ86" s="72"/>
      <c r="BK86" s="72"/>
      <c r="BL86" s="72"/>
      <c r="BM86" s="72"/>
      <c r="BN86" s="72"/>
      <c r="BO86" s="72"/>
      <c r="BP86" s="72"/>
      <c r="BQ86" s="72"/>
      <c r="BR86" s="72"/>
      <c r="BS86" s="72"/>
      <c r="BT86" s="72"/>
      <c r="BU86" s="72"/>
      <c r="BV86" s="72"/>
      <c r="BW86" s="72"/>
      <c r="BX86" s="72"/>
      <c r="BY86" s="72"/>
      <c r="BZ86" s="72"/>
      <c r="CA86" s="72"/>
      <c r="CB86" s="72"/>
      <c r="CC86" s="72"/>
      <c r="CD86" s="72"/>
      <c r="CE86" s="72"/>
      <c r="CF86" s="72"/>
      <c r="CG86" s="72"/>
      <c r="CH86" s="72"/>
    </row>
    <row r="87" ht="15.75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  <c r="AQ87" s="72"/>
      <c r="AR87" s="72"/>
      <c r="AS87" s="72"/>
      <c r="AT87" s="72"/>
      <c r="AU87" s="72"/>
      <c r="AV87" s="72"/>
      <c r="AW87" s="72"/>
      <c r="AX87" s="72"/>
      <c r="AY87" s="72"/>
      <c r="AZ87" s="72"/>
      <c r="BA87" s="72"/>
      <c r="BB87" s="72"/>
      <c r="BC87" s="72"/>
      <c r="BD87" s="72"/>
      <c r="BE87" s="72"/>
      <c r="BF87" s="72"/>
      <c r="BG87" s="72"/>
      <c r="BH87" s="72"/>
      <c r="BI87" s="72"/>
      <c r="BJ87" s="72"/>
      <c r="BK87" s="72"/>
      <c r="BL87" s="72"/>
      <c r="BM87" s="72"/>
      <c r="BN87" s="72"/>
      <c r="BO87" s="72"/>
      <c r="BP87" s="72"/>
      <c r="BQ87" s="72"/>
      <c r="BR87" s="72"/>
      <c r="BS87" s="72"/>
      <c r="BT87" s="72"/>
      <c r="BU87" s="72"/>
      <c r="BV87" s="72"/>
      <c r="BW87" s="72"/>
      <c r="BX87" s="72"/>
      <c r="BY87" s="72"/>
      <c r="BZ87" s="72"/>
      <c r="CA87" s="72"/>
      <c r="CB87" s="72"/>
      <c r="CC87" s="72"/>
      <c r="CD87" s="72"/>
      <c r="CE87" s="72"/>
      <c r="CF87" s="72"/>
      <c r="CG87" s="72"/>
      <c r="CH87" s="72"/>
    </row>
    <row r="88" ht="15.75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  <c r="AQ88" s="72"/>
      <c r="AR88" s="72"/>
      <c r="AS88" s="72"/>
      <c r="AT88" s="72"/>
      <c r="AU88" s="72"/>
      <c r="AV88" s="72"/>
      <c r="AW88" s="72"/>
      <c r="AX88" s="72"/>
      <c r="AY88" s="72"/>
      <c r="AZ88" s="72"/>
      <c r="BA88" s="72"/>
      <c r="BB88" s="72"/>
      <c r="BC88" s="72"/>
      <c r="BD88" s="72"/>
      <c r="BE88" s="72"/>
      <c r="BF88" s="72"/>
      <c r="BG88" s="72"/>
      <c r="BH88" s="72"/>
      <c r="BI88" s="72"/>
      <c r="BJ88" s="72"/>
      <c r="BK88" s="72"/>
      <c r="BL88" s="72"/>
      <c r="BM88" s="72"/>
      <c r="BN88" s="72"/>
      <c r="BO88" s="72"/>
      <c r="BP88" s="72"/>
      <c r="BQ88" s="72"/>
      <c r="BR88" s="72"/>
      <c r="BS88" s="72"/>
      <c r="BT88" s="72"/>
      <c r="BU88" s="72"/>
      <c r="BV88" s="72"/>
      <c r="BW88" s="72"/>
      <c r="BX88" s="72"/>
      <c r="BY88" s="72"/>
      <c r="BZ88" s="72"/>
      <c r="CA88" s="72"/>
      <c r="CB88" s="72"/>
      <c r="CC88" s="72"/>
      <c r="CD88" s="72"/>
      <c r="CE88" s="72"/>
      <c r="CF88" s="72"/>
      <c r="CG88" s="72"/>
      <c r="CH88" s="72"/>
    </row>
    <row r="89" ht="15.75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2"/>
      <c r="AT89" s="72"/>
      <c r="AU89" s="72"/>
      <c r="AV89" s="72"/>
      <c r="AW89" s="72"/>
      <c r="AX89" s="72"/>
      <c r="AY89" s="72"/>
      <c r="AZ89" s="72"/>
      <c r="BA89" s="72"/>
      <c r="BB89" s="72"/>
      <c r="BC89" s="72"/>
      <c r="BD89" s="72"/>
      <c r="BE89" s="72"/>
      <c r="BF89" s="72"/>
      <c r="BG89" s="72"/>
      <c r="BH89" s="72"/>
      <c r="BI89" s="72"/>
      <c r="BJ89" s="72"/>
      <c r="BK89" s="72"/>
      <c r="BL89" s="72"/>
      <c r="BM89" s="72"/>
      <c r="BN89" s="72"/>
      <c r="BO89" s="72"/>
      <c r="BP89" s="72"/>
      <c r="BQ89" s="72"/>
      <c r="BR89" s="72"/>
      <c r="BS89" s="72"/>
      <c r="BT89" s="72"/>
      <c r="BU89" s="72"/>
      <c r="BV89" s="72"/>
      <c r="BW89" s="72"/>
      <c r="BX89" s="72"/>
      <c r="BY89" s="72"/>
      <c r="BZ89" s="72"/>
      <c r="CA89" s="72"/>
      <c r="CB89" s="72"/>
      <c r="CC89" s="72"/>
      <c r="CD89" s="72"/>
      <c r="CE89" s="72"/>
      <c r="CF89" s="72"/>
      <c r="CG89" s="72"/>
      <c r="CH89" s="72"/>
    </row>
    <row r="90" ht="15.75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/>
      <c r="AR90" s="72"/>
      <c r="AS90" s="72"/>
      <c r="AT90" s="72"/>
      <c r="AU90" s="72"/>
      <c r="AV90" s="72"/>
      <c r="AW90" s="72"/>
      <c r="AX90" s="72"/>
      <c r="AY90" s="72"/>
      <c r="AZ90" s="72"/>
      <c r="BA90" s="72"/>
      <c r="BB90" s="72"/>
      <c r="BC90" s="72"/>
      <c r="BD90" s="72"/>
      <c r="BE90" s="72"/>
      <c r="BF90" s="72"/>
      <c r="BG90" s="72"/>
      <c r="BH90" s="72"/>
      <c r="BI90" s="72"/>
      <c r="BJ90" s="72"/>
      <c r="BK90" s="72"/>
      <c r="BL90" s="72"/>
      <c r="BM90" s="72"/>
      <c r="BN90" s="72"/>
      <c r="BO90" s="72"/>
      <c r="BP90" s="72"/>
      <c r="BQ90" s="72"/>
      <c r="BR90" s="72"/>
      <c r="BS90" s="72"/>
      <c r="BT90" s="72"/>
      <c r="BU90" s="72"/>
      <c r="BV90" s="72"/>
      <c r="BW90" s="72"/>
      <c r="BX90" s="72"/>
      <c r="BY90" s="72"/>
      <c r="BZ90" s="72"/>
      <c r="CA90" s="72"/>
      <c r="CB90" s="72"/>
      <c r="CC90" s="72"/>
      <c r="CD90" s="72"/>
      <c r="CE90" s="72"/>
      <c r="CF90" s="72"/>
      <c r="CG90" s="72"/>
      <c r="CH90" s="72"/>
    </row>
    <row r="91" ht="15.75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72"/>
      <c r="AW91" s="72"/>
      <c r="AX91" s="72"/>
      <c r="AY91" s="72"/>
      <c r="AZ91" s="72"/>
      <c r="BA91" s="72"/>
      <c r="BB91" s="72"/>
      <c r="BC91" s="72"/>
      <c r="BD91" s="72"/>
      <c r="BE91" s="72"/>
      <c r="BF91" s="72"/>
      <c r="BG91" s="72"/>
      <c r="BH91" s="72"/>
      <c r="BI91" s="72"/>
      <c r="BJ91" s="72"/>
      <c r="BK91" s="72"/>
      <c r="BL91" s="72"/>
      <c r="BM91" s="72"/>
      <c r="BN91" s="72"/>
      <c r="BO91" s="72"/>
      <c r="BP91" s="72"/>
      <c r="BQ91" s="72"/>
      <c r="BR91" s="72"/>
      <c r="BS91" s="72"/>
      <c r="BT91" s="72"/>
      <c r="BU91" s="72"/>
      <c r="BV91" s="72"/>
      <c r="BW91" s="72"/>
      <c r="BX91" s="72"/>
      <c r="BY91" s="72"/>
      <c r="BZ91" s="72"/>
      <c r="CA91" s="72"/>
      <c r="CB91" s="72"/>
      <c r="CC91" s="72"/>
      <c r="CD91" s="72"/>
      <c r="CE91" s="72"/>
      <c r="CF91" s="72"/>
      <c r="CG91" s="72"/>
      <c r="CH91" s="72"/>
    </row>
    <row r="92" ht="15.75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  <c r="AQ92" s="72"/>
      <c r="AR92" s="72"/>
      <c r="AS92" s="72"/>
      <c r="AT92" s="72"/>
      <c r="AU92" s="72"/>
      <c r="AV92" s="72"/>
      <c r="AW92" s="72"/>
      <c r="AX92" s="72"/>
      <c r="AY92" s="72"/>
      <c r="AZ92" s="72"/>
      <c r="BA92" s="72"/>
      <c r="BB92" s="72"/>
      <c r="BC92" s="72"/>
      <c r="BD92" s="72"/>
      <c r="BE92" s="72"/>
      <c r="BF92" s="72"/>
      <c r="BG92" s="72"/>
      <c r="BH92" s="72"/>
      <c r="BI92" s="72"/>
      <c r="BJ92" s="72"/>
      <c r="BK92" s="72"/>
      <c r="BL92" s="72"/>
      <c r="BM92" s="72"/>
      <c r="BN92" s="72"/>
      <c r="BO92" s="72"/>
      <c r="BP92" s="72"/>
      <c r="BQ92" s="72"/>
      <c r="BR92" s="72"/>
      <c r="BS92" s="72"/>
      <c r="BT92" s="72"/>
      <c r="BU92" s="72"/>
      <c r="BV92" s="72"/>
      <c r="BW92" s="72"/>
      <c r="BX92" s="72"/>
      <c r="BY92" s="72"/>
      <c r="BZ92" s="72"/>
      <c r="CA92" s="72"/>
      <c r="CB92" s="72"/>
      <c r="CC92" s="72"/>
      <c r="CD92" s="72"/>
      <c r="CE92" s="72"/>
      <c r="CF92" s="72"/>
      <c r="CG92" s="72"/>
      <c r="CH92" s="72"/>
    </row>
    <row r="93" ht="15.75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/>
      <c r="AR93" s="72"/>
      <c r="AS93" s="72"/>
      <c r="AT93" s="72"/>
      <c r="AU93" s="72"/>
      <c r="AV93" s="72"/>
      <c r="AW93" s="72"/>
      <c r="AX93" s="72"/>
      <c r="AY93" s="72"/>
      <c r="AZ93" s="72"/>
      <c r="BA93" s="72"/>
      <c r="BB93" s="72"/>
      <c r="BC93" s="72"/>
      <c r="BD93" s="72"/>
      <c r="BE93" s="72"/>
      <c r="BF93" s="72"/>
      <c r="BG93" s="72"/>
      <c r="BH93" s="72"/>
      <c r="BI93" s="72"/>
      <c r="BJ93" s="72"/>
      <c r="BK93" s="72"/>
      <c r="BL93" s="72"/>
      <c r="BM93" s="72"/>
      <c r="BN93" s="72"/>
      <c r="BO93" s="72"/>
      <c r="BP93" s="72"/>
      <c r="BQ93" s="72"/>
      <c r="BR93" s="72"/>
      <c r="BS93" s="72"/>
      <c r="BT93" s="72"/>
      <c r="BU93" s="72"/>
      <c r="BV93" s="72"/>
      <c r="BW93" s="72"/>
      <c r="BX93" s="72"/>
      <c r="BY93" s="72"/>
      <c r="BZ93" s="72"/>
      <c r="CA93" s="72"/>
      <c r="CB93" s="72"/>
      <c r="CC93" s="72"/>
      <c r="CD93" s="72"/>
      <c r="CE93" s="72"/>
      <c r="CF93" s="72"/>
      <c r="CG93" s="72"/>
      <c r="CH93" s="72"/>
    </row>
    <row r="94" ht="15.75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2"/>
      <c r="AS94" s="72"/>
      <c r="AT94" s="72"/>
      <c r="AU94" s="72"/>
      <c r="AV94" s="72"/>
      <c r="AW94" s="72"/>
      <c r="AX94" s="72"/>
      <c r="AY94" s="72"/>
      <c r="AZ94" s="72"/>
      <c r="BA94" s="72"/>
      <c r="BB94" s="72"/>
      <c r="BC94" s="72"/>
      <c r="BD94" s="72"/>
      <c r="BE94" s="72"/>
      <c r="BF94" s="72"/>
      <c r="BG94" s="72"/>
      <c r="BH94" s="72"/>
      <c r="BI94" s="72"/>
      <c r="BJ94" s="72"/>
      <c r="BK94" s="72"/>
      <c r="BL94" s="72"/>
      <c r="BM94" s="72"/>
      <c r="BN94" s="72"/>
      <c r="BO94" s="72"/>
      <c r="BP94" s="72"/>
      <c r="BQ94" s="72"/>
      <c r="BR94" s="72"/>
      <c r="BS94" s="72"/>
      <c r="BT94" s="72"/>
      <c r="BU94" s="72"/>
      <c r="BV94" s="72"/>
      <c r="BW94" s="72"/>
      <c r="BX94" s="72"/>
      <c r="BY94" s="72"/>
      <c r="BZ94" s="72"/>
      <c r="CA94" s="72"/>
      <c r="CB94" s="72"/>
      <c r="CC94" s="72"/>
      <c r="CD94" s="72"/>
      <c r="CE94" s="72"/>
      <c r="CF94" s="72"/>
      <c r="CG94" s="72"/>
      <c r="CH94" s="72"/>
    </row>
    <row r="95" ht="15.75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  <c r="AQ95" s="72"/>
      <c r="AR95" s="72"/>
      <c r="AS95" s="72"/>
      <c r="AT95" s="72"/>
      <c r="AU95" s="72"/>
      <c r="AV95" s="72"/>
      <c r="AW95" s="72"/>
      <c r="AX95" s="72"/>
      <c r="AY95" s="72"/>
      <c r="AZ95" s="72"/>
      <c r="BA95" s="72"/>
      <c r="BB95" s="72"/>
      <c r="BC95" s="72"/>
      <c r="BD95" s="72"/>
      <c r="BE95" s="72"/>
      <c r="BF95" s="72"/>
      <c r="BG95" s="72"/>
      <c r="BH95" s="72"/>
      <c r="BI95" s="72"/>
      <c r="BJ95" s="72"/>
      <c r="BK95" s="72"/>
      <c r="BL95" s="72"/>
      <c r="BM95" s="72"/>
      <c r="BN95" s="72"/>
      <c r="BO95" s="72"/>
      <c r="BP95" s="72"/>
      <c r="BQ95" s="72"/>
      <c r="BR95" s="72"/>
      <c r="BS95" s="72"/>
      <c r="BT95" s="72"/>
      <c r="BU95" s="72"/>
      <c r="BV95" s="72"/>
      <c r="BW95" s="72"/>
      <c r="BX95" s="72"/>
      <c r="BY95" s="72"/>
      <c r="BZ95" s="72"/>
      <c r="CA95" s="72"/>
      <c r="CB95" s="72"/>
      <c r="CC95" s="72"/>
      <c r="CD95" s="72"/>
      <c r="CE95" s="72"/>
      <c r="CF95" s="72"/>
      <c r="CG95" s="72"/>
      <c r="CH95" s="72"/>
    </row>
    <row r="96" ht="15.75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  <c r="AQ96" s="72"/>
      <c r="AR96" s="72"/>
      <c r="AS96" s="72"/>
      <c r="AT96" s="72"/>
      <c r="AU96" s="72"/>
      <c r="AV96" s="72"/>
      <c r="AW96" s="72"/>
      <c r="AX96" s="72"/>
      <c r="AY96" s="72"/>
      <c r="AZ96" s="72"/>
      <c r="BA96" s="72"/>
      <c r="BB96" s="72"/>
      <c r="BC96" s="72"/>
      <c r="BD96" s="72"/>
      <c r="BE96" s="72"/>
      <c r="BF96" s="72"/>
      <c r="BG96" s="72"/>
      <c r="BH96" s="72"/>
      <c r="BI96" s="72"/>
      <c r="BJ96" s="72"/>
      <c r="BK96" s="72"/>
      <c r="BL96" s="72"/>
      <c r="BM96" s="72"/>
      <c r="BN96" s="72"/>
      <c r="BO96" s="72"/>
      <c r="BP96" s="72"/>
      <c r="BQ96" s="72"/>
      <c r="BR96" s="72"/>
      <c r="BS96" s="72"/>
      <c r="BT96" s="72"/>
      <c r="BU96" s="72"/>
      <c r="BV96" s="72"/>
      <c r="BW96" s="72"/>
      <c r="BX96" s="72"/>
      <c r="BY96" s="72"/>
      <c r="BZ96" s="72"/>
      <c r="CA96" s="72"/>
      <c r="CB96" s="72"/>
      <c r="CC96" s="72"/>
      <c r="CD96" s="72"/>
      <c r="CE96" s="72"/>
      <c r="CF96" s="72"/>
      <c r="CG96" s="72"/>
      <c r="CH96" s="72"/>
    </row>
    <row r="97" ht="15.75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  <c r="AT97" s="72"/>
      <c r="AU97" s="72"/>
      <c r="AV97" s="72"/>
      <c r="AW97" s="72"/>
      <c r="AX97" s="72"/>
      <c r="AY97" s="72"/>
      <c r="AZ97" s="72"/>
      <c r="BA97" s="72"/>
      <c r="BB97" s="72"/>
      <c r="BC97" s="72"/>
      <c r="BD97" s="72"/>
      <c r="BE97" s="72"/>
      <c r="BF97" s="72"/>
      <c r="BG97" s="72"/>
      <c r="BH97" s="72"/>
      <c r="BI97" s="72"/>
      <c r="BJ97" s="72"/>
      <c r="BK97" s="72"/>
      <c r="BL97" s="72"/>
      <c r="BM97" s="72"/>
      <c r="BN97" s="72"/>
      <c r="BO97" s="72"/>
      <c r="BP97" s="72"/>
      <c r="BQ97" s="72"/>
      <c r="BR97" s="72"/>
      <c r="BS97" s="72"/>
      <c r="BT97" s="72"/>
      <c r="BU97" s="72"/>
      <c r="BV97" s="72"/>
      <c r="BW97" s="72"/>
      <c r="BX97" s="72"/>
      <c r="BY97" s="72"/>
      <c r="BZ97" s="72"/>
      <c r="CA97" s="72"/>
      <c r="CB97" s="72"/>
      <c r="CC97" s="72"/>
      <c r="CD97" s="72"/>
      <c r="CE97" s="72"/>
      <c r="CF97" s="72"/>
      <c r="CG97" s="72"/>
      <c r="CH97" s="72"/>
    </row>
    <row r="98" ht="15.75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  <c r="AQ98" s="72"/>
      <c r="AR98" s="72"/>
      <c r="AS98" s="72"/>
      <c r="AT98" s="72"/>
      <c r="AU98" s="72"/>
      <c r="AV98" s="72"/>
      <c r="AW98" s="72"/>
      <c r="AX98" s="72"/>
      <c r="AY98" s="72"/>
      <c r="AZ98" s="72"/>
      <c r="BA98" s="72"/>
      <c r="BB98" s="72"/>
      <c r="BC98" s="72"/>
      <c r="BD98" s="72"/>
      <c r="BE98" s="72"/>
      <c r="BF98" s="72"/>
      <c r="BG98" s="72"/>
      <c r="BH98" s="72"/>
      <c r="BI98" s="72"/>
      <c r="BJ98" s="72"/>
      <c r="BK98" s="72"/>
      <c r="BL98" s="72"/>
      <c r="BM98" s="72"/>
      <c r="BN98" s="72"/>
      <c r="BO98" s="72"/>
      <c r="BP98" s="72"/>
      <c r="BQ98" s="72"/>
      <c r="BR98" s="72"/>
      <c r="BS98" s="72"/>
      <c r="BT98" s="72"/>
      <c r="BU98" s="72"/>
      <c r="BV98" s="72"/>
      <c r="BW98" s="72"/>
      <c r="BX98" s="72"/>
      <c r="BY98" s="72"/>
      <c r="BZ98" s="72"/>
      <c r="CA98" s="72"/>
      <c r="CB98" s="72"/>
      <c r="CC98" s="72"/>
      <c r="CD98" s="72"/>
      <c r="CE98" s="72"/>
      <c r="CF98" s="72"/>
      <c r="CG98" s="72"/>
      <c r="CH98" s="72"/>
    </row>
    <row r="99" ht="15.75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  <c r="AQ99" s="72"/>
      <c r="AR99" s="72"/>
      <c r="AS99" s="72"/>
      <c r="AT99" s="72"/>
      <c r="AU99" s="72"/>
      <c r="AV99" s="72"/>
      <c r="AW99" s="72"/>
      <c r="AX99" s="72"/>
      <c r="AY99" s="72"/>
      <c r="AZ99" s="72"/>
      <c r="BA99" s="72"/>
      <c r="BB99" s="72"/>
      <c r="BC99" s="72"/>
      <c r="BD99" s="72"/>
      <c r="BE99" s="72"/>
      <c r="BF99" s="72"/>
      <c r="BG99" s="72"/>
      <c r="BH99" s="72"/>
      <c r="BI99" s="72"/>
      <c r="BJ99" s="72"/>
      <c r="BK99" s="72"/>
      <c r="BL99" s="72"/>
      <c r="BM99" s="72"/>
      <c r="BN99" s="72"/>
      <c r="BO99" s="72"/>
      <c r="BP99" s="72"/>
      <c r="BQ99" s="72"/>
      <c r="BR99" s="72"/>
      <c r="BS99" s="72"/>
      <c r="BT99" s="72"/>
      <c r="BU99" s="72"/>
      <c r="BV99" s="72"/>
      <c r="BW99" s="72"/>
      <c r="BX99" s="72"/>
      <c r="BY99" s="72"/>
      <c r="BZ99" s="72"/>
      <c r="CA99" s="72"/>
      <c r="CB99" s="72"/>
      <c r="CC99" s="72"/>
      <c r="CD99" s="72"/>
      <c r="CE99" s="72"/>
      <c r="CF99" s="72"/>
      <c r="CG99" s="72"/>
      <c r="CH99" s="72"/>
    </row>
    <row r="100" ht="15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  <c r="AQ100" s="72"/>
      <c r="AR100" s="72"/>
      <c r="AS100" s="72"/>
      <c r="AT100" s="72"/>
      <c r="AU100" s="72"/>
      <c r="AV100" s="72"/>
      <c r="AW100" s="72"/>
      <c r="AX100" s="72"/>
      <c r="AY100" s="72"/>
      <c r="AZ100" s="72"/>
      <c r="BA100" s="72"/>
      <c r="BB100" s="72"/>
      <c r="BC100" s="72"/>
      <c r="BD100" s="72"/>
      <c r="BE100" s="72"/>
      <c r="BF100" s="72"/>
      <c r="BG100" s="72"/>
      <c r="BH100" s="72"/>
      <c r="BI100" s="72"/>
      <c r="BJ100" s="72"/>
      <c r="BK100" s="72"/>
      <c r="BL100" s="72"/>
      <c r="BM100" s="72"/>
      <c r="BN100" s="72"/>
      <c r="BO100" s="72"/>
      <c r="BP100" s="72"/>
      <c r="BQ100" s="72"/>
      <c r="BR100" s="72"/>
      <c r="BS100" s="72"/>
      <c r="BT100" s="72"/>
      <c r="BU100" s="72"/>
      <c r="BV100" s="72"/>
      <c r="BW100" s="72"/>
      <c r="BX100" s="72"/>
      <c r="BY100" s="72"/>
      <c r="BZ100" s="72"/>
      <c r="CA100" s="72"/>
      <c r="CB100" s="72"/>
      <c r="CC100" s="72"/>
      <c r="CD100" s="72"/>
      <c r="CE100" s="72"/>
      <c r="CF100" s="72"/>
      <c r="CG100" s="72"/>
      <c r="CH100" s="72"/>
    </row>
    <row r="101" ht="15.7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  <c r="AV101" s="72"/>
      <c r="AW101" s="72"/>
      <c r="AX101" s="72"/>
      <c r="AY101" s="72"/>
      <c r="AZ101" s="72"/>
      <c r="BA101" s="72"/>
      <c r="BB101" s="72"/>
      <c r="BC101" s="72"/>
      <c r="BD101" s="72"/>
      <c r="BE101" s="72"/>
      <c r="BF101" s="72"/>
      <c r="BG101" s="72"/>
      <c r="BH101" s="72"/>
      <c r="BI101" s="72"/>
      <c r="BJ101" s="72"/>
      <c r="BK101" s="72"/>
      <c r="BL101" s="72"/>
      <c r="BM101" s="72"/>
      <c r="BN101" s="72"/>
      <c r="BO101" s="72"/>
      <c r="BP101" s="72"/>
      <c r="BQ101" s="72"/>
      <c r="BR101" s="72"/>
      <c r="BS101" s="72"/>
      <c r="BT101" s="72"/>
      <c r="BU101" s="72"/>
      <c r="BV101" s="72"/>
      <c r="BW101" s="72"/>
      <c r="BX101" s="72"/>
      <c r="BY101" s="72"/>
      <c r="BZ101" s="72"/>
      <c r="CA101" s="72"/>
      <c r="CB101" s="72"/>
      <c r="CC101" s="72"/>
      <c r="CD101" s="72"/>
      <c r="CE101" s="72"/>
      <c r="CF101" s="72"/>
      <c r="CG101" s="72"/>
      <c r="CH101" s="72"/>
    </row>
    <row r="102" ht="15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  <c r="AQ102" s="72"/>
      <c r="AR102" s="72"/>
      <c r="AS102" s="72"/>
      <c r="AT102" s="72"/>
      <c r="AU102" s="72"/>
      <c r="AV102" s="72"/>
      <c r="AW102" s="72"/>
      <c r="AX102" s="72"/>
      <c r="AY102" s="72"/>
      <c r="AZ102" s="72"/>
      <c r="BA102" s="72"/>
      <c r="BB102" s="72"/>
      <c r="BC102" s="72"/>
      <c r="BD102" s="72"/>
      <c r="BE102" s="72"/>
      <c r="BF102" s="72"/>
      <c r="BG102" s="72"/>
      <c r="BH102" s="72"/>
      <c r="BI102" s="72"/>
      <c r="BJ102" s="72"/>
      <c r="BK102" s="72"/>
      <c r="BL102" s="72"/>
      <c r="BM102" s="72"/>
      <c r="BN102" s="72"/>
      <c r="BO102" s="72"/>
      <c r="BP102" s="72"/>
      <c r="BQ102" s="72"/>
      <c r="BR102" s="72"/>
      <c r="BS102" s="72"/>
      <c r="BT102" s="72"/>
      <c r="BU102" s="72"/>
      <c r="BV102" s="72"/>
      <c r="BW102" s="72"/>
      <c r="BX102" s="72"/>
      <c r="BY102" s="72"/>
      <c r="BZ102" s="72"/>
      <c r="CA102" s="72"/>
      <c r="CB102" s="72"/>
      <c r="CC102" s="72"/>
      <c r="CD102" s="72"/>
      <c r="CE102" s="72"/>
      <c r="CF102" s="72"/>
      <c r="CG102" s="72"/>
      <c r="CH102" s="72"/>
    </row>
    <row r="103" ht="15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  <c r="AQ103" s="72"/>
      <c r="AR103" s="72"/>
      <c r="AS103" s="72"/>
      <c r="AT103" s="72"/>
      <c r="AU103" s="72"/>
      <c r="AV103" s="72"/>
      <c r="AW103" s="72"/>
      <c r="AX103" s="72"/>
      <c r="AY103" s="72"/>
      <c r="AZ103" s="72"/>
      <c r="BA103" s="72"/>
      <c r="BB103" s="72"/>
      <c r="BC103" s="72"/>
      <c r="BD103" s="72"/>
      <c r="BE103" s="72"/>
      <c r="BF103" s="72"/>
      <c r="BG103" s="72"/>
      <c r="BH103" s="72"/>
      <c r="BI103" s="72"/>
      <c r="BJ103" s="72"/>
      <c r="BK103" s="72"/>
      <c r="BL103" s="72"/>
      <c r="BM103" s="72"/>
      <c r="BN103" s="72"/>
      <c r="BO103" s="72"/>
      <c r="BP103" s="72"/>
      <c r="BQ103" s="72"/>
      <c r="BR103" s="72"/>
      <c r="BS103" s="72"/>
      <c r="BT103" s="72"/>
      <c r="BU103" s="72"/>
      <c r="BV103" s="72"/>
      <c r="BW103" s="72"/>
      <c r="BX103" s="72"/>
      <c r="BY103" s="72"/>
      <c r="BZ103" s="72"/>
      <c r="CA103" s="72"/>
      <c r="CB103" s="72"/>
      <c r="CC103" s="72"/>
      <c r="CD103" s="72"/>
      <c r="CE103" s="72"/>
      <c r="CF103" s="72"/>
      <c r="CG103" s="72"/>
      <c r="CH103" s="72"/>
    </row>
    <row r="104" ht="15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  <c r="AQ104" s="72"/>
      <c r="AR104" s="72"/>
      <c r="AS104" s="72"/>
      <c r="AT104" s="72"/>
      <c r="AU104" s="72"/>
      <c r="AV104" s="72"/>
      <c r="AW104" s="72"/>
      <c r="AX104" s="72"/>
      <c r="AY104" s="72"/>
      <c r="AZ104" s="72"/>
      <c r="BA104" s="72"/>
      <c r="BB104" s="72"/>
      <c r="BC104" s="72"/>
      <c r="BD104" s="72"/>
      <c r="BE104" s="72"/>
      <c r="BF104" s="72"/>
      <c r="BG104" s="72"/>
      <c r="BH104" s="72"/>
      <c r="BI104" s="72"/>
      <c r="BJ104" s="72"/>
      <c r="BK104" s="72"/>
      <c r="BL104" s="72"/>
      <c r="BM104" s="72"/>
      <c r="BN104" s="72"/>
      <c r="BO104" s="72"/>
      <c r="BP104" s="72"/>
      <c r="BQ104" s="72"/>
      <c r="BR104" s="72"/>
      <c r="BS104" s="72"/>
      <c r="BT104" s="72"/>
      <c r="BU104" s="72"/>
      <c r="BV104" s="72"/>
      <c r="BW104" s="72"/>
      <c r="BX104" s="72"/>
      <c r="BY104" s="72"/>
      <c r="BZ104" s="72"/>
      <c r="CA104" s="72"/>
      <c r="CB104" s="72"/>
      <c r="CC104" s="72"/>
      <c r="CD104" s="72"/>
      <c r="CE104" s="72"/>
      <c r="CF104" s="72"/>
      <c r="CG104" s="72"/>
      <c r="CH104" s="72"/>
    </row>
    <row r="105" ht="15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2"/>
      <c r="AR105" s="72"/>
      <c r="AS105" s="72"/>
      <c r="AT105" s="72"/>
      <c r="AU105" s="72"/>
      <c r="AV105" s="72"/>
      <c r="AW105" s="72"/>
      <c r="AX105" s="72"/>
      <c r="AY105" s="72"/>
      <c r="AZ105" s="72"/>
      <c r="BA105" s="72"/>
      <c r="BB105" s="72"/>
      <c r="BC105" s="72"/>
      <c r="BD105" s="72"/>
      <c r="BE105" s="72"/>
      <c r="BF105" s="72"/>
      <c r="BG105" s="72"/>
      <c r="BH105" s="72"/>
      <c r="BI105" s="72"/>
      <c r="BJ105" s="72"/>
      <c r="BK105" s="72"/>
      <c r="BL105" s="72"/>
      <c r="BM105" s="72"/>
      <c r="BN105" s="72"/>
      <c r="BO105" s="72"/>
      <c r="BP105" s="72"/>
      <c r="BQ105" s="72"/>
      <c r="BR105" s="72"/>
      <c r="BS105" s="72"/>
      <c r="BT105" s="72"/>
      <c r="BU105" s="72"/>
      <c r="BV105" s="72"/>
      <c r="BW105" s="72"/>
      <c r="BX105" s="72"/>
      <c r="BY105" s="72"/>
      <c r="BZ105" s="72"/>
      <c r="CA105" s="72"/>
      <c r="CB105" s="72"/>
      <c r="CC105" s="72"/>
      <c r="CD105" s="72"/>
      <c r="CE105" s="72"/>
      <c r="CF105" s="72"/>
      <c r="CG105" s="72"/>
      <c r="CH105" s="72"/>
    </row>
    <row r="106" ht="15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  <c r="AQ106" s="72"/>
      <c r="AR106" s="72"/>
      <c r="AS106" s="72"/>
      <c r="AT106" s="72"/>
      <c r="AU106" s="72"/>
      <c r="AV106" s="72"/>
      <c r="AW106" s="72"/>
      <c r="AX106" s="72"/>
      <c r="AY106" s="72"/>
      <c r="AZ106" s="72"/>
      <c r="BA106" s="72"/>
      <c r="BB106" s="72"/>
      <c r="BC106" s="72"/>
      <c r="BD106" s="72"/>
      <c r="BE106" s="72"/>
      <c r="BF106" s="72"/>
      <c r="BG106" s="72"/>
      <c r="BH106" s="72"/>
      <c r="BI106" s="72"/>
      <c r="BJ106" s="72"/>
      <c r="BK106" s="72"/>
      <c r="BL106" s="72"/>
      <c r="BM106" s="72"/>
      <c r="BN106" s="72"/>
      <c r="BO106" s="72"/>
      <c r="BP106" s="72"/>
      <c r="BQ106" s="72"/>
      <c r="BR106" s="72"/>
      <c r="BS106" s="72"/>
      <c r="BT106" s="72"/>
      <c r="BU106" s="72"/>
      <c r="BV106" s="72"/>
      <c r="BW106" s="72"/>
      <c r="BX106" s="72"/>
      <c r="BY106" s="72"/>
      <c r="BZ106" s="72"/>
      <c r="CA106" s="72"/>
      <c r="CB106" s="72"/>
      <c r="CC106" s="72"/>
      <c r="CD106" s="72"/>
      <c r="CE106" s="72"/>
      <c r="CF106" s="72"/>
      <c r="CG106" s="72"/>
      <c r="CH106" s="72"/>
    </row>
    <row r="107" ht="15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  <c r="AQ107" s="72"/>
      <c r="AR107" s="72"/>
      <c r="AS107" s="72"/>
      <c r="AT107" s="72"/>
      <c r="AU107" s="72"/>
      <c r="AV107" s="72"/>
      <c r="AW107" s="72"/>
      <c r="AX107" s="72"/>
      <c r="AY107" s="72"/>
      <c r="AZ107" s="72"/>
      <c r="BA107" s="72"/>
      <c r="BB107" s="72"/>
      <c r="BC107" s="72"/>
      <c r="BD107" s="72"/>
      <c r="BE107" s="72"/>
      <c r="BF107" s="72"/>
      <c r="BG107" s="72"/>
      <c r="BH107" s="72"/>
      <c r="BI107" s="72"/>
      <c r="BJ107" s="72"/>
      <c r="BK107" s="72"/>
      <c r="BL107" s="72"/>
      <c r="BM107" s="72"/>
      <c r="BN107" s="72"/>
      <c r="BO107" s="72"/>
      <c r="BP107" s="72"/>
      <c r="BQ107" s="72"/>
      <c r="BR107" s="72"/>
      <c r="BS107" s="72"/>
      <c r="BT107" s="72"/>
      <c r="BU107" s="72"/>
      <c r="BV107" s="72"/>
      <c r="BW107" s="72"/>
      <c r="BX107" s="72"/>
      <c r="BY107" s="72"/>
      <c r="BZ107" s="72"/>
      <c r="CA107" s="72"/>
      <c r="CB107" s="72"/>
      <c r="CC107" s="72"/>
      <c r="CD107" s="72"/>
      <c r="CE107" s="72"/>
      <c r="CF107" s="72"/>
      <c r="CG107" s="72"/>
      <c r="CH107" s="72"/>
    </row>
    <row r="108" ht="15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  <c r="AQ108" s="72"/>
      <c r="AR108" s="72"/>
      <c r="AS108" s="72"/>
      <c r="AT108" s="72"/>
      <c r="AU108" s="72"/>
      <c r="AV108" s="72"/>
      <c r="AW108" s="72"/>
      <c r="AX108" s="72"/>
      <c r="AY108" s="72"/>
      <c r="AZ108" s="72"/>
      <c r="BA108" s="72"/>
      <c r="BB108" s="72"/>
      <c r="BC108" s="72"/>
      <c r="BD108" s="72"/>
      <c r="BE108" s="72"/>
      <c r="BF108" s="72"/>
      <c r="BG108" s="72"/>
      <c r="BH108" s="72"/>
      <c r="BI108" s="72"/>
      <c r="BJ108" s="72"/>
      <c r="BK108" s="72"/>
      <c r="BL108" s="72"/>
      <c r="BM108" s="72"/>
      <c r="BN108" s="72"/>
      <c r="BO108" s="72"/>
      <c r="BP108" s="72"/>
      <c r="BQ108" s="72"/>
      <c r="BR108" s="72"/>
      <c r="BS108" s="72"/>
      <c r="BT108" s="72"/>
      <c r="BU108" s="72"/>
      <c r="BV108" s="72"/>
      <c r="BW108" s="72"/>
      <c r="BX108" s="72"/>
      <c r="BY108" s="72"/>
      <c r="BZ108" s="72"/>
      <c r="CA108" s="72"/>
      <c r="CB108" s="72"/>
      <c r="CC108" s="72"/>
      <c r="CD108" s="72"/>
      <c r="CE108" s="72"/>
      <c r="CF108" s="72"/>
      <c r="CG108" s="72"/>
      <c r="CH108" s="72"/>
    </row>
    <row r="109" ht="15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  <c r="AQ109" s="72"/>
      <c r="AR109" s="72"/>
      <c r="AS109" s="72"/>
      <c r="AT109" s="72"/>
      <c r="AU109" s="72"/>
      <c r="AV109" s="72"/>
      <c r="AW109" s="72"/>
      <c r="AX109" s="72"/>
      <c r="AY109" s="72"/>
      <c r="AZ109" s="72"/>
      <c r="BA109" s="72"/>
      <c r="BB109" s="72"/>
      <c r="BC109" s="72"/>
      <c r="BD109" s="72"/>
      <c r="BE109" s="72"/>
      <c r="BF109" s="72"/>
      <c r="BG109" s="72"/>
      <c r="BH109" s="72"/>
      <c r="BI109" s="72"/>
      <c r="BJ109" s="72"/>
      <c r="BK109" s="72"/>
      <c r="BL109" s="72"/>
      <c r="BM109" s="72"/>
      <c r="BN109" s="72"/>
      <c r="BO109" s="72"/>
      <c r="BP109" s="72"/>
      <c r="BQ109" s="72"/>
      <c r="BR109" s="72"/>
      <c r="BS109" s="72"/>
      <c r="BT109" s="72"/>
      <c r="BU109" s="72"/>
      <c r="BV109" s="72"/>
      <c r="BW109" s="72"/>
      <c r="BX109" s="72"/>
      <c r="BY109" s="72"/>
      <c r="BZ109" s="72"/>
      <c r="CA109" s="72"/>
      <c r="CB109" s="72"/>
      <c r="CC109" s="72"/>
      <c r="CD109" s="72"/>
      <c r="CE109" s="72"/>
      <c r="CF109" s="72"/>
      <c r="CG109" s="72"/>
      <c r="CH109" s="72"/>
    </row>
    <row r="110" ht="15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s="72"/>
      <c r="AV110" s="72"/>
      <c r="AW110" s="72"/>
      <c r="AX110" s="72"/>
      <c r="AY110" s="72"/>
      <c r="AZ110" s="72"/>
      <c r="BA110" s="72"/>
      <c r="BB110" s="72"/>
      <c r="BC110" s="72"/>
      <c r="BD110" s="72"/>
      <c r="BE110" s="72"/>
      <c r="BF110" s="72"/>
      <c r="BG110" s="72"/>
      <c r="BH110" s="72"/>
      <c r="BI110" s="72"/>
      <c r="BJ110" s="72"/>
      <c r="BK110" s="72"/>
      <c r="BL110" s="72"/>
      <c r="BM110" s="72"/>
      <c r="BN110" s="72"/>
      <c r="BO110" s="72"/>
      <c r="BP110" s="72"/>
      <c r="BQ110" s="72"/>
      <c r="BR110" s="72"/>
      <c r="BS110" s="72"/>
      <c r="BT110" s="72"/>
      <c r="BU110" s="72"/>
      <c r="BV110" s="72"/>
      <c r="BW110" s="72"/>
      <c r="BX110" s="72"/>
      <c r="BY110" s="72"/>
      <c r="BZ110" s="72"/>
      <c r="CA110" s="72"/>
      <c r="CB110" s="72"/>
      <c r="CC110" s="72"/>
      <c r="CD110" s="72"/>
      <c r="CE110" s="72"/>
      <c r="CF110" s="72"/>
      <c r="CG110" s="72"/>
      <c r="CH110" s="72"/>
    </row>
    <row r="111" ht="15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72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  <c r="BM111" s="72"/>
      <c r="BN111" s="72"/>
      <c r="BO111" s="72"/>
      <c r="BP111" s="72"/>
      <c r="BQ111" s="72"/>
      <c r="BR111" s="72"/>
      <c r="BS111" s="72"/>
      <c r="BT111" s="72"/>
      <c r="BU111" s="72"/>
      <c r="BV111" s="72"/>
      <c r="BW111" s="72"/>
      <c r="BX111" s="72"/>
      <c r="BY111" s="72"/>
      <c r="BZ111" s="72"/>
      <c r="CA111" s="72"/>
      <c r="CB111" s="72"/>
      <c r="CC111" s="72"/>
      <c r="CD111" s="72"/>
      <c r="CE111" s="72"/>
      <c r="CF111" s="72"/>
      <c r="CG111" s="72"/>
      <c r="CH111" s="72"/>
    </row>
    <row r="112" ht="15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  <c r="AQ112" s="72"/>
      <c r="AR112" s="72"/>
      <c r="AS112" s="72"/>
      <c r="AT112" s="72"/>
      <c r="AU112" s="72"/>
      <c r="AV112" s="72"/>
      <c r="AW112" s="72"/>
      <c r="AX112" s="72"/>
      <c r="AY112" s="72"/>
      <c r="AZ112" s="72"/>
      <c r="BA112" s="72"/>
      <c r="BB112" s="72"/>
      <c r="BC112" s="72"/>
      <c r="BD112" s="72"/>
      <c r="BE112" s="72"/>
      <c r="BF112" s="72"/>
      <c r="BG112" s="72"/>
      <c r="BH112" s="72"/>
      <c r="BI112" s="72"/>
      <c r="BJ112" s="72"/>
      <c r="BK112" s="72"/>
      <c r="BL112" s="72"/>
      <c r="BM112" s="72"/>
      <c r="BN112" s="72"/>
      <c r="BO112" s="72"/>
      <c r="BP112" s="72"/>
      <c r="BQ112" s="72"/>
      <c r="BR112" s="72"/>
      <c r="BS112" s="72"/>
      <c r="BT112" s="72"/>
      <c r="BU112" s="72"/>
      <c r="BV112" s="72"/>
      <c r="BW112" s="72"/>
      <c r="BX112" s="72"/>
      <c r="BY112" s="72"/>
      <c r="BZ112" s="72"/>
      <c r="CA112" s="72"/>
      <c r="CB112" s="72"/>
      <c r="CC112" s="72"/>
      <c r="CD112" s="72"/>
      <c r="CE112" s="72"/>
      <c r="CF112" s="72"/>
      <c r="CG112" s="72"/>
      <c r="CH112" s="72"/>
    </row>
    <row r="113" ht="15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  <c r="AQ113" s="72"/>
      <c r="AR113" s="72"/>
      <c r="AS113" s="72"/>
      <c r="AT113" s="72"/>
      <c r="AU113" s="72"/>
      <c r="AV113" s="72"/>
      <c r="AW113" s="72"/>
      <c r="AX113" s="72"/>
      <c r="AY113" s="72"/>
      <c r="AZ113" s="72"/>
      <c r="BA113" s="72"/>
      <c r="BB113" s="72"/>
      <c r="BC113" s="72"/>
      <c r="BD113" s="72"/>
      <c r="BE113" s="72"/>
      <c r="BF113" s="72"/>
      <c r="BG113" s="72"/>
      <c r="BH113" s="72"/>
      <c r="BI113" s="72"/>
      <c r="BJ113" s="72"/>
      <c r="BK113" s="72"/>
      <c r="BL113" s="72"/>
      <c r="BM113" s="72"/>
      <c r="BN113" s="72"/>
      <c r="BO113" s="72"/>
      <c r="BP113" s="72"/>
      <c r="BQ113" s="72"/>
      <c r="BR113" s="72"/>
      <c r="BS113" s="72"/>
      <c r="BT113" s="72"/>
      <c r="BU113" s="72"/>
      <c r="BV113" s="72"/>
      <c r="BW113" s="72"/>
      <c r="BX113" s="72"/>
      <c r="BY113" s="72"/>
      <c r="BZ113" s="72"/>
      <c r="CA113" s="72"/>
      <c r="CB113" s="72"/>
      <c r="CC113" s="72"/>
      <c r="CD113" s="72"/>
      <c r="CE113" s="72"/>
      <c r="CF113" s="72"/>
      <c r="CG113" s="72"/>
      <c r="CH113" s="72"/>
    </row>
    <row r="114" ht="15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  <c r="AQ114" s="72"/>
      <c r="AR114" s="72"/>
      <c r="AS114" s="72"/>
      <c r="AT114" s="72"/>
      <c r="AU114" s="72"/>
      <c r="AV114" s="72"/>
      <c r="AW114" s="72"/>
      <c r="AX114" s="72"/>
      <c r="AY114" s="72"/>
      <c r="AZ114" s="72"/>
      <c r="BA114" s="72"/>
      <c r="BB114" s="72"/>
      <c r="BC114" s="72"/>
      <c r="BD114" s="72"/>
      <c r="BE114" s="72"/>
      <c r="BF114" s="72"/>
      <c r="BG114" s="72"/>
      <c r="BH114" s="72"/>
      <c r="BI114" s="72"/>
      <c r="BJ114" s="72"/>
      <c r="BK114" s="72"/>
      <c r="BL114" s="72"/>
      <c r="BM114" s="72"/>
      <c r="BN114" s="72"/>
      <c r="BO114" s="72"/>
      <c r="BP114" s="72"/>
      <c r="BQ114" s="72"/>
      <c r="BR114" s="72"/>
      <c r="BS114" s="72"/>
      <c r="BT114" s="72"/>
      <c r="BU114" s="72"/>
      <c r="BV114" s="72"/>
      <c r="BW114" s="72"/>
      <c r="BX114" s="72"/>
      <c r="BY114" s="72"/>
      <c r="BZ114" s="72"/>
      <c r="CA114" s="72"/>
      <c r="CB114" s="72"/>
      <c r="CC114" s="72"/>
      <c r="CD114" s="72"/>
      <c r="CE114" s="72"/>
      <c r="CF114" s="72"/>
      <c r="CG114" s="72"/>
      <c r="CH114" s="72"/>
    </row>
    <row r="115" ht="15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  <c r="AQ115" s="72"/>
      <c r="AR115" s="72"/>
      <c r="AS115" s="72"/>
      <c r="AT115" s="72"/>
      <c r="AU115" s="72"/>
      <c r="AV115" s="72"/>
      <c r="AW115" s="72"/>
      <c r="AX115" s="72"/>
      <c r="AY115" s="72"/>
      <c r="AZ115" s="72"/>
      <c r="BA115" s="72"/>
      <c r="BB115" s="72"/>
      <c r="BC115" s="72"/>
      <c r="BD115" s="72"/>
      <c r="BE115" s="72"/>
      <c r="BF115" s="72"/>
      <c r="BG115" s="72"/>
      <c r="BH115" s="72"/>
      <c r="BI115" s="72"/>
      <c r="BJ115" s="72"/>
      <c r="BK115" s="72"/>
      <c r="BL115" s="72"/>
      <c r="BM115" s="72"/>
      <c r="BN115" s="72"/>
      <c r="BO115" s="72"/>
      <c r="BP115" s="72"/>
      <c r="BQ115" s="72"/>
      <c r="BR115" s="72"/>
      <c r="BS115" s="72"/>
      <c r="BT115" s="72"/>
      <c r="BU115" s="72"/>
      <c r="BV115" s="72"/>
      <c r="BW115" s="72"/>
      <c r="BX115" s="72"/>
      <c r="BY115" s="72"/>
      <c r="BZ115" s="72"/>
      <c r="CA115" s="72"/>
      <c r="CB115" s="72"/>
      <c r="CC115" s="72"/>
      <c r="CD115" s="72"/>
      <c r="CE115" s="72"/>
      <c r="CF115" s="72"/>
      <c r="CG115" s="72"/>
      <c r="CH115" s="72"/>
    </row>
    <row r="116" ht="15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  <c r="AT116" s="72"/>
      <c r="AU116" s="72"/>
      <c r="AV116" s="72"/>
      <c r="AW116" s="72"/>
      <c r="AX116" s="72"/>
      <c r="AY116" s="72"/>
      <c r="AZ116" s="72"/>
      <c r="BA116" s="72"/>
      <c r="BB116" s="72"/>
      <c r="BC116" s="72"/>
      <c r="BD116" s="72"/>
      <c r="BE116" s="72"/>
      <c r="BF116" s="72"/>
      <c r="BG116" s="72"/>
      <c r="BH116" s="72"/>
      <c r="BI116" s="72"/>
      <c r="BJ116" s="72"/>
      <c r="BK116" s="72"/>
      <c r="BL116" s="72"/>
      <c r="BM116" s="72"/>
      <c r="BN116" s="72"/>
      <c r="BO116" s="72"/>
      <c r="BP116" s="72"/>
      <c r="BQ116" s="72"/>
      <c r="BR116" s="72"/>
      <c r="BS116" s="72"/>
      <c r="BT116" s="72"/>
      <c r="BU116" s="72"/>
      <c r="BV116" s="72"/>
      <c r="BW116" s="72"/>
      <c r="BX116" s="72"/>
      <c r="BY116" s="72"/>
      <c r="BZ116" s="72"/>
      <c r="CA116" s="72"/>
      <c r="CB116" s="72"/>
      <c r="CC116" s="72"/>
      <c r="CD116" s="72"/>
      <c r="CE116" s="72"/>
      <c r="CF116" s="72"/>
      <c r="CG116" s="72"/>
      <c r="CH116" s="72"/>
    </row>
    <row r="117" ht="15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  <c r="AT117" s="72"/>
      <c r="AU117" s="72"/>
      <c r="AV117" s="72"/>
      <c r="AW117" s="72"/>
      <c r="AX117" s="72"/>
      <c r="AY117" s="72"/>
      <c r="AZ117" s="72"/>
      <c r="BA117" s="72"/>
      <c r="BB117" s="72"/>
      <c r="BC117" s="72"/>
      <c r="BD117" s="72"/>
      <c r="BE117" s="72"/>
      <c r="BF117" s="72"/>
      <c r="BG117" s="72"/>
      <c r="BH117" s="72"/>
      <c r="BI117" s="72"/>
      <c r="BJ117" s="72"/>
      <c r="BK117" s="72"/>
      <c r="BL117" s="72"/>
      <c r="BM117" s="72"/>
      <c r="BN117" s="72"/>
      <c r="BO117" s="72"/>
      <c r="BP117" s="72"/>
      <c r="BQ117" s="72"/>
      <c r="BR117" s="72"/>
      <c r="BS117" s="72"/>
      <c r="BT117" s="72"/>
      <c r="BU117" s="72"/>
      <c r="BV117" s="72"/>
      <c r="BW117" s="72"/>
      <c r="BX117" s="72"/>
      <c r="BY117" s="72"/>
      <c r="BZ117" s="72"/>
      <c r="CA117" s="72"/>
      <c r="CB117" s="72"/>
      <c r="CC117" s="72"/>
      <c r="CD117" s="72"/>
      <c r="CE117" s="72"/>
      <c r="CF117" s="72"/>
      <c r="CG117" s="72"/>
      <c r="CH117" s="72"/>
    </row>
    <row r="118" ht="15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  <c r="AT118" s="72"/>
      <c r="AU118" s="72"/>
      <c r="AV118" s="72"/>
      <c r="AW118" s="72"/>
      <c r="AX118" s="72"/>
      <c r="AY118" s="72"/>
      <c r="AZ118" s="72"/>
      <c r="BA118" s="72"/>
      <c r="BB118" s="72"/>
      <c r="BC118" s="72"/>
      <c r="BD118" s="72"/>
      <c r="BE118" s="72"/>
      <c r="BF118" s="72"/>
      <c r="BG118" s="72"/>
      <c r="BH118" s="72"/>
      <c r="BI118" s="72"/>
      <c r="BJ118" s="72"/>
      <c r="BK118" s="72"/>
      <c r="BL118" s="72"/>
      <c r="BM118" s="72"/>
      <c r="BN118" s="72"/>
      <c r="BO118" s="72"/>
      <c r="BP118" s="72"/>
      <c r="BQ118" s="72"/>
      <c r="BR118" s="72"/>
      <c r="BS118" s="72"/>
      <c r="BT118" s="72"/>
      <c r="BU118" s="72"/>
      <c r="BV118" s="72"/>
      <c r="BW118" s="72"/>
      <c r="BX118" s="72"/>
      <c r="BY118" s="72"/>
      <c r="BZ118" s="72"/>
      <c r="CA118" s="72"/>
      <c r="CB118" s="72"/>
      <c r="CC118" s="72"/>
      <c r="CD118" s="72"/>
      <c r="CE118" s="72"/>
      <c r="CF118" s="72"/>
      <c r="CG118" s="72"/>
      <c r="CH118" s="72"/>
    </row>
    <row r="119" ht="15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  <c r="AT119" s="72"/>
      <c r="AU119" s="72"/>
      <c r="AV119" s="72"/>
      <c r="AW119" s="72"/>
      <c r="AX119" s="72"/>
      <c r="AY119" s="72"/>
      <c r="AZ119" s="72"/>
      <c r="BA119" s="72"/>
      <c r="BB119" s="72"/>
      <c r="BC119" s="72"/>
      <c r="BD119" s="72"/>
      <c r="BE119" s="72"/>
      <c r="BF119" s="72"/>
      <c r="BG119" s="72"/>
      <c r="BH119" s="72"/>
      <c r="BI119" s="72"/>
      <c r="BJ119" s="72"/>
      <c r="BK119" s="72"/>
      <c r="BL119" s="72"/>
      <c r="BM119" s="72"/>
      <c r="BN119" s="72"/>
      <c r="BO119" s="72"/>
      <c r="BP119" s="72"/>
      <c r="BQ119" s="72"/>
      <c r="BR119" s="72"/>
      <c r="BS119" s="72"/>
      <c r="BT119" s="72"/>
      <c r="BU119" s="72"/>
      <c r="BV119" s="72"/>
      <c r="BW119" s="72"/>
      <c r="BX119" s="72"/>
      <c r="BY119" s="72"/>
      <c r="BZ119" s="72"/>
      <c r="CA119" s="72"/>
      <c r="CB119" s="72"/>
      <c r="CC119" s="72"/>
      <c r="CD119" s="72"/>
      <c r="CE119" s="72"/>
      <c r="CF119" s="72"/>
      <c r="CG119" s="72"/>
      <c r="CH119" s="72"/>
    </row>
    <row r="120" ht="15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  <c r="AT120" s="72"/>
      <c r="AU120" s="72"/>
      <c r="AV120" s="72"/>
      <c r="AW120" s="72"/>
      <c r="AX120" s="72"/>
      <c r="AY120" s="72"/>
      <c r="AZ120" s="72"/>
      <c r="BA120" s="72"/>
      <c r="BB120" s="72"/>
      <c r="BC120" s="72"/>
      <c r="BD120" s="72"/>
      <c r="BE120" s="72"/>
      <c r="BF120" s="72"/>
      <c r="BG120" s="72"/>
      <c r="BH120" s="72"/>
      <c r="BI120" s="72"/>
      <c r="BJ120" s="72"/>
      <c r="BK120" s="72"/>
      <c r="BL120" s="72"/>
      <c r="BM120" s="72"/>
      <c r="BN120" s="72"/>
      <c r="BO120" s="72"/>
      <c r="BP120" s="72"/>
      <c r="BQ120" s="72"/>
      <c r="BR120" s="72"/>
      <c r="BS120" s="72"/>
      <c r="BT120" s="72"/>
      <c r="BU120" s="72"/>
      <c r="BV120" s="72"/>
      <c r="BW120" s="72"/>
      <c r="BX120" s="72"/>
      <c r="BY120" s="72"/>
      <c r="BZ120" s="72"/>
      <c r="CA120" s="72"/>
      <c r="CB120" s="72"/>
      <c r="CC120" s="72"/>
      <c r="CD120" s="72"/>
      <c r="CE120" s="72"/>
      <c r="CF120" s="72"/>
      <c r="CG120" s="72"/>
      <c r="CH120" s="72"/>
    </row>
    <row r="121" ht="15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  <c r="AT121" s="72"/>
      <c r="AU121" s="72"/>
      <c r="AV121" s="72"/>
      <c r="AW121" s="72"/>
      <c r="AX121" s="72"/>
      <c r="AY121" s="72"/>
      <c r="AZ121" s="72"/>
      <c r="BA121" s="72"/>
      <c r="BB121" s="72"/>
      <c r="BC121" s="72"/>
      <c r="BD121" s="72"/>
      <c r="BE121" s="72"/>
      <c r="BF121" s="72"/>
      <c r="BG121" s="72"/>
      <c r="BH121" s="72"/>
      <c r="BI121" s="72"/>
      <c r="BJ121" s="72"/>
      <c r="BK121" s="72"/>
      <c r="BL121" s="72"/>
      <c r="BM121" s="72"/>
      <c r="BN121" s="72"/>
      <c r="BO121" s="72"/>
      <c r="BP121" s="72"/>
      <c r="BQ121" s="72"/>
      <c r="BR121" s="72"/>
      <c r="BS121" s="72"/>
      <c r="BT121" s="72"/>
      <c r="BU121" s="72"/>
      <c r="BV121" s="72"/>
      <c r="BW121" s="72"/>
      <c r="BX121" s="72"/>
      <c r="BY121" s="72"/>
      <c r="BZ121" s="72"/>
      <c r="CA121" s="72"/>
      <c r="CB121" s="72"/>
      <c r="CC121" s="72"/>
      <c r="CD121" s="72"/>
      <c r="CE121" s="72"/>
      <c r="CF121" s="72"/>
      <c r="CG121" s="72"/>
      <c r="CH121" s="72"/>
    </row>
    <row r="122" ht="15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  <c r="AT122" s="72"/>
      <c r="AU122" s="72"/>
      <c r="AV122" s="72"/>
      <c r="AW122" s="72"/>
      <c r="AX122" s="72"/>
      <c r="AY122" s="72"/>
      <c r="AZ122" s="72"/>
      <c r="BA122" s="72"/>
      <c r="BB122" s="72"/>
      <c r="BC122" s="72"/>
      <c r="BD122" s="72"/>
      <c r="BE122" s="72"/>
      <c r="BF122" s="72"/>
      <c r="BG122" s="72"/>
      <c r="BH122" s="72"/>
      <c r="BI122" s="72"/>
      <c r="BJ122" s="72"/>
      <c r="BK122" s="72"/>
      <c r="BL122" s="72"/>
      <c r="BM122" s="72"/>
      <c r="BN122" s="72"/>
      <c r="BO122" s="72"/>
      <c r="BP122" s="72"/>
      <c r="BQ122" s="72"/>
      <c r="BR122" s="72"/>
      <c r="BS122" s="72"/>
      <c r="BT122" s="72"/>
      <c r="BU122" s="72"/>
      <c r="BV122" s="72"/>
      <c r="BW122" s="72"/>
      <c r="BX122" s="72"/>
      <c r="BY122" s="72"/>
      <c r="BZ122" s="72"/>
      <c r="CA122" s="72"/>
      <c r="CB122" s="72"/>
      <c r="CC122" s="72"/>
      <c r="CD122" s="72"/>
      <c r="CE122" s="72"/>
      <c r="CF122" s="72"/>
      <c r="CG122" s="72"/>
      <c r="CH122" s="72"/>
    </row>
    <row r="123" ht="15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  <c r="AT123" s="72"/>
      <c r="AU123" s="72"/>
      <c r="AV123" s="72"/>
      <c r="AW123" s="72"/>
      <c r="AX123" s="72"/>
      <c r="AY123" s="72"/>
      <c r="AZ123" s="72"/>
      <c r="BA123" s="72"/>
      <c r="BB123" s="72"/>
      <c r="BC123" s="72"/>
      <c r="BD123" s="72"/>
      <c r="BE123" s="72"/>
      <c r="BF123" s="72"/>
      <c r="BG123" s="72"/>
      <c r="BH123" s="72"/>
      <c r="BI123" s="72"/>
      <c r="BJ123" s="72"/>
      <c r="BK123" s="72"/>
      <c r="BL123" s="72"/>
      <c r="BM123" s="72"/>
      <c r="BN123" s="72"/>
      <c r="BO123" s="72"/>
      <c r="BP123" s="72"/>
      <c r="BQ123" s="72"/>
      <c r="BR123" s="72"/>
      <c r="BS123" s="72"/>
      <c r="BT123" s="72"/>
      <c r="BU123" s="72"/>
      <c r="BV123" s="72"/>
      <c r="BW123" s="72"/>
      <c r="BX123" s="72"/>
      <c r="BY123" s="72"/>
      <c r="BZ123" s="72"/>
      <c r="CA123" s="72"/>
      <c r="CB123" s="72"/>
      <c r="CC123" s="72"/>
      <c r="CD123" s="72"/>
      <c r="CE123" s="72"/>
      <c r="CF123" s="72"/>
      <c r="CG123" s="72"/>
      <c r="CH123" s="72"/>
    </row>
    <row r="124" ht="15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  <c r="AT124" s="72"/>
      <c r="AU124" s="72"/>
      <c r="AV124" s="72"/>
      <c r="AW124" s="72"/>
      <c r="AX124" s="72"/>
      <c r="AY124" s="72"/>
      <c r="AZ124" s="72"/>
      <c r="BA124" s="72"/>
      <c r="BB124" s="72"/>
      <c r="BC124" s="72"/>
      <c r="BD124" s="72"/>
      <c r="BE124" s="72"/>
      <c r="BF124" s="72"/>
      <c r="BG124" s="72"/>
      <c r="BH124" s="72"/>
      <c r="BI124" s="72"/>
      <c r="BJ124" s="72"/>
      <c r="BK124" s="72"/>
      <c r="BL124" s="72"/>
      <c r="BM124" s="72"/>
      <c r="BN124" s="72"/>
      <c r="BO124" s="72"/>
      <c r="BP124" s="72"/>
      <c r="BQ124" s="72"/>
      <c r="BR124" s="72"/>
      <c r="BS124" s="72"/>
      <c r="BT124" s="72"/>
      <c r="BU124" s="72"/>
      <c r="BV124" s="72"/>
      <c r="BW124" s="72"/>
      <c r="BX124" s="72"/>
      <c r="BY124" s="72"/>
      <c r="BZ124" s="72"/>
      <c r="CA124" s="72"/>
      <c r="CB124" s="72"/>
      <c r="CC124" s="72"/>
      <c r="CD124" s="72"/>
      <c r="CE124" s="72"/>
      <c r="CF124" s="72"/>
      <c r="CG124" s="72"/>
      <c r="CH124" s="72"/>
    </row>
    <row r="125" ht="15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  <c r="AT125" s="72"/>
      <c r="AU125" s="72"/>
      <c r="AV125" s="72"/>
      <c r="AW125" s="72"/>
      <c r="AX125" s="72"/>
      <c r="AY125" s="72"/>
      <c r="AZ125" s="72"/>
      <c r="BA125" s="72"/>
      <c r="BB125" s="72"/>
      <c r="BC125" s="72"/>
      <c r="BD125" s="72"/>
      <c r="BE125" s="72"/>
      <c r="BF125" s="72"/>
      <c r="BG125" s="72"/>
      <c r="BH125" s="72"/>
      <c r="BI125" s="72"/>
      <c r="BJ125" s="72"/>
      <c r="BK125" s="72"/>
      <c r="BL125" s="72"/>
      <c r="BM125" s="72"/>
      <c r="BN125" s="72"/>
      <c r="BO125" s="72"/>
      <c r="BP125" s="72"/>
      <c r="BQ125" s="72"/>
      <c r="BR125" s="72"/>
      <c r="BS125" s="72"/>
      <c r="BT125" s="72"/>
      <c r="BU125" s="72"/>
      <c r="BV125" s="72"/>
      <c r="BW125" s="72"/>
      <c r="BX125" s="72"/>
      <c r="BY125" s="72"/>
      <c r="BZ125" s="72"/>
      <c r="CA125" s="72"/>
      <c r="CB125" s="72"/>
      <c r="CC125" s="72"/>
      <c r="CD125" s="72"/>
      <c r="CE125" s="72"/>
      <c r="CF125" s="72"/>
      <c r="CG125" s="72"/>
      <c r="CH125" s="72"/>
    </row>
    <row r="126" ht="15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  <c r="AT126" s="72"/>
      <c r="AU126" s="72"/>
      <c r="AV126" s="72"/>
      <c r="AW126" s="72"/>
      <c r="AX126" s="72"/>
      <c r="AY126" s="72"/>
      <c r="AZ126" s="72"/>
      <c r="BA126" s="72"/>
      <c r="BB126" s="72"/>
      <c r="BC126" s="72"/>
      <c r="BD126" s="72"/>
      <c r="BE126" s="72"/>
      <c r="BF126" s="72"/>
      <c r="BG126" s="72"/>
      <c r="BH126" s="72"/>
      <c r="BI126" s="72"/>
      <c r="BJ126" s="72"/>
      <c r="BK126" s="72"/>
      <c r="BL126" s="72"/>
      <c r="BM126" s="72"/>
      <c r="BN126" s="72"/>
      <c r="BO126" s="72"/>
      <c r="BP126" s="72"/>
      <c r="BQ126" s="72"/>
      <c r="BR126" s="72"/>
      <c r="BS126" s="72"/>
      <c r="BT126" s="72"/>
      <c r="BU126" s="72"/>
      <c r="BV126" s="72"/>
      <c r="BW126" s="72"/>
      <c r="BX126" s="72"/>
      <c r="BY126" s="72"/>
      <c r="BZ126" s="72"/>
      <c r="CA126" s="72"/>
      <c r="CB126" s="72"/>
      <c r="CC126" s="72"/>
      <c r="CD126" s="72"/>
      <c r="CE126" s="72"/>
      <c r="CF126" s="72"/>
      <c r="CG126" s="72"/>
      <c r="CH126" s="72"/>
    </row>
    <row r="127" ht="15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  <c r="AT127" s="72"/>
      <c r="AU127" s="72"/>
      <c r="AV127" s="72"/>
      <c r="AW127" s="72"/>
      <c r="AX127" s="72"/>
      <c r="AY127" s="72"/>
      <c r="AZ127" s="72"/>
      <c r="BA127" s="72"/>
      <c r="BB127" s="72"/>
      <c r="BC127" s="72"/>
      <c r="BD127" s="72"/>
      <c r="BE127" s="72"/>
      <c r="BF127" s="72"/>
      <c r="BG127" s="72"/>
      <c r="BH127" s="72"/>
      <c r="BI127" s="72"/>
      <c r="BJ127" s="72"/>
      <c r="BK127" s="72"/>
      <c r="BL127" s="72"/>
      <c r="BM127" s="72"/>
      <c r="BN127" s="72"/>
      <c r="BO127" s="72"/>
      <c r="BP127" s="72"/>
      <c r="BQ127" s="72"/>
      <c r="BR127" s="72"/>
      <c r="BS127" s="72"/>
      <c r="BT127" s="72"/>
      <c r="BU127" s="72"/>
      <c r="BV127" s="72"/>
      <c r="BW127" s="72"/>
      <c r="BX127" s="72"/>
      <c r="BY127" s="72"/>
      <c r="BZ127" s="72"/>
      <c r="CA127" s="72"/>
      <c r="CB127" s="72"/>
      <c r="CC127" s="72"/>
      <c r="CD127" s="72"/>
      <c r="CE127" s="72"/>
      <c r="CF127" s="72"/>
      <c r="CG127" s="72"/>
      <c r="CH127" s="72"/>
    </row>
    <row r="128" ht="15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  <c r="AT128" s="72"/>
      <c r="AU128" s="72"/>
      <c r="AV128" s="72"/>
      <c r="AW128" s="72"/>
      <c r="AX128" s="72"/>
      <c r="AY128" s="72"/>
      <c r="AZ128" s="72"/>
      <c r="BA128" s="72"/>
      <c r="BB128" s="72"/>
      <c r="BC128" s="72"/>
      <c r="BD128" s="72"/>
      <c r="BE128" s="72"/>
      <c r="BF128" s="72"/>
      <c r="BG128" s="72"/>
      <c r="BH128" s="72"/>
      <c r="BI128" s="72"/>
      <c r="BJ128" s="72"/>
      <c r="BK128" s="72"/>
      <c r="BL128" s="72"/>
      <c r="BM128" s="72"/>
      <c r="BN128" s="72"/>
      <c r="BO128" s="72"/>
      <c r="BP128" s="72"/>
      <c r="BQ128" s="72"/>
      <c r="BR128" s="72"/>
      <c r="BS128" s="72"/>
      <c r="BT128" s="72"/>
      <c r="BU128" s="72"/>
      <c r="BV128" s="72"/>
      <c r="BW128" s="72"/>
      <c r="BX128" s="72"/>
      <c r="BY128" s="72"/>
      <c r="BZ128" s="72"/>
      <c r="CA128" s="72"/>
      <c r="CB128" s="72"/>
      <c r="CC128" s="72"/>
      <c r="CD128" s="72"/>
      <c r="CE128" s="72"/>
      <c r="CF128" s="72"/>
      <c r="CG128" s="72"/>
      <c r="CH128" s="72"/>
    </row>
    <row r="129" ht="15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  <c r="AT129" s="72"/>
      <c r="AU129" s="72"/>
      <c r="AV129" s="72"/>
      <c r="AW129" s="72"/>
      <c r="AX129" s="72"/>
      <c r="AY129" s="72"/>
      <c r="AZ129" s="72"/>
      <c r="BA129" s="72"/>
      <c r="BB129" s="72"/>
      <c r="BC129" s="72"/>
      <c r="BD129" s="72"/>
      <c r="BE129" s="72"/>
      <c r="BF129" s="72"/>
      <c r="BG129" s="72"/>
      <c r="BH129" s="72"/>
      <c r="BI129" s="72"/>
      <c r="BJ129" s="72"/>
      <c r="BK129" s="72"/>
      <c r="BL129" s="72"/>
      <c r="BM129" s="72"/>
      <c r="BN129" s="72"/>
      <c r="BO129" s="72"/>
      <c r="BP129" s="72"/>
      <c r="BQ129" s="72"/>
      <c r="BR129" s="72"/>
      <c r="BS129" s="72"/>
      <c r="BT129" s="72"/>
      <c r="BU129" s="72"/>
      <c r="BV129" s="72"/>
      <c r="BW129" s="72"/>
      <c r="BX129" s="72"/>
      <c r="BY129" s="72"/>
      <c r="BZ129" s="72"/>
      <c r="CA129" s="72"/>
      <c r="CB129" s="72"/>
      <c r="CC129" s="72"/>
      <c r="CD129" s="72"/>
      <c r="CE129" s="72"/>
      <c r="CF129" s="72"/>
      <c r="CG129" s="72"/>
      <c r="CH129" s="72"/>
    </row>
    <row r="130" ht="15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  <c r="AT130" s="72"/>
      <c r="AU130" s="72"/>
      <c r="AV130" s="72"/>
      <c r="AW130" s="72"/>
      <c r="AX130" s="72"/>
      <c r="AY130" s="72"/>
      <c r="AZ130" s="72"/>
      <c r="BA130" s="72"/>
      <c r="BB130" s="72"/>
      <c r="BC130" s="72"/>
      <c r="BD130" s="72"/>
      <c r="BE130" s="72"/>
      <c r="BF130" s="72"/>
      <c r="BG130" s="72"/>
      <c r="BH130" s="72"/>
      <c r="BI130" s="72"/>
      <c r="BJ130" s="72"/>
      <c r="BK130" s="72"/>
      <c r="BL130" s="72"/>
      <c r="BM130" s="72"/>
      <c r="BN130" s="72"/>
      <c r="BO130" s="72"/>
      <c r="BP130" s="72"/>
      <c r="BQ130" s="72"/>
      <c r="BR130" s="72"/>
      <c r="BS130" s="72"/>
      <c r="BT130" s="72"/>
      <c r="BU130" s="72"/>
      <c r="BV130" s="72"/>
      <c r="BW130" s="72"/>
      <c r="BX130" s="72"/>
      <c r="BY130" s="72"/>
      <c r="BZ130" s="72"/>
      <c r="CA130" s="72"/>
      <c r="CB130" s="72"/>
      <c r="CC130" s="72"/>
      <c r="CD130" s="72"/>
      <c r="CE130" s="72"/>
      <c r="CF130" s="72"/>
      <c r="CG130" s="72"/>
      <c r="CH130" s="72"/>
    </row>
    <row r="131" ht="15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  <c r="AT131" s="72"/>
      <c r="AU131" s="72"/>
      <c r="AV131" s="72"/>
      <c r="AW131" s="72"/>
      <c r="AX131" s="72"/>
      <c r="AY131" s="72"/>
      <c r="AZ131" s="72"/>
      <c r="BA131" s="72"/>
      <c r="BB131" s="72"/>
      <c r="BC131" s="72"/>
      <c r="BD131" s="72"/>
      <c r="BE131" s="72"/>
      <c r="BF131" s="72"/>
      <c r="BG131" s="72"/>
      <c r="BH131" s="72"/>
      <c r="BI131" s="72"/>
      <c r="BJ131" s="72"/>
      <c r="BK131" s="72"/>
      <c r="BL131" s="72"/>
      <c r="BM131" s="72"/>
      <c r="BN131" s="72"/>
      <c r="BO131" s="72"/>
      <c r="BP131" s="72"/>
      <c r="BQ131" s="72"/>
      <c r="BR131" s="72"/>
      <c r="BS131" s="72"/>
      <c r="BT131" s="72"/>
      <c r="BU131" s="72"/>
      <c r="BV131" s="72"/>
      <c r="BW131" s="72"/>
      <c r="BX131" s="72"/>
      <c r="BY131" s="72"/>
      <c r="BZ131" s="72"/>
      <c r="CA131" s="72"/>
      <c r="CB131" s="72"/>
      <c r="CC131" s="72"/>
      <c r="CD131" s="72"/>
      <c r="CE131" s="72"/>
      <c r="CF131" s="72"/>
      <c r="CG131" s="72"/>
      <c r="CH131" s="72"/>
    </row>
    <row r="132" ht="15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  <c r="BS132" s="72"/>
      <c r="BT132" s="72"/>
      <c r="BU132" s="72"/>
      <c r="BV132" s="72"/>
      <c r="BW132" s="72"/>
      <c r="BX132" s="72"/>
      <c r="BY132" s="72"/>
      <c r="BZ132" s="72"/>
      <c r="CA132" s="72"/>
      <c r="CB132" s="72"/>
      <c r="CC132" s="72"/>
      <c r="CD132" s="72"/>
      <c r="CE132" s="72"/>
      <c r="CF132" s="72"/>
      <c r="CG132" s="72"/>
      <c r="CH132" s="72"/>
    </row>
    <row r="133" ht="15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72"/>
      <c r="BU133" s="72"/>
      <c r="BV133" s="72"/>
      <c r="BW133" s="72"/>
      <c r="BX133" s="72"/>
      <c r="BY133" s="72"/>
      <c r="BZ133" s="72"/>
      <c r="CA133" s="72"/>
      <c r="CB133" s="72"/>
      <c r="CC133" s="72"/>
      <c r="CD133" s="72"/>
      <c r="CE133" s="72"/>
      <c r="CF133" s="72"/>
      <c r="CG133" s="72"/>
      <c r="CH133" s="72"/>
    </row>
    <row r="134" ht="15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  <c r="AT134" s="72"/>
      <c r="AU134" s="72"/>
      <c r="AV134" s="72"/>
      <c r="AW134" s="72"/>
      <c r="AX134" s="72"/>
      <c r="AY134" s="72"/>
      <c r="AZ134" s="72"/>
      <c r="BA134" s="72"/>
      <c r="BB134" s="72"/>
      <c r="BC134" s="72"/>
      <c r="BD134" s="72"/>
      <c r="BE134" s="72"/>
      <c r="BF134" s="72"/>
      <c r="BG134" s="72"/>
      <c r="BH134" s="72"/>
      <c r="BI134" s="72"/>
      <c r="BJ134" s="72"/>
      <c r="BK134" s="72"/>
      <c r="BL134" s="72"/>
      <c r="BM134" s="72"/>
      <c r="BN134" s="72"/>
      <c r="BO134" s="72"/>
      <c r="BP134" s="72"/>
      <c r="BQ134" s="72"/>
      <c r="BR134" s="72"/>
      <c r="BS134" s="72"/>
      <c r="BT134" s="72"/>
      <c r="BU134" s="72"/>
      <c r="BV134" s="72"/>
      <c r="BW134" s="72"/>
      <c r="BX134" s="72"/>
      <c r="BY134" s="72"/>
      <c r="BZ134" s="72"/>
      <c r="CA134" s="72"/>
      <c r="CB134" s="72"/>
      <c r="CC134" s="72"/>
      <c r="CD134" s="72"/>
      <c r="CE134" s="72"/>
      <c r="CF134" s="72"/>
      <c r="CG134" s="72"/>
      <c r="CH134" s="72"/>
    </row>
    <row r="135" ht="15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  <c r="AT135" s="72"/>
      <c r="AU135" s="72"/>
      <c r="AV135" s="72"/>
      <c r="AW135" s="72"/>
      <c r="AX135" s="72"/>
      <c r="AY135" s="72"/>
      <c r="AZ135" s="72"/>
      <c r="BA135" s="72"/>
      <c r="BB135" s="72"/>
      <c r="BC135" s="72"/>
      <c r="BD135" s="72"/>
      <c r="BE135" s="72"/>
      <c r="BF135" s="72"/>
      <c r="BG135" s="72"/>
      <c r="BH135" s="72"/>
      <c r="BI135" s="72"/>
      <c r="BJ135" s="72"/>
      <c r="BK135" s="72"/>
      <c r="BL135" s="72"/>
      <c r="BM135" s="72"/>
      <c r="BN135" s="72"/>
      <c r="BO135" s="72"/>
      <c r="BP135" s="72"/>
      <c r="BQ135" s="72"/>
      <c r="BR135" s="72"/>
      <c r="BS135" s="72"/>
      <c r="BT135" s="72"/>
      <c r="BU135" s="72"/>
      <c r="BV135" s="72"/>
      <c r="BW135" s="72"/>
      <c r="BX135" s="72"/>
      <c r="BY135" s="72"/>
      <c r="BZ135" s="72"/>
      <c r="CA135" s="72"/>
      <c r="CB135" s="72"/>
      <c r="CC135" s="72"/>
      <c r="CD135" s="72"/>
      <c r="CE135" s="72"/>
      <c r="CF135" s="72"/>
      <c r="CG135" s="72"/>
      <c r="CH135" s="72"/>
    </row>
    <row r="136" ht="15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  <c r="AT136" s="72"/>
      <c r="AU136" s="72"/>
      <c r="AV136" s="72"/>
      <c r="AW136" s="72"/>
      <c r="AX136" s="72"/>
      <c r="AY136" s="72"/>
      <c r="AZ136" s="72"/>
      <c r="BA136" s="72"/>
      <c r="BB136" s="72"/>
      <c r="BC136" s="72"/>
      <c r="BD136" s="72"/>
      <c r="BE136" s="72"/>
      <c r="BF136" s="72"/>
      <c r="BG136" s="72"/>
      <c r="BH136" s="72"/>
      <c r="BI136" s="72"/>
      <c r="BJ136" s="72"/>
      <c r="BK136" s="72"/>
      <c r="BL136" s="72"/>
      <c r="BM136" s="72"/>
      <c r="BN136" s="72"/>
      <c r="BO136" s="72"/>
      <c r="BP136" s="72"/>
      <c r="BQ136" s="72"/>
      <c r="BR136" s="72"/>
      <c r="BS136" s="72"/>
      <c r="BT136" s="72"/>
      <c r="BU136" s="72"/>
      <c r="BV136" s="72"/>
      <c r="BW136" s="72"/>
      <c r="BX136" s="72"/>
      <c r="BY136" s="72"/>
      <c r="BZ136" s="72"/>
      <c r="CA136" s="72"/>
      <c r="CB136" s="72"/>
      <c r="CC136" s="72"/>
      <c r="CD136" s="72"/>
      <c r="CE136" s="72"/>
      <c r="CF136" s="72"/>
      <c r="CG136" s="72"/>
      <c r="CH136" s="72"/>
    </row>
    <row r="137" ht="15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  <c r="AT137" s="72"/>
      <c r="AU137" s="72"/>
      <c r="AV137" s="72"/>
      <c r="AW137" s="72"/>
      <c r="AX137" s="72"/>
      <c r="AY137" s="72"/>
      <c r="AZ137" s="72"/>
      <c r="BA137" s="72"/>
      <c r="BB137" s="72"/>
      <c r="BC137" s="72"/>
      <c r="BD137" s="72"/>
      <c r="BE137" s="72"/>
      <c r="BF137" s="72"/>
      <c r="BG137" s="72"/>
      <c r="BH137" s="72"/>
      <c r="BI137" s="72"/>
      <c r="BJ137" s="72"/>
      <c r="BK137" s="72"/>
      <c r="BL137" s="72"/>
      <c r="BM137" s="72"/>
      <c r="BN137" s="72"/>
      <c r="BO137" s="72"/>
      <c r="BP137" s="72"/>
      <c r="BQ137" s="72"/>
      <c r="BR137" s="72"/>
      <c r="BS137" s="72"/>
      <c r="BT137" s="72"/>
      <c r="BU137" s="72"/>
      <c r="BV137" s="72"/>
      <c r="BW137" s="72"/>
      <c r="BX137" s="72"/>
      <c r="BY137" s="72"/>
      <c r="BZ137" s="72"/>
      <c r="CA137" s="72"/>
      <c r="CB137" s="72"/>
      <c r="CC137" s="72"/>
      <c r="CD137" s="72"/>
      <c r="CE137" s="72"/>
      <c r="CF137" s="72"/>
      <c r="CG137" s="72"/>
      <c r="CH137" s="72"/>
    </row>
    <row r="138" ht="15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/>
      <c r="BN138" s="72"/>
      <c r="BO138" s="72"/>
      <c r="BP138" s="72"/>
      <c r="BQ138" s="72"/>
      <c r="BR138" s="72"/>
      <c r="BS138" s="72"/>
      <c r="BT138" s="72"/>
      <c r="BU138" s="72"/>
      <c r="BV138" s="72"/>
      <c r="BW138" s="72"/>
      <c r="BX138" s="72"/>
      <c r="BY138" s="72"/>
      <c r="BZ138" s="72"/>
      <c r="CA138" s="72"/>
      <c r="CB138" s="72"/>
      <c r="CC138" s="72"/>
      <c r="CD138" s="72"/>
      <c r="CE138" s="72"/>
      <c r="CF138" s="72"/>
      <c r="CG138" s="72"/>
      <c r="CH138" s="72"/>
    </row>
    <row r="139" ht="15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/>
      <c r="BN139" s="72"/>
      <c r="BO139" s="72"/>
      <c r="BP139" s="72"/>
      <c r="BQ139" s="72"/>
      <c r="BR139" s="72"/>
      <c r="BS139" s="72"/>
      <c r="BT139" s="72"/>
      <c r="BU139" s="72"/>
      <c r="BV139" s="72"/>
      <c r="BW139" s="72"/>
      <c r="BX139" s="72"/>
      <c r="BY139" s="72"/>
      <c r="BZ139" s="72"/>
      <c r="CA139" s="72"/>
      <c r="CB139" s="72"/>
      <c r="CC139" s="72"/>
      <c r="CD139" s="72"/>
      <c r="CE139" s="72"/>
      <c r="CF139" s="72"/>
      <c r="CG139" s="72"/>
      <c r="CH139" s="72"/>
    </row>
    <row r="140" ht="15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  <c r="AT140" s="72"/>
      <c r="AU140" s="72"/>
      <c r="AV140" s="72"/>
      <c r="AW140" s="72"/>
      <c r="AX140" s="72"/>
      <c r="AY140" s="72"/>
      <c r="AZ140" s="72"/>
      <c r="BA140" s="72"/>
      <c r="BB140" s="72"/>
      <c r="BC140" s="72"/>
      <c r="BD140" s="72"/>
      <c r="BE140" s="72"/>
      <c r="BF140" s="72"/>
      <c r="BG140" s="72"/>
      <c r="BH140" s="72"/>
      <c r="BI140" s="72"/>
      <c r="BJ140" s="72"/>
      <c r="BK140" s="72"/>
      <c r="BL140" s="72"/>
      <c r="BM140" s="72"/>
      <c r="BN140" s="72"/>
      <c r="BO140" s="72"/>
      <c r="BP140" s="72"/>
      <c r="BQ140" s="72"/>
      <c r="BR140" s="72"/>
      <c r="BS140" s="72"/>
      <c r="BT140" s="72"/>
      <c r="BU140" s="72"/>
      <c r="BV140" s="72"/>
      <c r="BW140" s="72"/>
      <c r="BX140" s="72"/>
      <c r="BY140" s="72"/>
      <c r="BZ140" s="72"/>
      <c r="CA140" s="72"/>
      <c r="CB140" s="72"/>
      <c r="CC140" s="72"/>
      <c r="CD140" s="72"/>
      <c r="CE140" s="72"/>
      <c r="CF140" s="72"/>
      <c r="CG140" s="72"/>
      <c r="CH140" s="72"/>
    </row>
    <row r="141" ht="15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  <c r="AT141" s="72"/>
      <c r="AU141" s="72"/>
      <c r="AV141" s="72"/>
      <c r="AW141" s="72"/>
      <c r="AX141" s="72"/>
      <c r="AY141" s="72"/>
      <c r="AZ141" s="72"/>
      <c r="BA141" s="72"/>
      <c r="BB141" s="72"/>
      <c r="BC141" s="72"/>
      <c r="BD141" s="72"/>
      <c r="BE141" s="72"/>
      <c r="BF141" s="72"/>
      <c r="BG141" s="72"/>
      <c r="BH141" s="72"/>
      <c r="BI141" s="72"/>
      <c r="BJ141" s="72"/>
      <c r="BK141" s="72"/>
      <c r="BL141" s="72"/>
      <c r="BM141" s="72"/>
      <c r="BN141" s="72"/>
      <c r="BO141" s="72"/>
      <c r="BP141" s="72"/>
      <c r="BQ141" s="72"/>
      <c r="BR141" s="72"/>
      <c r="BS141" s="72"/>
      <c r="BT141" s="72"/>
      <c r="BU141" s="72"/>
      <c r="BV141" s="72"/>
      <c r="BW141" s="72"/>
      <c r="BX141" s="72"/>
      <c r="BY141" s="72"/>
      <c r="BZ141" s="72"/>
      <c r="CA141" s="72"/>
      <c r="CB141" s="72"/>
      <c r="CC141" s="72"/>
      <c r="CD141" s="72"/>
      <c r="CE141" s="72"/>
      <c r="CF141" s="72"/>
      <c r="CG141" s="72"/>
      <c r="CH141" s="72"/>
    </row>
    <row r="142" ht="15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  <c r="AT142" s="72"/>
      <c r="AU142" s="72"/>
      <c r="AV142" s="72"/>
      <c r="AW142" s="72"/>
      <c r="AX142" s="72"/>
      <c r="AY142" s="72"/>
      <c r="AZ142" s="72"/>
      <c r="BA142" s="72"/>
      <c r="BB142" s="72"/>
      <c r="BC142" s="72"/>
      <c r="BD142" s="72"/>
      <c r="BE142" s="72"/>
      <c r="BF142" s="72"/>
      <c r="BG142" s="72"/>
      <c r="BH142" s="72"/>
      <c r="BI142" s="72"/>
      <c r="BJ142" s="72"/>
      <c r="BK142" s="72"/>
      <c r="BL142" s="72"/>
      <c r="BM142" s="72"/>
      <c r="BN142" s="72"/>
      <c r="BO142" s="72"/>
      <c r="BP142" s="72"/>
      <c r="BQ142" s="72"/>
      <c r="BR142" s="72"/>
      <c r="BS142" s="72"/>
      <c r="BT142" s="72"/>
      <c r="BU142" s="72"/>
      <c r="BV142" s="72"/>
      <c r="BW142" s="72"/>
      <c r="BX142" s="72"/>
      <c r="BY142" s="72"/>
      <c r="BZ142" s="72"/>
      <c r="CA142" s="72"/>
      <c r="CB142" s="72"/>
      <c r="CC142" s="72"/>
      <c r="CD142" s="72"/>
      <c r="CE142" s="72"/>
      <c r="CF142" s="72"/>
      <c r="CG142" s="72"/>
      <c r="CH142" s="72"/>
    </row>
    <row r="143" ht="15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  <c r="AT143" s="72"/>
      <c r="AU143" s="72"/>
      <c r="AV143" s="72"/>
      <c r="AW143" s="72"/>
      <c r="AX143" s="72"/>
      <c r="AY143" s="72"/>
      <c r="AZ143" s="72"/>
      <c r="BA143" s="72"/>
      <c r="BB143" s="72"/>
      <c r="BC143" s="72"/>
      <c r="BD143" s="72"/>
      <c r="BE143" s="72"/>
      <c r="BF143" s="72"/>
      <c r="BG143" s="72"/>
      <c r="BH143" s="72"/>
      <c r="BI143" s="72"/>
      <c r="BJ143" s="72"/>
      <c r="BK143" s="72"/>
      <c r="BL143" s="72"/>
      <c r="BM143" s="72"/>
      <c r="BN143" s="72"/>
      <c r="BO143" s="72"/>
      <c r="BP143" s="72"/>
      <c r="BQ143" s="72"/>
      <c r="BR143" s="72"/>
      <c r="BS143" s="72"/>
      <c r="BT143" s="72"/>
      <c r="BU143" s="72"/>
      <c r="BV143" s="72"/>
      <c r="BW143" s="72"/>
      <c r="BX143" s="72"/>
      <c r="BY143" s="72"/>
      <c r="BZ143" s="72"/>
      <c r="CA143" s="72"/>
      <c r="CB143" s="72"/>
      <c r="CC143" s="72"/>
      <c r="CD143" s="72"/>
      <c r="CE143" s="72"/>
      <c r="CF143" s="72"/>
      <c r="CG143" s="72"/>
      <c r="CH143" s="72"/>
    </row>
    <row r="144" ht="15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  <c r="AT144" s="72"/>
      <c r="AU144" s="72"/>
      <c r="AV144" s="72"/>
      <c r="AW144" s="72"/>
      <c r="AX144" s="72"/>
      <c r="AY144" s="72"/>
      <c r="AZ144" s="72"/>
      <c r="BA144" s="72"/>
      <c r="BB144" s="72"/>
      <c r="BC144" s="72"/>
      <c r="BD144" s="72"/>
      <c r="BE144" s="72"/>
      <c r="BF144" s="72"/>
      <c r="BG144" s="72"/>
      <c r="BH144" s="72"/>
      <c r="BI144" s="72"/>
      <c r="BJ144" s="72"/>
      <c r="BK144" s="72"/>
      <c r="BL144" s="72"/>
      <c r="BM144" s="72"/>
      <c r="BN144" s="72"/>
      <c r="BO144" s="72"/>
      <c r="BP144" s="72"/>
      <c r="BQ144" s="72"/>
      <c r="BR144" s="72"/>
      <c r="BS144" s="72"/>
      <c r="BT144" s="72"/>
      <c r="BU144" s="72"/>
      <c r="BV144" s="72"/>
      <c r="BW144" s="72"/>
      <c r="BX144" s="72"/>
      <c r="BY144" s="72"/>
      <c r="BZ144" s="72"/>
      <c r="CA144" s="72"/>
      <c r="CB144" s="72"/>
      <c r="CC144" s="72"/>
      <c r="CD144" s="72"/>
      <c r="CE144" s="72"/>
      <c r="CF144" s="72"/>
      <c r="CG144" s="72"/>
      <c r="CH144" s="72"/>
    </row>
    <row r="145" ht="15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  <c r="AT145" s="72"/>
      <c r="AU145" s="72"/>
      <c r="AV145" s="72"/>
      <c r="AW145" s="72"/>
      <c r="AX145" s="72"/>
      <c r="AY145" s="72"/>
      <c r="AZ145" s="72"/>
      <c r="BA145" s="72"/>
      <c r="BB145" s="72"/>
      <c r="BC145" s="72"/>
      <c r="BD145" s="72"/>
      <c r="BE145" s="72"/>
      <c r="BF145" s="72"/>
      <c r="BG145" s="72"/>
      <c r="BH145" s="72"/>
      <c r="BI145" s="72"/>
      <c r="BJ145" s="72"/>
      <c r="BK145" s="72"/>
      <c r="BL145" s="72"/>
      <c r="BM145" s="72"/>
      <c r="BN145" s="72"/>
      <c r="BO145" s="72"/>
      <c r="BP145" s="72"/>
      <c r="BQ145" s="72"/>
      <c r="BR145" s="72"/>
      <c r="BS145" s="72"/>
      <c r="BT145" s="72"/>
      <c r="BU145" s="72"/>
      <c r="BV145" s="72"/>
      <c r="BW145" s="72"/>
      <c r="BX145" s="72"/>
      <c r="BY145" s="72"/>
      <c r="BZ145" s="72"/>
      <c r="CA145" s="72"/>
      <c r="CB145" s="72"/>
      <c r="CC145" s="72"/>
      <c r="CD145" s="72"/>
      <c r="CE145" s="72"/>
      <c r="CF145" s="72"/>
      <c r="CG145" s="72"/>
      <c r="CH145" s="72"/>
    </row>
    <row r="146" ht="15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  <c r="AT146" s="72"/>
      <c r="AU146" s="72"/>
      <c r="AV146" s="72"/>
      <c r="AW146" s="72"/>
      <c r="AX146" s="72"/>
      <c r="AY146" s="72"/>
      <c r="AZ146" s="72"/>
      <c r="BA146" s="72"/>
      <c r="BB146" s="72"/>
      <c r="BC146" s="72"/>
      <c r="BD146" s="72"/>
      <c r="BE146" s="72"/>
      <c r="BF146" s="72"/>
      <c r="BG146" s="72"/>
      <c r="BH146" s="72"/>
      <c r="BI146" s="72"/>
      <c r="BJ146" s="72"/>
      <c r="BK146" s="72"/>
      <c r="BL146" s="72"/>
      <c r="BM146" s="72"/>
      <c r="BN146" s="72"/>
      <c r="BO146" s="72"/>
      <c r="BP146" s="72"/>
      <c r="BQ146" s="72"/>
      <c r="BR146" s="72"/>
      <c r="BS146" s="72"/>
      <c r="BT146" s="72"/>
      <c r="BU146" s="72"/>
      <c r="BV146" s="72"/>
      <c r="BW146" s="72"/>
      <c r="BX146" s="72"/>
      <c r="BY146" s="72"/>
      <c r="BZ146" s="72"/>
      <c r="CA146" s="72"/>
      <c r="CB146" s="72"/>
      <c r="CC146" s="72"/>
      <c r="CD146" s="72"/>
      <c r="CE146" s="72"/>
      <c r="CF146" s="72"/>
      <c r="CG146" s="72"/>
      <c r="CH146" s="72"/>
    </row>
    <row r="147" ht="15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  <c r="AT147" s="72"/>
      <c r="AU147" s="72"/>
      <c r="AV147" s="72"/>
      <c r="AW147" s="72"/>
      <c r="AX147" s="72"/>
      <c r="AY147" s="72"/>
      <c r="AZ147" s="72"/>
      <c r="BA147" s="72"/>
      <c r="BB147" s="72"/>
      <c r="BC147" s="72"/>
      <c r="BD147" s="72"/>
      <c r="BE147" s="72"/>
      <c r="BF147" s="72"/>
      <c r="BG147" s="72"/>
      <c r="BH147" s="72"/>
      <c r="BI147" s="72"/>
      <c r="BJ147" s="72"/>
      <c r="BK147" s="72"/>
      <c r="BL147" s="72"/>
      <c r="BM147" s="72"/>
      <c r="BN147" s="72"/>
      <c r="BO147" s="72"/>
      <c r="BP147" s="72"/>
      <c r="BQ147" s="72"/>
      <c r="BR147" s="72"/>
      <c r="BS147" s="72"/>
      <c r="BT147" s="72"/>
      <c r="BU147" s="72"/>
      <c r="BV147" s="72"/>
      <c r="BW147" s="72"/>
      <c r="BX147" s="72"/>
      <c r="BY147" s="72"/>
      <c r="BZ147" s="72"/>
      <c r="CA147" s="72"/>
      <c r="CB147" s="72"/>
      <c r="CC147" s="72"/>
      <c r="CD147" s="72"/>
      <c r="CE147" s="72"/>
      <c r="CF147" s="72"/>
      <c r="CG147" s="72"/>
      <c r="CH147" s="72"/>
    </row>
    <row r="148" ht="15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  <c r="AT148" s="72"/>
      <c r="AU148" s="72"/>
      <c r="AV148" s="72"/>
      <c r="AW148" s="72"/>
      <c r="AX148" s="72"/>
      <c r="AY148" s="72"/>
      <c r="AZ148" s="72"/>
      <c r="BA148" s="72"/>
      <c r="BB148" s="72"/>
      <c r="BC148" s="72"/>
      <c r="BD148" s="72"/>
      <c r="BE148" s="72"/>
      <c r="BF148" s="72"/>
      <c r="BG148" s="72"/>
      <c r="BH148" s="72"/>
      <c r="BI148" s="72"/>
      <c r="BJ148" s="72"/>
      <c r="BK148" s="72"/>
      <c r="BL148" s="72"/>
      <c r="BM148" s="72"/>
      <c r="BN148" s="72"/>
      <c r="BO148" s="72"/>
      <c r="BP148" s="72"/>
      <c r="BQ148" s="72"/>
      <c r="BR148" s="72"/>
      <c r="BS148" s="72"/>
      <c r="BT148" s="72"/>
      <c r="BU148" s="72"/>
      <c r="BV148" s="72"/>
      <c r="BW148" s="72"/>
      <c r="BX148" s="72"/>
      <c r="BY148" s="72"/>
      <c r="BZ148" s="72"/>
      <c r="CA148" s="72"/>
      <c r="CB148" s="72"/>
      <c r="CC148" s="72"/>
      <c r="CD148" s="72"/>
      <c r="CE148" s="72"/>
      <c r="CF148" s="72"/>
      <c r="CG148" s="72"/>
      <c r="CH148" s="72"/>
    </row>
    <row r="149" ht="15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  <c r="AT149" s="72"/>
      <c r="AU149" s="72"/>
      <c r="AV149" s="72"/>
      <c r="AW149" s="72"/>
      <c r="AX149" s="72"/>
      <c r="AY149" s="72"/>
      <c r="AZ149" s="72"/>
      <c r="BA149" s="72"/>
      <c r="BB149" s="72"/>
      <c r="BC149" s="72"/>
      <c r="BD149" s="72"/>
      <c r="BE149" s="72"/>
      <c r="BF149" s="72"/>
      <c r="BG149" s="72"/>
      <c r="BH149" s="72"/>
      <c r="BI149" s="72"/>
      <c r="BJ149" s="72"/>
      <c r="BK149" s="72"/>
      <c r="BL149" s="72"/>
      <c r="BM149" s="72"/>
      <c r="BN149" s="72"/>
      <c r="BO149" s="72"/>
      <c r="BP149" s="72"/>
      <c r="BQ149" s="72"/>
      <c r="BR149" s="72"/>
      <c r="BS149" s="72"/>
      <c r="BT149" s="72"/>
      <c r="BU149" s="72"/>
      <c r="BV149" s="72"/>
      <c r="BW149" s="72"/>
      <c r="BX149" s="72"/>
      <c r="BY149" s="72"/>
      <c r="BZ149" s="72"/>
      <c r="CA149" s="72"/>
      <c r="CB149" s="72"/>
      <c r="CC149" s="72"/>
      <c r="CD149" s="72"/>
      <c r="CE149" s="72"/>
      <c r="CF149" s="72"/>
      <c r="CG149" s="72"/>
      <c r="CH149" s="72"/>
    </row>
    <row r="150" ht="15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  <c r="AT150" s="72"/>
      <c r="AU150" s="72"/>
      <c r="AV150" s="72"/>
      <c r="AW150" s="72"/>
      <c r="AX150" s="72"/>
      <c r="AY150" s="72"/>
      <c r="AZ150" s="72"/>
      <c r="BA150" s="72"/>
      <c r="BB150" s="72"/>
      <c r="BC150" s="72"/>
      <c r="BD150" s="72"/>
      <c r="BE150" s="72"/>
      <c r="BF150" s="72"/>
      <c r="BG150" s="72"/>
      <c r="BH150" s="72"/>
      <c r="BI150" s="72"/>
      <c r="BJ150" s="72"/>
      <c r="BK150" s="72"/>
      <c r="BL150" s="72"/>
      <c r="BM150" s="72"/>
      <c r="BN150" s="72"/>
      <c r="BO150" s="72"/>
      <c r="BP150" s="72"/>
      <c r="BQ150" s="72"/>
      <c r="BR150" s="72"/>
      <c r="BS150" s="72"/>
      <c r="BT150" s="72"/>
      <c r="BU150" s="72"/>
      <c r="BV150" s="72"/>
      <c r="BW150" s="72"/>
      <c r="BX150" s="72"/>
      <c r="BY150" s="72"/>
      <c r="BZ150" s="72"/>
      <c r="CA150" s="72"/>
      <c r="CB150" s="72"/>
      <c r="CC150" s="72"/>
      <c r="CD150" s="72"/>
      <c r="CE150" s="72"/>
      <c r="CF150" s="72"/>
      <c r="CG150" s="72"/>
      <c r="CH150" s="72"/>
    </row>
    <row r="151" ht="15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  <c r="AT151" s="72"/>
      <c r="AU151" s="72"/>
      <c r="AV151" s="72"/>
      <c r="AW151" s="72"/>
      <c r="AX151" s="72"/>
      <c r="AY151" s="72"/>
      <c r="AZ151" s="72"/>
      <c r="BA151" s="72"/>
      <c r="BB151" s="72"/>
      <c r="BC151" s="72"/>
      <c r="BD151" s="72"/>
      <c r="BE151" s="72"/>
      <c r="BF151" s="72"/>
      <c r="BG151" s="72"/>
      <c r="BH151" s="72"/>
      <c r="BI151" s="72"/>
      <c r="BJ151" s="72"/>
      <c r="BK151" s="72"/>
      <c r="BL151" s="72"/>
      <c r="BM151" s="72"/>
      <c r="BN151" s="72"/>
      <c r="BO151" s="72"/>
      <c r="BP151" s="72"/>
      <c r="BQ151" s="72"/>
      <c r="BR151" s="72"/>
      <c r="BS151" s="72"/>
      <c r="BT151" s="72"/>
      <c r="BU151" s="72"/>
      <c r="BV151" s="72"/>
      <c r="BW151" s="72"/>
      <c r="BX151" s="72"/>
      <c r="BY151" s="72"/>
      <c r="BZ151" s="72"/>
      <c r="CA151" s="72"/>
      <c r="CB151" s="72"/>
      <c r="CC151" s="72"/>
      <c r="CD151" s="72"/>
      <c r="CE151" s="72"/>
      <c r="CF151" s="72"/>
      <c r="CG151" s="72"/>
      <c r="CH151" s="72"/>
    </row>
    <row r="152" ht="15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  <c r="AT152" s="72"/>
      <c r="AU152" s="72"/>
      <c r="AV152" s="72"/>
      <c r="AW152" s="72"/>
      <c r="AX152" s="72"/>
      <c r="AY152" s="72"/>
      <c r="AZ152" s="72"/>
      <c r="BA152" s="72"/>
      <c r="BB152" s="72"/>
      <c r="BC152" s="72"/>
      <c r="BD152" s="72"/>
      <c r="BE152" s="72"/>
      <c r="BF152" s="72"/>
      <c r="BG152" s="72"/>
      <c r="BH152" s="72"/>
      <c r="BI152" s="72"/>
      <c r="BJ152" s="72"/>
      <c r="BK152" s="72"/>
      <c r="BL152" s="72"/>
      <c r="BM152" s="72"/>
      <c r="BN152" s="72"/>
      <c r="BO152" s="72"/>
      <c r="BP152" s="72"/>
      <c r="BQ152" s="72"/>
      <c r="BR152" s="72"/>
      <c r="BS152" s="72"/>
      <c r="BT152" s="72"/>
      <c r="BU152" s="72"/>
      <c r="BV152" s="72"/>
      <c r="BW152" s="72"/>
      <c r="BX152" s="72"/>
      <c r="BY152" s="72"/>
      <c r="BZ152" s="72"/>
      <c r="CA152" s="72"/>
      <c r="CB152" s="72"/>
      <c r="CC152" s="72"/>
      <c r="CD152" s="72"/>
      <c r="CE152" s="72"/>
      <c r="CF152" s="72"/>
      <c r="CG152" s="72"/>
      <c r="CH152" s="72"/>
    </row>
    <row r="153" ht="15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/>
      <c r="BM153" s="72"/>
      <c r="BN153" s="72"/>
      <c r="BO153" s="72"/>
      <c r="BP153" s="72"/>
      <c r="BQ153" s="72"/>
      <c r="BR153" s="72"/>
      <c r="BS153" s="72"/>
      <c r="BT153" s="72"/>
      <c r="BU153" s="72"/>
      <c r="BV153" s="72"/>
      <c r="BW153" s="72"/>
      <c r="BX153" s="72"/>
      <c r="BY153" s="72"/>
      <c r="BZ153" s="72"/>
      <c r="CA153" s="72"/>
      <c r="CB153" s="72"/>
      <c r="CC153" s="72"/>
      <c r="CD153" s="72"/>
      <c r="CE153" s="72"/>
      <c r="CF153" s="72"/>
      <c r="CG153" s="72"/>
      <c r="CH153" s="72"/>
    </row>
    <row r="154" ht="15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/>
      <c r="BM154" s="72"/>
      <c r="BN154" s="72"/>
      <c r="BO154" s="72"/>
      <c r="BP154" s="72"/>
      <c r="BQ154" s="72"/>
      <c r="BR154" s="72"/>
      <c r="BS154" s="72"/>
      <c r="BT154" s="72"/>
      <c r="BU154" s="72"/>
      <c r="BV154" s="72"/>
      <c r="BW154" s="72"/>
      <c r="BX154" s="72"/>
      <c r="BY154" s="72"/>
      <c r="BZ154" s="72"/>
      <c r="CA154" s="72"/>
      <c r="CB154" s="72"/>
      <c r="CC154" s="72"/>
      <c r="CD154" s="72"/>
      <c r="CE154" s="72"/>
      <c r="CF154" s="72"/>
      <c r="CG154" s="72"/>
      <c r="CH154" s="72"/>
    </row>
    <row r="155" ht="15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/>
      <c r="BM155" s="72"/>
      <c r="BN155" s="72"/>
      <c r="BO155" s="72"/>
      <c r="BP155" s="72"/>
      <c r="BQ155" s="72"/>
      <c r="BR155" s="72"/>
      <c r="BS155" s="72"/>
      <c r="BT155" s="72"/>
      <c r="BU155" s="72"/>
      <c r="BV155" s="72"/>
      <c r="BW155" s="72"/>
      <c r="BX155" s="72"/>
      <c r="BY155" s="72"/>
      <c r="BZ155" s="72"/>
      <c r="CA155" s="72"/>
      <c r="CB155" s="72"/>
      <c r="CC155" s="72"/>
      <c r="CD155" s="72"/>
      <c r="CE155" s="72"/>
      <c r="CF155" s="72"/>
      <c r="CG155" s="72"/>
      <c r="CH155" s="72"/>
    </row>
    <row r="156" ht="15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/>
      <c r="BM156" s="72"/>
      <c r="BN156" s="72"/>
      <c r="BO156" s="72"/>
      <c r="BP156" s="72"/>
      <c r="BQ156" s="72"/>
      <c r="BR156" s="72"/>
      <c r="BS156" s="72"/>
      <c r="BT156" s="72"/>
      <c r="BU156" s="72"/>
      <c r="BV156" s="72"/>
      <c r="BW156" s="72"/>
      <c r="BX156" s="72"/>
      <c r="BY156" s="72"/>
      <c r="BZ156" s="72"/>
      <c r="CA156" s="72"/>
      <c r="CB156" s="72"/>
      <c r="CC156" s="72"/>
      <c r="CD156" s="72"/>
      <c r="CE156" s="72"/>
      <c r="CF156" s="72"/>
      <c r="CG156" s="72"/>
      <c r="CH156" s="72"/>
    </row>
    <row r="157" ht="15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/>
      <c r="BM157" s="72"/>
      <c r="BN157" s="72"/>
      <c r="BO157" s="72"/>
      <c r="BP157" s="72"/>
      <c r="BQ157" s="72"/>
      <c r="BR157" s="72"/>
      <c r="BS157" s="72"/>
      <c r="BT157" s="72"/>
      <c r="BU157" s="72"/>
      <c r="BV157" s="72"/>
      <c r="BW157" s="72"/>
      <c r="BX157" s="72"/>
      <c r="BY157" s="72"/>
      <c r="BZ157" s="72"/>
      <c r="CA157" s="72"/>
      <c r="CB157" s="72"/>
      <c r="CC157" s="72"/>
      <c r="CD157" s="72"/>
      <c r="CE157" s="72"/>
      <c r="CF157" s="72"/>
      <c r="CG157" s="72"/>
      <c r="CH157" s="72"/>
    </row>
    <row r="158" ht="15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/>
      <c r="BN158" s="72"/>
      <c r="BO158" s="72"/>
      <c r="BP158" s="72"/>
      <c r="BQ158" s="72"/>
      <c r="BR158" s="72"/>
      <c r="BS158" s="72"/>
      <c r="BT158" s="72"/>
      <c r="BU158" s="72"/>
      <c r="BV158" s="72"/>
      <c r="BW158" s="72"/>
      <c r="BX158" s="72"/>
      <c r="BY158" s="72"/>
      <c r="BZ158" s="72"/>
      <c r="CA158" s="72"/>
      <c r="CB158" s="72"/>
      <c r="CC158" s="72"/>
      <c r="CD158" s="72"/>
      <c r="CE158" s="72"/>
      <c r="CF158" s="72"/>
      <c r="CG158" s="72"/>
      <c r="CH158" s="72"/>
    </row>
    <row r="159" ht="15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/>
      <c r="BN159" s="72"/>
      <c r="BO159" s="72"/>
      <c r="BP159" s="72"/>
      <c r="BQ159" s="72"/>
      <c r="BR159" s="72"/>
      <c r="BS159" s="72"/>
      <c r="BT159" s="72"/>
      <c r="BU159" s="72"/>
      <c r="BV159" s="72"/>
      <c r="BW159" s="72"/>
      <c r="BX159" s="72"/>
      <c r="BY159" s="72"/>
      <c r="BZ159" s="72"/>
      <c r="CA159" s="72"/>
      <c r="CB159" s="72"/>
      <c r="CC159" s="72"/>
      <c r="CD159" s="72"/>
      <c r="CE159" s="72"/>
      <c r="CF159" s="72"/>
      <c r="CG159" s="72"/>
      <c r="CH159" s="72"/>
    </row>
    <row r="160" ht="15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/>
      <c r="BN160" s="72"/>
      <c r="BO160" s="72"/>
      <c r="BP160" s="72"/>
      <c r="BQ160" s="72"/>
      <c r="BR160" s="72"/>
      <c r="BS160" s="72"/>
      <c r="BT160" s="72"/>
      <c r="BU160" s="72"/>
      <c r="BV160" s="72"/>
      <c r="BW160" s="72"/>
      <c r="BX160" s="72"/>
      <c r="BY160" s="72"/>
      <c r="BZ160" s="72"/>
      <c r="CA160" s="72"/>
      <c r="CB160" s="72"/>
      <c r="CC160" s="72"/>
      <c r="CD160" s="72"/>
      <c r="CE160" s="72"/>
      <c r="CF160" s="72"/>
      <c r="CG160" s="72"/>
      <c r="CH160" s="72"/>
    </row>
    <row r="161" ht="15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/>
      <c r="BN161" s="72"/>
      <c r="BO161" s="72"/>
      <c r="BP161" s="72"/>
      <c r="BQ161" s="72"/>
      <c r="BR161" s="72"/>
      <c r="BS161" s="72"/>
      <c r="BT161" s="72"/>
      <c r="BU161" s="72"/>
      <c r="BV161" s="72"/>
      <c r="BW161" s="72"/>
      <c r="BX161" s="72"/>
      <c r="BY161" s="72"/>
      <c r="BZ161" s="72"/>
      <c r="CA161" s="72"/>
      <c r="CB161" s="72"/>
      <c r="CC161" s="72"/>
      <c r="CD161" s="72"/>
      <c r="CE161" s="72"/>
      <c r="CF161" s="72"/>
      <c r="CG161" s="72"/>
      <c r="CH161" s="72"/>
    </row>
    <row r="162" ht="15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/>
      <c r="BN162" s="72"/>
      <c r="BO162" s="72"/>
      <c r="BP162" s="72"/>
      <c r="BQ162" s="72"/>
      <c r="BR162" s="72"/>
      <c r="BS162" s="72"/>
      <c r="BT162" s="72"/>
      <c r="BU162" s="72"/>
      <c r="BV162" s="72"/>
      <c r="BW162" s="72"/>
      <c r="BX162" s="72"/>
      <c r="BY162" s="72"/>
      <c r="BZ162" s="72"/>
      <c r="CA162" s="72"/>
      <c r="CB162" s="72"/>
      <c r="CC162" s="72"/>
      <c r="CD162" s="72"/>
      <c r="CE162" s="72"/>
      <c r="CF162" s="72"/>
      <c r="CG162" s="72"/>
      <c r="CH162" s="72"/>
    </row>
    <row r="163" ht="15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/>
      <c r="BN163" s="72"/>
      <c r="BO163" s="72"/>
      <c r="BP163" s="72"/>
      <c r="BQ163" s="72"/>
      <c r="BR163" s="72"/>
      <c r="BS163" s="72"/>
      <c r="BT163" s="72"/>
      <c r="BU163" s="72"/>
      <c r="BV163" s="72"/>
      <c r="BW163" s="72"/>
      <c r="BX163" s="72"/>
      <c r="BY163" s="72"/>
      <c r="BZ163" s="72"/>
      <c r="CA163" s="72"/>
      <c r="CB163" s="72"/>
      <c r="CC163" s="72"/>
      <c r="CD163" s="72"/>
      <c r="CE163" s="72"/>
      <c r="CF163" s="72"/>
      <c r="CG163" s="72"/>
      <c r="CH163" s="72"/>
    </row>
    <row r="164" ht="15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  <c r="BS164" s="72"/>
      <c r="BT164" s="72"/>
      <c r="BU164" s="72"/>
      <c r="BV164" s="72"/>
      <c r="BW164" s="72"/>
      <c r="BX164" s="72"/>
      <c r="BY164" s="72"/>
      <c r="BZ164" s="72"/>
      <c r="CA164" s="72"/>
      <c r="CB164" s="72"/>
      <c r="CC164" s="72"/>
      <c r="CD164" s="72"/>
      <c r="CE164" s="72"/>
      <c r="CF164" s="72"/>
      <c r="CG164" s="72"/>
      <c r="CH164" s="72"/>
    </row>
    <row r="165" ht="15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  <c r="AT165" s="72"/>
      <c r="AU165" s="72"/>
      <c r="AV165" s="72"/>
      <c r="AW165" s="72"/>
      <c r="AX165" s="72"/>
      <c r="AY165" s="72"/>
      <c r="AZ165" s="72"/>
      <c r="BA165" s="72"/>
      <c r="BB165" s="72"/>
      <c r="BC165" s="72"/>
      <c r="BD165" s="72"/>
      <c r="BE165" s="72"/>
      <c r="BF165" s="72"/>
      <c r="BG165" s="72"/>
      <c r="BH165" s="72"/>
      <c r="BI165" s="72"/>
      <c r="BJ165" s="72"/>
      <c r="BK165" s="72"/>
      <c r="BL165" s="72"/>
      <c r="BM165" s="72"/>
      <c r="BN165" s="72"/>
      <c r="BO165" s="72"/>
      <c r="BP165" s="72"/>
      <c r="BQ165" s="72"/>
      <c r="BR165" s="72"/>
      <c r="BS165" s="72"/>
      <c r="BT165" s="72"/>
      <c r="BU165" s="72"/>
      <c r="BV165" s="72"/>
      <c r="BW165" s="72"/>
      <c r="BX165" s="72"/>
      <c r="BY165" s="72"/>
      <c r="BZ165" s="72"/>
      <c r="CA165" s="72"/>
      <c r="CB165" s="72"/>
      <c r="CC165" s="72"/>
      <c r="CD165" s="72"/>
      <c r="CE165" s="72"/>
      <c r="CF165" s="72"/>
      <c r="CG165" s="72"/>
      <c r="CH165" s="72"/>
    </row>
    <row r="166" ht="15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  <c r="AQ166" s="72"/>
      <c r="AR166" s="72"/>
      <c r="AS166" s="72"/>
      <c r="AT166" s="72"/>
      <c r="AU166" s="72"/>
      <c r="AV166" s="72"/>
      <c r="AW166" s="72"/>
      <c r="AX166" s="72"/>
      <c r="AY166" s="72"/>
      <c r="AZ166" s="72"/>
      <c r="BA166" s="72"/>
      <c r="BB166" s="72"/>
      <c r="BC166" s="72"/>
      <c r="BD166" s="72"/>
      <c r="BE166" s="72"/>
      <c r="BF166" s="72"/>
      <c r="BG166" s="72"/>
      <c r="BH166" s="72"/>
      <c r="BI166" s="72"/>
      <c r="BJ166" s="72"/>
      <c r="BK166" s="72"/>
      <c r="BL166" s="72"/>
      <c r="BM166" s="72"/>
      <c r="BN166" s="72"/>
      <c r="BO166" s="72"/>
      <c r="BP166" s="72"/>
      <c r="BQ166" s="72"/>
      <c r="BR166" s="72"/>
      <c r="BS166" s="72"/>
      <c r="BT166" s="72"/>
      <c r="BU166" s="72"/>
      <c r="BV166" s="72"/>
      <c r="BW166" s="72"/>
      <c r="BX166" s="72"/>
      <c r="BY166" s="72"/>
      <c r="BZ166" s="72"/>
      <c r="CA166" s="72"/>
      <c r="CB166" s="72"/>
      <c r="CC166" s="72"/>
      <c r="CD166" s="72"/>
      <c r="CE166" s="72"/>
      <c r="CF166" s="72"/>
      <c r="CG166" s="72"/>
      <c r="CH166" s="72"/>
    </row>
    <row r="167" ht="15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  <c r="AT167" s="72"/>
      <c r="AU167" s="72"/>
      <c r="AV167" s="72"/>
      <c r="AW167" s="72"/>
      <c r="AX167" s="72"/>
      <c r="AY167" s="72"/>
      <c r="AZ167" s="72"/>
      <c r="BA167" s="72"/>
      <c r="BB167" s="72"/>
      <c r="BC167" s="72"/>
      <c r="BD167" s="72"/>
      <c r="BE167" s="72"/>
      <c r="BF167" s="72"/>
      <c r="BG167" s="72"/>
      <c r="BH167" s="72"/>
      <c r="BI167" s="72"/>
      <c r="BJ167" s="72"/>
      <c r="BK167" s="72"/>
      <c r="BL167" s="72"/>
      <c r="BM167" s="72"/>
      <c r="BN167" s="72"/>
      <c r="BO167" s="72"/>
      <c r="BP167" s="72"/>
      <c r="BQ167" s="72"/>
      <c r="BR167" s="72"/>
      <c r="BS167" s="72"/>
      <c r="BT167" s="72"/>
      <c r="BU167" s="72"/>
      <c r="BV167" s="72"/>
      <c r="BW167" s="72"/>
      <c r="BX167" s="72"/>
      <c r="BY167" s="72"/>
      <c r="BZ167" s="72"/>
      <c r="CA167" s="72"/>
      <c r="CB167" s="72"/>
      <c r="CC167" s="72"/>
      <c r="CD167" s="72"/>
      <c r="CE167" s="72"/>
      <c r="CF167" s="72"/>
      <c r="CG167" s="72"/>
      <c r="CH167" s="72"/>
    </row>
    <row r="168" ht="15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  <c r="AT168" s="72"/>
      <c r="AU168" s="72"/>
      <c r="AV168" s="72"/>
      <c r="AW168" s="72"/>
      <c r="AX168" s="72"/>
      <c r="AY168" s="72"/>
      <c r="AZ168" s="72"/>
      <c r="BA168" s="72"/>
      <c r="BB168" s="72"/>
      <c r="BC168" s="72"/>
      <c r="BD168" s="72"/>
      <c r="BE168" s="72"/>
      <c r="BF168" s="72"/>
      <c r="BG168" s="72"/>
      <c r="BH168" s="72"/>
      <c r="BI168" s="72"/>
      <c r="BJ168" s="72"/>
      <c r="BK168" s="72"/>
      <c r="BL168" s="72"/>
      <c r="BM168" s="72"/>
      <c r="BN168" s="72"/>
      <c r="BO168" s="72"/>
      <c r="BP168" s="72"/>
      <c r="BQ168" s="72"/>
      <c r="BR168" s="72"/>
      <c r="BS168" s="72"/>
      <c r="BT168" s="72"/>
      <c r="BU168" s="72"/>
      <c r="BV168" s="72"/>
      <c r="BW168" s="72"/>
      <c r="BX168" s="72"/>
      <c r="BY168" s="72"/>
      <c r="BZ168" s="72"/>
      <c r="CA168" s="72"/>
      <c r="CB168" s="72"/>
      <c r="CC168" s="72"/>
      <c r="CD168" s="72"/>
      <c r="CE168" s="72"/>
      <c r="CF168" s="72"/>
      <c r="CG168" s="72"/>
      <c r="CH168" s="72"/>
    </row>
    <row r="169" ht="15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  <c r="AT169" s="72"/>
      <c r="AU169" s="72"/>
      <c r="AV169" s="72"/>
      <c r="AW169" s="72"/>
      <c r="AX169" s="72"/>
      <c r="AY169" s="72"/>
      <c r="AZ169" s="72"/>
      <c r="BA169" s="72"/>
      <c r="BB169" s="72"/>
      <c r="BC169" s="72"/>
      <c r="BD169" s="72"/>
      <c r="BE169" s="72"/>
      <c r="BF169" s="72"/>
      <c r="BG169" s="72"/>
      <c r="BH169" s="72"/>
      <c r="BI169" s="72"/>
      <c r="BJ169" s="72"/>
      <c r="BK169" s="72"/>
      <c r="BL169" s="72"/>
      <c r="BM169" s="72"/>
      <c r="BN169" s="72"/>
      <c r="BO169" s="72"/>
      <c r="BP169" s="72"/>
      <c r="BQ169" s="72"/>
      <c r="BR169" s="72"/>
      <c r="BS169" s="72"/>
      <c r="BT169" s="72"/>
      <c r="BU169" s="72"/>
      <c r="BV169" s="72"/>
      <c r="BW169" s="72"/>
      <c r="BX169" s="72"/>
      <c r="BY169" s="72"/>
      <c r="BZ169" s="72"/>
      <c r="CA169" s="72"/>
      <c r="CB169" s="72"/>
      <c r="CC169" s="72"/>
      <c r="CD169" s="72"/>
      <c r="CE169" s="72"/>
      <c r="CF169" s="72"/>
      <c r="CG169" s="72"/>
      <c r="CH169" s="72"/>
    </row>
    <row r="170" ht="15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  <c r="AT170" s="72"/>
      <c r="AU170" s="72"/>
      <c r="AV170" s="72"/>
      <c r="AW170" s="72"/>
      <c r="AX170" s="72"/>
      <c r="AY170" s="72"/>
      <c r="AZ170" s="72"/>
      <c r="BA170" s="72"/>
      <c r="BB170" s="72"/>
      <c r="BC170" s="72"/>
      <c r="BD170" s="72"/>
      <c r="BE170" s="72"/>
      <c r="BF170" s="72"/>
      <c r="BG170" s="72"/>
      <c r="BH170" s="72"/>
      <c r="BI170" s="72"/>
      <c r="BJ170" s="72"/>
      <c r="BK170" s="72"/>
      <c r="BL170" s="72"/>
      <c r="BM170" s="72"/>
      <c r="BN170" s="72"/>
      <c r="BO170" s="72"/>
      <c r="BP170" s="72"/>
      <c r="BQ170" s="72"/>
      <c r="BR170" s="72"/>
      <c r="BS170" s="72"/>
      <c r="BT170" s="72"/>
      <c r="BU170" s="72"/>
      <c r="BV170" s="72"/>
      <c r="BW170" s="72"/>
      <c r="BX170" s="72"/>
      <c r="BY170" s="72"/>
      <c r="BZ170" s="72"/>
      <c r="CA170" s="72"/>
      <c r="CB170" s="72"/>
      <c r="CC170" s="72"/>
      <c r="CD170" s="72"/>
      <c r="CE170" s="72"/>
      <c r="CF170" s="72"/>
      <c r="CG170" s="72"/>
      <c r="CH170" s="72"/>
    </row>
    <row r="171" ht="15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  <c r="AT171" s="72"/>
      <c r="AU171" s="72"/>
      <c r="AV171" s="72"/>
      <c r="AW171" s="72"/>
      <c r="AX171" s="72"/>
      <c r="AY171" s="72"/>
      <c r="AZ171" s="72"/>
      <c r="BA171" s="72"/>
      <c r="BB171" s="72"/>
      <c r="BC171" s="72"/>
      <c r="BD171" s="72"/>
      <c r="BE171" s="72"/>
      <c r="BF171" s="72"/>
      <c r="BG171" s="72"/>
      <c r="BH171" s="72"/>
      <c r="BI171" s="72"/>
      <c r="BJ171" s="72"/>
      <c r="BK171" s="72"/>
      <c r="BL171" s="72"/>
      <c r="BM171" s="72"/>
      <c r="BN171" s="72"/>
      <c r="BO171" s="72"/>
      <c r="BP171" s="72"/>
      <c r="BQ171" s="72"/>
      <c r="BR171" s="72"/>
      <c r="BS171" s="72"/>
      <c r="BT171" s="72"/>
      <c r="BU171" s="72"/>
      <c r="BV171" s="72"/>
      <c r="BW171" s="72"/>
      <c r="BX171" s="72"/>
      <c r="BY171" s="72"/>
      <c r="BZ171" s="72"/>
      <c r="CA171" s="72"/>
      <c r="CB171" s="72"/>
      <c r="CC171" s="72"/>
      <c r="CD171" s="72"/>
      <c r="CE171" s="72"/>
      <c r="CF171" s="72"/>
      <c r="CG171" s="72"/>
      <c r="CH171" s="72"/>
    </row>
    <row r="172" ht="15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  <c r="AT172" s="72"/>
      <c r="AU172" s="72"/>
      <c r="AV172" s="72"/>
      <c r="AW172" s="72"/>
      <c r="AX172" s="72"/>
      <c r="AY172" s="72"/>
      <c r="AZ172" s="72"/>
      <c r="BA172" s="72"/>
      <c r="BB172" s="72"/>
      <c r="BC172" s="72"/>
      <c r="BD172" s="72"/>
      <c r="BE172" s="72"/>
      <c r="BF172" s="72"/>
      <c r="BG172" s="72"/>
      <c r="BH172" s="72"/>
      <c r="BI172" s="72"/>
      <c r="BJ172" s="72"/>
      <c r="BK172" s="72"/>
      <c r="BL172" s="72"/>
      <c r="BM172" s="72"/>
      <c r="BN172" s="72"/>
      <c r="BO172" s="72"/>
      <c r="BP172" s="72"/>
      <c r="BQ172" s="72"/>
      <c r="BR172" s="72"/>
      <c r="BS172" s="72"/>
      <c r="BT172" s="72"/>
      <c r="BU172" s="72"/>
      <c r="BV172" s="72"/>
      <c r="BW172" s="72"/>
      <c r="BX172" s="72"/>
      <c r="BY172" s="72"/>
      <c r="BZ172" s="72"/>
      <c r="CA172" s="72"/>
      <c r="CB172" s="72"/>
      <c r="CC172" s="72"/>
      <c r="CD172" s="72"/>
      <c r="CE172" s="72"/>
      <c r="CF172" s="72"/>
      <c r="CG172" s="72"/>
      <c r="CH172" s="72"/>
    </row>
    <row r="173" ht="15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  <c r="AT173" s="72"/>
      <c r="AU173" s="72"/>
      <c r="AV173" s="72"/>
      <c r="AW173" s="72"/>
      <c r="AX173" s="72"/>
      <c r="AY173" s="72"/>
      <c r="AZ173" s="72"/>
      <c r="BA173" s="72"/>
      <c r="BB173" s="72"/>
      <c r="BC173" s="72"/>
      <c r="BD173" s="72"/>
      <c r="BE173" s="72"/>
      <c r="BF173" s="72"/>
      <c r="BG173" s="72"/>
      <c r="BH173" s="72"/>
      <c r="BI173" s="72"/>
      <c r="BJ173" s="72"/>
      <c r="BK173" s="72"/>
      <c r="BL173" s="72"/>
      <c r="BM173" s="72"/>
      <c r="BN173" s="72"/>
      <c r="BO173" s="72"/>
      <c r="BP173" s="72"/>
      <c r="BQ173" s="72"/>
      <c r="BR173" s="72"/>
      <c r="BS173" s="72"/>
      <c r="BT173" s="72"/>
      <c r="BU173" s="72"/>
      <c r="BV173" s="72"/>
      <c r="BW173" s="72"/>
      <c r="BX173" s="72"/>
      <c r="BY173" s="72"/>
      <c r="BZ173" s="72"/>
      <c r="CA173" s="72"/>
      <c r="CB173" s="72"/>
      <c r="CC173" s="72"/>
      <c r="CD173" s="72"/>
      <c r="CE173" s="72"/>
      <c r="CF173" s="72"/>
      <c r="CG173" s="72"/>
      <c r="CH173" s="72"/>
    </row>
    <row r="174" ht="15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  <c r="AT174" s="72"/>
      <c r="AU174" s="72"/>
      <c r="AV174" s="72"/>
      <c r="AW174" s="72"/>
      <c r="AX174" s="72"/>
      <c r="AY174" s="72"/>
      <c r="AZ174" s="72"/>
      <c r="BA174" s="72"/>
      <c r="BB174" s="72"/>
      <c r="BC174" s="72"/>
      <c r="BD174" s="72"/>
      <c r="BE174" s="72"/>
      <c r="BF174" s="72"/>
      <c r="BG174" s="72"/>
      <c r="BH174" s="72"/>
      <c r="BI174" s="72"/>
      <c r="BJ174" s="72"/>
      <c r="BK174" s="72"/>
      <c r="BL174" s="72"/>
      <c r="BM174" s="72"/>
      <c r="BN174" s="72"/>
      <c r="BO174" s="72"/>
      <c r="BP174" s="72"/>
      <c r="BQ174" s="72"/>
      <c r="BR174" s="72"/>
      <c r="BS174" s="72"/>
      <c r="BT174" s="72"/>
      <c r="BU174" s="72"/>
      <c r="BV174" s="72"/>
      <c r="BW174" s="72"/>
      <c r="BX174" s="72"/>
      <c r="BY174" s="72"/>
      <c r="BZ174" s="72"/>
      <c r="CA174" s="72"/>
      <c r="CB174" s="72"/>
      <c r="CC174" s="72"/>
      <c r="CD174" s="72"/>
      <c r="CE174" s="72"/>
      <c r="CF174" s="72"/>
      <c r="CG174" s="72"/>
      <c r="CH174" s="72"/>
    </row>
    <row r="175" ht="15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  <c r="AT175" s="72"/>
      <c r="AU175" s="72"/>
      <c r="AV175" s="72"/>
      <c r="AW175" s="72"/>
      <c r="AX175" s="72"/>
      <c r="AY175" s="72"/>
      <c r="AZ175" s="72"/>
      <c r="BA175" s="72"/>
      <c r="BB175" s="72"/>
      <c r="BC175" s="72"/>
      <c r="BD175" s="72"/>
      <c r="BE175" s="72"/>
      <c r="BF175" s="72"/>
      <c r="BG175" s="72"/>
      <c r="BH175" s="72"/>
      <c r="BI175" s="72"/>
      <c r="BJ175" s="72"/>
      <c r="BK175" s="72"/>
      <c r="BL175" s="72"/>
      <c r="BM175" s="72"/>
      <c r="BN175" s="72"/>
      <c r="BO175" s="72"/>
      <c r="BP175" s="72"/>
      <c r="BQ175" s="72"/>
      <c r="BR175" s="72"/>
      <c r="BS175" s="72"/>
      <c r="BT175" s="72"/>
      <c r="BU175" s="72"/>
      <c r="BV175" s="72"/>
      <c r="BW175" s="72"/>
      <c r="BX175" s="72"/>
      <c r="BY175" s="72"/>
      <c r="BZ175" s="72"/>
      <c r="CA175" s="72"/>
      <c r="CB175" s="72"/>
      <c r="CC175" s="72"/>
      <c r="CD175" s="72"/>
      <c r="CE175" s="72"/>
      <c r="CF175" s="72"/>
      <c r="CG175" s="72"/>
      <c r="CH175" s="72"/>
    </row>
    <row r="176" ht="15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/>
      <c r="BM176" s="72"/>
      <c r="BN176" s="72"/>
      <c r="BO176" s="72"/>
      <c r="BP176" s="72"/>
      <c r="BQ176" s="72"/>
      <c r="BR176" s="72"/>
      <c r="BS176" s="72"/>
      <c r="BT176" s="72"/>
      <c r="BU176" s="72"/>
      <c r="BV176" s="72"/>
      <c r="BW176" s="72"/>
      <c r="BX176" s="72"/>
      <c r="BY176" s="72"/>
      <c r="BZ176" s="72"/>
      <c r="CA176" s="72"/>
      <c r="CB176" s="72"/>
      <c r="CC176" s="72"/>
      <c r="CD176" s="72"/>
      <c r="CE176" s="72"/>
      <c r="CF176" s="72"/>
      <c r="CG176" s="72"/>
      <c r="CH176" s="72"/>
    </row>
    <row r="177" ht="15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  <c r="BM177" s="72"/>
      <c r="BN177" s="72"/>
      <c r="BO177" s="72"/>
      <c r="BP177" s="72"/>
      <c r="BQ177" s="72"/>
      <c r="BR177" s="72"/>
      <c r="BS177" s="72"/>
      <c r="BT177" s="72"/>
      <c r="BU177" s="72"/>
      <c r="BV177" s="72"/>
      <c r="BW177" s="72"/>
      <c r="BX177" s="72"/>
      <c r="BY177" s="72"/>
      <c r="BZ177" s="72"/>
      <c r="CA177" s="72"/>
      <c r="CB177" s="72"/>
      <c r="CC177" s="72"/>
      <c r="CD177" s="72"/>
      <c r="CE177" s="72"/>
      <c r="CF177" s="72"/>
      <c r="CG177" s="72"/>
      <c r="CH177" s="72"/>
    </row>
    <row r="178" ht="15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/>
      <c r="BM178" s="72"/>
      <c r="BN178" s="72"/>
      <c r="BO178" s="72"/>
      <c r="BP178" s="72"/>
      <c r="BQ178" s="72"/>
      <c r="BR178" s="72"/>
      <c r="BS178" s="72"/>
      <c r="BT178" s="72"/>
      <c r="BU178" s="72"/>
      <c r="BV178" s="72"/>
      <c r="BW178" s="72"/>
      <c r="BX178" s="72"/>
      <c r="BY178" s="72"/>
      <c r="BZ178" s="72"/>
      <c r="CA178" s="72"/>
      <c r="CB178" s="72"/>
      <c r="CC178" s="72"/>
      <c r="CD178" s="72"/>
      <c r="CE178" s="72"/>
      <c r="CF178" s="72"/>
      <c r="CG178" s="72"/>
      <c r="CH178" s="72"/>
    </row>
    <row r="179" ht="15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  <c r="BM179" s="72"/>
      <c r="BN179" s="72"/>
      <c r="BO179" s="72"/>
      <c r="BP179" s="72"/>
      <c r="BQ179" s="72"/>
      <c r="BR179" s="72"/>
      <c r="BS179" s="72"/>
      <c r="BT179" s="72"/>
      <c r="BU179" s="72"/>
      <c r="BV179" s="72"/>
      <c r="BW179" s="72"/>
      <c r="BX179" s="72"/>
      <c r="BY179" s="72"/>
      <c r="BZ179" s="72"/>
      <c r="CA179" s="72"/>
      <c r="CB179" s="72"/>
      <c r="CC179" s="72"/>
      <c r="CD179" s="72"/>
      <c r="CE179" s="72"/>
      <c r="CF179" s="72"/>
      <c r="CG179" s="72"/>
      <c r="CH179" s="72"/>
    </row>
    <row r="180" ht="15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  <c r="AT180" s="72"/>
      <c r="AU180" s="72"/>
      <c r="AV180" s="72"/>
      <c r="AW180" s="72"/>
      <c r="AX180" s="72"/>
      <c r="AY180" s="72"/>
      <c r="AZ180" s="72"/>
      <c r="BA180" s="72"/>
      <c r="BB180" s="72"/>
      <c r="BC180" s="72"/>
      <c r="BD180" s="72"/>
      <c r="BE180" s="72"/>
      <c r="BF180" s="72"/>
      <c r="BG180" s="72"/>
      <c r="BH180" s="72"/>
      <c r="BI180" s="72"/>
      <c r="BJ180" s="72"/>
      <c r="BK180" s="72"/>
      <c r="BL180" s="72"/>
      <c r="BM180" s="72"/>
      <c r="BN180" s="72"/>
      <c r="BO180" s="72"/>
      <c r="BP180" s="72"/>
      <c r="BQ180" s="72"/>
      <c r="BR180" s="72"/>
      <c r="BS180" s="72"/>
      <c r="BT180" s="72"/>
      <c r="BU180" s="72"/>
      <c r="BV180" s="72"/>
      <c r="BW180" s="72"/>
      <c r="BX180" s="72"/>
      <c r="BY180" s="72"/>
      <c r="BZ180" s="72"/>
      <c r="CA180" s="72"/>
      <c r="CB180" s="72"/>
      <c r="CC180" s="72"/>
      <c r="CD180" s="72"/>
      <c r="CE180" s="72"/>
      <c r="CF180" s="72"/>
      <c r="CG180" s="72"/>
      <c r="CH180" s="72"/>
    </row>
    <row r="181" ht="15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/>
      <c r="BM181" s="72"/>
      <c r="BN181" s="72"/>
      <c r="BO181" s="72"/>
      <c r="BP181" s="72"/>
      <c r="BQ181" s="72"/>
      <c r="BR181" s="72"/>
      <c r="BS181" s="72"/>
      <c r="BT181" s="72"/>
      <c r="BU181" s="72"/>
      <c r="BV181" s="72"/>
      <c r="BW181" s="72"/>
      <c r="BX181" s="72"/>
      <c r="BY181" s="72"/>
      <c r="BZ181" s="72"/>
      <c r="CA181" s="72"/>
      <c r="CB181" s="72"/>
      <c r="CC181" s="72"/>
      <c r="CD181" s="72"/>
      <c r="CE181" s="72"/>
      <c r="CF181" s="72"/>
      <c r="CG181" s="72"/>
      <c r="CH181" s="72"/>
    </row>
    <row r="182" ht="15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/>
      <c r="BM182" s="72"/>
      <c r="BN182" s="72"/>
      <c r="BO182" s="72"/>
      <c r="BP182" s="72"/>
      <c r="BQ182" s="72"/>
      <c r="BR182" s="72"/>
      <c r="BS182" s="72"/>
      <c r="BT182" s="72"/>
      <c r="BU182" s="72"/>
      <c r="BV182" s="72"/>
      <c r="BW182" s="72"/>
      <c r="BX182" s="72"/>
      <c r="BY182" s="72"/>
      <c r="BZ182" s="72"/>
      <c r="CA182" s="72"/>
      <c r="CB182" s="72"/>
      <c r="CC182" s="72"/>
      <c r="CD182" s="72"/>
      <c r="CE182" s="72"/>
      <c r="CF182" s="72"/>
      <c r="CG182" s="72"/>
      <c r="CH182" s="72"/>
    </row>
    <row r="183" ht="15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  <c r="BM183" s="72"/>
      <c r="BN183" s="72"/>
      <c r="BO183" s="72"/>
      <c r="BP183" s="72"/>
      <c r="BQ183" s="72"/>
      <c r="BR183" s="72"/>
      <c r="BS183" s="72"/>
      <c r="BT183" s="72"/>
      <c r="BU183" s="72"/>
      <c r="BV183" s="72"/>
      <c r="BW183" s="72"/>
      <c r="BX183" s="72"/>
      <c r="BY183" s="72"/>
      <c r="BZ183" s="72"/>
      <c r="CA183" s="72"/>
      <c r="CB183" s="72"/>
      <c r="CC183" s="72"/>
      <c r="CD183" s="72"/>
      <c r="CE183" s="72"/>
      <c r="CF183" s="72"/>
      <c r="CG183" s="72"/>
      <c r="CH183" s="72"/>
    </row>
    <row r="184" ht="15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/>
      <c r="BM184" s="72"/>
      <c r="BN184" s="72"/>
      <c r="BO184" s="72"/>
      <c r="BP184" s="72"/>
      <c r="BQ184" s="72"/>
      <c r="BR184" s="72"/>
      <c r="BS184" s="72"/>
      <c r="BT184" s="72"/>
      <c r="BU184" s="72"/>
      <c r="BV184" s="72"/>
      <c r="BW184" s="72"/>
      <c r="BX184" s="72"/>
      <c r="BY184" s="72"/>
      <c r="BZ184" s="72"/>
      <c r="CA184" s="72"/>
      <c r="CB184" s="72"/>
      <c r="CC184" s="72"/>
      <c r="CD184" s="72"/>
      <c r="CE184" s="72"/>
      <c r="CF184" s="72"/>
      <c r="CG184" s="72"/>
      <c r="CH184" s="72"/>
    </row>
    <row r="185" ht="15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  <c r="AT185" s="72"/>
      <c r="AU185" s="72"/>
      <c r="AV185" s="72"/>
      <c r="AW185" s="72"/>
      <c r="AX185" s="72"/>
      <c r="AY185" s="72"/>
      <c r="AZ185" s="72"/>
      <c r="BA185" s="72"/>
      <c r="BB185" s="72"/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  <c r="BM185" s="72"/>
      <c r="BN185" s="72"/>
      <c r="BO185" s="72"/>
      <c r="BP185" s="72"/>
      <c r="BQ185" s="72"/>
      <c r="BR185" s="72"/>
      <c r="BS185" s="72"/>
      <c r="BT185" s="72"/>
      <c r="BU185" s="72"/>
      <c r="BV185" s="72"/>
      <c r="BW185" s="72"/>
      <c r="BX185" s="72"/>
      <c r="BY185" s="72"/>
      <c r="BZ185" s="72"/>
      <c r="CA185" s="72"/>
      <c r="CB185" s="72"/>
      <c r="CC185" s="72"/>
      <c r="CD185" s="72"/>
      <c r="CE185" s="72"/>
      <c r="CF185" s="72"/>
      <c r="CG185" s="72"/>
      <c r="CH185" s="72"/>
    </row>
    <row r="186" ht="15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  <c r="AT186" s="72"/>
      <c r="AU186" s="72"/>
      <c r="AV186" s="72"/>
      <c r="AW186" s="72"/>
      <c r="AX186" s="72"/>
      <c r="AY186" s="72"/>
      <c r="AZ186" s="72"/>
      <c r="BA186" s="72"/>
      <c r="BB186" s="72"/>
      <c r="BC186" s="72"/>
      <c r="BD186" s="72"/>
      <c r="BE186" s="72"/>
      <c r="BF186" s="72"/>
      <c r="BG186" s="72"/>
      <c r="BH186" s="72"/>
      <c r="BI186" s="72"/>
      <c r="BJ186" s="72"/>
      <c r="BK186" s="72"/>
      <c r="BL186" s="72"/>
      <c r="BM186" s="72"/>
      <c r="BN186" s="72"/>
      <c r="BO186" s="72"/>
      <c r="BP186" s="72"/>
      <c r="BQ186" s="72"/>
      <c r="BR186" s="72"/>
      <c r="BS186" s="72"/>
      <c r="BT186" s="72"/>
      <c r="BU186" s="72"/>
      <c r="BV186" s="72"/>
      <c r="BW186" s="72"/>
      <c r="BX186" s="72"/>
      <c r="BY186" s="72"/>
      <c r="BZ186" s="72"/>
      <c r="CA186" s="72"/>
      <c r="CB186" s="72"/>
      <c r="CC186" s="72"/>
      <c r="CD186" s="72"/>
      <c r="CE186" s="72"/>
      <c r="CF186" s="72"/>
      <c r="CG186" s="72"/>
      <c r="CH186" s="72"/>
    </row>
    <row r="187" ht="15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  <c r="AT187" s="72"/>
      <c r="AU187" s="72"/>
      <c r="AV187" s="72"/>
      <c r="AW187" s="72"/>
      <c r="AX187" s="72"/>
      <c r="AY187" s="72"/>
      <c r="AZ187" s="72"/>
      <c r="BA187" s="72"/>
      <c r="BB187" s="72"/>
      <c r="BC187" s="72"/>
      <c r="BD187" s="72"/>
      <c r="BE187" s="72"/>
      <c r="BF187" s="72"/>
      <c r="BG187" s="72"/>
      <c r="BH187" s="72"/>
      <c r="BI187" s="72"/>
      <c r="BJ187" s="72"/>
      <c r="BK187" s="72"/>
      <c r="BL187" s="72"/>
      <c r="BM187" s="72"/>
      <c r="BN187" s="72"/>
      <c r="BO187" s="72"/>
      <c r="BP187" s="72"/>
      <c r="BQ187" s="72"/>
      <c r="BR187" s="72"/>
      <c r="BS187" s="72"/>
      <c r="BT187" s="72"/>
      <c r="BU187" s="72"/>
      <c r="BV187" s="72"/>
      <c r="BW187" s="72"/>
      <c r="BX187" s="72"/>
      <c r="BY187" s="72"/>
      <c r="BZ187" s="72"/>
      <c r="CA187" s="72"/>
      <c r="CB187" s="72"/>
      <c r="CC187" s="72"/>
      <c r="CD187" s="72"/>
      <c r="CE187" s="72"/>
      <c r="CF187" s="72"/>
      <c r="CG187" s="72"/>
      <c r="CH187" s="72"/>
    </row>
    <row r="188" ht="15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  <c r="AT188" s="72"/>
      <c r="AU188" s="72"/>
      <c r="AV188" s="72"/>
      <c r="AW188" s="72"/>
      <c r="AX188" s="72"/>
      <c r="AY188" s="72"/>
      <c r="AZ188" s="72"/>
      <c r="BA188" s="72"/>
      <c r="BB188" s="72"/>
      <c r="BC188" s="72"/>
      <c r="BD188" s="72"/>
      <c r="BE188" s="72"/>
      <c r="BF188" s="72"/>
      <c r="BG188" s="72"/>
      <c r="BH188" s="72"/>
      <c r="BI188" s="72"/>
      <c r="BJ188" s="72"/>
      <c r="BK188" s="72"/>
      <c r="BL188" s="72"/>
      <c r="BM188" s="72"/>
      <c r="BN188" s="72"/>
      <c r="BO188" s="72"/>
      <c r="BP188" s="72"/>
      <c r="BQ188" s="72"/>
      <c r="BR188" s="72"/>
      <c r="BS188" s="72"/>
      <c r="BT188" s="72"/>
      <c r="BU188" s="72"/>
      <c r="BV188" s="72"/>
      <c r="BW188" s="72"/>
      <c r="BX188" s="72"/>
      <c r="BY188" s="72"/>
      <c r="BZ188" s="72"/>
      <c r="CA188" s="72"/>
      <c r="CB188" s="72"/>
      <c r="CC188" s="72"/>
      <c r="CD188" s="72"/>
      <c r="CE188" s="72"/>
      <c r="CF188" s="72"/>
      <c r="CG188" s="72"/>
      <c r="CH188" s="72"/>
    </row>
    <row r="189" ht="15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  <c r="AT189" s="72"/>
      <c r="AU189" s="72"/>
      <c r="AV189" s="72"/>
      <c r="AW189" s="72"/>
      <c r="AX189" s="72"/>
      <c r="AY189" s="72"/>
      <c r="AZ189" s="72"/>
      <c r="BA189" s="72"/>
      <c r="BB189" s="72"/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  <c r="BM189" s="72"/>
      <c r="BN189" s="72"/>
      <c r="BO189" s="72"/>
      <c r="BP189" s="72"/>
      <c r="BQ189" s="72"/>
      <c r="BR189" s="72"/>
      <c r="BS189" s="72"/>
      <c r="BT189" s="72"/>
      <c r="BU189" s="72"/>
      <c r="BV189" s="72"/>
      <c r="BW189" s="72"/>
      <c r="BX189" s="72"/>
      <c r="BY189" s="72"/>
      <c r="BZ189" s="72"/>
      <c r="CA189" s="72"/>
      <c r="CB189" s="72"/>
      <c r="CC189" s="72"/>
      <c r="CD189" s="72"/>
      <c r="CE189" s="72"/>
      <c r="CF189" s="72"/>
      <c r="CG189" s="72"/>
      <c r="CH189" s="72"/>
    </row>
    <row r="190" ht="15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  <c r="AT190" s="72"/>
      <c r="AU190" s="72"/>
      <c r="AV190" s="72"/>
      <c r="AW190" s="72"/>
      <c r="AX190" s="72"/>
      <c r="AY190" s="72"/>
      <c r="AZ190" s="72"/>
      <c r="BA190" s="72"/>
      <c r="BB190" s="72"/>
      <c r="BC190" s="72"/>
      <c r="BD190" s="72"/>
      <c r="BE190" s="72"/>
      <c r="BF190" s="72"/>
      <c r="BG190" s="72"/>
      <c r="BH190" s="72"/>
      <c r="BI190" s="72"/>
      <c r="BJ190" s="72"/>
      <c r="BK190" s="72"/>
      <c r="BL190" s="72"/>
      <c r="BM190" s="72"/>
      <c r="BN190" s="72"/>
      <c r="BO190" s="72"/>
      <c r="BP190" s="72"/>
      <c r="BQ190" s="72"/>
      <c r="BR190" s="72"/>
      <c r="BS190" s="72"/>
      <c r="BT190" s="72"/>
      <c r="BU190" s="72"/>
      <c r="BV190" s="72"/>
      <c r="BW190" s="72"/>
      <c r="BX190" s="72"/>
      <c r="BY190" s="72"/>
      <c r="BZ190" s="72"/>
      <c r="CA190" s="72"/>
      <c r="CB190" s="72"/>
      <c r="CC190" s="72"/>
      <c r="CD190" s="72"/>
      <c r="CE190" s="72"/>
      <c r="CF190" s="72"/>
      <c r="CG190" s="72"/>
      <c r="CH190" s="72"/>
    </row>
    <row r="191" ht="15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/>
      <c r="BM191" s="72"/>
      <c r="BN191" s="72"/>
      <c r="BO191" s="72"/>
      <c r="BP191" s="72"/>
      <c r="BQ191" s="72"/>
      <c r="BR191" s="72"/>
      <c r="BS191" s="72"/>
      <c r="BT191" s="72"/>
      <c r="BU191" s="72"/>
      <c r="BV191" s="72"/>
      <c r="BW191" s="72"/>
      <c r="BX191" s="72"/>
      <c r="BY191" s="72"/>
      <c r="BZ191" s="72"/>
      <c r="CA191" s="72"/>
      <c r="CB191" s="72"/>
      <c r="CC191" s="72"/>
      <c r="CD191" s="72"/>
      <c r="CE191" s="72"/>
      <c r="CF191" s="72"/>
      <c r="CG191" s="72"/>
      <c r="CH191" s="72"/>
    </row>
    <row r="192" ht="15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  <c r="AT192" s="72"/>
      <c r="AU192" s="72"/>
      <c r="AV192" s="72"/>
      <c r="AW192" s="72"/>
      <c r="AX192" s="72"/>
      <c r="AY192" s="72"/>
      <c r="AZ192" s="72"/>
      <c r="BA192" s="72"/>
      <c r="BB192" s="72"/>
      <c r="BC192" s="72"/>
      <c r="BD192" s="72"/>
      <c r="BE192" s="72"/>
      <c r="BF192" s="72"/>
      <c r="BG192" s="72"/>
      <c r="BH192" s="72"/>
      <c r="BI192" s="72"/>
      <c r="BJ192" s="72"/>
      <c r="BK192" s="72"/>
      <c r="BL192" s="72"/>
      <c r="BM192" s="72"/>
      <c r="BN192" s="72"/>
      <c r="BO192" s="72"/>
      <c r="BP192" s="72"/>
      <c r="BQ192" s="72"/>
      <c r="BR192" s="72"/>
      <c r="BS192" s="72"/>
      <c r="BT192" s="72"/>
      <c r="BU192" s="72"/>
      <c r="BV192" s="72"/>
      <c r="BW192" s="72"/>
      <c r="BX192" s="72"/>
      <c r="BY192" s="72"/>
      <c r="BZ192" s="72"/>
      <c r="CA192" s="72"/>
      <c r="CB192" s="72"/>
      <c r="CC192" s="72"/>
      <c r="CD192" s="72"/>
      <c r="CE192" s="72"/>
      <c r="CF192" s="72"/>
      <c r="CG192" s="72"/>
      <c r="CH192" s="72"/>
    </row>
    <row r="193" ht="15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  <c r="AT193" s="72"/>
      <c r="AU193" s="72"/>
      <c r="AV193" s="72"/>
      <c r="AW193" s="72"/>
      <c r="AX193" s="72"/>
      <c r="AY193" s="72"/>
      <c r="AZ193" s="72"/>
      <c r="BA193" s="72"/>
      <c r="BB193" s="72"/>
      <c r="BC193" s="72"/>
      <c r="BD193" s="72"/>
      <c r="BE193" s="72"/>
      <c r="BF193" s="72"/>
      <c r="BG193" s="72"/>
      <c r="BH193" s="72"/>
      <c r="BI193" s="72"/>
      <c r="BJ193" s="72"/>
      <c r="BK193" s="72"/>
      <c r="BL193" s="72"/>
      <c r="BM193" s="72"/>
      <c r="BN193" s="72"/>
      <c r="BO193" s="72"/>
      <c r="BP193" s="72"/>
      <c r="BQ193" s="72"/>
      <c r="BR193" s="72"/>
      <c r="BS193" s="72"/>
      <c r="BT193" s="72"/>
      <c r="BU193" s="72"/>
      <c r="BV193" s="72"/>
      <c r="BW193" s="72"/>
      <c r="BX193" s="72"/>
      <c r="BY193" s="72"/>
      <c r="BZ193" s="72"/>
      <c r="CA193" s="72"/>
      <c r="CB193" s="72"/>
      <c r="CC193" s="72"/>
      <c r="CD193" s="72"/>
      <c r="CE193" s="72"/>
      <c r="CF193" s="72"/>
      <c r="CG193" s="72"/>
      <c r="CH193" s="72"/>
    </row>
    <row r="194" ht="15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  <c r="AT194" s="72"/>
      <c r="AU194" s="72"/>
      <c r="AV194" s="72"/>
      <c r="AW194" s="72"/>
      <c r="AX194" s="72"/>
      <c r="AY194" s="72"/>
      <c r="AZ194" s="72"/>
      <c r="BA194" s="72"/>
      <c r="BB194" s="72"/>
      <c r="BC194" s="72"/>
      <c r="BD194" s="72"/>
      <c r="BE194" s="72"/>
      <c r="BF194" s="72"/>
      <c r="BG194" s="72"/>
      <c r="BH194" s="72"/>
      <c r="BI194" s="72"/>
      <c r="BJ194" s="72"/>
      <c r="BK194" s="72"/>
      <c r="BL194" s="72"/>
      <c r="BM194" s="72"/>
      <c r="BN194" s="72"/>
      <c r="BO194" s="72"/>
      <c r="BP194" s="72"/>
      <c r="BQ194" s="72"/>
      <c r="BR194" s="72"/>
      <c r="BS194" s="72"/>
      <c r="BT194" s="72"/>
      <c r="BU194" s="72"/>
      <c r="BV194" s="72"/>
      <c r="BW194" s="72"/>
      <c r="BX194" s="72"/>
      <c r="BY194" s="72"/>
      <c r="BZ194" s="72"/>
      <c r="CA194" s="72"/>
      <c r="CB194" s="72"/>
      <c r="CC194" s="72"/>
      <c r="CD194" s="72"/>
      <c r="CE194" s="72"/>
      <c r="CF194" s="72"/>
      <c r="CG194" s="72"/>
      <c r="CH194" s="72"/>
    </row>
    <row r="195" ht="15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  <c r="AT195" s="72"/>
      <c r="AU195" s="72"/>
      <c r="AV195" s="72"/>
      <c r="AW195" s="72"/>
      <c r="AX195" s="72"/>
      <c r="AY195" s="72"/>
      <c r="AZ195" s="72"/>
      <c r="BA195" s="72"/>
      <c r="BB195" s="72"/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  <c r="BM195" s="72"/>
      <c r="BN195" s="72"/>
      <c r="BO195" s="72"/>
      <c r="BP195" s="72"/>
      <c r="BQ195" s="72"/>
      <c r="BR195" s="72"/>
      <c r="BS195" s="72"/>
      <c r="BT195" s="72"/>
      <c r="BU195" s="72"/>
      <c r="BV195" s="72"/>
      <c r="BW195" s="72"/>
      <c r="BX195" s="72"/>
      <c r="BY195" s="72"/>
      <c r="BZ195" s="72"/>
      <c r="CA195" s="72"/>
      <c r="CB195" s="72"/>
      <c r="CC195" s="72"/>
      <c r="CD195" s="72"/>
      <c r="CE195" s="72"/>
      <c r="CF195" s="72"/>
      <c r="CG195" s="72"/>
      <c r="CH195" s="72"/>
    </row>
    <row r="196" ht="15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/>
      <c r="BN196" s="72"/>
      <c r="BO196" s="72"/>
      <c r="BP196" s="72"/>
      <c r="BQ196" s="72"/>
      <c r="BR196" s="72"/>
      <c r="BS196" s="72"/>
      <c r="BT196" s="72"/>
      <c r="BU196" s="72"/>
      <c r="BV196" s="72"/>
      <c r="BW196" s="72"/>
      <c r="BX196" s="72"/>
      <c r="BY196" s="72"/>
      <c r="BZ196" s="72"/>
      <c r="CA196" s="72"/>
      <c r="CB196" s="72"/>
      <c r="CC196" s="72"/>
      <c r="CD196" s="72"/>
      <c r="CE196" s="72"/>
      <c r="CF196" s="72"/>
      <c r="CG196" s="72"/>
      <c r="CH196" s="72"/>
    </row>
    <row r="197" ht="15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/>
      <c r="AR197" s="72"/>
      <c r="AS197" s="72"/>
      <c r="AT197" s="72"/>
      <c r="AU197" s="72"/>
      <c r="AV197" s="72"/>
      <c r="AW197" s="72"/>
      <c r="AX197" s="72"/>
      <c r="AY197" s="72"/>
      <c r="AZ197" s="72"/>
      <c r="BA197" s="72"/>
      <c r="BB197" s="72"/>
      <c r="BC197" s="72"/>
      <c r="BD197" s="72"/>
      <c r="BE197" s="72"/>
      <c r="BF197" s="72"/>
      <c r="BG197" s="72"/>
      <c r="BH197" s="72"/>
      <c r="BI197" s="72"/>
      <c r="BJ197" s="72"/>
      <c r="BK197" s="72"/>
      <c r="BL197" s="72"/>
      <c r="BM197" s="72"/>
      <c r="BN197" s="72"/>
      <c r="BO197" s="72"/>
      <c r="BP197" s="72"/>
      <c r="BQ197" s="72"/>
      <c r="BR197" s="72"/>
      <c r="BS197" s="72"/>
      <c r="BT197" s="72"/>
      <c r="BU197" s="72"/>
      <c r="BV197" s="72"/>
      <c r="BW197" s="72"/>
      <c r="BX197" s="72"/>
      <c r="BY197" s="72"/>
      <c r="BZ197" s="72"/>
      <c r="CA197" s="72"/>
      <c r="CB197" s="72"/>
      <c r="CC197" s="72"/>
      <c r="CD197" s="72"/>
      <c r="CE197" s="72"/>
      <c r="CF197" s="72"/>
      <c r="CG197" s="72"/>
      <c r="CH197" s="72"/>
    </row>
    <row r="198" ht="15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  <c r="AQ198" s="72"/>
      <c r="AR198" s="72"/>
      <c r="AS198" s="72"/>
      <c r="AT198" s="72"/>
      <c r="AU198" s="72"/>
      <c r="AV198" s="72"/>
      <c r="AW198" s="72"/>
      <c r="AX198" s="72"/>
      <c r="AY198" s="72"/>
      <c r="AZ198" s="72"/>
      <c r="BA198" s="72"/>
      <c r="BB198" s="72"/>
      <c r="BC198" s="72"/>
      <c r="BD198" s="72"/>
      <c r="BE198" s="72"/>
      <c r="BF198" s="72"/>
      <c r="BG198" s="72"/>
      <c r="BH198" s="72"/>
      <c r="BI198" s="72"/>
      <c r="BJ198" s="72"/>
      <c r="BK198" s="72"/>
      <c r="BL198" s="72"/>
      <c r="BM198" s="72"/>
      <c r="BN198" s="72"/>
      <c r="BO198" s="72"/>
      <c r="BP198" s="72"/>
      <c r="BQ198" s="72"/>
      <c r="BR198" s="72"/>
      <c r="BS198" s="72"/>
      <c r="BT198" s="72"/>
      <c r="BU198" s="72"/>
      <c r="BV198" s="72"/>
      <c r="BW198" s="72"/>
      <c r="BX198" s="72"/>
      <c r="BY198" s="72"/>
      <c r="BZ198" s="72"/>
      <c r="CA198" s="72"/>
      <c r="CB198" s="72"/>
      <c r="CC198" s="72"/>
      <c r="CD198" s="72"/>
      <c r="CE198" s="72"/>
      <c r="CF198" s="72"/>
      <c r="CG198" s="72"/>
      <c r="CH198" s="72"/>
    </row>
    <row r="199" ht="15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  <c r="AQ199" s="72"/>
      <c r="AR199" s="72"/>
      <c r="AS199" s="72"/>
      <c r="AT199" s="72"/>
      <c r="AU199" s="72"/>
      <c r="AV199" s="72"/>
      <c r="AW199" s="72"/>
      <c r="AX199" s="72"/>
      <c r="AY199" s="72"/>
      <c r="AZ199" s="72"/>
      <c r="BA199" s="72"/>
      <c r="BB199" s="72"/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  <c r="BM199" s="72"/>
      <c r="BN199" s="72"/>
      <c r="BO199" s="72"/>
      <c r="BP199" s="72"/>
      <c r="BQ199" s="72"/>
      <c r="BR199" s="72"/>
      <c r="BS199" s="72"/>
      <c r="BT199" s="72"/>
      <c r="BU199" s="72"/>
      <c r="BV199" s="72"/>
      <c r="BW199" s="72"/>
      <c r="BX199" s="72"/>
      <c r="BY199" s="72"/>
      <c r="BZ199" s="72"/>
      <c r="CA199" s="72"/>
      <c r="CB199" s="72"/>
      <c r="CC199" s="72"/>
      <c r="CD199" s="72"/>
      <c r="CE199" s="72"/>
      <c r="CF199" s="72"/>
      <c r="CG199" s="72"/>
      <c r="CH199" s="72"/>
    </row>
    <row r="200" ht="15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  <c r="AQ200" s="72"/>
      <c r="AR200" s="72"/>
      <c r="AS200" s="72"/>
      <c r="AT200" s="72"/>
      <c r="AU200" s="72"/>
      <c r="AV200" s="72"/>
      <c r="AW200" s="72"/>
      <c r="AX200" s="72"/>
      <c r="AY200" s="72"/>
      <c r="AZ200" s="72"/>
      <c r="BA200" s="72"/>
      <c r="BB200" s="72"/>
      <c r="BC200" s="72"/>
      <c r="BD200" s="72"/>
      <c r="BE200" s="72"/>
      <c r="BF200" s="72"/>
      <c r="BG200" s="72"/>
      <c r="BH200" s="72"/>
      <c r="BI200" s="72"/>
      <c r="BJ200" s="72"/>
      <c r="BK200" s="72"/>
      <c r="BL200" s="72"/>
      <c r="BM200" s="72"/>
      <c r="BN200" s="72"/>
      <c r="BO200" s="72"/>
      <c r="BP200" s="72"/>
      <c r="BQ200" s="72"/>
      <c r="BR200" s="72"/>
      <c r="BS200" s="72"/>
      <c r="BT200" s="72"/>
      <c r="BU200" s="72"/>
      <c r="BV200" s="72"/>
      <c r="BW200" s="72"/>
      <c r="BX200" s="72"/>
      <c r="BY200" s="72"/>
      <c r="BZ200" s="72"/>
      <c r="CA200" s="72"/>
      <c r="CB200" s="72"/>
      <c r="CC200" s="72"/>
      <c r="CD200" s="72"/>
      <c r="CE200" s="72"/>
      <c r="CF200" s="72"/>
      <c r="CG200" s="72"/>
      <c r="CH200" s="72"/>
    </row>
    <row r="201" ht="15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72"/>
      <c r="BO201" s="72"/>
      <c r="BP201" s="72"/>
      <c r="BQ201" s="72"/>
      <c r="BR201" s="72"/>
      <c r="BS201" s="72"/>
      <c r="BT201" s="72"/>
      <c r="BU201" s="72"/>
      <c r="BV201" s="72"/>
      <c r="BW201" s="72"/>
      <c r="BX201" s="72"/>
      <c r="BY201" s="72"/>
      <c r="BZ201" s="72"/>
      <c r="CA201" s="72"/>
      <c r="CB201" s="72"/>
      <c r="CC201" s="72"/>
      <c r="CD201" s="72"/>
      <c r="CE201" s="72"/>
      <c r="CF201" s="72"/>
      <c r="CG201" s="72"/>
      <c r="CH201" s="72"/>
    </row>
    <row r="202" ht="15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72"/>
      <c r="BO202" s="72"/>
      <c r="BP202" s="72"/>
      <c r="BQ202" s="72"/>
      <c r="BR202" s="72"/>
      <c r="BS202" s="72"/>
      <c r="BT202" s="72"/>
      <c r="BU202" s="72"/>
      <c r="BV202" s="72"/>
      <c r="BW202" s="72"/>
      <c r="BX202" s="72"/>
      <c r="BY202" s="72"/>
      <c r="BZ202" s="72"/>
      <c r="CA202" s="72"/>
      <c r="CB202" s="72"/>
      <c r="CC202" s="72"/>
      <c r="CD202" s="72"/>
      <c r="CE202" s="72"/>
      <c r="CF202" s="72"/>
      <c r="CG202" s="72"/>
      <c r="CH202" s="72"/>
    </row>
    <row r="203" ht="15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72"/>
      <c r="BO203" s="72"/>
      <c r="BP203" s="72"/>
      <c r="BQ203" s="72"/>
      <c r="BR203" s="72"/>
      <c r="BS203" s="72"/>
      <c r="BT203" s="72"/>
      <c r="BU203" s="72"/>
      <c r="BV203" s="72"/>
      <c r="BW203" s="72"/>
      <c r="BX203" s="72"/>
      <c r="BY203" s="72"/>
      <c r="BZ203" s="72"/>
      <c r="CA203" s="72"/>
      <c r="CB203" s="72"/>
      <c r="CC203" s="72"/>
      <c r="CD203" s="72"/>
      <c r="CE203" s="72"/>
      <c r="CF203" s="72"/>
      <c r="CG203" s="72"/>
      <c r="CH203" s="72"/>
    </row>
    <row r="204" ht="15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72"/>
      <c r="BO204" s="72"/>
      <c r="BP204" s="72"/>
      <c r="BQ204" s="72"/>
      <c r="BR204" s="72"/>
      <c r="BS204" s="72"/>
      <c r="BT204" s="72"/>
      <c r="BU204" s="72"/>
      <c r="BV204" s="72"/>
      <c r="BW204" s="72"/>
      <c r="BX204" s="72"/>
      <c r="BY204" s="72"/>
      <c r="BZ204" s="72"/>
      <c r="CA204" s="72"/>
      <c r="CB204" s="72"/>
      <c r="CC204" s="72"/>
      <c r="CD204" s="72"/>
      <c r="CE204" s="72"/>
      <c r="CF204" s="72"/>
      <c r="CG204" s="72"/>
      <c r="CH204" s="72"/>
    </row>
    <row r="205" ht="15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72"/>
      <c r="BO205" s="72"/>
      <c r="BP205" s="72"/>
      <c r="BQ205" s="72"/>
      <c r="BR205" s="72"/>
      <c r="BS205" s="72"/>
      <c r="BT205" s="72"/>
      <c r="BU205" s="72"/>
      <c r="BV205" s="72"/>
      <c r="BW205" s="72"/>
      <c r="BX205" s="72"/>
      <c r="BY205" s="72"/>
      <c r="BZ205" s="72"/>
      <c r="CA205" s="72"/>
      <c r="CB205" s="72"/>
      <c r="CC205" s="72"/>
      <c r="CD205" s="72"/>
      <c r="CE205" s="72"/>
      <c r="CF205" s="72"/>
      <c r="CG205" s="72"/>
      <c r="CH205" s="72"/>
    </row>
    <row r="206" ht="15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72"/>
      <c r="BO206" s="72"/>
      <c r="BP206" s="72"/>
      <c r="BQ206" s="72"/>
      <c r="BR206" s="72"/>
      <c r="BS206" s="72"/>
      <c r="BT206" s="72"/>
      <c r="BU206" s="72"/>
      <c r="BV206" s="72"/>
      <c r="BW206" s="72"/>
      <c r="BX206" s="72"/>
      <c r="BY206" s="72"/>
      <c r="BZ206" s="72"/>
      <c r="CA206" s="72"/>
      <c r="CB206" s="72"/>
      <c r="CC206" s="72"/>
      <c r="CD206" s="72"/>
      <c r="CE206" s="72"/>
      <c r="CF206" s="72"/>
      <c r="CG206" s="72"/>
      <c r="CH206" s="72"/>
    </row>
    <row r="207" ht="15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72"/>
      <c r="BO207" s="72"/>
      <c r="BP207" s="72"/>
      <c r="BQ207" s="72"/>
      <c r="BR207" s="72"/>
      <c r="BS207" s="72"/>
      <c r="BT207" s="72"/>
      <c r="BU207" s="72"/>
      <c r="BV207" s="72"/>
      <c r="BW207" s="72"/>
      <c r="BX207" s="72"/>
      <c r="BY207" s="72"/>
      <c r="BZ207" s="72"/>
      <c r="CA207" s="72"/>
      <c r="CB207" s="72"/>
      <c r="CC207" s="72"/>
      <c r="CD207" s="72"/>
      <c r="CE207" s="72"/>
      <c r="CF207" s="72"/>
      <c r="CG207" s="72"/>
      <c r="CH207" s="72"/>
    </row>
    <row r="208" ht="15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72"/>
      <c r="BO208" s="72"/>
      <c r="BP208" s="72"/>
      <c r="BQ208" s="72"/>
      <c r="BR208" s="72"/>
      <c r="BS208" s="72"/>
      <c r="BT208" s="72"/>
      <c r="BU208" s="72"/>
      <c r="BV208" s="72"/>
      <c r="BW208" s="72"/>
      <c r="BX208" s="72"/>
      <c r="BY208" s="72"/>
      <c r="BZ208" s="72"/>
      <c r="CA208" s="72"/>
      <c r="CB208" s="72"/>
      <c r="CC208" s="72"/>
      <c r="CD208" s="72"/>
      <c r="CE208" s="72"/>
      <c r="CF208" s="72"/>
      <c r="CG208" s="72"/>
      <c r="CH208" s="72"/>
    </row>
    <row r="209" ht="15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72"/>
      <c r="BO209" s="72"/>
      <c r="BP209" s="72"/>
      <c r="BQ209" s="72"/>
      <c r="BR209" s="72"/>
      <c r="BS209" s="72"/>
      <c r="BT209" s="72"/>
      <c r="BU209" s="72"/>
      <c r="BV209" s="72"/>
      <c r="BW209" s="72"/>
      <c r="BX209" s="72"/>
      <c r="BY209" s="72"/>
      <c r="BZ209" s="72"/>
      <c r="CA209" s="72"/>
      <c r="CB209" s="72"/>
      <c r="CC209" s="72"/>
      <c r="CD209" s="72"/>
      <c r="CE209" s="72"/>
      <c r="CF209" s="72"/>
      <c r="CG209" s="72"/>
      <c r="CH209" s="72"/>
    </row>
    <row r="210" ht="15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72"/>
      <c r="BO210" s="72"/>
      <c r="BP210" s="72"/>
      <c r="BQ210" s="72"/>
      <c r="BR210" s="72"/>
      <c r="BS210" s="72"/>
      <c r="BT210" s="72"/>
      <c r="BU210" s="72"/>
      <c r="BV210" s="72"/>
      <c r="BW210" s="72"/>
      <c r="BX210" s="72"/>
      <c r="BY210" s="72"/>
      <c r="BZ210" s="72"/>
      <c r="CA210" s="72"/>
      <c r="CB210" s="72"/>
      <c r="CC210" s="72"/>
      <c r="CD210" s="72"/>
      <c r="CE210" s="72"/>
      <c r="CF210" s="72"/>
      <c r="CG210" s="72"/>
      <c r="CH210" s="72"/>
    </row>
    <row r="211" ht="15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  <c r="AQ211" s="72"/>
      <c r="AR211" s="72"/>
      <c r="AS211" s="72"/>
      <c r="AT211" s="72"/>
      <c r="AU211" s="72"/>
      <c r="AV211" s="72"/>
      <c r="AW211" s="72"/>
      <c r="AX211" s="72"/>
      <c r="AY211" s="72"/>
      <c r="AZ211" s="72"/>
      <c r="BA211" s="72"/>
      <c r="BB211" s="72"/>
      <c r="BC211" s="72"/>
      <c r="BD211" s="72"/>
      <c r="BE211" s="72"/>
      <c r="BF211" s="72"/>
      <c r="BG211" s="72"/>
      <c r="BH211" s="72"/>
      <c r="BI211" s="72"/>
      <c r="BJ211" s="72"/>
      <c r="BK211" s="72"/>
      <c r="BL211" s="72"/>
      <c r="BM211" s="72"/>
      <c r="BN211" s="72"/>
      <c r="BO211" s="72"/>
      <c r="BP211" s="72"/>
      <c r="BQ211" s="72"/>
      <c r="BR211" s="72"/>
      <c r="BS211" s="72"/>
      <c r="BT211" s="72"/>
      <c r="BU211" s="72"/>
      <c r="BV211" s="72"/>
      <c r="BW211" s="72"/>
      <c r="BX211" s="72"/>
      <c r="BY211" s="72"/>
      <c r="BZ211" s="72"/>
      <c r="CA211" s="72"/>
      <c r="CB211" s="72"/>
      <c r="CC211" s="72"/>
      <c r="CD211" s="72"/>
      <c r="CE211" s="72"/>
      <c r="CF211" s="72"/>
      <c r="CG211" s="72"/>
      <c r="CH211" s="72"/>
    </row>
    <row r="212" ht="15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  <c r="AQ212" s="72"/>
      <c r="AR212" s="72"/>
      <c r="AS212" s="72"/>
      <c r="AT212" s="72"/>
      <c r="AU212" s="72"/>
      <c r="AV212" s="72"/>
      <c r="AW212" s="72"/>
      <c r="AX212" s="72"/>
      <c r="AY212" s="72"/>
      <c r="AZ212" s="72"/>
      <c r="BA212" s="72"/>
      <c r="BB212" s="72"/>
      <c r="BC212" s="72"/>
      <c r="BD212" s="72"/>
      <c r="BE212" s="72"/>
      <c r="BF212" s="72"/>
      <c r="BG212" s="72"/>
      <c r="BH212" s="72"/>
      <c r="BI212" s="72"/>
      <c r="BJ212" s="72"/>
      <c r="BK212" s="72"/>
      <c r="BL212" s="72"/>
      <c r="BM212" s="72"/>
      <c r="BN212" s="72"/>
      <c r="BO212" s="72"/>
      <c r="BP212" s="72"/>
      <c r="BQ212" s="72"/>
      <c r="BR212" s="72"/>
      <c r="BS212" s="72"/>
      <c r="BT212" s="72"/>
      <c r="BU212" s="72"/>
      <c r="BV212" s="72"/>
      <c r="BW212" s="72"/>
      <c r="BX212" s="72"/>
      <c r="BY212" s="72"/>
      <c r="BZ212" s="72"/>
      <c r="CA212" s="72"/>
      <c r="CB212" s="72"/>
      <c r="CC212" s="72"/>
      <c r="CD212" s="72"/>
      <c r="CE212" s="72"/>
      <c r="CF212" s="72"/>
      <c r="CG212" s="72"/>
      <c r="CH212" s="72"/>
    </row>
    <row r="213" ht="15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  <c r="AQ213" s="72"/>
      <c r="AR213" s="72"/>
      <c r="AS213" s="72"/>
      <c r="AT213" s="72"/>
      <c r="AU213" s="72"/>
      <c r="AV213" s="72"/>
      <c r="AW213" s="72"/>
      <c r="AX213" s="72"/>
      <c r="AY213" s="72"/>
      <c r="AZ213" s="72"/>
      <c r="BA213" s="72"/>
      <c r="BB213" s="72"/>
      <c r="BC213" s="72"/>
      <c r="BD213" s="72"/>
      <c r="BE213" s="72"/>
      <c r="BF213" s="72"/>
      <c r="BG213" s="72"/>
      <c r="BH213" s="72"/>
      <c r="BI213" s="72"/>
      <c r="BJ213" s="72"/>
      <c r="BK213" s="72"/>
      <c r="BL213" s="72"/>
      <c r="BM213" s="72"/>
      <c r="BN213" s="72"/>
      <c r="BO213" s="72"/>
      <c r="BP213" s="72"/>
      <c r="BQ213" s="72"/>
      <c r="BR213" s="72"/>
      <c r="BS213" s="72"/>
      <c r="BT213" s="72"/>
      <c r="BU213" s="72"/>
      <c r="BV213" s="72"/>
      <c r="BW213" s="72"/>
      <c r="BX213" s="72"/>
      <c r="BY213" s="72"/>
      <c r="BZ213" s="72"/>
      <c r="CA213" s="72"/>
      <c r="CB213" s="72"/>
      <c r="CC213" s="72"/>
      <c r="CD213" s="72"/>
      <c r="CE213" s="72"/>
      <c r="CF213" s="72"/>
      <c r="CG213" s="72"/>
      <c r="CH213" s="72"/>
    </row>
    <row r="214" ht="15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  <c r="AQ214" s="72"/>
      <c r="AR214" s="72"/>
      <c r="AS214" s="72"/>
      <c r="AT214" s="72"/>
      <c r="AU214" s="72"/>
      <c r="AV214" s="72"/>
      <c r="AW214" s="72"/>
      <c r="AX214" s="72"/>
      <c r="AY214" s="72"/>
      <c r="AZ214" s="72"/>
      <c r="BA214" s="72"/>
      <c r="BB214" s="72"/>
      <c r="BC214" s="72"/>
      <c r="BD214" s="72"/>
      <c r="BE214" s="72"/>
      <c r="BF214" s="72"/>
      <c r="BG214" s="72"/>
      <c r="BH214" s="72"/>
      <c r="BI214" s="72"/>
      <c r="BJ214" s="72"/>
      <c r="BK214" s="72"/>
      <c r="BL214" s="72"/>
      <c r="BM214" s="72"/>
      <c r="BN214" s="72"/>
      <c r="BO214" s="72"/>
      <c r="BP214" s="72"/>
      <c r="BQ214" s="72"/>
      <c r="BR214" s="72"/>
      <c r="BS214" s="72"/>
      <c r="BT214" s="72"/>
      <c r="BU214" s="72"/>
      <c r="BV214" s="72"/>
      <c r="BW214" s="72"/>
      <c r="BX214" s="72"/>
      <c r="BY214" s="72"/>
      <c r="BZ214" s="72"/>
      <c r="CA214" s="72"/>
      <c r="CB214" s="72"/>
      <c r="CC214" s="72"/>
      <c r="CD214" s="72"/>
      <c r="CE214" s="72"/>
      <c r="CF214" s="72"/>
      <c r="CG214" s="72"/>
      <c r="CH214" s="72"/>
    </row>
    <row r="215" ht="15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  <c r="AQ215" s="72"/>
      <c r="AR215" s="72"/>
      <c r="AS215" s="72"/>
      <c r="AT215" s="72"/>
      <c r="AU215" s="72"/>
      <c r="AV215" s="72"/>
      <c r="AW215" s="72"/>
      <c r="AX215" s="72"/>
      <c r="AY215" s="72"/>
      <c r="AZ215" s="72"/>
      <c r="BA215" s="72"/>
      <c r="BB215" s="72"/>
      <c r="BC215" s="72"/>
      <c r="BD215" s="72"/>
      <c r="BE215" s="72"/>
      <c r="BF215" s="72"/>
      <c r="BG215" s="72"/>
      <c r="BH215" s="72"/>
      <c r="BI215" s="72"/>
      <c r="BJ215" s="72"/>
      <c r="BK215" s="72"/>
      <c r="BL215" s="72"/>
      <c r="BM215" s="72"/>
      <c r="BN215" s="72"/>
      <c r="BO215" s="72"/>
      <c r="BP215" s="72"/>
      <c r="BQ215" s="72"/>
      <c r="BR215" s="72"/>
      <c r="BS215" s="72"/>
      <c r="BT215" s="72"/>
      <c r="BU215" s="72"/>
      <c r="BV215" s="72"/>
      <c r="BW215" s="72"/>
      <c r="BX215" s="72"/>
      <c r="BY215" s="72"/>
      <c r="BZ215" s="72"/>
      <c r="CA215" s="72"/>
      <c r="CB215" s="72"/>
      <c r="CC215" s="72"/>
      <c r="CD215" s="72"/>
      <c r="CE215" s="72"/>
      <c r="CF215" s="72"/>
      <c r="CG215" s="72"/>
      <c r="CH215" s="72"/>
    </row>
    <row r="216" ht="15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  <c r="AQ216" s="72"/>
      <c r="AR216" s="72"/>
      <c r="AS216" s="72"/>
      <c r="AT216" s="72"/>
      <c r="AU216" s="72"/>
      <c r="AV216" s="72"/>
      <c r="AW216" s="72"/>
      <c r="AX216" s="72"/>
      <c r="AY216" s="72"/>
      <c r="AZ216" s="72"/>
      <c r="BA216" s="72"/>
      <c r="BB216" s="72"/>
      <c r="BC216" s="72"/>
      <c r="BD216" s="72"/>
      <c r="BE216" s="72"/>
      <c r="BF216" s="72"/>
      <c r="BG216" s="72"/>
      <c r="BH216" s="72"/>
      <c r="BI216" s="72"/>
      <c r="BJ216" s="72"/>
      <c r="BK216" s="72"/>
      <c r="BL216" s="72"/>
      <c r="BM216" s="72"/>
      <c r="BN216" s="72"/>
      <c r="BO216" s="72"/>
      <c r="BP216" s="72"/>
      <c r="BQ216" s="72"/>
      <c r="BR216" s="72"/>
      <c r="BS216" s="72"/>
      <c r="BT216" s="72"/>
      <c r="BU216" s="72"/>
      <c r="BV216" s="72"/>
      <c r="BW216" s="72"/>
      <c r="BX216" s="72"/>
      <c r="BY216" s="72"/>
      <c r="BZ216" s="72"/>
      <c r="CA216" s="72"/>
      <c r="CB216" s="72"/>
      <c r="CC216" s="72"/>
      <c r="CD216" s="72"/>
      <c r="CE216" s="72"/>
      <c r="CF216" s="72"/>
      <c r="CG216" s="72"/>
      <c r="CH216" s="72"/>
    </row>
    <row r="217" ht="15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  <c r="AS217" s="72"/>
      <c r="AT217" s="72"/>
      <c r="AU217" s="72"/>
      <c r="AV217" s="72"/>
      <c r="AW217" s="72"/>
      <c r="AX217" s="72"/>
      <c r="AY217" s="72"/>
      <c r="AZ217" s="72"/>
      <c r="BA217" s="72"/>
      <c r="BB217" s="72"/>
      <c r="BC217" s="72"/>
      <c r="BD217" s="72"/>
      <c r="BE217" s="72"/>
      <c r="BF217" s="72"/>
      <c r="BG217" s="72"/>
      <c r="BH217" s="72"/>
      <c r="BI217" s="72"/>
      <c r="BJ217" s="72"/>
      <c r="BK217" s="72"/>
      <c r="BL217" s="72"/>
      <c r="BM217" s="72"/>
      <c r="BN217" s="72"/>
      <c r="BO217" s="72"/>
      <c r="BP217" s="72"/>
      <c r="BQ217" s="72"/>
      <c r="BR217" s="72"/>
      <c r="BS217" s="72"/>
      <c r="BT217" s="72"/>
      <c r="BU217" s="72"/>
      <c r="BV217" s="72"/>
      <c r="BW217" s="72"/>
      <c r="BX217" s="72"/>
      <c r="BY217" s="72"/>
      <c r="BZ217" s="72"/>
      <c r="CA217" s="72"/>
      <c r="CB217" s="72"/>
      <c r="CC217" s="72"/>
      <c r="CD217" s="72"/>
      <c r="CE217" s="72"/>
      <c r="CF217" s="72"/>
      <c r="CG217" s="72"/>
      <c r="CH217" s="72"/>
    </row>
    <row r="218" ht="15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  <c r="AQ218" s="72"/>
      <c r="AR218" s="72"/>
      <c r="AS218" s="72"/>
      <c r="AT218" s="72"/>
      <c r="AU218" s="72"/>
      <c r="AV218" s="72"/>
      <c r="AW218" s="72"/>
      <c r="AX218" s="72"/>
      <c r="AY218" s="72"/>
      <c r="AZ218" s="72"/>
      <c r="BA218" s="72"/>
      <c r="BB218" s="72"/>
      <c r="BC218" s="72"/>
      <c r="BD218" s="72"/>
      <c r="BE218" s="72"/>
      <c r="BF218" s="72"/>
      <c r="BG218" s="72"/>
      <c r="BH218" s="72"/>
      <c r="BI218" s="72"/>
      <c r="BJ218" s="72"/>
      <c r="BK218" s="72"/>
      <c r="BL218" s="72"/>
      <c r="BM218" s="72"/>
      <c r="BN218" s="72"/>
      <c r="BO218" s="72"/>
      <c r="BP218" s="72"/>
      <c r="BQ218" s="72"/>
      <c r="BR218" s="72"/>
      <c r="BS218" s="72"/>
      <c r="BT218" s="72"/>
      <c r="BU218" s="72"/>
      <c r="BV218" s="72"/>
      <c r="BW218" s="72"/>
      <c r="BX218" s="72"/>
      <c r="BY218" s="72"/>
      <c r="BZ218" s="72"/>
      <c r="CA218" s="72"/>
      <c r="CB218" s="72"/>
      <c r="CC218" s="72"/>
      <c r="CD218" s="72"/>
      <c r="CE218" s="72"/>
      <c r="CF218" s="72"/>
      <c r="CG218" s="72"/>
      <c r="CH218" s="72"/>
    </row>
    <row r="219" ht="15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  <c r="AQ219" s="72"/>
      <c r="AR219" s="72"/>
      <c r="AS219" s="72"/>
      <c r="AT219" s="72"/>
      <c r="AU219" s="72"/>
      <c r="AV219" s="72"/>
      <c r="AW219" s="72"/>
      <c r="AX219" s="72"/>
      <c r="AY219" s="72"/>
      <c r="AZ219" s="72"/>
      <c r="BA219" s="72"/>
      <c r="BB219" s="72"/>
      <c r="BC219" s="72"/>
      <c r="BD219" s="72"/>
      <c r="BE219" s="72"/>
      <c r="BF219" s="72"/>
      <c r="BG219" s="72"/>
      <c r="BH219" s="72"/>
      <c r="BI219" s="72"/>
      <c r="BJ219" s="72"/>
      <c r="BK219" s="72"/>
      <c r="BL219" s="72"/>
      <c r="BM219" s="72"/>
      <c r="BN219" s="72"/>
      <c r="BO219" s="72"/>
      <c r="BP219" s="72"/>
      <c r="BQ219" s="72"/>
      <c r="BR219" s="72"/>
      <c r="BS219" s="72"/>
      <c r="BT219" s="72"/>
      <c r="BU219" s="72"/>
      <c r="BV219" s="72"/>
      <c r="BW219" s="72"/>
      <c r="BX219" s="72"/>
      <c r="BY219" s="72"/>
      <c r="BZ219" s="72"/>
      <c r="CA219" s="72"/>
      <c r="CB219" s="72"/>
      <c r="CC219" s="72"/>
      <c r="CD219" s="72"/>
      <c r="CE219" s="72"/>
      <c r="CF219" s="72"/>
      <c r="CG219" s="72"/>
      <c r="CH219" s="72"/>
    </row>
    <row r="220" ht="15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  <c r="AQ220" s="72"/>
      <c r="AR220" s="72"/>
      <c r="AS220" s="72"/>
      <c r="AT220" s="72"/>
      <c r="AU220" s="72"/>
      <c r="AV220" s="72"/>
      <c r="AW220" s="72"/>
      <c r="AX220" s="72"/>
      <c r="AY220" s="72"/>
      <c r="AZ220" s="72"/>
      <c r="BA220" s="72"/>
      <c r="BB220" s="72"/>
      <c r="BC220" s="72"/>
      <c r="BD220" s="72"/>
      <c r="BE220" s="72"/>
      <c r="BF220" s="72"/>
      <c r="BG220" s="72"/>
      <c r="BH220" s="72"/>
      <c r="BI220" s="72"/>
      <c r="BJ220" s="72"/>
      <c r="BK220" s="72"/>
      <c r="BL220" s="72"/>
      <c r="BM220" s="72"/>
      <c r="BN220" s="72"/>
      <c r="BO220" s="72"/>
      <c r="BP220" s="72"/>
      <c r="BQ220" s="72"/>
      <c r="BR220" s="72"/>
      <c r="BS220" s="72"/>
      <c r="BT220" s="72"/>
      <c r="BU220" s="72"/>
      <c r="BV220" s="72"/>
      <c r="BW220" s="72"/>
      <c r="BX220" s="72"/>
      <c r="BY220" s="72"/>
      <c r="BZ220" s="72"/>
      <c r="CA220" s="72"/>
      <c r="CB220" s="72"/>
      <c r="CC220" s="72"/>
      <c r="CD220" s="72"/>
      <c r="CE220" s="72"/>
      <c r="CF220" s="72"/>
      <c r="CG220" s="72"/>
      <c r="CH220" s="72"/>
    </row>
    <row r="221" ht="15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  <c r="AQ221" s="72"/>
      <c r="AR221" s="72"/>
      <c r="AS221" s="72"/>
      <c r="AT221" s="72"/>
      <c r="AU221" s="72"/>
      <c r="AV221" s="72"/>
      <c r="AW221" s="72"/>
      <c r="AX221" s="72"/>
      <c r="AY221" s="72"/>
      <c r="AZ221" s="72"/>
      <c r="BA221" s="72"/>
      <c r="BB221" s="72"/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  <c r="BM221" s="72"/>
      <c r="BN221" s="72"/>
      <c r="BO221" s="72"/>
      <c r="BP221" s="72"/>
      <c r="BQ221" s="72"/>
      <c r="BR221" s="72"/>
      <c r="BS221" s="72"/>
      <c r="BT221" s="72"/>
      <c r="BU221" s="72"/>
      <c r="BV221" s="72"/>
      <c r="BW221" s="72"/>
      <c r="BX221" s="72"/>
      <c r="BY221" s="72"/>
      <c r="BZ221" s="72"/>
      <c r="CA221" s="72"/>
      <c r="CB221" s="72"/>
      <c r="CC221" s="72"/>
      <c r="CD221" s="72"/>
      <c r="CE221" s="72"/>
      <c r="CF221" s="72"/>
      <c r="CG221" s="72"/>
      <c r="CH221" s="72"/>
    </row>
    <row r="222" ht="15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  <c r="AQ222" s="72"/>
      <c r="AR222" s="72"/>
      <c r="AS222" s="72"/>
      <c r="AT222" s="72"/>
      <c r="AU222" s="72"/>
      <c r="AV222" s="72"/>
      <c r="AW222" s="72"/>
      <c r="AX222" s="72"/>
      <c r="AY222" s="72"/>
      <c r="AZ222" s="72"/>
      <c r="BA222" s="72"/>
      <c r="BB222" s="72"/>
      <c r="BC222" s="72"/>
      <c r="BD222" s="72"/>
      <c r="BE222" s="72"/>
      <c r="BF222" s="72"/>
      <c r="BG222" s="72"/>
      <c r="BH222" s="72"/>
      <c r="BI222" s="72"/>
      <c r="BJ222" s="72"/>
      <c r="BK222" s="72"/>
      <c r="BL222" s="72"/>
      <c r="BM222" s="72"/>
      <c r="BN222" s="72"/>
      <c r="BO222" s="72"/>
      <c r="BP222" s="72"/>
      <c r="BQ222" s="72"/>
      <c r="BR222" s="72"/>
      <c r="BS222" s="72"/>
      <c r="BT222" s="72"/>
      <c r="BU222" s="72"/>
      <c r="BV222" s="72"/>
      <c r="BW222" s="72"/>
      <c r="BX222" s="72"/>
      <c r="BY222" s="72"/>
      <c r="BZ222" s="72"/>
      <c r="CA222" s="72"/>
      <c r="CB222" s="72"/>
      <c r="CC222" s="72"/>
      <c r="CD222" s="72"/>
      <c r="CE222" s="72"/>
      <c r="CF222" s="72"/>
      <c r="CG222" s="72"/>
      <c r="CH222" s="72"/>
    </row>
    <row r="223" ht="15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  <c r="AQ223" s="72"/>
      <c r="AR223" s="72"/>
      <c r="AS223" s="72"/>
      <c r="AT223" s="72"/>
      <c r="AU223" s="72"/>
      <c r="AV223" s="72"/>
      <c r="AW223" s="72"/>
      <c r="AX223" s="72"/>
      <c r="AY223" s="72"/>
      <c r="AZ223" s="72"/>
      <c r="BA223" s="72"/>
      <c r="BB223" s="72"/>
      <c r="BC223" s="72"/>
      <c r="BD223" s="72"/>
      <c r="BE223" s="72"/>
      <c r="BF223" s="72"/>
      <c r="BG223" s="72"/>
      <c r="BH223" s="72"/>
      <c r="BI223" s="72"/>
      <c r="BJ223" s="72"/>
      <c r="BK223" s="72"/>
      <c r="BL223" s="72"/>
      <c r="BM223" s="72"/>
      <c r="BN223" s="72"/>
      <c r="BO223" s="72"/>
      <c r="BP223" s="72"/>
      <c r="BQ223" s="72"/>
      <c r="BR223" s="72"/>
      <c r="BS223" s="72"/>
      <c r="BT223" s="72"/>
      <c r="BU223" s="72"/>
      <c r="BV223" s="72"/>
      <c r="BW223" s="72"/>
      <c r="BX223" s="72"/>
      <c r="BY223" s="72"/>
      <c r="BZ223" s="72"/>
      <c r="CA223" s="72"/>
      <c r="CB223" s="72"/>
      <c r="CC223" s="72"/>
      <c r="CD223" s="72"/>
      <c r="CE223" s="72"/>
      <c r="CF223" s="72"/>
      <c r="CG223" s="72"/>
      <c r="CH223" s="72"/>
    </row>
    <row r="224" ht="15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  <c r="AQ224" s="72"/>
      <c r="AR224" s="72"/>
      <c r="AS224" s="72"/>
      <c r="AT224" s="72"/>
      <c r="AU224" s="72"/>
      <c r="AV224" s="72"/>
      <c r="AW224" s="72"/>
      <c r="AX224" s="72"/>
      <c r="AY224" s="72"/>
      <c r="AZ224" s="72"/>
      <c r="BA224" s="72"/>
      <c r="BB224" s="72"/>
      <c r="BC224" s="72"/>
      <c r="BD224" s="72"/>
      <c r="BE224" s="72"/>
      <c r="BF224" s="72"/>
      <c r="BG224" s="72"/>
      <c r="BH224" s="72"/>
      <c r="BI224" s="72"/>
      <c r="BJ224" s="72"/>
      <c r="BK224" s="72"/>
      <c r="BL224" s="72"/>
      <c r="BM224" s="72"/>
      <c r="BN224" s="72"/>
      <c r="BO224" s="72"/>
      <c r="BP224" s="72"/>
      <c r="BQ224" s="72"/>
      <c r="BR224" s="72"/>
      <c r="BS224" s="72"/>
      <c r="BT224" s="72"/>
      <c r="BU224" s="72"/>
      <c r="BV224" s="72"/>
      <c r="BW224" s="72"/>
      <c r="BX224" s="72"/>
      <c r="BY224" s="72"/>
      <c r="BZ224" s="72"/>
      <c r="CA224" s="72"/>
      <c r="CB224" s="72"/>
      <c r="CC224" s="72"/>
      <c r="CD224" s="72"/>
      <c r="CE224" s="72"/>
      <c r="CF224" s="72"/>
      <c r="CG224" s="72"/>
      <c r="CH224" s="72"/>
    </row>
    <row r="225" ht="15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  <c r="AQ225" s="72"/>
      <c r="AR225" s="72"/>
      <c r="AS225" s="72"/>
      <c r="AT225" s="72"/>
      <c r="AU225" s="72"/>
      <c r="AV225" s="72"/>
      <c r="AW225" s="72"/>
      <c r="AX225" s="72"/>
      <c r="AY225" s="72"/>
      <c r="AZ225" s="72"/>
      <c r="BA225" s="72"/>
      <c r="BB225" s="72"/>
      <c r="BC225" s="72"/>
      <c r="BD225" s="72"/>
      <c r="BE225" s="72"/>
      <c r="BF225" s="72"/>
      <c r="BG225" s="72"/>
      <c r="BH225" s="72"/>
      <c r="BI225" s="72"/>
      <c r="BJ225" s="72"/>
      <c r="BK225" s="72"/>
      <c r="BL225" s="72"/>
      <c r="BM225" s="72"/>
      <c r="BN225" s="72"/>
      <c r="BO225" s="72"/>
      <c r="BP225" s="72"/>
      <c r="BQ225" s="72"/>
      <c r="BR225" s="72"/>
      <c r="BS225" s="72"/>
      <c r="BT225" s="72"/>
      <c r="BU225" s="72"/>
      <c r="BV225" s="72"/>
      <c r="BW225" s="72"/>
      <c r="BX225" s="72"/>
      <c r="BY225" s="72"/>
      <c r="BZ225" s="72"/>
      <c r="CA225" s="72"/>
      <c r="CB225" s="72"/>
      <c r="CC225" s="72"/>
      <c r="CD225" s="72"/>
      <c r="CE225" s="72"/>
      <c r="CF225" s="72"/>
      <c r="CG225" s="72"/>
      <c r="CH225" s="72"/>
    </row>
    <row r="226" ht="15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  <c r="AQ226" s="72"/>
      <c r="AR226" s="72"/>
      <c r="AS226" s="72"/>
      <c r="AT226" s="72"/>
      <c r="AU226" s="72"/>
      <c r="AV226" s="72"/>
      <c r="AW226" s="72"/>
      <c r="AX226" s="72"/>
      <c r="AY226" s="72"/>
      <c r="AZ226" s="72"/>
      <c r="BA226" s="72"/>
      <c r="BB226" s="72"/>
      <c r="BC226" s="72"/>
      <c r="BD226" s="72"/>
      <c r="BE226" s="72"/>
      <c r="BF226" s="72"/>
      <c r="BG226" s="72"/>
      <c r="BH226" s="72"/>
      <c r="BI226" s="72"/>
      <c r="BJ226" s="72"/>
      <c r="BK226" s="72"/>
      <c r="BL226" s="72"/>
      <c r="BM226" s="72"/>
      <c r="BN226" s="72"/>
      <c r="BO226" s="72"/>
      <c r="BP226" s="72"/>
      <c r="BQ226" s="72"/>
      <c r="BR226" s="72"/>
      <c r="BS226" s="72"/>
      <c r="BT226" s="72"/>
      <c r="BU226" s="72"/>
      <c r="BV226" s="72"/>
      <c r="BW226" s="72"/>
      <c r="BX226" s="72"/>
      <c r="BY226" s="72"/>
      <c r="BZ226" s="72"/>
      <c r="CA226" s="72"/>
      <c r="CB226" s="72"/>
      <c r="CC226" s="72"/>
      <c r="CD226" s="72"/>
      <c r="CE226" s="72"/>
      <c r="CF226" s="72"/>
      <c r="CG226" s="72"/>
      <c r="CH226" s="72"/>
    </row>
    <row r="227" ht="15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  <c r="AQ227" s="72"/>
      <c r="AR227" s="72"/>
      <c r="AS227" s="72"/>
      <c r="AT227" s="72"/>
      <c r="AU227" s="72"/>
      <c r="AV227" s="72"/>
      <c r="AW227" s="72"/>
      <c r="AX227" s="72"/>
      <c r="AY227" s="72"/>
      <c r="AZ227" s="72"/>
      <c r="BA227" s="72"/>
      <c r="BB227" s="72"/>
      <c r="BC227" s="72"/>
      <c r="BD227" s="72"/>
      <c r="BE227" s="72"/>
      <c r="BF227" s="72"/>
      <c r="BG227" s="72"/>
      <c r="BH227" s="72"/>
      <c r="BI227" s="72"/>
      <c r="BJ227" s="72"/>
      <c r="BK227" s="72"/>
      <c r="BL227" s="72"/>
      <c r="BM227" s="72"/>
      <c r="BN227" s="72"/>
      <c r="BO227" s="72"/>
      <c r="BP227" s="72"/>
      <c r="BQ227" s="72"/>
      <c r="BR227" s="72"/>
      <c r="BS227" s="72"/>
      <c r="BT227" s="72"/>
      <c r="BU227" s="72"/>
      <c r="BV227" s="72"/>
      <c r="BW227" s="72"/>
      <c r="BX227" s="72"/>
      <c r="BY227" s="72"/>
      <c r="BZ227" s="72"/>
      <c r="CA227" s="72"/>
      <c r="CB227" s="72"/>
      <c r="CC227" s="72"/>
      <c r="CD227" s="72"/>
      <c r="CE227" s="72"/>
      <c r="CF227" s="72"/>
      <c r="CG227" s="72"/>
      <c r="CH227" s="72"/>
    </row>
    <row r="228" ht="15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  <c r="AQ228" s="72"/>
      <c r="AR228" s="72"/>
      <c r="AS228" s="72"/>
      <c r="AT228" s="72"/>
      <c r="AU228" s="72"/>
      <c r="AV228" s="72"/>
      <c r="AW228" s="72"/>
      <c r="AX228" s="72"/>
      <c r="AY228" s="72"/>
      <c r="AZ228" s="72"/>
      <c r="BA228" s="72"/>
      <c r="BB228" s="72"/>
      <c r="BC228" s="72"/>
      <c r="BD228" s="72"/>
      <c r="BE228" s="72"/>
      <c r="BF228" s="72"/>
      <c r="BG228" s="72"/>
      <c r="BH228" s="72"/>
      <c r="BI228" s="72"/>
      <c r="BJ228" s="72"/>
      <c r="BK228" s="72"/>
      <c r="BL228" s="72"/>
      <c r="BM228" s="72"/>
      <c r="BN228" s="72"/>
      <c r="BO228" s="72"/>
      <c r="BP228" s="72"/>
      <c r="BQ228" s="72"/>
      <c r="BR228" s="72"/>
      <c r="BS228" s="72"/>
      <c r="BT228" s="72"/>
      <c r="BU228" s="72"/>
      <c r="BV228" s="72"/>
      <c r="BW228" s="72"/>
      <c r="BX228" s="72"/>
      <c r="BY228" s="72"/>
      <c r="BZ228" s="72"/>
      <c r="CA228" s="72"/>
      <c r="CB228" s="72"/>
      <c r="CC228" s="72"/>
      <c r="CD228" s="72"/>
      <c r="CE228" s="72"/>
      <c r="CF228" s="72"/>
      <c r="CG228" s="72"/>
      <c r="CH228" s="72"/>
    </row>
    <row r="229" ht="15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  <c r="AQ229" s="72"/>
      <c r="AR229" s="72"/>
      <c r="AS229" s="72"/>
      <c r="AT229" s="72"/>
      <c r="AU229" s="72"/>
      <c r="AV229" s="72"/>
      <c r="AW229" s="72"/>
      <c r="AX229" s="72"/>
      <c r="AY229" s="72"/>
      <c r="AZ229" s="72"/>
      <c r="BA229" s="72"/>
      <c r="BB229" s="72"/>
      <c r="BC229" s="72"/>
      <c r="BD229" s="72"/>
      <c r="BE229" s="72"/>
      <c r="BF229" s="72"/>
      <c r="BG229" s="72"/>
      <c r="BH229" s="72"/>
      <c r="BI229" s="72"/>
      <c r="BJ229" s="72"/>
      <c r="BK229" s="72"/>
      <c r="BL229" s="72"/>
      <c r="BM229" s="72"/>
      <c r="BN229" s="72"/>
      <c r="BO229" s="72"/>
      <c r="BP229" s="72"/>
      <c r="BQ229" s="72"/>
      <c r="BR229" s="72"/>
      <c r="BS229" s="72"/>
      <c r="BT229" s="72"/>
      <c r="BU229" s="72"/>
      <c r="BV229" s="72"/>
      <c r="BW229" s="72"/>
      <c r="BX229" s="72"/>
      <c r="BY229" s="72"/>
      <c r="BZ229" s="72"/>
      <c r="CA229" s="72"/>
      <c r="CB229" s="72"/>
      <c r="CC229" s="72"/>
      <c r="CD229" s="72"/>
      <c r="CE229" s="72"/>
      <c r="CF229" s="72"/>
      <c r="CG229" s="72"/>
      <c r="CH229" s="72"/>
    </row>
    <row r="230" ht="15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  <c r="AQ230" s="72"/>
      <c r="AR230" s="72"/>
      <c r="AS230" s="72"/>
      <c r="AT230" s="72"/>
      <c r="AU230" s="72"/>
      <c r="AV230" s="72"/>
      <c r="AW230" s="72"/>
      <c r="AX230" s="72"/>
      <c r="AY230" s="72"/>
      <c r="AZ230" s="72"/>
      <c r="BA230" s="72"/>
      <c r="BB230" s="72"/>
      <c r="BC230" s="72"/>
      <c r="BD230" s="72"/>
      <c r="BE230" s="72"/>
      <c r="BF230" s="72"/>
      <c r="BG230" s="72"/>
      <c r="BH230" s="72"/>
      <c r="BI230" s="72"/>
      <c r="BJ230" s="72"/>
      <c r="BK230" s="72"/>
      <c r="BL230" s="72"/>
      <c r="BM230" s="72"/>
      <c r="BN230" s="72"/>
      <c r="BO230" s="72"/>
      <c r="BP230" s="72"/>
      <c r="BQ230" s="72"/>
      <c r="BR230" s="72"/>
      <c r="BS230" s="72"/>
      <c r="BT230" s="72"/>
      <c r="BU230" s="72"/>
      <c r="BV230" s="72"/>
      <c r="BW230" s="72"/>
      <c r="BX230" s="72"/>
      <c r="BY230" s="72"/>
      <c r="BZ230" s="72"/>
      <c r="CA230" s="72"/>
      <c r="CB230" s="72"/>
      <c r="CC230" s="72"/>
      <c r="CD230" s="72"/>
      <c r="CE230" s="72"/>
      <c r="CF230" s="72"/>
      <c r="CG230" s="72"/>
      <c r="CH230" s="72"/>
    </row>
    <row r="231" ht="15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  <c r="AQ231" s="72"/>
      <c r="AR231" s="72"/>
      <c r="AS231" s="72"/>
      <c r="AT231" s="72"/>
      <c r="AU231" s="72"/>
      <c r="AV231" s="72"/>
      <c r="AW231" s="72"/>
      <c r="AX231" s="72"/>
      <c r="AY231" s="72"/>
      <c r="AZ231" s="72"/>
      <c r="BA231" s="72"/>
      <c r="BB231" s="72"/>
      <c r="BC231" s="72"/>
      <c r="BD231" s="72"/>
      <c r="BE231" s="72"/>
      <c r="BF231" s="72"/>
      <c r="BG231" s="72"/>
      <c r="BH231" s="72"/>
      <c r="BI231" s="72"/>
      <c r="BJ231" s="72"/>
      <c r="BK231" s="72"/>
      <c r="BL231" s="72"/>
      <c r="BM231" s="72"/>
      <c r="BN231" s="72"/>
      <c r="BO231" s="72"/>
      <c r="BP231" s="72"/>
      <c r="BQ231" s="72"/>
      <c r="BR231" s="72"/>
      <c r="BS231" s="72"/>
      <c r="BT231" s="72"/>
      <c r="BU231" s="72"/>
      <c r="BV231" s="72"/>
      <c r="BW231" s="72"/>
      <c r="BX231" s="72"/>
      <c r="BY231" s="72"/>
      <c r="BZ231" s="72"/>
      <c r="CA231" s="72"/>
      <c r="CB231" s="72"/>
      <c r="CC231" s="72"/>
      <c r="CD231" s="72"/>
      <c r="CE231" s="72"/>
      <c r="CF231" s="72"/>
      <c r="CG231" s="72"/>
      <c r="CH231" s="72"/>
    </row>
    <row r="232" ht="15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  <c r="AQ232" s="72"/>
      <c r="AR232" s="72"/>
      <c r="AS232" s="72"/>
      <c r="AT232" s="72"/>
      <c r="AU232" s="72"/>
      <c r="AV232" s="72"/>
      <c r="AW232" s="72"/>
      <c r="AX232" s="72"/>
      <c r="AY232" s="72"/>
      <c r="AZ232" s="72"/>
      <c r="BA232" s="72"/>
      <c r="BB232" s="72"/>
      <c r="BC232" s="72"/>
      <c r="BD232" s="72"/>
      <c r="BE232" s="72"/>
      <c r="BF232" s="72"/>
      <c r="BG232" s="72"/>
      <c r="BH232" s="72"/>
      <c r="BI232" s="72"/>
      <c r="BJ232" s="72"/>
      <c r="BK232" s="72"/>
      <c r="BL232" s="72"/>
      <c r="BM232" s="72"/>
      <c r="BN232" s="72"/>
      <c r="BO232" s="72"/>
      <c r="BP232" s="72"/>
      <c r="BQ232" s="72"/>
      <c r="BR232" s="72"/>
      <c r="BS232" s="72"/>
      <c r="BT232" s="72"/>
      <c r="BU232" s="72"/>
      <c r="BV232" s="72"/>
      <c r="BW232" s="72"/>
      <c r="BX232" s="72"/>
      <c r="BY232" s="72"/>
      <c r="BZ232" s="72"/>
      <c r="CA232" s="72"/>
      <c r="CB232" s="72"/>
      <c r="CC232" s="72"/>
      <c r="CD232" s="72"/>
      <c r="CE232" s="72"/>
      <c r="CF232" s="72"/>
      <c r="CG232" s="72"/>
      <c r="CH232" s="72"/>
    </row>
    <row r="233" ht="15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  <c r="AQ233" s="72"/>
      <c r="AR233" s="72"/>
      <c r="AS233" s="72"/>
      <c r="AT233" s="72"/>
      <c r="AU233" s="72"/>
      <c r="AV233" s="72"/>
      <c r="AW233" s="72"/>
      <c r="AX233" s="72"/>
      <c r="AY233" s="72"/>
      <c r="AZ233" s="72"/>
      <c r="BA233" s="72"/>
      <c r="BB233" s="72"/>
      <c r="BC233" s="72"/>
      <c r="BD233" s="72"/>
      <c r="BE233" s="72"/>
      <c r="BF233" s="72"/>
      <c r="BG233" s="72"/>
      <c r="BH233" s="72"/>
      <c r="BI233" s="72"/>
      <c r="BJ233" s="72"/>
      <c r="BK233" s="72"/>
      <c r="BL233" s="72"/>
      <c r="BM233" s="72"/>
      <c r="BN233" s="72"/>
      <c r="BO233" s="72"/>
      <c r="BP233" s="72"/>
      <c r="BQ233" s="72"/>
      <c r="BR233" s="72"/>
      <c r="BS233" s="72"/>
      <c r="BT233" s="72"/>
      <c r="BU233" s="72"/>
      <c r="BV233" s="72"/>
      <c r="BW233" s="72"/>
      <c r="BX233" s="72"/>
      <c r="BY233" s="72"/>
      <c r="BZ233" s="72"/>
      <c r="CA233" s="72"/>
      <c r="CB233" s="72"/>
      <c r="CC233" s="72"/>
      <c r="CD233" s="72"/>
      <c r="CE233" s="72"/>
      <c r="CF233" s="72"/>
      <c r="CG233" s="72"/>
      <c r="CH233" s="72"/>
    </row>
    <row r="234" ht="15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  <c r="AQ234" s="72"/>
      <c r="AR234" s="72"/>
      <c r="AS234" s="72"/>
      <c r="AT234" s="72"/>
      <c r="AU234" s="72"/>
      <c r="AV234" s="72"/>
      <c r="AW234" s="72"/>
      <c r="AX234" s="72"/>
      <c r="AY234" s="72"/>
      <c r="AZ234" s="72"/>
      <c r="BA234" s="72"/>
      <c r="BB234" s="72"/>
      <c r="BC234" s="72"/>
      <c r="BD234" s="72"/>
      <c r="BE234" s="72"/>
      <c r="BF234" s="72"/>
      <c r="BG234" s="72"/>
      <c r="BH234" s="72"/>
      <c r="BI234" s="72"/>
      <c r="BJ234" s="72"/>
      <c r="BK234" s="72"/>
      <c r="BL234" s="72"/>
      <c r="BM234" s="72"/>
      <c r="BN234" s="72"/>
      <c r="BO234" s="72"/>
      <c r="BP234" s="72"/>
      <c r="BQ234" s="72"/>
      <c r="BR234" s="72"/>
      <c r="BS234" s="72"/>
      <c r="BT234" s="72"/>
      <c r="BU234" s="72"/>
      <c r="BV234" s="72"/>
      <c r="BW234" s="72"/>
      <c r="BX234" s="72"/>
      <c r="BY234" s="72"/>
      <c r="BZ234" s="72"/>
      <c r="CA234" s="72"/>
      <c r="CB234" s="72"/>
      <c r="CC234" s="72"/>
      <c r="CD234" s="72"/>
      <c r="CE234" s="72"/>
      <c r="CF234" s="72"/>
      <c r="CG234" s="72"/>
      <c r="CH234" s="72"/>
    </row>
    <row r="235" ht="15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  <c r="AQ235" s="72"/>
      <c r="AR235" s="72"/>
      <c r="AS235" s="72"/>
      <c r="AT235" s="72"/>
      <c r="AU235" s="72"/>
      <c r="AV235" s="72"/>
      <c r="AW235" s="72"/>
      <c r="AX235" s="72"/>
      <c r="AY235" s="72"/>
      <c r="AZ235" s="72"/>
      <c r="BA235" s="72"/>
      <c r="BB235" s="72"/>
      <c r="BC235" s="72"/>
      <c r="BD235" s="72"/>
      <c r="BE235" s="72"/>
      <c r="BF235" s="72"/>
      <c r="BG235" s="72"/>
      <c r="BH235" s="72"/>
      <c r="BI235" s="72"/>
      <c r="BJ235" s="72"/>
      <c r="BK235" s="72"/>
      <c r="BL235" s="72"/>
      <c r="BM235" s="72"/>
      <c r="BN235" s="72"/>
      <c r="BO235" s="72"/>
      <c r="BP235" s="72"/>
      <c r="BQ235" s="72"/>
      <c r="BR235" s="72"/>
      <c r="BS235" s="72"/>
      <c r="BT235" s="72"/>
      <c r="BU235" s="72"/>
      <c r="BV235" s="72"/>
      <c r="BW235" s="72"/>
      <c r="BX235" s="72"/>
      <c r="BY235" s="72"/>
      <c r="BZ235" s="72"/>
      <c r="CA235" s="72"/>
      <c r="CB235" s="72"/>
      <c r="CC235" s="72"/>
      <c r="CD235" s="72"/>
      <c r="CE235" s="72"/>
      <c r="CF235" s="72"/>
      <c r="CG235" s="72"/>
      <c r="CH235" s="72"/>
    </row>
    <row r="236" ht="15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  <c r="AQ236" s="72"/>
      <c r="AR236" s="72"/>
      <c r="AS236" s="72"/>
      <c r="AT236" s="72"/>
      <c r="AU236" s="72"/>
      <c r="AV236" s="72"/>
      <c r="AW236" s="72"/>
      <c r="AX236" s="72"/>
      <c r="AY236" s="72"/>
      <c r="AZ236" s="72"/>
      <c r="BA236" s="72"/>
      <c r="BB236" s="72"/>
      <c r="BC236" s="72"/>
      <c r="BD236" s="72"/>
      <c r="BE236" s="72"/>
      <c r="BF236" s="72"/>
      <c r="BG236" s="72"/>
      <c r="BH236" s="72"/>
      <c r="BI236" s="72"/>
      <c r="BJ236" s="72"/>
      <c r="BK236" s="72"/>
      <c r="BL236" s="72"/>
      <c r="BM236" s="72"/>
      <c r="BN236" s="72"/>
      <c r="BO236" s="72"/>
      <c r="BP236" s="72"/>
      <c r="BQ236" s="72"/>
      <c r="BR236" s="72"/>
      <c r="BS236" s="72"/>
      <c r="BT236" s="72"/>
      <c r="BU236" s="72"/>
      <c r="BV236" s="72"/>
      <c r="BW236" s="72"/>
      <c r="BX236" s="72"/>
      <c r="BY236" s="72"/>
      <c r="BZ236" s="72"/>
      <c r="CA236" s="72"/>
      <c r="CB236" s="72"/>
      <c r="CC236" s="72"/>
      <c r="CD236" s="72"/>
      <c r="CE236" s="72"/>
      <c r="CF236" s="72"/>
      <c r="CG236" s="72"/>
      <c r="CH236" s="72"/>
    </row>
    <row r="237" ht="15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  <c r="AQ237" s="72"/>
      <c r="AR237" s="72"/>
      <c r="AS237" s="72"/>
      <c r="AT237" s="72"/>
      <c r="AU237" s="72"/>
      <c r="AV237" s="72"/>
      <c r="AW237" s="72"/>
      <c r="AX237" s="72"/>
      <c r="AY237" s="72"/>
      <c r="AZ237" s="72"/>
      <c r="BA237" s="72"/>
      <c r="BB237" s="72"/>
      <c r="BC237" s="72"/>
      <c r="BD237" s="72"/>
      <c r="BE237" s="72"/>
      <c r="BF237" s="72"/>
      <c r="BG237" s="72"/>
      <c r="BH237" s="72"/>
      <c r="BI237" s="72"/>
      <c r="BJ237" s="72"/>
      <c r="BK237" s="72"/>
      <c r="BL237" s="72"/>
      <c r="BM237" s="72"/>
      <c r="BN237" s="72"/>
      <c r="BO237" s="72"/>
      <c r="BP237" s="72"/>
      <c r="BQ237" s="72"/>
      <c r="BR237" s="72"/>
      <c r="BS237" s="72"/>
      <c r="BT237" s="72"/>
      <c r="BU237" s="72"/>
      <c r="BV237" s="72"/>
      <c r="BW237" s="72"/>
      <c r="BX237" s="72"/>
      <c r="BY237" s="72"/>
      <c r="BZ237" s="72"/>
      <c r="CA237" s="72"/>
      <c r="CB237" s="72"/>
      <c r="CC237" s="72"/>
      <c r="CD237" s="72"/>
      <c r="CE237" s="72"/>
      <c r="CF237" s="72"/>
      <c r="CG237" s="72"/>
      <c r="CH237" s="72"/>
    </row>
    <row r="238" ht="15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  <c r="AQ238" s="72"/>
      <c r="AR238" s="72"/>
      <c r="AS238" s="72"/>
      <c r="AT238" s="72"/>
      <c r="AU238" s="72"/>
      <c r="AV238" s="72"/>
      <c r="AW238" s="72"/>
      <c r="AX238" s="72"/>
      <c r="AY238" s="72"/>
      <c r="AZ238" s="72"/>
      <c r="BA238" s="72"/>
      <c r="BB238" s="72"/>
      <c r="BC238" s="72"/>
      <c r="BD238" s="72"/>
      <c r="BE238" s="72"/>
      <c r="BF238" s="72"/>
      <c r="BG238" s="72"/>
      <c r="BH238" s="72"/>
      <c r="BI238" s="72"/>
      <c r="BJ238" s="72"/>
      <c r="BK238" s="72"/>
      <c r="BL238" s="72"/>
      <c r="BM238" s="72"/>
      <c r="BN238" s="72"/>
      <c r="BO238" s="72"/>
      <c r="BP238" s="72"/>
      <c r="BQ238" s="72"/>
      <c r="BR238" s="72"/>
      <c r="BS238" s="72"/>
      <c r="BT238" s="72"/>
      <c r="BU238" s="72"/>
      <c r="BV238" s="72"/>
      <c r="BW238" s="72"/>
      <c r="BX238" s="72"/>
      <c r="BY238" s="72"/>
      <c r="BZ238" s="72"/>
      <c r="CA238" s="72"/>
      <c r="CB238" s="72"/>
      <c r="CC238" s="72"/>
      <c r="CD238" s="72"/>
      <c r="CE238" s="72"/>
      <c r="CF238" s="72"/>
      <c r="CG238" s="72"/>
      <c r="CH238" s="72"/>
    </row>
    <row r="239" ht="15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  <c r="AQ239" s="72"/>
      <c r="AR239" s="72"/>
      <c r="AS239" s="72"/>
      <c r="AT239" s="72"/>
      <c r="AU239" s="72"/>
      <c r="AV239" s="72"/>
      <c r="AW239" s="72"/>
      <c r="AX239" s="72"/>
      <c r="AY239" s="72"/>
      <c r="AZ239" s="72"/>
      <c r="BA239" s="72"/>
      <c r="BB239" s="72"/>
      <c r="BC239" s="72"/>
      <c r="BD239" s="72"/>
      <c r="BE239" s="72"/>
      <c r="BF239" s="72"/>
      <c r="BG239" s="72"/>
      <c r="BH239" s="72"/>
      <c r="BI239" s="72"/>
      <c r="BJ239" s="72"/>
      <c r="BK239" s="72"/>
      <c r="BL239" s="72"/>
      <c r="BM239" s="72"/>
      <c r="BN239" s="72"/>
      <c r="BO239" s="72"/>
      <c r="BP239" s="72"/>
      <c r="BQ239" s="72"/>
      <c r="BR239" s="72"/>
      <c r="BS239" s="72"/>
      <c r="BT239" s="72"/>
      <c r="BU239" s="72"/>
      <c r="BV239" s="72"/>
      <c r="BW239" s="72"/>
      <c r="BX239" s="72"/>
      <c r="BY239" s="72"/>
      <c r="BZ239" s="72"/>
      <c r="CA239" s="72"/>
      <c r="CB239" s="72"/>
      <c r="CC239" s="72"/>
      <c r="CD239" s="72"/>
      <c r="CE239" s="72"/>
      <c r="CF239" s="72"/>
      <c r="CG239" s="72"/>
      <c r="CH239" s="72"/>
    </row>
    <row r="240" ht="15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  <c r="AQ240" s="72"/>
      <c r="AR240" s="72"/>
      <c r="AS240" s="72"/>
      <c r="AT240" s="72"/>
      <c r="AU240" s="72"/>
      <c r="AV240" s="72"/>
      <c r="AW240" s="72"/>
      <c r="AX240" s="72"/>
      <c r="AY240" s="72"/>
      <c r="AZ240" s="72"/>
      <c r="BA240" s="72"/>
      <c r="BB240" s="72"/>
      <c r="BC240" s="72"/>
      <c r="BD240" s="72"/>
      <c r="BE240" s="72"/>
      <c r="BF240" s="72"/>
      <c r="BG240" s="72"/>
      <c r="BH240" s="72"/>
      <c r="BI240" s="72"/>
      <c r="BJ240" s="72"/>
      <c r="BK240" s="72"/>
      <c r="BL240" s="72"/>
      <c r="BM240" s="72"/>
      <c r="BN240" s="72"/>
      <c r="BO240" s="72"/>
      <c r="BP240" s="72"/>
      <c r="BQ240" s="72"/>
      <c r="BR240" s="72"/>
      <c r="BS240" s="72"/>
      <c r="BT240" s="72"/>
      <c r="BU240" s="72"/>
      <c r="BV240" s="72"/>
      <c r="BW240" s="72"/>
      <c r="BX240" s="72"/>
      <c r="BY240" s="72"/>
      <c r="BZ240" s="72"/>
      <c r="CA240" s="72"/>
      <c r="CB240" s="72"/>
      <c r="CC240" s="72"/>
      <c r="CD240" s="72"/>
      <c r="CE240" s="72"/>
      <c r="CF240" s="72"/>
      <c r="CG240" s="72"/>
      <c r="CH240" s="72"/>
    </row>
    <row r="241" ht="15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  <c r="AQ241" s="72"/>
      <c r="AR241" s="72"/>
      <c r="AS241" s="72"/>
      <c r="AT241" s="72"/>
      <c r="AU241" s="72"/>
      <c r="AV241" s="72"/>
      <c r="AW241" s="72"/>
      <c r="AX241" s="72"/>
      <c r="AY241" s="72"/>
      <c r="AZ241" s="72"/>
      <c r="BA241" s="72"/>
      <c r="BB241" s="72"/>
      <c r="BC241" s="72"/>
      <c r="BD241" s="72"/>
      <c r="BE241" s="72"/>
      <c r="BF241" s="72"/>
      <c r="BG241" s="72"/>
      <c r="BH241" s="72"/>
      <c r="BI241" s="72"/>
      <c r="BJ241" s="72"/>
      <c r="BK241" s="72"/>
      <c r="BL241" s="72"/>
      <c r="BM241" s="72"/>
      <c r="BN241" s="72"/>
      <c r="BO241" s="72"/>
      <c r="BP241" s="72"/>
      <c r="BQ241" s="72"/>
      <c r="BR241" s="72"/>
      <c r="BS241" s="72"/>
      <c r="BT241" s="72"/>
      <c r="BU241" s="72"/>
      <c r="BV241" s="72"/>
      <c r="BW241" s="72"/>
      <c r="BX241" s="72"/>
      <c r="BY241" s="72"/>
      <c r="BZ241" s="72"/>
      <c r="CA241" s="72"/>
      <c r="CB241" s="72"/>
      <c r="CC241" s="72"/>
      <c r="CD241" s="72"/>
      <c r="CE241" s="72"/>
      <c r="CF241" s="72"/>
      <c r="CG241" s="72"/>
      <c r="CH241" s="72"/>
    </row>
    <row r="242" ht="15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  <c r="AQ242" s="72"/>
      <c r="AR242" s="72"/>
      <c r="AS242" s="72"/>
      <c r="AT242" s="72"/>
      <c r="AU242" s="72"/>
      <c r="AV242" s="72"/>
      <c r="AW242" s="72"/>
      <c r="AX242" s="72"/>
      <c r="AY242" s="72"/>
      <c r="AZ242" s="72"/>
      <c r="BA242" s="72"/>
      <c r="BB242" s="72"/>
      <c r="BC242" s="72"/>
      <c r="BD242" s="72"/>
      <c r="BE242" s="72"/>
      <c r="BF242" s="72"/>
      <c r="BG242" s="72"/>
      <c r="BH242" s="72"/>
      <c r="BI242" s="72"/>
      <c r="BJ242" s="72"/>
      <c r="BK242" s="72"/>
      <c r="BL242" s="72"/>
      <c r="BM242" s="72"/>
      <c r="BN242" s="72"/>
      <c r="BO242" s="72"/>
      <c r="BP242" s="72"/>
      <c r="BQ242" s="72"/>
      <c r="BR242" s="72"/>
      <c r="BS242" s="72"/>
      <c r="BT242" s="72"/>
      <c r="BU242" s="72"/>
      <c r="BV242" s="72"/>
      <c r="BW242" s="72"/>
      <c r="BX242" s="72"/>
      <c r="BY242" s="72"/>
      <c r="BZ242" s="72"/>
      <c r="CA242" s="72"/>
      <c r="CB242" s="72"/>
      <c r="CC242" s="72"/>
      <c r="CD242" s="72"/>
      <c r="CE242" s="72"/>
      <c r="CF242" s="72"/>
      <c r="CG242" s="72"/>
      <c r="CH242" s="72"/>
    </row>
    <row r="243" ht="15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  <c r="AQ243" s="72"/>
      <c r="AR243" s="72"/>
      <c r="AS243" s="72"/>
      <c r="AT243" s="72"/>
      <c r="AU243" s="72"/>
      <c r="AV243" s="72"/>
      <c r="AW243" s="72"/>
      <c r="AX243" s="72"/>
      <c r="AY243" s="72"/>
      <c r="AZ243" s="72"/>
      <c r="BA243" s="72"/>
      <c r="BB243" s="72"/>
      <c r="BC243" s="72"/>
      <c r="BD243" s="72"/>
      <c r="BE243" s="72"/>
      <c r="BF243" s="72"/>
      <c r="BG243" s="72"/>
      <c r="BH243" s="72"/>
      <c r="BI243" s="72"/>
      <c r="BJ243" s="72"/>
      <c r="BK243" s="72"/>
      <c r="BL243" s="72"/>
      <c r="BM243" s="72"/>
      <c r="BN243" s="72"/>
      <c r="BO243" s="72"/>
      <c r="BP243" s="72"/>
      <c r="BQ243" s="72"/>
      <c r="BR243" s="72"/>
      <c r="BS243" s="72"/>
      <c r="BT243" s="72"/>
      <c r="BU243" s="72"/>
      <c r="BV243" s="72"/>
      <c r="BW243" s="72"/>
      <c r="BX243" s="72"/>
      <c r="BY243" s="72"/>
      <c r="BZ243" s="72"/>
      <c r="CA243" s="72"/>
      <c r="CB243" s="72"/>
      <c r="CC243" s="72"/>
      <c r="CD243" s="72"/>
      <c r="CE243" s="72"/>
      <c r="CF243" s="72"/>
      <c r="CG243" s="72"/>
      <c r="CH243" s="72"/>
    </row>
    <row r="244" ht="15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  <c r="AQ244" s="72"/>
      <c r="AR244" s="72"/>
      <c r="AS244" s="72"/>
      <c r="AT244" s="72"/>
      <c r="AU244" s="72"/>
      <c r="AV244" s="72"/>
      <c r="AW244" s="72"/>
      <c r="AX244" s="72"/>
      <c r="AY244" s="72"/>
      <c r="AZ244" s="72"/>
      <c r="BA244" s="72"/>
      <c r="BB244" s="72"/>
      <c r="BC244" s="72"/>
      <c r="BD244" s="72"/>
      <c r="BE244" s="72"/>
      <c r="BF244" s="72"/>
      <c r="BG244" s="72"/>
      <c r="BH244" s="72"/>
      <c r="BI244" s="72"/>
      <c r="BJ244" s="72"/>
      <c r="BK244" s="72"/>
      <c r="BL244" s="72"/>
      <c r="BM244" s="72"/>
      <c r="BN244" s="72"/>
      <c r="BO244" s="72"/>
      <c r="BP244" s="72"/>
      <c r="BQ244" s="72"/>
      <c r="BR244" s="72"/>
      <c r="BS244" s="72"/>
      <c r="BT244" s="72"/>
      <c r="BU244" s="72"/>
      <c r="BV244" s="72"/>
      <c r="BW244" s="72"/>
      <c r="BX244" s="72"/>
      <c r="BY244" s="72"/>
      <c r="BZ244" s="72"/>
      <c r="CA244" s="72"/>
      <c r="CB244" s="72"/>
      <c r="CC244" s="72"/>
      <c r="CD244" s="72"/>
      <c r="CE244" s="72"/>
      <c r="CF244" s="72"/>
      <c r="CG244" s="72"/>
      <c r="CH244" s="72"/>
    </row>
    <row r="245" ht="15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  <c r="AQ245" s="72"/>
      <c r="AR245" s="72"/>
      <c r="AS245" s="72"/>
      <c r="AT245" s="72"/>
      <c r="AU245" s="72"/>
      <c r="AV245" s="72"/>
      <c r="AW245" s="72"/>
      <c r="AX245" s="72"/>
      <c r="AY245" s="72"/>
      <c r="AZ245" s="72"/>
      <c r="BA245" s="72"/>
      <c r="BB245" s="72"/>
      <c r="BC245" s="72"/>
      <c r="BD245" s="72"/>
      <c r="BE245" s="72"/>
      <c r="BF245" s="72"/>
      <c r="BG245" s="72"/>
      <c r="BH245" s="72"/>
      <c r="BI245" s="72"/>
      <c r="BJ245" s="72"/>
      <c r="BK245" s="72"/>
      <c r="BL245" s="72"/>
      <c r="BM245" s="72"/>
      <c r="BN245" s="72"/>
      <c r="BO245" s="72"/>
      <c r="BP245" s="72"/>
      <c r="BQ245" s="72"/>
      <c r="BR245" s="72"/>
      <c r="BS245" s="72"/>
      <c r="BT245" s="72"/>
      <c r="BU245" s="72"/>
      <c r="BV245" s="72"/>
      <c r="BW245" s="72"/>
      <c r="BX245" s="72"/>
      <c r="BY245" s="72"/>
      <c r="BZ245" s="72"/>
      <c r="CA245" s="72"/>
      <c r="CB245" s="72"/>
      <c r="CC245" s="72"/>
      <c r="CD245" s="72"/>
      <c r="CE245" s="72"/>
      <c r="CF245" s="72"/>
      <c r="CG245" s="72"/>
      <c r="CH245" s="72"/>
    </row>
    <row r="246" ht="15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  <c r="AQ246" s="72"/>
      <c r="AR246" s="72"/>
      <c r="AS246" s="72"/>
      <c r="AT246" s="72"/>
      <c r="AU246" s="72"/>
      <c r="AV246" s="72"/>
      <c r="AW246" s="72"/>
      <c r="AX246" s="72"/>
      <c r="AY246" s="72"/>
      <c r="AZ246" s="72"/>
      <c r="BA246" s="72"/>
      <c r="BB246" s="72"/>
      <c r="BC246" s="72"/>
      <c r="BD246" s="72"/>
      <c r="BE246" s="72"/>
      <c r="BF246" s="72"/>
      <c r="BG246" s="72"/>
      <c r="BH246" s="72"/>
      <c r="BI246" s="72"/>
      <c r="BJ246" s="72"/>
      <c r="BK246" s="72"/>
      <c r="BL246" s="72"/>
      <c r="BM246" s="72"/>
      <c r="BN246" s="72"/>
      <c r="BO246" s="72"/>
      <c r="BP246" s="72"/>
      <c r="BQ246" s="72"/>
      <c r="BR246" s="72"/>
      <c r="BS246" s="72"/>
      <c r="BT246" s="72"/>
      <c r="BU246" s="72"/>
      <c r="BV246" s="72"/>
      <c r="BW246" s="72"/>
      <c r="BX246" s="72"/>
      <c r="BY246" s="72"/>
      <c r="BZ246" s="72"/>
      <c r="CA246" s="72"/>
      <c r="CB246" s="72"/>
      <c r="CC246" s="72"/>
      <c r="CD246" s="72"/>
      <c r="CE246" s="72"/>
      <c r="CF246" s="72"/>
      <c r="CG246" s="72"/>
      <c r="CH246" s="72"/>
    </row>
    <row r="247" ht="15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  <c r="AR247" s="72"/>
      <c r="AS247" s="72"/>
      <c r="AT247" s="72"/>
      <c r="AU247" s="72"/>
      <c r="AV247" s="72"/>
      <c r="AW247" s="72"/>
      <c r="AX247" s="72"/>
      <c r="AY247" s="72"/>
      <c r="AZ247" s="72"/>
      <c r="BA247" s="72"/>
      <c r="BB247" s="72"/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  <c r="BM247" s="72"/>
      <c r="BN247" s="72"/>
      <c r="BO247" s="72"/>
      <c r="BP247" s="72"/>
      <c r="BQ247" s="72"/>
      <c r="BR247" s="72"/>
      <c r="BS247" s="72"/>
      <c r="BT247" s="72"/>
      <c r="BU247" s="72"/>
      <c r="BV247" s="72"/>
      <c r="BW247" s="72"/>
      <c r="BX247" s="72"/>
      <c r="BY247" s="72"/>
      <c r="BZ247" s="72"/>
      <c r="CA247" s="72"/>
      <c r="CB247" s="72"/>
      <c r="CC247" s="72"/>
      <c r="CD247" s="72"/>
      <c r="CE247" s="72"/>
      <c r="CF247" s="72"/>
      <c r="CG247" s="72"/>
      <c r="CH247" s="72"/>
    </row>
    <row r="248" ht="15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  <c r="AQ248" s="72"/>
      <c r="AR248" s="72"/>
      <c r="AS248" s="72"/>
      <c r="AT248" s="72"/>
      <c r="AU248" s="72"/>
      <c r="AV248" s="72"/>
      <c r="AW248" s="72"/>
      <c r="AX248" s="72"/>
      <c r="AY248" s="72"/>
      <c r="AZ248" s="72"/>
      <c r="BA248" s="72"/>
      <c r="BB248" s="72"/>
      <c r="BC248" s="72"/>
      <c r="BD248" s="72"/>
      <c r="BE248" s="72"/>
      <c r="BF248" s="72"/>
      <c r="BG248" s="72"/>
      <c r="BH248" s="72"/>
      <c r="BI248" s="72"/>
      <c r="BJ248" s="72"/>
      <c r="BK248" s="72"/>
      <c r="BL248" s="72"/>
      <c r="BM248" s="72"/>
      <c r="BN248" s="72"/>
      <c r="BO248" s="72"/>
      <c r="BP248" s="72"/>
      <c r="BQ248" s="72"/>
      <c r="BR248" s="72"/>
      <c r="BS248" s="72"/>
      <c r="BT248" s="72"/>
      <c r="BU248" s="72"/>
      <c r="BV248" s="72"/>
      <c r="BW248" s="72"/>
      <c r="BX248" s="72"/>
      <c r="BY248" s="72"/>
      <c r="BZ248" s="72"/>
      <c r="CA248" s="72"/>
      <c r="CB248" s="72"/>
      <c r="CC248" s="72"/>
      <c r="CD248" s="72"/>
      <c r="CE248" s="72"/>
      <c r="CF248" s="72"/>
      <c r="CG248" s="72"/>
      <c r="CH248" s="72"/>
    </row>
    <row r="249" ht="15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  <c r="AQ249" s="72"/>
      <c r="AR249" s="72"/>
      <c r="AS249" s="72"/>
      <c r="AT249" s="72"/>
      <c r="AU249" s="72"/>
      <c r="AV249" s="72"/>
      <c r="AW249" s="72"/>
      <c r="AX249" s="72"/>
      <c r="AY249" s="72"/>
      <c r="AZ249" s="72"/>
      <c r="BA249" s="72"/>
      <c r="BB249" s="72"/>
      <c r="BC249" s="72"/>
      <c r="BD249" s="72"/>
      <c r="BE249" s="72"/>
      <c r="BF249" s="72"/>
      <c r="BG249" s="72"/>
      <c r="BH249" s="72"/>
      <c r="BI249" s="72"/>
      <c r="BJ249" s="72"/>
      <c r="BK249" s="72"/>
      <c r="BL249" s="72"/>
      <c r="BM249" s="72"/>
      <c r="BN249" s="72"/>
      <c r="BO249" s="72"/>
      <c r="BP249" s="72"/>
      <c r="BQ249" s="72"/>
      <c r="BR249" s="72"/>
      <c r="BS249" s="72"/>
      <c r="BT249" s="72"/>
      <c r="BU249" s="72"/>
      <c r="BV249" s="72"/>
      <c r="BW249" s="72"/>
      <c r="BX249" s="72"/>
      <c r="BY249" s="72"/>
      <c r="BZ249" s="72"/>
      <c r="CA249" s="72"/>
      <c r="CB249" s="72"/>
      <c r="CC249" s="72"/>
      <c r="CD249" s="72"/>
      <c r="CE249" s="72"/>
      <c r="CF249" s="72"/>
      <c r="CG249" s="72"/>
      <c r="CH249" s="72"/>
    </row>
    <row r="250" ht="15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  <c r="AQ250" s="72"/>
      <c r="AR250" s="72"/>
      <c r="AS250" s="72"/>
      <c r="AT250" s="72"/>
      <c r="AU250" s="72"/>
      <c r="AV250" s="72"/>
      <c r="AW250" s="72"/>
      <c r="AX250" s="72"/>
      <c r="AY250" s="72"/>
      <c r="AZ250" s="72"/>
      <c r="BA250" s="72"/>
      <c r="BB250" s="72"/>
      <c r="BC250" s="72"/>
      <c r="BD250" s="72"/>
      <c r="BE250" s="72"/>
      <c r="BF250" s="72"/>
      <c r="BG250" s="72"/>
      <c r="BH250" s="72"/>
      <c r="BI250" s="72"/>
      <c r="BJ250" s="72"/>
      <c r="BK250" s="72"/>
      <c r="BL250" s="72"/>
      <c r="BM250" s="72"/>
      <c r="BN250" s="72"/>
      <c r="BO250" s="72"/>
      <c r="BP250" s="72"/>
      <c r="BQ250" s="72"/>
      <c r="BR250" s="72"/>
      <c r="BS250" s="72"/>
      <c r="BT250" s="72"/>
      <c r="BU250" s="72"/>
      <c r="BV250" s="72"/>
      <c r="BW250" s="72"/>
      <c r="BX250" s="72"/>
      <c r="BY250" s="72"/>
      <c r="BZ250" s="72"/>
      <c r="CA250" s="72"/>
      <c r="CB250" s="72"/>
      <c r="CC250" s="72"/>
      <c r="CD250" s="72"/>
      <c r="CE250" s="72"/>
      <c r="CF250" s="72"/>
      <c r="CG250" s="72"/>
      <c r="CH250" s="72"/>
    </row>
    <row r="251" ht="15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  <c r="AQ251" s="72"/>
      <c r="AR251" s="72"/>
      <c r="AS251" s="72"/>
      <c r="AT251" s="72"/>
      <c r="AU251" s="72"/>
      <c r="AV251" s="72"/>
      <c r="AW251" s="72"/>
      <c r="AX251" s="72"/>
      <c r="AY251" s="72"/>
      <c r="AZ251" s="72"/>
      <c r="BA251" s="72"/>
      <c r="BB251" s="72"/>
      <c r="BC251" s="72"/>
      <c r="BD251" s="72"/>
      <c r="BE251" s="72"/>
      <c r="BF251" s="72"/>
      <c r="BG251" s="72"/>
      <c r="BH251" s="72"/>
      <c r="BI251" s="72"/>
      <c r="BJ251" s="72"/>
      <c r="BK251" s="72"/>
      <c r="BL251" s="72"/>
      <c r="BM251" s="72"/>
      <c r="BN251" s="72"/>
      <c r="BO251" s="72"/>
      <c r="BP251" s="72"/>
      <c r="BQ251" s="72"/>
      <c r="BR251" s="72"/>
      <c r="BS251" s="72"/>
      <c r="BT251" s="72"/>
      <c r="BU251" s="72"/>
      <c r="BV251" s="72"/>
      <c r="BW251" s="72"/>
      <c r="BX251" s="72"/>
      <c r="BY251" s="72"/>
      <c r="BZ251" s="72"/>
      <c r="CA251" s="72"/>
      <c r="CB251" s="72"/>
      <c r="CC251" s="72"/>
      <c r="CD251" s="72"/>
      <c r="CE251" s="72"/>
      <c r="CF251" s="72"/>
      <c r="CG251" s="72"/>
      <c r="CH251" s="72"/>
    </row>
    <row r="252" ht="15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  <c r="AQ252" s="72"/>
      <c r="AR252" s="72"/>
      <c r="AS252" s="72"/>
      <c r="AT252" s="72"/>
      <c r="AU252" s="72"/>
      <c r="AV252" s="72"/>
      <c r="AW252" s="72"/>
      <c r="AX252" s="72"/>
      <c r="AY252" s="72"/>
      <c r="AZ252" s="72"/>
      <c r="BA252" s="72"/>
      <c r="BB252" s="72"/>
      <c r="BC252" s="72"/>
      <c r="BD252" s="72"/>
      <c r="BE252" s="72"/>
      <c r="BF252" s="72"/>
      <c r="BG252" s="72"/>
      <c r="BH252" s="72"/>
      <c r="BI252" s="72"/>
      <c r="BJ252" s="72"/>
      <c r="BK252" s="72"/>
      <c r="BL252" s="72"/>
      <c r="BM252" s="72"/>
      <c r="BN252" s="72"/>
      <c r="BO252" s="72"/>
      <c r="BP252" s="72"/>
      <c r="BQ252" s="72"/>
      <c r="BR252" s="72"/>
      <c r="BS252" s="72"/>
      <c r="BT252" s="72"/>
      <c r="BU252" s="72"/>
      <c r="BV252" s="72"/>
      <c r="BW252" s="72"/>
      <c r="BX252" s="72"/>
      <c r="BY252" s="72"/>
      <c r="BZ252" s="72"/>
      <c r="CA252" s="72"/>
      <c r="CB252" s="72"/>
      <c r="CC252" s="72"/>
      <c r="CD252" s="72"/>
      <c r="CE252" s="72"/>
      <c r="CF252" s="72"/>
      <c r="CG252" s="72"/>
      <c r="CH252" s="72"/>
    </row>
    <row r="253" ht="15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  <c r="AQ253" s="72"/>
      <c r="AR253" s="72"/>
      <c r="AS253" s="72"/>
      <c r="AT253" s="72"/>
      <c r="AU253" s="72"/>
      <c r="AV253" s="72"/>
      <c r="AW253" s="72"/>
      <c r="AX253" s="72"/>
      <c r="AY253" s="72"/>
      <c r="AZ253" s="72"/>
      <c r="BA253" s="72"/>
      <c r="BB253" s="72"/>
      <c r="BC253" s="72"/>
      <c r="BD253" s="72"/>
      <c r="BE253" s="72"/>
      <c r="BF253" s="72"/>
      <c r="BG253" s="72"/>
      <c r="BH253" s="72"/>
      <c r="BI253" s="72"/>
      <c r="BJ253" s="72"/>
      <c r="BK253" s="72"/>
      <c r="BL253" s="72"/>
      <c r="BM253" s="72"/>
      <c r="BN253" s="72"/>
      <c r="BO253" s="72"/>
      <c r="BP253" s="72"/>
      <c r="BQ253" s="72"/>
      <c r="BR253" s="72"/>
      <c r="BS253" s="72"/>
      <c r="BT253" s="72"/>
      <c r="BU253" s="72"/>
      <c r="BV253" s="72"/>
      <c r="BW253" s="72"/>
      <c r="BX253" s="72"/>
      <c r="BY253" s="72"/>
      <c r="BZ253" s="72"/>
      <c r="CA253" s="72"/>
      <c r="CB253" s="72"/>
      <c r="CC253" s="72"/>
      <c r="CD253" s="72"/>
      <c r="CE253" s="72"/>
      <c r="CF253" s="72"/>
      <c r="CG253" s="72"/>
      <c r="CH253" s="72"/>
    </row>
    <row r="254" ht="15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  <c r="AQ254" s="72"/>
      <c r="AR254" s="72"/>
      <c r="AS254" s="72"/>
      <c r="AT254" s="72"/>
      <c r="AU254" s="72"/>
      <c r="AV254" s="72"/>
      <c r="AW254" s="72"/>
      <c r="AX254" s="72"/>
      <c r="AY254" s="72"/>
      <c r="AZ254" s="72"/>
      <c r="BA254" s="72"/>
      <c r="BB254" s="72"/>
      <c r="BC254" s="72"/>
      <c r="BD254" s="72"/>
      <c r="BE254" s="72"/>
      <c r="BF254" s="72"/>
      <c r="BG254" s="72"/>
      <c r="BH254" s="72"/>
      <c r="BI254" s="72"/>
      <c r="BJ254" s="72"/>
      <c r="BK254" s="72"/>
      <c r="BL254" s="72"/>
      <c r="BM254" s="72"/>
      <c r="BN254" s="72"/>
      <c r="BO254" s="72"/>
      <c r="BP254" s="72"/>
      <c r="BQ254" s="72"/>
      <c r="BR254" s="72"/>
      <c r="BS254" s="72"/>
      <c r="BT254" s="72"/>
      <c r="BU254" s="72"/>
      <c r="BV254" s="72"/>
      <c r="BW254" s="72"/>
      <c r="BX254" s="72"/>
      <c r="BY254" s="72"/>
      <c r="BZ254" s="72"/>
      <c r="CA254" s="72"/>
      <c r="CB254" s="72"/>
      <c r="CC254" s="72"/>
      <c r="CD254" s="72"/>
      <c r="CE254" s="72"/>
      <c r="CF254" s="72"/>
      <c r="CG254" s="72"/>
      <c r="CH254" s="72"/>
    </row>
    <row r="255" ht="15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  <c r="AQ255" s="72"/>
      <c r="AR255" s="72"/>
      <c r="AS255" s="72"/>
      <c r="AT255" s="72"/>
      <c r="AU255" s="72"/>
      <c r="AV255" s="72"/>
      <c r="AW255" s="72"/>
      <c r="AX255" s="72"/>
      <c r="AY255" s="72"/>
      <c r="AZ255" s="72"/>
      <c r="BA255" s="72"/>
      <c r="BB255" s="72"/>
      <c r="BC255" s="72"/>
      <c r="BD255" s="72"/>
      <c r="BE255" s="72"/>
      <c r="BF255" s="72"/>
      <c r="BG255" s="72"/>
      <c r="BH255" s="72"/>
      <c r="BI255" s="72"/>
      <c r="BJ255" s="72"/>
      <c r="BK255" s="72"/>
      <c r="BL255" s="72"/>
      <c r="BM255" s="72"/>
      <c r="BN255" s="72"/>
      <c r="BO255" s="72"/>
      <c r="BP255" s="72"/>
      <c r="BQ255" s="72"/>
      <c r="BR255" s="72"/>
      <c r="BS255" s="72"/>
      <c r="BT255" s="72"/>
      <c r="BU255" s="72"/>
      <c r="BV255" s="72"/>
      <c r="BW255" s="72"/>
      <c r="BX255" s="72"/>
      <c r="BY255" s="72"/>
      <c r="BZ255" s="72"/>
      <c r="CA255" s="72"/>
      <c r="CB255" s="72"/>
      <c r="CC255" s="72"/>
      <c r="CD255" s="72"/>
      <c r="CE255" s="72"/>
      <c r="CF255" s="72"/>
      <c r="CG255" s="72"/>
      <c r="CH255" s="72"/>
    </row>
    <row r="256" ht="15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  <c r="AQ256" s="72"/>
      <c r="AR256" s="72"/>
      <c r="AS256" s="72"/>
      <c r="AT256" s="72"/>
      <c r="AU256" s="72"/>
      <c r="AV256" s="72"/>
      <c r="AW256" s="72"/>
      <c r="AX256" s="72"/>
      <c r="AY256" s="72"/>
      <c r="AZ256" s="72"/>
      <c r="BA256" s="72"/>
      <c r="BB256" s="72"/>
      <c r="BC256" s="72"/>
      <c r="BD256" s="72"/>
      <c r="BE256" s="72"/>
      <c r="BF256" s="72"/>
      <c r="BG256" s="72"/>
      <c r="BH256" s="72"/>
      <c r="BI256" s="72"/>
      <c r="BJ256" s="72"/>
      <c r="BK256" s="72"/>
      <c r="BL256" s="72"/>
      <c r="BM256" s="72"/>
      <c r="BN256" s="72"/>
      <c r="BO256" s="72"/>
      <c r="BP256" s="72"/>
      <c r="BQ256" s="72"/>
      <c r="BR256" s="72"/>
      <c r="BS256" s="72"/>
      <c r="BT256" s="72"/>
      <c r="BU256" s="72"/>
      <c r="BV256" s="72"/>
      <c r="BW256" s="72"/>
      <c r="BX256" s="72"/>
      <c r="BY256" s="72"/>
      <c r="BZ256" s="72"/>
      <c r="CA256" s="72"/>
      <c r="CB256" s="72"/>
      <c r="CC256" s="72"/>
      <c r="CD256" s="72"/>
      <c r="CE256" s="72"/>
      <c r="CF256" s="72"/>
      <c r="CG256" s="72"/>
      <c r="CH256" s="72"/>
    </row>
    <row r="257" ht="15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  <c r="AQ257" s="72"/>
      <c r="AR257" s="72"/>
      <c r="AS257" s="72"/>
      <c r="AT257" s="72"/>
      <c r="AU257" s="72"/>
      <c r="AV257" s="72"/>
      <c r="AW257" s="72"/>
      <c r="AX257" s="72"/>
      <c r="AY257" s="72"/>
      <c r="AZ257" s="72"/>
      <c r="BA257" s="72"/>
      <c r="BB257" s="72"/>
      <c r="BC257" s="72"/>
      <c r="BD257" s="72"/>
      <c r="BE257" s="72"/>
      <c r="BF257" s="72"/>
      <c r="BG257" s="72"/>
      <c r="BH257" s="72"/>
      <c r="BI257" s="72"/>
      <c r="BJ257" s="72"/>
      <c r="BK257" s="72"/>
      <c r="BL257" s="72"/>
      <c r="BM257" s="72"/>
      <c r="BN257" s="72"/>
      <c r="BO257" s="72"/>
      <c r="BP257" s="72"/>
      <c r="BQ257" s="72"/>
      <c r="BR257" s="72"/>
      <c r="BS257" s="72"/>
      <c r="BT257" s="72"/>
      <c r="BU257" s="72"/>
      <c r="BV257" s="72"/>
      <c r="BW257" s="72"/>
      <c r="BX257" s="72"/>
      <c r="BY257" s="72"/>
      <c r="BZ257" s="72"/>
      <c r="CA257" s="72"/>
      <c r="CB257" s="72"/>
      <c r="CC257" s="72"/>
      <c r="CD257" s="72"/>
      <c r="CE257" s="72"/>
      <c r="CF257" s="72"/>
      <c r="CG257" s="72"/>
      <c r="CH257" s="72"/>
    </row>
    <row r="258" ht="15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  <c r="AQ258" s="72"/>
      <c r="AR258" s="72"/>
      <c r="AS258" s="72"/>
      <c r="AT258" s="72"/>
      <c r="AU258" s="72"/>
      <c r="AV258" s="72"/>
      <c r="AW258" s="72"/>
      <c r="AX258" s="72"/>
      <c r="AY258" s="72"/>
      <c r="AZ258" s="72"/>
      <c r="BA258" s="72"/>
      <c r="BB258" s="72"/>
      <c r="BC258" s="72"/>
      <c r="BD258" s="72"/>
      <c r="BE258" s="72"/>
      <c r="BF258" s="72"/>
      <c r="BG258" s="72"/>
      <c r="BH258" s="72"/>
      <c r="BI258" s="72"/>
      <c r="BJ258" s="72"/>
      <c r="BK258" s="72"/>
      <c r="BL258" s="72"/>
      <c r="BM258" s="72"/>
      <c r="BN258" s="72"/>
      <c r="BO258" s="72"/>
      <c r="BP258" s="72"/>
      <c r="BQ258" s="72"/>
      <c r="BR258" s="72"/>
      <c r="BS258" s="72"/>
      <c r="BT258" s="72"/>
      <c r="BU258" s="72"/>
      <c r="BV258" s="72"/>
      <c r="BW258" s="72"/>
      <c r="BX258" s="72"/>
      <c r="BY258" s="72"/>
      <c r="BZ258" s="72"/>
      <c r="CA258" s="72"/>
      <c r="CB258" s="72"/>
      <c r="CC258" s="72"/>
      <c r="CD258" s="72"/>
      <c r="CE258" s="72"/>
      <c r="CF258" s="72"/>
      <c r="CG258" s="72"/>
      <c r="CH258" s="72"/>
    </row>
    <row r="259" ht="15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  <c r="AQ259" s="72"/>
      <c r="AR259" s="72"/>
      <c r="AS259" s="72"/>
      <c r="AT259" s="72"/>
      <c r="AU259" s="72"/>
      <c r="AV259" s="72"/>
      <c r="AW259" s="72"/>
      <c r="AX259" s="72"/>
      <c r="AY259" s="72"/>
      <c r="AZ259" s="72"/>
      <c r="BA259" s="72"/>
      <c r="BB259" s="72"/>
      <c r="BC259" s="72"/>
      <c r="BD259" s="72"/>
      <c r="BE259" s="72"/>
      <c r="BF259" s="72"/>
      <c r="BG259" s="72"/>
      <c r="BH259" s="72"/>
      <c r="BI259" s="72"/>
      <c r="BJ259" s="72"/>
      <c r="BK259" s="72"/>
      <c r="BL259" s="72"/>
      <c r="BM259" s="72"/>
      <c r="BN259" s="72"/>
      <c r="BO259" s="72"/>
      <c r="BP259" s="72"/>
      <c r="BQ259" s="72"/>
      <c r="BR259" s="72"/>
      <c r="BS259" s="72"/>
      <c r="BT259" s="72"/>
      <c r="BU259" s="72"/>
      <c r="BV259" s="72"/>
      <c r="BW259" s="72"/>
      <c r="BX259" s="72"/>
      <c r="BY259" s="72"/>
      <c r="BZ259" s="72"/>
      <c r="CA259" s="72"/>
      <c r="CB259" s="72"/>
      <c r="CC259" s="72"/>
      <c r="CD259" s="72"/>
      <c r="CE259" s="72"/>
      <c r="CF259" s="72"/>
      <c r="CG259" s="72"/>
      <c r="CH259" s="72"/>
    </row>
    <row r="260" ht="15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  <c r="AQ260" s="72"/>
      <c r="AR260" s="72"/>
      <c r="AS260" s="72"/>
      <c r="AT260" s="72"/>
      <c r="AU260" s="72"/>
      <c r="AV260" s="72"/>
      <c r="AW260" s="72"/>
      <c r="AX260" s="72"/>
      <c r="AY260" s="72"/>
      <c r="AZ260" s="72"/>
      <c r="BA260" s="72"/>
      <c r="BB260" s="72"/>
      <c r="BC260" s="72"/>
      <c r="BD260" s="72"/>
      <c r="BE260" s="72"/>
      <c r="BF260" s="72"/>
      <c r="BG260" s="72"/>
      <c r="BH260" s="72"/>
      <c r="BI260" s="72"/>
      <c r="BJ260" s="72"/>
      <c r="BK260" s="72"/>
      <c r="BL260" s="72"/>
      <c r="BM260" s="72"/>
      <c r="BN260" s="72"/>
      <c r="BO260" s="72"/>
      <c r="BP260" s="72"/>
      <c r="BQ260" s="72"/>
      <c r="BR260" s="72"/>
      <c r="BS260" s="72"/>
      <c r="BT260" s="72"/>
      <c r="BU260" s="72"/>
      <c r="BV260" s="72"/>
      <c r="BW260" s="72"/>
      <c r="BX260" s="72"/>
      <c r="BY260" s="72"/>
      <c r="BZ260" s="72"/>
      <c r="CA260" s="72"/>
      <c r="CB260" s="72"/>
      <c r="CC260" s="72"/>
      <c r="CD260" s="72"/>
      <c r="CE260" s="72"/>
      <c r="CF260" s="72"/>
      <c r="CG260" s="72"/>
      <c r="CH260" s="72"/>
    </row>
    <row r="261" ht="15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  <c r="AQ261" s="72"/>
      <c r="AR261" s="72"/>
      <c r="AS261" s="72"/>
      <c r="AT261" s="72"/>
      <c r="AU261" s="72"/>
      <c r="AV261" s="72"/>
      <c r="AW261" s="72"/>
      <c r="AX261" s="72"/>
      <c r="AY261" s="72"/>
      <c r="AZ261" s="72"/>
      <c r="BA261" s="72"/>
      <c r="BB261" s="72"/>
      <c r="BC261" s="72"/>
      <c r="BD261" s="72"/>
      <c r="BE261" s="72"/>
      <c r="BF261" s="72"/>
      <c r="BG261" s="72"/>
      <c r="BH261" s="72"/>
      <c r="BI261" s="72"/>
      <c r="BJ261" s="72"/>
      <c r="BK261" s="72"/>
      <c r="BL261" s="72"/>
      <c r="BM261" s="72"/>
      <c r="BN261" s="72"/>
      <c r="BO261" s="72"/>
      <c r="BP261" s="72"/>
      <c r="BQ261" s="72"/>
      <c r="BR261" s="72"/>
      <c r="BS261" s="72"/>
      <c r="BT261" s="72"/>
      <c r="BU261" s="72"/>
      <c r="BV261" s="72"/>
      <c r="BW261" s="72"/>
      <c r="BX261" s="72"/>
      <c r="BY261" s="72"/>
      <c r="BZ261" s="72"/>
      <c r="CA261" s="72"/>
      <c r="CB261" s="72"/>
      <c r="CC261" s="72"/>
      <c r="CD261" s="72"/>
      <c r="CE261" s="72"/>
      <c r="CF261" s="72"/>
      <c r="CG261" s="72"/>
      <c r="CH261" s="72"/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A38:CH38"/>
    <mergeCell ref="A39:CH39"/>
    <mergeCell ref="A40:CH40"/>
    <mergeCell ref="A61:CH61"/>
    <mergeCell ref="A62:CH62"/>
    <mergeCell ref="A1:CH1"/>
    <mergeCell ref="A2:CH2"/>
    <mergeCell ref="A5:CH5"/>
    <mergeCell ref="A7:CH7"/>
    <mergeCell ref="A8:CH8"/>
    <mergeCell ref="A14:CH14"/>
    <mergeCell ref="A15:CH15"/>
  </mergeCells>
  <conditionalFormatting sqref="I5:CD62">
    <cfRule type="cellIs" dxfId="0" priority="1" operator="equal">
      <formula>"Present"</formula>
    </cfRule>
  </conditionalFormatting>
  <conditionalFormatting sqref="I5:CD62">
    <cfRule type="cellIs" dxfId="1" priority="2" operator="equal">
      <formula>"Absent"</formula>
    </cfRule>
  </conditionalFormatting>
  <conditionalFormatting sqref="I5:CD62">
    <cfRule type="cellIs" dxfId="2" priority="3" operator="equal">
      <formula>"Leave"</formula>
    </cfRule>
  </conditionalFormatting>
  <conditionalFormatting sqref="I5:CD62">
    <cfRule type="cellIs" dxfId="3" priority="4" operator="equal">
      <formula>"Late"</formula>
    </cfRule>
  </conditionalFormatting>
  <conditionalFormatting sqref="I5:CD62">
    <cfRule type="cellIs" dxfId="4" priority="5" operator="equal">
      <formula>"Sat Off"</formula>
    </cfRule>
  </conditionalFormatting>
  <conditionalFormatting sqref="I5:CD62">
    <cfRule type="cellIs" dxfId="5" priority="6" operator="equal">
      <formula>"N/A"</formula>
    </cfRule>
  </conditionalFormatting>
  <conditionalFormatting sqref="I5:CD62">
    <cfRule type="cellIs" dxfId="6" priority="7" operator="equal">
      <formula>"Dropout"</formula>
    </cfRule>
  </conditionalFormatting>
  <conditionalFormatting sqref="I5:CD62">
    <cfRule type="cellIs" dxfId="7" priority="8" operator="equal">
      <formula>"OFF"</formula>
    </cfRule>
  </conditionalFormatting>
  <dataValidations>
    <dataValidation type="list" allowBlank="1" sqref="F6 F9:F13 F16:F37 F41:F60 F63:F113">
      <formula1>"✓,—"</formula1>
    </dataValidation>
    <dataValidation type="list" allowBlank="1" sqref="I6:CD6 I9:CD13 I16:CD37 I41:CD60 I63:CD113">
      <formula1>"Present,Absent,Leave,Late,Sat Off,N/A,Dropout"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5C38"/>
    <pageSetUpPr/>
  </sheetPr>
  <sheetViews>
    <sheetView workbookViewId="0">
      <pane xSplit="8.0" ySplit="4.0" topLeftCell="I5" activePane="bottomRight" state="frozen"/>
      <selection activeCell="I1" sqref="I1" pane="topRight"/>
      <selection activeCell="A5" sqref="A5" pane="bottomLeft"/>
      <selection activeCell="I5" sqref="I5" pane="bottomRight"/>
    </sheetView>
  </sheetViews>
  <sheetFormatPr customHeight="1" defaultColWidth="14.43" defaultRowHeight="15.0"/>
  <cols>
    <col customWidth="1" min="1" max="1" width="5.0"/>
    <col customWidth="1" min="2" max="2" width="32.0"/>
    <col customWidth="1" min="3" max="3" width="18.0"/>
    <col customWidth="1" min="4" max="4" width="10.0"/>
    <col customWidth="1" min="5" max="5" width="13.0"/>
    <col customWidth="1" min="6" max="6" width="7.0"/>
    <col customWidth="1" min="7" max="7" width="5.0"/>
    <col customWidth="1" min="8" max="8" width="14.0"/>
    <col customWidth="1" min="9" max="82" width="13.0"/>
    <col customWidth="1" min="83" max="84" width="8.0"/>
    <col customWidth="1" min="85" max="85" width="7.0"/>
    <col customWidth="1" min="86" max="86" width="8.0"/>
  </cols>
  <sheetData>
    <row r="1" ht="27.75" customHeight="1">
      <c r="A1" s="4" t="s">
        <v>413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3"/>
    </row>
    <row r="2" ht="15.75" customHeight="1">
      <c r="A2" s="18" t="s">
        <v>414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3"/>
    </row>
    <row r="3" ht="15.75" customHeight="1">
      <c r="A3" s="5" t="s">
        <v>3</v>
      </c>
      <c r="B3" s="5" t="s">
        <v>6</v>
      </c>
      <c r="C3" s="5" t="s">
        <v>7</v>
      </c>
      <c r="D3" s="5" t="s">
        <v>39</v>
      </c>
      <c r="E3" s="5" t="s">
        <v>40</v>
      </c>
      <c r="F3" s="5" t="s">
        <v>11</v>
      </c>
      <c r="G3" s="5" t="s">
        <v>12</v>
      </c>
      <c r="H3" s="5" t="s">
        <v>41</v>
      </c>
      <c r="I3" s="5" t="s">
        <v>42</v>
      </c>
      <c r="J3" s="5" t="s">
        <v>43</v>
      </c>
      <c r="K3" s="5" t="s">
        <v>44</v>
      </c>
      <c r="L3" s="5" t="s">
        <v>45</v>
      </c>
      <c r="M3" s="5" t="s">
        <v>46</v>
      </c>
      <c r="N3" s="5" t="s">
        <v>47</v>
      </c>
      <c r="O3" s="5" t="s">
        <v>48</v>
      </c>
      <c r="P3" s="5" t="s">
        <v>49</v>
      </c>
      <c r="Q3" s="5" t="s">
        <v>50</v>
      </c>
      <c r="R3" s="5" t="s">
        <v>51</v>
      </c>
      <c r="S3" s="5" t="s">
        <v>52</v>
      </c>
      <c r="T3" s="5" t="s">
        <v>53</v>
      </c>
      <c r="U3" s="5" t="s">
        <v>54</v>
      </c>
      <c r="V3" s="5" t="s">
        <v>55</v>
      </c>
      <c r="W3" s="5" t="s">
        <v>56</v>
      </c>
      <c r="X3" s="5" t="s">
        <v>57</v>
      </c>
      <c r="Y3" s="5" t="s">
        <v>58</v>
      </c>
      <c r="Z3" s="5" t="s">
        <v>59</v>
      </c>
      <c r="AA3" s="5" t="s">
        <v>60</v>
      </c>
      <c r="AB3" s="5" t="s">
        <v>61</v>
      </c>
      <c r="AC3" s="5" t="s">
        <v>62</v>
      </c>
      <c r="AD3" s="5" t="s">
        <v>63</v>
      </c>
      <c r="AE3" s="5" t="s">
        <v>64</v>
      </c>
      <c r="AF3" s="5" t="s">
        <v>65</v>
      </c>
      <c r="AG3" s="5" t="s">
        <v>66</v>
      </c>
      <c r="AH3" s="5" t="s">
        <v>67</v>
      </c>
      <c r="AI3" s="5" t="s">
        <v>68</v>
      </c>
      <c r="AJ3" s="5" t="s">
        <v>69</v>
      </c>
      <c r="AK3" s="5" t="s">
        <v>70</v>
      </c>
      <c r="AL3" s="5" t="s">
        <v>71</v>
      </c>
      <c r="AM3" s="5" t="s">
        <v>72</v>
      </c>
      <c r="AN3" s="5" t="s">
        <v>73</v>
      </c>
      <c r="AO3" s="5" t="s">
        <v>75</v>
      </c>
      <c r="AP3" s="5" t="s">
        <v>77</v>
      </c>
      <c r="AQ3" s="5" t="s">
        <v>78</v>
      </c>
      <c r="AR3" s="5" t="s">
        <v>79</v>
      </c>
      <c r="AS3" s="5" t="s">
        <v>80</v>
      </c>
      <c r="AT3" s="5" t="s">
        <v>81</v>
      </c>
      <c r="AU3" s="5" t="s">
        <v>82</v>
      </c>
      <c r="AV3" s="5" t="s">
        <v>83</v>
      </c>
      <c r="AW3" s="5" t="s">
        <v>84</v>
      </c>
      <c r="AX3" s="5" t="s">
        <v>85</v>
      </c>
      <c r="AY3" s="5" t="s">
        <v>86</v>
      </c>
      <c r="AZ3" s="5" t="s">
        <v>87</v>
      </c>
      <c r="BA3" s="5" t="s">
        <v>88</v>
      </c>
      <c r="BB3" s="5" t="s">
        <v>89</v>
      </c>
      <c r="BC3" s="5" t="s">
        <v>90</v>
      </c>
      <c r="BD3" s="5" t="s">
        <v>91</v>
      </c>
      <c r="BE3" s="5" t="s">
        <v>92</v>
      </c>
      <c r="BF3" s="5" t="s">
        <v>93</v>
      </c>
      <c r="BG3" s="5" t="s">
        <v>94</v>
      </c>
      <c r="BH3" s="5" t="s">
        <v>95</v>
      </c>
      <c r="BI3" s="5" t="s">
        <v>96</v>
      </c>
      <c r="BJ3" s="5" t="s">
        <v>97</v>
      </c>
      <c r="BK3" s="5" t="s">
        <v>98</v>
      </c>
      <c r="BL3" s="5" t="s">
        <v>99</v>
      </c>
      <c r="BM3" s="5" t="s">
        <v>100</v>
      </c>
      <c r="BN3" s="5" t="s">
        <v>101</v>
      </c>
      <c r="BO3" s="5" t="s">
        <v>102</v>
      </c>
      <c r="BP3" s="5" t="s">
        <v>103</v>
      </c>
      <c r="BQ3" s="5" t="s">
        <v>104</v>
      </c>
      <c r="BR3" s="5" t="s">
        <v>105</v>
      </c>
      <c r="BS3" s="5" t="s">
        <v>106</v>
      </c>
      <c r="BT3" s="5" t="s">
        <v>107</v>
      </c>
      <c r="BU3" s="5" t="s">
        <v>108</v>
      </c>
      <c r="BV3" s="5" t="s">
        <v>109</v>
      </c>
      <c r="BW3" s="5" t="s">
        <v>110</v>
      </c>
      <c r="BX3" s="5" t="s">
        <v>111</v>
      </c>
      <c r="BY3" s="5" t="s">
        <v>112</v>
      </c>
      <c r="BZ3" s="5" t="s">
        <v>113</v>
      </c>
      <c r="CA3" s="5" t="s">
        <v>114</v>
      </c>
      <c r="CB3" s="5" t="s">
        <v>115</v>
      </c>
      <c r="CC3" s="5" t="s">
        <v>116</v>
      </c>
      <c r="CD3" s="5" t="s">
        <v>117</v>
      </c>
      <c r="CE3" s="5" t="s">
        <v>19</v>
      </c>
      <c r="CF3" s="5" t="s">
        <v>21</v>
      </c>
      <c r="CG3" s="5" t="s">
        <v>25</v>
      </c>
      <c r="CH3" s="5" t="s">
        <v>14</v>
      </c>
    </row>
    <row r="4" ht="15.75" customHeight="1">
      <c r="A4" s="38"/>
      <c r="B4" s="38"/>
      <c r="C4" s="38"/>
      <c r="D4" s="38"/>
      <c r="E4" s="38"/>
      <c r="F4" s="38"/>
      <c r="G4" s="38"/>
      <c r="H4" s="38"/>
      <c r="I4" s="39" t="s">
        <v>118</v>
      </c>
      <c r="J4" s="39" t="s">
        <v>119</v>
      </c>
      <c r="K4" s="39" t="s">
        <v>120</v>
      </c>
      <c r="L4" s="39" t="s">
        <v>121</v>
      </c>
      <c r="M4" s="39" t="s">
        <v>122</v>
      </c>
      <c r="N4" s="39" t="s">
        <v>123</v>
      </c>
      <c r="O4" s="39" t="s">
        <v>124</v>
      </c>
      <c r="P4" s="39" t="s">
        <v>125</v>
      </c>
      <c r="Q4" s="39" t="s">
        <v>126</v>
      </c>
      <c r="R4" s="39" t="s">
        <v>127</v>
      </c>
      <c r="S4" s="39" t="s">
        <v>128</v>
      </c>
      <c r="T4" s="39" t="s">
        <v>129</v>
      </c>
      <c r="U4" s="39" t="s">
        <v>130</v>
      </c>
      <c r="V4" s="39" t="s">
        <v>131</v>
      </c>
      <c r="W4" s="39" t="s">
        <v>132</v>
      </c>
      <c r="X4" s="39" t="s">
        <v>133</v>
      </c>
      <c r="Y4" s="39" t="s">
        <v>134</v>
      </c>
      <c r="Z4" s="39" t="s">
        <v>135</v>
      </c>
      <c r="AA4" s="39" t="s">
        <v>136</v>
      </c>
      <c r="AB4" s="39" t="s">
        <v>137</v>
      </c>
      <c r="AC4" s="39" t="s">
        <v>138</v>
      </c>
      <c r="AD4" s="39" t="s">
        <v>139</v>
      </c>
      <c r="AE4" s="39" t="s">
        <v>140</v>
      </c>
      <c r="AF4" s="39" t="s">
        <v>141</v>
      </c>
      <c r="AG4" s="39" t="s">
        <v>142</v>
      </c>
      <c r="AH4" s="39" t="s">
        <v>143</v>
      </c>
      <c r="AI4" s="39" t="s">
        <v>144</v>
      </c>
      <c r="AJ4" s="39" t="s">
        <v>145</v>
      </c>
      <c r="AK4" s="39" t="s">
        <v>146</v>
      </c>
      <c r="AL4" s="39" t="s">
        <v>147</v>
      </c>
      <c r="AM4" s="39" t="s">
        <v>148</v>
      </c>
      <c r="AN4" s="39" t="s">
        <v>149</v>
      </c>
      <c r="AO4" s="39" t="s">
        <v>150</v>
      </c>
      <c r="AP4" s="39" t="s">
        <v>151</v>
      </c>
      <c r="AQ4" s="39" t="s">
        <v>152</v>
      </c>
      <c r="AR4" s="39" t="s">
        <v>153</v>
      </c>
      <c r="AS4" s="39" t="s">
        <v>154</v>
      </c>
      <c r="AT4" s="39" t="s">
        <v>155</v>
      </c>
      <c r="AU4" s="39" t="s">
        <v>156</v>
      </c>
      <c r="AV4" s="39" t="s">
        <v>157</v>
      </c>
      <c r="AW4" s="39" t="s">
        <v>158</v>
      </c>
      <c r="AX4" s="39" t="s">
        <v>159</v>
      </c>
      <c r="AY4" s="39" t="s">
        <v>160</v>
      </c>
      <c r="AZ4" s="39" t="s">
        <v>161</v>
      </c>
      <c r="BA4" s="39" t="s">
        <v>162</v>
      </c>
      <c r="BB4" s="39" t="s">
        <v>163</v>
      </c>
      <c r="BC4" s="39" t="s">
        <v>164</v>
      </c>
      <c r="BD4" s="39" t="s">
        <v>165</v>
      </c>
      <c r="BE4" s="39" t="s">
        <v>166</v>
      </c>
      <c r="BF4" s="39" t="s">
        <v>167</v>
      </c>
      <c r="BG4" s="39" t="s">
        <v>168</v>
      </c>
      <c r="BH4" s="39" t="s">
        <v>169</v>
      </c>
      <c r="BI4" s="39" t="s">
        <v>170</v>
      </c>
      <c r="BJ4" s="39" t="s">
        <v>171</v>
      </c>
      <c r="BK4" s="39" t="s">
        <v>172</v>
      </c>
      <c r="BL4" s="39" t="s">
        <v>173</v>
      </c>
      <c r="BM4" s="39" t="s">
        <v>174</v>
      </c>
      <c r="BN4" s="39" t="s">
        <v>175</v>
      </c>
      <c r="BO4" s="39" t="s">
        <v>176</v>
      </c>
      <c r="BP4" s="39" t="s">
        <v>177</v>
      </c>
      <c r="BQ4" s="39" t="s">
        <v>178</v>
      </c>
      <c r="BR4" s="39" t="s">
        <v>179</v>
      </c>
      <c r="BS4" s="39" t="s">
        <v>180</v>
      </c>
      <c r="BT4" s="39" t="s">
        <v>181</v>
      </c>
      <c r="BU4" s="39" t="s">
        <v>182</v>
      </c>
      <c r="BV4" s="39" t="s">
        <v>183</v>
      </c>
      <c r="BW4" s="39" t="s">
        <v>184</v>
      </c>
      <c r="BX4" s="39" t="s">
        <v>185</v>
      </c>
      <c r="BY4" s="39" t="s">
        <v>186</v>
      </c>
      <c r="BZ4" s="39" t="s">
        <v>187</v>
      </c>
      <c r="CA4" s="39" t="s">
        <v>188</v>
      </c>
      <c r="CB4" s="39" t="s">
        <v>189</v>
      </c>
      <c r="CC4" s="39" t="s">
        <v>190</v>
      </c>
      <c r="CD4" s="39" t="s">
        <v>191</v>
      </c>
      <c r="CE4" s="38"/>
      <c r="CF4" s="38"/>
      <c r="CG4" s="38"/>
      <c r="CH4" s="38"/>
    </row>
    <row r="5" ht="18.0" customHeight="1">
      <c r="A5" s="11" t="s">
        <v>192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3"/>
    </row>
    <row r="6" ht="18.0" customHeight="1">
      <c r="A6" s="42">
        <v>1.0</v>
      </c>
      <c r="B6" s="43" t="s">
        <v>421</v>
      </c>
      <c r="C6" s="97" t="s">
        <v>422</v>
      </c>
      <c r="D6" s="45" t="str">
        <f>IF(C6&lt;&gt;"",HYPERLINK("tel:"&amp;SUBSTITUTE(SUBSTITUTE(C6," ",""),"+","+"),"📞 Call"),"")</f>
        <v>📞 Call</v>
      </c>
      <c r="E6" s="46" t="str">
        <f>IF(C6&lt;&gt;"",HYPERLINK("https://wa.me/"&amp;SUBSTITUTE(SUBSTITUTE(C6,"+","")," ",""),"💬 WhatsApp"),"")</f>
        <v>💬 WhatsApp</v>
      </c>
      <c r="F6" s="47" t="s">
        <v>423</v>
      </c>
      <c r="G6" s="47" t="s">
        <v>424</v>
      </c>
      <c r="H6" s="47" t="s">
        <v>195</v>
      </c>
      <c r="I6" s="48" t="s">
        <v>196</v>
      </c>
      <c r="J6" s="48" t="s">
        <v>196</v>
      </c>
      <c r="K6" s="49" t="s">
        <v>197</v>
      </c>
      <c r="L6" s="48" t="s">
        <v>196</v>
      </c>
      <c r="M6" s="48" t="s">
        <v>196</v>
      </c>
      <c r="N6" s="48" t="s">
        <v>196</v>
      </c>
      <c r="O6" s="48" t="s">
        <v>196</v>
      </c>
      <c r="P6" s="48" t="s">
        <v>196</v>
      </c>
      <c r="Q6" s="48" t="s">
        <v>196</v>
      </c>
      <c r="R6" s="48" t="s">
        <v>196</v>
      </c>
      <c r="S6" s="52" t="s">
        <v>196</v>
      </c>
      <c r="T6" s="98" t="s">
        <v>196</v>
      </c>
      <c r="U6" s="52" t="s">
        <v>196</v>
      </c>
      <c r="V6" s="53" t="s">
        <v>196</v>
      </c>
      <c r="W6" s="54" t="str">
        <f>IF('⚙ OFF Weekends'!$D$18="OFF","OFF","")</f>
        <v>OFF</v>
      </c>
      <c r="X6" s="53" t="s">
        <v>196</v>
      </c>
      <c r="Y6" s="52" t="s">
        <v>196</v>
      </c>
      <c r="Z6" s="53" t="s">
        <v>196</v>
      </c>
      <c r="AA6" s="52" t="s">
        <v>37</v>
      </c>
      <c r="AB6" s="53" t="s">
        <v>37</v>
      </c>
      <c r="AC6" s="54" t="str">
        <f>IF('⚙ OFF Weekends'!$D$24="OFF","OFF","")</f>
        <v/>
      </c>
      <c r="AD6" s="56" t="str">
        <f>IF('⚙ OFF Weekends'!$D$25="OFF","OFF","")</f>
        <v/>
      </c>
      <c r="AE6" s="54" t="str">
        <f>IF('⚙ OFF Weekends'!$D$26="OFF","OFF","")</f>
        <v/>
      </c>
      <c r="AF6" s="56" t="str">
        <f>IF('⚙ OFF Weekends'!$D$27="OFF","OFF","")</f>
        <v/>
      </c>
      <c r="AG6" s="54" t="str">
        <f>IF('⚙ OFF Weekends'!$D$28="OFF","OFF","")</f>
        <v/>
      </c>
      <c r="AH6" s="56" t="str">
        <f>IF('⚙ OFF Weekends'!$D$29="OFF","OFF","")</f>
        <v/>
      </c>
      <c r="AI6" s="54" t="str">
        <f>IF('⚙ OFF Weekends'!$D$30="OFF","OFF","")</f>
        <v/>
      </c>
      <c r="AJ6" s="56" t="str">
        <f>IF('⚙ OFF Weekends'!$D$31="OFF","OFF","")</f>
        <v/>
      </c>
      <c r="AK6" s="54" t="str">
        <f>IF('⚙ OFF Weekends'!$D$32="OFF","OFF","")</f>
        <v/>
      </c>
      <c r="AL6" s="56" t="str">
        <f>IF('⚙ OFF Weekends'!$D$33="OFF","OFF","")</f>
        <v/>
      </c>
      <c r="AM6" s="54" t="str">
        <f>IF('⚙ OFF Weekends'!$D$34="OFF","OFF","")</f>
        <v/>
      </c>
      <c r="AN6" s="56" t="str">
        <f>IF('⚙ OFF Weekends'!$D$35="OFF","OFF","")</f>
        <v/>
      </c>
      <c r="AO6" s="54" t="str">
        <f>IF('⚙ OFF Weekends'!$D$36="OFF","OFF","")</f>
        <v/>
      </c>
      <c r="AP6" s="56" t="str">
        <f>IF('⚙ OFF Weekends'!$D$37="OFF","OFF","")</f>
        <v/>
      </c>
      <c r="AQ6" s="54" t="str">
        <f>IF('⚙ OFF Weekends'!$D$38="OFF","OFF","")</f>
        <v/>
      </c>
      <c r="AR6" s="56" t="str">
        <f>IF('⚙ OFF Weekends'!$D$39="OFF","OFF","")</f>
        <v/>
      </c>
      <c r="AS6" s="54" t="str">
        <f>IF('⚙ OFF Weekends'!$D$40="OFF","OFF","")</f>
        <v/>
      </c>
      <c r="AT6" s="56" t="str">
        <f>IF('⚙ OFF Weekends'!$D$41="OFF","OFF","")</f>
        <v/>
      </c>
      <c r="AU6" s="54" t="str">
        <f>IF('⚙ OFF Weekends'!$D$42="OFF","OFF","")</f>
        <v/>
      </c>
      <c r="AV6" s="56" t="str">
        <f>IF('⚙ OFF Weekends'!$D$43="OFF","OFF","")</f>
        <v/>
      </c>
      <c r="AW6" s="54" t="str">
        <f>IF('⚙ OFF Weekends'!$D$44="OFF","OFF","")</f>
        <v/>
      </c>
      <c r="AX6" s="56" t="str">
        <f>IF('⚙ OFF Weekends'!$D$45="OFF","OFF","")</f>
        <v/>
      </c>
      <c r="AY6" s="54" t="str">
        <f>IF('⚙ OFF Weekends'!$D$46="OFF","OFF","")</f>
        <v/>
      </c>
      <c r="AZ6" s="56" t="str">
        <f>IF('⚙ OFF Weekends'!$D$47="OFF","OFF","")</f>
        <v/>
      </c>
      <c r="BA6" s="54" t="str">
        <f>IF('⚙ OFF Weekends'!$D$48="OFF","OFF","")</f>
        <v/>
      </c>
      <c r="BB6" s="56" t="str">
        <f>IF('⚙ OFF Weekends'!$D$49="OFF","OFF","")</f>
        <v/>
      </c>
      <c r="BC6" s="54" t="str">
        <f>IF('⚙ OFF Weekends'!$D$50="OFF","OFF","")</f>
        <v/>
      </c>
      <c r="BD6" s="56" t="str">
        <f>IF('⚙ OFF Weekends'!$D$51="OFF","OFF","")</f>
        <v/>
      </c>
      <c r="BE6" s="54" t="str">
        <f>IF('⚙ OFF Weekends'!$D$52="OFF","OFF","")</f>
        <v/>
      </c>
      <c r="BF6" s="56" t="str">
        <f>IF('⚙ OFF Weekends'!$D$53="OFF","OFF","")</f>
        <v/>
      </c>
      <c r="BG6" s="54" t="str">
        <f>IF('⚙ OFF Weekends'!$D$54="OFF","OFF","")</f>
        <v/>
      </c>
      <c r="BH6" s="56" t="str">
        <f>IF('⚙ OFF Weekends'!$D$55="OFF","OFF","")</f>
        <v/>
      </c>
      <c r="BI6" s="54" t="str">
        <f>IF('⚙ OFF Weekends'!$D$56="OFF","OFF","")</f>
        <v/>
      </c>
      <c r="BJ6" s="56" t="str">
        <f>IF('⚙ OFF Weekends'!$D$57="OFF","OFF","")</f>
        <v/>
      </c>
      <c r="BK6" s="54" t="str">
        <f>IF('⚙ OFF Weekends'!$D$58="OFF","OFF","")</f>
        <v/>
      </c>
      <c r="BL6" s="56" t="str">
        <f>IF('⚙ OFF Weekends'!$D$59="OFF","OFF","")</f>
        <v/>
      </c>
      <c r="BM6" s="54" t="str">
        <f>IF('⚙ OFF Weekends'!$D$60="OFF","OFF","")</f>
        <v/>
      </c>
      <c r="BN6" s="56" t="str">
        <f>IF('⚙ OFF Weekends'!$D$61="OFF","OFF","")</f>
        <v/>
      </c>
      <c r="BO6" s="54" t="str">
        <f>IF('⚙ OFF Weekends'!$D$62="OFF","OFF","")</f>
        <v/>
      </c>
      <c r="BP6" s="56" t="str">
        <f>IF('⚙ OFF Weekends'!$D$63="OFF","OFF","")</f>
        <v/>
      </c>
      <c r="BQ6" s="54" t="str">
        <f>IF('⚙ OFF Weekends'!$D$64="OFF","OFF","")</f>
        <v/>
      </c>
      <c r="BR6" s="56" t="str">
        <f>IF('⚙ OFF Weekends'!$D$65="OFF","OFF","")</f>
        <v/>
      </c>
      <c r="BS6" s="54" t="str">
        <f>IF('⚙ OFF Weekends'!$D$66="OFF","OFF","")</f>
        <v/>
      </c>
      <c r="BT6" s="56" t="str">
        <f>IF('⚙ OFF Weekends'!$D$67="OFF","OFF","")</f>
        <v/>
      </c>
      <c r="BU6" s="54" t="str">
        <f>IF('⚙ OFF Weekends'!$D$68="OFF","OFF","")</f>
        <v/>
      </c>
      <c r="BV6" s="56" t="str">
        <f>IF('⚙ OFF Weekends'!$D$69="OFF","OFF","")</f>
        <v/>
      </c>
      <c r="BW6" s="54" t="str">
        <f>IF('⚙ OFF Weekends'!$D$70="OFF","OFF","")</f>
        <v/>
      </c>
      <c r="BX6" s="56" t="str">
        <f>IF('⚙ OFF Weekends'!$D$71="OFF","OFF","")</f>
        <v/>
      </c>
      <c r="BY6" s="54" t="str">
        <f>IF('⚙ OFF Weekends'!$D$72="OFF","OFF","")</f>
        <v/>
      </c>
      <c r="BZ6" s="56" t="str">
        <f>IF('⚙ OFF Weekends'!$D$73="OFF","OFF","")</f>
        <v/>
      </c>
      <c r="CA6" s="54" t="str">
        <f>IF('⚙ OFF Weekends'!$D$74="OFF","OFF","")</f>
        <v/>
      </c>
      <c r="CB6" s="56" t="str">
        <f>IF('⚙ OFF Weekends'!$D$75="OFF","OFF","")</f>
        <v/>
      </c>
      <c r="CC6" s="54" t="str">
        <f>IF('⚙ OFF Weekends'!$D$76="OFF","OFF","")</f>
        <v/>
      </c>
      <c r="CD6" s="56" t="str">
        <f>IF('⚙ OFF Weekends'!$D$77="OFF","OFF","")</f>
        <v/>
      </c>
      <c r="CE6" s="42">
        <f>COUNTIF(I6:CD6,"Present")+COUNTIF(I6:CD6,"Late")</f>
        <v>18</v>
      </c>
      <c r="CF6" s="42">
        <f>COUNTIF(I6:CD6,"Absent")</f>
        <v>0</v>
      </c>
      <c r="CG6" s="42">
        <f>COUNTIF(I6:CD6,"Leave")</f>
        <v>0</v>
      </c>
      <c r="CH6" s="42" t="str">
        <f>IF(CE6+CF6=0,"0%",TEXT(CE6/(CE6+CF6),"0%"))</f>
        <v>100%</v>
      </c>
    </row>
    <row r="7" ht="6.0" customHeight="1">
      <c r="A7" s="67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3"/>
    </row>
    <row r="8" ht="18.0" customHeight="1">
      <c r="A8" s="9" t="s">
        <v>204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3"/>
    </row>
    <row r="9" ht="18.0" customHeight="1">
      <c r="A9" s="68">
        <v>1.0</v>
      </c>
      <c r="B9" s="25" t="s">
        <v>433</v>
      </c>
      <c r="C9" s="69" t="s">
        <v>434</v>
      </c>
      <c r="D9" s="70" t="str">
        <f t="shared" ref="D9:D18" si="1">IF(C9&lt;&gt;"",HYPERLINK("tel:"&amp;SUBSTITUTE(SUBSTITUTE(C9," ",""),"+","+"),"📞 Call"),"")</f>
        <v>📞 Call</v>
      </c>
      <c r="E9" s="71" t="str">
        <f t="shared" ref="E9:E18" si="2">IF(C9&lt;&gt;"",HYPERLINK("https://wa.me/"&amp;SUBSTITUTE(SUBSTITUTE(C9,"+","")," ",""),"💬 WhatsApp"),"")</f>
        <v>💬 WhatsApp</v>
      </c>
      <c r="F9" s="21" t="s">
        <v>423</v>
      </c>
      <c r="G9" s="21" t="s">
        <v>435</v>
      </c>
      <c r="H9" s="21" t="s">
        <v>268</v>
      </c>
      <c r="I9" s="48" t="s">
        <v>196</v>
      </c>
      <c r="J9" s="48" t="s">
        <v>196</v>
      </c>
      <c r="K9" s="49" t="s">
        <v>197</v>
      </c>
      <c r="L9" s="48" t="s">
        <v>196</v>
      </c>
      <c r="M9" s="48" t="s">
        <v>196</v>
      </c>
      <c r="N9" s="48" t="s">
        <v>196</v>
      </c>
      <c r="O9" s="48" t="s">
        <v>196</v>
      </c>
      <c r="P9" s="48" t="s">
        <v>196</v>
      </c>
      <c r="Q9" s="48" t="s">
        <v>196</v>
      </c>
      <c r="R9" s="48" t="s">
        <v>196</v>
      </c>
      <c r="S9" s="52" t="s">
        <v>196</v>
      </c>
      <c r="T9" s="98" t="s">
        <v>198</v>
      </c>
      <c r="U9" s="52" t="s">
        <v>196</v>
      </c>
      <c r="V9" s="53" t="s">
        <v>196</v>
      </c>
      <c r="W9" s="54" t="str">
        <f>IF('⚙ OFF Weekends'!$D$18="OFF","OFF","")</f>
        <v>OFF</v>
      </c>
      <c r="X9" s="53" t="s">
        <v>198</v>
      </c>
      <c r="Y9" s="52" t="s">
        <v>196</v>
      </c>
      <c r="Z9" s="53" t="s">
        <v>196</v>
      </c>
      <c r="AA9" s="52" t="s">
        <v>37</v>
      </c>
      <c r="AB9" s="53" t="s">
        <v>37</v>
      </c>
      <c r="AC9" s="54" t="str">
        <f>IF('⚙ OFF Weekends'!$D$24="OFF","OFF","")</f>
        <v/>
      </c>
      <c r="AD9" s="56" t="str">
        <f>IF('⚙ OFF Weekends'!$D$25="OFF","OFF","")</f>
        <v/>
      </c>
      <c r="AE9" s="54" t="str">
        <f>IF('⚙ OFF Weekends'!$D$26="OFF","OFF","")</f>
        <v/>
      </c>
      <c r="AF9" s="56" t="str">
        <f>IF('⚙ OFF Weekends'!$D$27="OFF","OFF","")</f>
        <v/>
      </c>
      <c r="AG9" s="54" t="str">
        <f>IF('⚙ OFF Weekends'!$D$28="OFF","OFF","")</f>
        <v/>
      </c>
      <c r="AH9" s="56" t="str">
        <f>IF('⚙ OFF Weekends'!$D$29="OFF","OFF","")</f>
        <v/>
      </c>
      <c r="AI9" s="54" t="str">
        <f>IF('⚙ OFF Weekends'!$D$30="OFF","OFF","")</f>
        <v/>
      </c>
      <c r="AJ9" s="56" t="str">
        <f>IF('⚙ OFF Weekends'!$D$31="OFF","OFF","")</f>
        <v/>
      </c>
      <c r="AK9" s="54" t="str">
        <f>IF('⚙ OFF Weekends'!$D$32="OFF","OFF","")</f>
        <v/>
      </c>
      <c r="AL9" s="56" t="str">
        <f>IF('⚙ OFF Weekends'!$D$33="OFF","OFF","")</f>
        <v/>
      </c>
      <c r="AM9" s="54" t="str">
        <f>IF('⚙ OFF Weekends'!$D$34="OFF","OFF","")</f>
        <v/>
      </c>
      <c r="AN9" s="56" t="str">
        <f>IF('⚙ OFF Weekends'!$D$35="OFF","OFF","")</f>
        <v/>
      </c>
      <c r="AO9" s="54" t="str">
        <f>IF('⚙ OFF Weekends'!$D$36="OFF","OFF","")</f>
        <v/>
      </c>
      <c r="AP9" s="56" t="str">
        <f>IF('⚙ OFF Weekends'!$D$37="OFF","OFF","")</f>
        <v/>
      </c>
      <c r="AQ9" s="54" t="str">
        <f>IF('⚙ OFF Weekends'!$D$38="OFF","OFF","")</f>
        <v/>
      </c>
      <c r="AR9" s="56" t="str">
        <f>IF('⚙ OFF Weekends'!$D$39="OFF","OFF","")</f>
        <v/>
      </c>
      <c r="AS9" s="54" t="str">
        <f>IF('⚙ OFF Weekends'!$D$40="OFF","OFF","")</f>
        <v/>
      </c>
      <c r="AT9" s="56" t="str">
        <f>IF('⚙ OFF Weekends'!$D$41="OFF","OFF","")</f>
        <v/>
      </c>
      <c r="AU9" s="54" t="str">
        <f>IF('⚙ OFF Weekends'!$D$42="OFF","OFF","")</f>
        <v/>
      </c>
      <c r="AV9" s="56" t="str">
        <f>IF('⚙ OFF Weekends'!$D$43="OFF","OFF","")</f>
        <v/>
      </c>
      <c r="AW9" s="54" t="str">
        <f>IF('⚙ OFF Weekends'!$D$44="OFF","OFF","")</f>
        <v/>
      </c>
      <c r="AX9" s="56" t="str">
        <f>IF('⚙ OFF Weekends'!$D$45="OFF","OFF","")</f>
        <v/>
      </c>
      <c r="AY9" s="54" t="str">
        <f>IF('⚙ OFF Weekends'!$D$46="OFF","OFF","")</f>
        <v/>
      </c>
      <c r="AZ9" s="56" t="str">
        <f>IF('⚙ OFF Weekends'!$D$47="OFF","OFF","")</f>
        <v/>
      </c>
      <c r="BA9" s="54" t="str">
        <f>IF('⚙ OFF Weekends'!$D$48="OFF","OFF","")</f>
        <v/>
      </c>
      <c r="BB9" s="56" t="str">
        <f>IF('⚙ OFF Weekends'!$D$49="OFF","OFF","")</f>
        <v/>
      </c>
      <c r="BC9" s="54" t="str">
        <f>IF('⚙ OFF Weekends'!$D$50="OFF","OFF","")</f>
        <v/>
      </c>
      <c r="BD9" s="56" t="str">
        <f>IF('⚙ OFF Weekends'!$D$51="OFF","OFF","")</f>
        <v/>
      </c>
      <c r="BE9" s="54" t="str">
        <f>IF('⚙ OFF Weekends'!$D$52="OFF","OFF","")</f>
        <v/>
      </c>
      <c r="BF9" s="56" t="str">
        <f>IF('⚙ OFF Weekends'!$D$53="OFF","OFF","")</f>
        <v/>
      </c>
      <c r="BG9" s="54" t="str">
        <f>IF('⚙ OFF Weekends'!$D$54="OFF","OFF","")</f>
        <v/>
      </c>
      <c r="BH9" s="56" t="str">
        <f>IF('⚙ OFF Weekends'!$D$55="OFF","OFF","")</f>
        <v/>
      </c>
      <c r="BI9" s="54" t="str">
        <f>IF('⚙ OFF Weekends'!$D$56="OFF","OFF","")</f>
        <v/>
      </c>
      <c r="BJ9" s="56" t="str">
        <f>IF('⚙ OFF Weekends'!$D$57="OFF","OFF","")</f>
        <v/>
      </c>
      <c r="BK9" s="54" t="str">
        <f>IF('⚙ OFF Weekends'!$D$58="OFF","OFF","")</f>
        <v/>
      </c>
      <c r="BL9" s="56" t="str">
        <f>IF('⚙ OFF Weekends'!$D$59="OFF","OFF","")</f>
        <v/>
      </c>
      <c r="BM9" s="54" t="str">
        <f>IF('⚙ OFF Weekends'!$D$60="OFF","OFF","")</f>
        <v/>
      </c>
      <c r="BN9" s="56" t="str">
        <f>IF('⚙ OFF Weekends'!$D$61="OFF","OFF","")</f>
        <v/>
      </c>
      <c r="BO9" s="54" t="str">
        <f>IF('⚙ OFF Weekends'!$D$62="OFF","OFF","")</f>
        <v/>
      </c>
      <c r="BP9" s="56" t="str">
        <f>IF('⚙ OFF Weekends'!$D$63="OFF","OFF","")</f>
        <v/>
      </c>
      <c r="BQ9" s="54" t="str">
        <f>IF('⚙ OFF Weekends'!$D$64="OFF","OFF","")</f>
        <v/>
      </c>
      <c r="BR9" s="56" t="str">
        <f>IF('⚙ OFF Weekends'!$D$65="OFF","OFF","")</f>
        <v/>
      </c>
      <c r="BS9" s="54" t="str">
        <f>IF('⚙ OFF Weekends'!$D$66="OFF","OFF","")</f>
        <v/>
      </c>
      <c r="BT9" s="56" t="str">
        <f>IF('⚙ OFF Weekends'!$D$67="OFF","OFF","")</f>
        <v/>
      </c>
      <c r="BU9" s="54" t="str">
        <f>IF('⚙ OFF Weekends'!$D$68="OFF","OFF","")</f>
        <v/>
      </c>
      <c r="BV9" s="56" t="str">
        <f>IF('⚙ OFF Weekends'!$D$69="OFF","OFF","")</f>
        <v/>
      </c>
      <c r="BW9" s="54" t="str">
        <f>IF('⚙ OFF Weekends'!$D$70="OFF","OFF","")</f>
        <v/>
      </c>
      <c r="BX9" s="56" t="str">
        <f>IF('⚙ OFF Weekends'!$D$71="OFF","OFF","")</f>
        <v/>
      </c>
      <c r="BY9" s="54" t="str">
        <f>IF('⚙ OFF Weekends'!$D$72="OFF","OFF","")</f>
        <v/>
      </c>
      <c r="BZ9" s="56" t="str">
        <f>IF('⚙ OFF Weekends'!$D$73="OFF","OFF","")</f>
        <v/>
      </c>
      <c r="CA9" s="54" t="str">
        <f>IF('⚙ OFF Weekends'!$D$74="OFF","OFF","")</f>
        <v/>
      </c>
      <c r="CB9" s="56" t="str">
        <f>IF('⚙ OFF Weekends'!$D$75="OFF","OFF","")</f>
        <v/>
      </c>
      <c r="CC9" s="54" t="str">
        <f>IF('⚙ OFF Weekends'!$D$76="OFF","OFF","")</f>
        <v/>
      </c>
      <c r="CD9" s="56" t="str">
        <f>IF('⚙ OFF Weekends'!$D$77="OFF","OFF","")</f>
        <v/>
      </c>
      <c r="CE9" s="68">
        <f t="shared" ref="CE9:CE18" si="3">COUNTIF(I9:CD9,"Present")+COUNTIF(I9:CD9,"Late")</f>
        <v>16</v>
      </c>
      <c r="CF9" s="68">
        <f t="shared" ref="CF9:CF18" si="4">COUNTIF(I9:CD9,"Absent")</f>
        <v>0</v>
      </c>
      <c r="CG9" s="68">
        <f t="shared" ref="CG9:CG18" si="5">COUNTIF(I9:CD9,"Leave")</f>
        <v>2</v>
      </c>
      <c r="CH9" s="68" t="str">
        <f t="shared" ref="CH9:CH18" si="6">IF(CE9+CF9=0,"0%",TEXT(CE9/(CE9+CF9),"0%"))</f>
        <v>100%</v>
      </c>
    </row>
    <row r="10" ht="18.0" customHeight="1">
      <c r="A10" s="73">
        <v>2.0</v>
      </c>
      <c r="B10" s="35" t="s">
        <v>443</v>
      </c>
      <c r="C10" s="74" t="s">
        <v>445</v>
      </c>
      <c r="D10" s="75" t="str">
        <f t="shared" si="1"/>
        <v>📞 Call</v>
      </c>
      <c r="E10" s="76" t="str">
        <f t="shared" si="2"/>
        <v>💬 WhatsApp</v>
      </c>
      <c r="F10" s="34" t="s">
        <v>423</v>
      </c>
      <c r="G10" s="34" t="s">
        <v>446</v>
      </c>
      <c r="H10" s="34" t="s">
        <v>268</v>
      </c>
      <c r="I10" s="77" t="s">
        <v>198</v>
      </c>
      <c r="J10" s="77" t="s">
        <v>198</v>
      </c>
      <c r="K10" s="49" t="s">
        <v>197</v>
      </c>
      <c r="L10" s="48" t="s">
        <v>196</v>
      </c>
      <c r="M10" s="77" t="s">
        <v>198</v>
      </c>
      <c r="N10" s="77" t="s">
        <v>198</v>
      </c>
      <c r="O10" s="79" t="s">
        <v>223</v>
      </c>
      <c r="P10" s="79" t="s">
        <v>223</v>
      </c>
      <c r="Q10" s="79" t="s">
        <v>223</v>
      </c>
      <c r="R10" s="79" t="s">
        <v>223</v>
      </c>
      <c r="S10" s="52" t="s">
        <v>198</v>
      </c>
      <c r="T10" s="98" t="s">
        <v>198</v>
      </c>
      <c r="U10" s="52" t="s">
        <v>223</v>
      </c>
      <c r="V10" s="53" t="s">
        <v>223</v>
      </c>
      <c r="W10" s="54" t="str">
        <f>IF('⚙ OFF Weekends'!$D$18="OFF","OFF","")</f>
        <v>OFF</v>
      </c>
      <c r="X10" s="53" t="s">
        <v>223</v>
      </c>
      <c r="Y10" s="52" t="s">
        <v>223</v>
      </c>
      <c r="Z10" s="53" t="s">
        <v>223</v>
      </c>
      <c r="AA10" s="52" t="s">
        <v>223</v>
      </c>
      <c r="AB10" s="53" t="s">
        <v>223</v>
      </c>
      <c r="AC10" s="54" t="str">
        <f>IF('⚙ OFF Weekends'!$D$24="OFF","OFF","")</f>
        <v/>
      </c>
      <c r="AD10" s="56" t="str">
        <f>IF('⚙ OFF Weekends'!$D$25="OFF","OFF","")</f>
        <v/>
      </c>
      <c r="AE10" s="54" t="str">
        <f>IF('⚙ OFF Weekends'!$D$26="OFF","OFF","")</f>
        <v/>
      </c>
      <c r="AF10" s="56" t="str">
        <f>IF('⚙ OFF Weekends'!$D$27="OFF","OFF","")</f>
        <v/>
      </c>
      <c r="AG10" s="54" t="str">
        <f>IF('⚙ OFF Weekends'!$D$28="OFF","OFF","")</f>
        <v/>
      </c>
      <c r="AH10" s="56" t="str">
        <f>IF('⚙ OFF Weekends'!$D$29="OFF","OFF","")</f>
        <v/>
      </c>
      <c r="AI10" s="54" t="str">
        <f>IF('⚙ OFF Weekends'!$D$30="OFF","OFF","")</f>
        <v/>
      </c>
      <c r="AJ10" s="56" t="str">
        <f>IF('⚙ OFF Weekends'!$D$31="OFF","OFF","")</f>
        <v/>
      </c>
      <c r="AK10" s="54" t="str">
        <f>IF('⚙ OFF Weekends'!$D$32="OFF","OFF","")</f>
        <v/>
      </c>
      <c r="AL10" s="56" t="str">
        <f>IF('⚙ OFF Weekends'!$D$33="OFF","OFF","")</f>
        <v/>
      </c>
      <c r="AM10" s="54" t="str">
        <f>IF('⚙ OFF Weekends'!$D$34="OFF","OFF","")</f>
        <v/>
      </c>
      <c r="AN10" s="56" t="str">
        <f>IF('⚙ OFF Weekends'!$D$35="OFF","OFF","")</f>
        <v/>
      </c>
      <c r="AO10" s="54" t="str">
        <f>IF('⚙ OFF Weekends'!$D$36="OFF","OFF","")</f>
        <v/>
      </c>
      <c r="AP10" s="56" t="str">
        <f>IF('⚙ OFF Weekends'!$D$37="OFF","OFF","")</f>
        <v/>
      </c>
      <c r="AQ10" s="54" t="str">
        <f>IF('⚙ OFF Weekends'!$D$38="OFF","OFF","")</f>
        <v/>
      </c>
      <c r="AR10" s="56" t="str">
        <f>IF('⚙ OFF Weekends'!$D$39="OFF","OFF","")</f>
        <v/>
      </c>
      <c r="AS10" s="54" t="str">
        <f>IF('⚙ OFF Weekends'!$D$40="OFF","OFF","")</f>
        <v/>
      </c>
      <c r="AT10" s="56" t="str">
        <f>IF('⚙ OFF Weekends'!$D$41="OFF","OFF","")</f>
        <v/>
      </c>
      <c r="AU10" s="54" t="str">
        <f>IF('⚙ OFF Weekends'!$D$42="OFF","OFF","")</f>
        <v/>
      </c>
      <c r="AV10" s="56" t="str">
        <f>IF('⚙ OFF Weekends'!$D$43="OFF","OFF","")</f>
        <v/>
      </c>
      <c r="AW10" s="54" t="str">
        <f>IF('⚙ OFF Weekends'!$D$44="OFF","OFF","")</f>
        <v/>
      </c>
      <c r="AX10" s="56" t="str">
        <f>IF('⚙ OFF Weekends'!$D$45="OFF","OFF","")</f>
        <v/>
      </c>
      <c r="AY10" s="54" t="str">
        <f>IF('⚙ OFF Weekends'!$D$46="OFF","OFF","")</f>
        <v/>
      </c>
      <c r="AZ10" s="56" t="str">
        <f>IF('⚙ OFF Weekends'!$D$47="OFF","OFF","")</f>
        <v/>
      </c>
      <c r="BA10" s="54" t="str">
        <f>IF('⚙ OFF Weekends'!$D$48="OFF","OFF","")</f>
        <v/>
      </c>
      <c r="BB10" s="56" t="str">
        <f>IF('⚙ OFF Weekends'!$D$49="OFF","OFF","")</f>
        <v/>
      </c>
      <c r="BC10" s="54" t="str">
        <f>IF('⚙ OFF Weekends'!$D$50="OFF","OFF","")</f>
        <v/>
      </c>
      <c r="BD10" s="56" t="str">
        <f>IF('⚙ OFF Weekends'!$D$51="OFF","OFF","")</f>
        <v/>
      </c>
      <c r="BE10" s="54" t="str">
        <f>IF('⚙ OFF Weekends'!$D$52="OFF","OFF","")</f>
        <v/>
      </c>
      <c r="BF10" s="56" t="str">
        <f>IF('⚙ OFF Weekends'!$D$53="OFF","OFF","")</f>
        <v/>
      </c>
      <c r="BG10" s="54" t="str">
        <f>IF('⚙ OFF Weekends'!$D$54="OFF","OFF","")</f>
        <v/>
      </c>
      <c r="BH10" s="56" t="str">
        <f>IF('⚙ OFF Weekends'!$D$55="OFF","OFF","")</f>
        <v/>
      </c>
      <c r="BI10" s="54" t="str">
        <f>IF('⚙ OFF Weekends'!$D$56="OFF","OFF","")</f>
        <v/>
      </c>
      <c r="BJ10" s="56" t="str">
        <f>IF('⚙ OFF Weekends'!$D$57="OFF","OFF","")</f>
        <v/>
      </c>
      <c r="BK10" s="54" t="str">
        <f>IF('⚙ OFF Weekends'!$D$58="OFF","OFF","")</f>
        <v/>
      </c>
      <c r="BL10" s="56" t="str">
        <f>IF('⚙ OFF Weekends'!$D$59="OFF","OFF","")</f>
        <v/>
      </c>
      <c r="BM10" s="54" t="str">
        <f>IF('⚙ OFF Weekends'!$D$60="OFF","OFF","")</f>
        <v/>
      </c>
      <c r="BN10" s="56" t="str">
        <f>IF('⚙ OFF Weekends'!$D$61="OFF","OFF","")</f>
        <v/>
      </c>
      <c r="BO10" s="54" t="str">
        <f>IF('⚙ OFF Weekends'!$D$62="OFF","OFF","")</f>
        <v/>
      </c>
      <c r="BP10" s="56" t="str">
        <f>IF('⚙ OFF Weekends'!$D$63="OFF","OFF","")</f>
        <v/>
      </c>
      <c r="BQ10" s="54" t="str">
        <f>IF('⚙ OFF Weekends'!$D$64="OFF","OFF","")</f>
        <v/>
      </c>
      <c r="BR10" s="56" t="str">
        <f>IF('⚙ OFF Weekends'!$D$65="OFF","OFF","")</f>
        <v/>
      </c>
      <c r="BS10" s="54" t="str">
        <f>IF('⚙ OFF Weekends'!$D$66="OFF","OFF","")</f>
        <v/>
      </c>
      <c r="BT10" s="56" t="str">
        <f>IF('⚙ OFF Weekends'!$D$67="OFF","OFF","")</f>
        <v/>
      </c>
      <c r="BU10" s="54" t="str">
        <f>IF('⚙ OFF Weekends'!$D$68="OFF","OFF","")</f>
        <v/>
      </c>
      <c r="BV10" s="56" t="str">
        <f>IF('⚙ OFF Weekends'!$D$69="OFF","OFF","")</f>
        <v/>
      </c>
      <c r="BW10" s="54" t="str">
        <f>IF('⚙ OFF Weekends'!$D$70="OFF","OFF","")</f>
        <v/>
      </c>
      <c r="BX10" s="56" t="str">
        <f>IF('⚙ OFF Weekends'!$D$71="OFF","OFF","")</f>
        <v/>
      </c>
      <c r="BY10" s="54" t="str">
        <f>IF('⚙ OFF Weekends'!$D$72="OFF","OFF","")</f>
        <v/>
      </c>
      <c r="BZ10" s="56" t="str">
        <f>IF('⚙ OFF Weekends'!$D$73="OFF","OFF","")</f>
        <v/>
      </c>
      <c r="CA10" s="54" t="str">
        <f>IF('⚙ OFF Weekends'!$D$74="OFF","OFF","")</f>
        <v/>
      </c>
      <c r="CB10" s="56" t="str">
        <f>IF('⚙ OFF Weekends'!$D$75="OFF","OFF","")</f>
        <v/>
      </c>
      <c r="CC10" s="54" t="str">
        <f>IF('⚙ OFF Weekends'!$D$76="OFF","OFF","")</f>
        <v/>
      </c>
      <c r="CD10" s="56" t="str">
        <f>IF('⚙ OFF Weekends'!$D$77="OFF","OFF","")</f>
        <v/>
      </c>
      <c r="CE10" s="73">
        <f t="shared" si="3"/>
        <v>1</v>
      </c>
      <c r="CF10" s="73">
        <f t="shared" si="4"/>
        <v>11</v>
      </c>
      <c r="CG10" s="73">
        <f t="shared" si="5"/>
        <v>6</v>
      </c>
      <c r="CH10" s="73" t="str">
        <f t="shared" si="6"/>
        <v>8%</v>
      </c>
    </row>
    <row r="11" ht="18.0" customHeight="1">
      <c r="A11" s="68">
        <v>3.0</v>
      </c>
      <c r="B11" s="25" t="s">
        <v>450</v>
      </c>
      <c r="C11" s="69" t="s">
        <v>451</v>
      </c>
      <c r="D11" s="70" t="str">
        <f t="shared" si="1"/>
        <v>📞 Call</v>
      </c>
      <c r="E11" s="71" t="str">
        <f t="shared" si="2"/>
        <v>💬 WhatsApp</v>
      </c>
      <c r="F11" s="21" t="s">
        <v>423</v>
      </c>
      <c r="G11" s="21" t="s">
        <v>435</v>
      </c>
      <c r="H11" s="21" t="s">
        <v>268</v>
      </c>
      <c r="I11" s="79" t="s">
        <v>223</v>
      </c>
      <c r="J11" s="79" t="s">
        <v>223</v>
      </c>
      <c r="K11" s="49" t="s">
        <v>197</v>
      </c>
      <c r="L11" s="79" t="s">
        <v>223</v>
      </c>
      <c r="M11" s="79" t="s">
        <v>223</v>
      </c>
      <c r="N11" s="79" t="s">
        <v>223</v>
      </c>
      <c r="O11" s="79" t="s">
        <v>223</v>
      </c>
      <c r="P11" s="79" t="s">
        <v>223</v>
      </c>
      <c r="Q11" s="50" t="s">
        <v>37</v>
      </c>
      <c r="R11" s="79" t="s">
        <v>223</v>
      </c>
      <c r="S11" s="52" t="s">
        <v>37</v>
      </c>
      <c r="T11" s="98" t="s">
        <v>196</v>
      </c>
      <c r="U11" s="52" t="s">
        <v>223</v>
      </c>
      <c r="V11" s="53" t="s">
        <v>223</v>
      </c>
      <c r="W11" s="54" t="str">
        <f>IF('⚙ OFF Weekends'!$D$18="OFF","OFF","")</f>
        <v>OFF</v>
      </c>
      <c r="X11" s="53" t="s">
        <v>223</v>
      </c>
      <c r="Y11" s="52" t="s">
        <v>37</v>
      </c>
      <c r="Z11" s="53" t="s">
        <v>198</v>
      </c>
      <c r="AA11" s="52" t="s">
        <v>198</v>
      </c>
      <c r="AB11" s="53" t="s">
        <v>198</v>
      </c>
      <c r="AC11" s="54" t="str">
        <f>IF('⚙ OFF Weekends'!$D$24="OFF","OFF","")</f>
        <v/>
      </c>
      <c r="AD11" s="56" t="str">
        <f>IF('⚙ OFF Weekends'!$D$25="OFF","OFF","")</f>
        <v/>
      </c>
      <c r="AE11" s="54" t="str">
        <f>IF('⚙ OFF Weekends'!$D$26="OFF","OFF","")</f>
        <v/>
      </c>
      <c r="AF11" s="56" t="str">
        <f>IF('⚙ OFF Weekends'!$D$27="OFF","OFF","")</f>
        <v/>
      </c>
      <c r="AG11" s="54" t="str">
        <f>IF('⚙ OFF Weekends'!$D$28="OFF","OFF","")</f>
        <v/>
      </c>
      <c r="AH11" s="56" t="str">
        <f>IF('⚙ OFF Weekends'!$D$29="OFF","OFF","")</f>
        <v/>
      </c>
      <c r="AI11" s="54" t="str">
        <f>IF('⚙ OFF Weekends'!$D$30="OFF","OFF","")</f>
        <v/>
      </c>
      <c r="AJ11" s="56" t="str">
        <f>IF('⚙ OFF Weekends'!$D$31="OFF","OFF","")</f>
        <v/>
      </c>
      <c r="AK11" s="54" t="str">
        <f>IF('⚙ OFF Weekends'!$D$32="OFF","OFF","")</f>
        <v/>
      </c>
      <c r="AL11" s="56" t="str">
        <f>IF('⚙ OFF Weekends'!$D$33="OFF","OFF","")</f>
        <v/>
      </c>
      <c r="AM11" s="54" t="str">
        <f>IF('⚙ OFF Weekends'!$D$34="OFF","OFF","")</f>
        <v/>
      </c>
      <c r="AN11" s="56" t="str">
        <f>IF('⚙ OFF Weekends'!$D$35="OFF","OFF","")</f>
        <v/>
      </c>
      <c r="AO11" s="54" t="str">
        <f>IF('⚙ OFF Weekends'!$D$36="OFF","OFF","")</f>
        <v/>
      </c>
      <c r="AP11" s="56" t="str">
        <f>IF('⚙ OFF Weekends'!$D$37="OFF","OFF","")</f>
        <v/>
      </c>
      <c r="AQ11" s="54" t="str">
        <f>IF('⚙ OFF Weekends'!$D$38="OFF","OFF","")</f>
        <v/>
      </c>
      <c r="AR11" s="56" t="str">
        <f>IF('⚙ OFF Weekends'!$D$39="OFF","OFF","")</f>
        <v/>
      </c>
      <c r="AS11" s="54" t="str">
        <f>IF('⚙ OFF Weekends'!$D$40="OFF","OFF","")</f>
        <v/>
      </c>
      <c r="AT11" s="56" t="str">
        <f>IF('⚙ OFF Weekends'!$D$41="OFF","OFF","")</f>
        <v/>
      </c>
      <c r="AU11" s="54" t="str">
        <f>IF('⚙ OFF Weekends'!$D$42="OFF","OFF","")</f>
        <v/>
      </c>
      <c r="AV11" s="56" t="str">
        <f>IF('⚙ OFF Weekends'!$D$43="OFF","OFF","")</f>
        <v/>
      </c>
      <c r="AW11" s="54" t="str">
        <f>IF('⚙ OFF Weekends'!$D$44="OFF","OFF","")</f>
        <v/>
      </c>
      <c r="AX11" s="56" t="str">
        <f>IF('⚙ OFF Weekends'!$D$45="OFF","OFF","")</f>
        <v/>
      </c>
      <c r="AY11" s="54" t="str">
        <f>IF('⚙ OFF Weekends'!$D$46="OFF","OFF","")</f>
        <v/>
      </c>
      <c r="AZ11" s="56" t="str">
        <f>IF('⚙ OFF Weekends'!$D$47="OFF","OFF","")</f>
        <v/>
      </c>
      <c r="BA11" s="54" t="str">
        <f>IF('⚙ OFF Weekends'!$D$48="OFF","OFF","")</f>
        <v/>
      </c>
      <c r="BB11" s="56" t="str">
        <f>IF('⚙ OFF Weekends'!$D$49="OFF","OFF","")</f>
        <v/>
      </c>
      <c r="BC11" s="54" t="str">
        <f>IF('⚙ OFF Weekends'!$D$50="OFF","OFF","")</f>
        <v/>
      </c>
      <c r="BD11" s="56" t="str">
        <f>IF('⚙ OFF Weekends'!$D$51="OFF","OFF","")</f>
        <v/>
      </c>
      <c r="BE11" s="54" t="str">
        <f>IF('⚙ OFF Weekends'!$D$52="OFF","OFF","")</f>
        <v/>
      </c>
      <c r="BF11" s="56" t="str">
        <f>IF('⚙ OFF Weekends'!$D$53="OFF","OFF","")</f>
        <v/>
      </c>
      <c r="BG11" s="54" t="str">
        <f>IF('⚙ OFF Weekends'!$D$54="OFF","OFF","")</f>
        <v/>
      </c>
      <c r="BH11" s="56" t="str">
        <f>IF('⚙ OFF Weekends'!$D$55="OFF","OFF","")</f>
        <v/>
      </c>
      <c r="BI11" s="54" t="str">
        <f>IF('⚙ OFF Weekends'!$D$56="OFF","OFF","")</f>
        <v/>
      </c>
      <c r="BJ11" s="56" t="str">
        <f>IF('⚙ OFF Weekends'!$D$57="OFF","OFF","")</f>
        <v/>
      </c>
      <c r="BK11" s="54" t="str">
        <f>IF('⚙ OFF Weekends'!$D$58="OFF","OFF","")</f>
        <v/>
      </c>
      <c r="BL11" s="56" t="str">
        <f>IF('⚙ OFF Weekends'!$D$59="OFF","OFF","")</f>
        <v/>
      </c>
      <c r="BM11" s="54" t="str">
        <f>IF('⚙ OFF Weekends'!$D$60="OFF","OFF","")</f>
        <v/>
      </c>
      <c r="BN11" s="56" t="str">
        <f>IF('⚙ OFF Weekends'!$D$61="OFF","OFF","")</f>
        <v/>
      </c>
      <c r="BO11" s="54" t="str">
        <f>IF('⚙ OFF Weekends'!$D$62="OFF","OFF","")</f>
        <v/>
      </c>
      <c r="BP11" s="56" t="str">
        <f>IF('⚙ OFF Weekends'!$D$63="OFF","OFF","")</f>
        <v/>
      </c>
      <c r="BQ11" s="54" t="str">
        <f>IF('⚙ OFF Weekends'!$D$64="OFF","OFF","")</f>
        <v/>
      </c>
      <c r="BR11" s="56" t="str">
        <f>IF('⚙ OFF Weekends'!$D$65="OFF","OFF","")</f>
        <v/>
      </c>
      <c r="BS11" s="54" t="str">
        <f>IF('⚙ OFF Weekends'!$D$66="OFF","OFF","")</f>
        <v/>
      </c>
      <c r="BT11" s="56" t="str">
        <f>IF('⚙ OFF Weekends'!$D$67="OFF","OFF","")</f>
        <v/>
      </c>
      <c r="BU11" s="54" t="str">
        <f>IF('⚙ OFF Weekends'!$D$68="OFF","OFF","")</f>
        <v/>
      </c>
      <c r="BV11" s="56" t="str">
        <f>IF('⚙ OFF Weekends'!$D$69="OFF","OFF","")</f>
        <v/>
      </c>
      <c r="BW11" s="54" t="str">
        <f>IF('⚙ OFF Weekends'!$D$70="OFF","OFF","")</f>
        <v/>
      </c>
      <c r="BX11" s="56" t="str">
        <f>IF('⚙ OFF Weekends'!$D$71="OFF","OFF","")</f>
        <v/>
      </c>
      <c r="BY11" s="54" t="str">
        <f>IF('⚙ OFF Weekends'!$D$72="OFF","OFF","")</f>
        <v/>
      </c>
      <c r="BZ11" s="56" t="str">
        <f>IF('⚙ OFF Weekends'!$D$73="OFF","OFF","")</f>
        <v/>
      </c>
      <c r="CA11" s="54" t="str">
        <f>IF('⚙ OFF Weekends'!$D$74="OFF","OFF","")</f>
        <v/>
      </c>
      <c r="CB11" s="56" t="str">
        <f>IF('⚙ OFF Weekends'!$D$75="OFF","OFF","")</f>
        <v/>
      </c>
      <c r="CC11" s="54" t="str">
        <f>IF('⚙ OFF Weekends'!$D$76="OFF","OFF","")</f>
        <v/>
      </c>
      <c r="CD11" s="56" t="str">
        <f>IF('⚙ OFF Weekends'!$D$77="OFF","OFF","")</f>
        <v/>
      </c>
      <c r="CE11" s="68">
        <f t="shared" si="3"/>
        <v>4</v>
      </c>
      <c r="CF11" s="68">
        <f t="shared" si="4"/>
        <v>11</v>
      </c>
      <c r="CG11" s="68">
        <f t="shared" si="5"/>
        <v>3</v>
      </c>
      <c r="CH11" s="68" t="str">
        <f t="shared" si="6"/>
        <v>27%</v>
      </c>
    </row>
    <row r="12" ht="18.0" customHeight="1">
      <c r="A12" s="73">
        <v>4.0</v>
      </c>
      <c r="B12" s="35" t="s">
        <v>457</v>
      </c>
      <c r="C12" s="74" t="s">
        <v>458</v>
      </c>
      <c r="D12" s="75" t="str">
        <f t="shared" si="1"/>
        <v>📞 Call</v>
      </c>
      <c r="E12" s="76" t="str">
        <f t="shared" si="2"/>
        <v>💬 WhatsApp</v>
      </c>
      <c r="F12" s="34" t="s">
        <v>459</v>
      </c>
      <c r="G12" s="34" t="s">
        <v>381</v>
      </c>
      <c r="H12" s="34" t="s">
        <v>460</v>
      </c>
      <c r="I12" s="48" t="s">
        <v>196</v>
      </c>
      <c r="J12" s="48" t="s">
        <v>196</v>
      </c>
      <c r="K12" s="49" t="s">
        <v>197</v>
      </c>
      <c r="L12" s="79" t="s">
        <v>223</v>
      </c>
      <c r="M12" s="77" t="s">
        <v>198</v>
      </c>
      <c r="N12" s="48" t="s">
        <v>196</v>
      </c>
      <c r="O12" s="79" t="s">
        <v>223</v>
      </c>
      <c r="P12" s="50" t="s">
        <v>37</v>
      </c>
      <c r="Q12" s="77" t="s">
        <v>198</v>
      </c>
      <c r="R12" s="48" t="s">
        <v>196</v>
      </c>
      <c r="S12" s="52" t="s">
        <v>198</v>
      </c>
      <c r="T12" s="98" t="s">
        <v>196</v>
      </c>
      <c r="U12" s="52" t="s">
        <v>196</v>
      </c>
      <c r="V12" s="53" t="s">
        <v>223</v>
      </c>
      <c r="W12" s="54" t="str">
        <f>IF('⚙ OFF Weekends'!$D$18="OFF","OFF","")</f>
        <v>OFF</v>
      </c>
      <c r="X12" s="53" t="s">
        <v>223</v>
      </c>
      <c r="Y12" s="52" t="s">
        <v>223</v>
      </c>
      <c r="Z12" s="53" t="s">
        <v>223</v>
      </c>
      <c r="AA12" s="52" t="s">
        <v>223</v>
      </c>
      <c r="AB12" s="53" t="s">
        <v>223</v>
      </c>
      <c r="AC12" s="54" t="str">
        <f>IF('⚙ OFF Weekends'!$D$24="OFF","OFF","")</f>
        <v/>
      </c>
      <c r="AD12" s="56" t="str">
        <f>IF('⚙ OFF Weekends'!$D$25="OFF","OFF","")</f>
        <v/>
      </c>
      <c r="AE12" s="54" t="str">
        <f>IF('⚙ OFF Weekends'!$D$26="OFF","OFF","")</f>
        <v/>
      </c>
      <c r="AF12" s="56" t="str">
        <f>IF('⚙ OFF Weekends'!$D$27="OFF","OFF","")</f>
        <v/>
      </c>
      <c r="AG12" s="54" t="str">
        <f>IF('⚙ OFF Weekends'!$D$28="OFF","OFF","")</f>
        <v/>
      </c>
      <c r="AH12" s="56" t="str">
        <f>IF('⚙ OFF Weekends'!$D$29="OFF","OFF","")</f>
        <v/>
      </c>
      <c r="AI12" s="54" t="str">
        <f>IF('⚙ OFF Weekends'!$D$30="OFF","OFF","")</f>
        <v/>
      </c>
      <c r="AJ12" s="56" t="str">
        <f>IF('⚙ OFF Weekends'!$D$31="OFF","OFF","")</f>
        <v/>
      </c>
      <c r="AK12" s="54" t="str">
        <f>IF('⚙ OFF Weekends'!$D$32="OFF","OFF","")</f>
        <v/>
      </c>
      <c r="AL12" s="56" t="str">
        <f>IF('⚙ OFF Weekends'!$D$33="OFF","OFF","")</f>
        <v/>
      </c>
      <c r="AM12" s="54" t="str">
        <f>IF('⚙ OFF Weekends'!$D$34="OFF","OFF","")</f>
        <v/>
      </c>
      <c r="AN12" s="56" t="str">
        <f>IF('⚙ OFF Weekends'!$D$35="OFF","OFF","")</f>
        <v/>
      </c>
      <c r="AO12" s="54" t="str">
        <f>IF('⚙ OFF Weekends'!$D$36="OFF","OFF","")</f>
        <v/>
      </c>
      <c r="AP12" s="56" t="str">
        <f>IF('⚙ OFF Weekends'!$D$37="OFF","OFF","")</f>
        <v/>
      </c>
      <c r="AQ12" s="54" t="str">
        <f>IF('⚙ OFF Weekends'!$D$38="OFF","OFF","")</f>
        <v/>
      </c>
      <c r="AR12" s="56" t="str">
        <f>IF('⚙ OFF Weekends'!$D$39="OFF","OFF","")</f>
        <v/>
      </c>
      <c r="AS12" s="54" t="str">
        <f>IF('⚙ OFF Weekends'!$D$40="OFF","OFF","")</f>
        <v/>
      </c>
      <c r="AT12" s="56" t="str">
        <f>IF('⚙ OFF Weekends'!$D$41="OFF","OFF","")</f>
        <v/>
      </c>
      <c r="AU12" s="54" t="str">
        <f>IF('⚙ OFF Weekends'!$D$42="OFF","OFF","")</f>
        <v/>
      </c>
      <c r="AV12" s="56" t="str">
        <f>IF('⚙ OFF Weekends'!$D$43="OFF","OFF","")</f>
        <v/>
      </c>
      <c r="AW12" s="54" t="str">
        <f>IF('⚙ OFF Weekends'!$D$44="OFF","OFF","")</f>
        <v/>
      </c>
      <c r="AX12" s="56" t="str">
        <f>IF('⚙ OFF Weekends'!$D$45="OFF","OFF","")</f>
        <v/>
      </c>
      <c r="AY12" s="54" t="str">
        <f>IF('⚙ OFF Weekends'!$D$46="OFF","OFF","")</f>
        <v/>
      </c>
      <c r="AZ12" s="56" t="str">
        <f>IF('⚙ OFF Weekends'!$D$47="OFF","OFF","")</f>
        <v/>
      </c>
      <c r="BA12" s="54" t="str">
        <f>IF('⚙ OFF Weekends'!$D$48="OFF","OFF","")</f>
        <v/>
      </c>
      <c r="BB12" s="56" t="str">
        <f>IF('⚙ OFF Weekends'!$D$49="OFF","OFF","")</f>
        <v/>
      </c>
      <c r="BC12" s="54" t="str">
        <f>IF('⚙ OFF Weekends'!$D$50="OFF","OFF","")</f>
        <v/>
      </c>
      <c r="BD12" s="56" t="str">
        <f>IF('⚙ OFF Weekends'!$D$51="OFF","OFF","")</f>
        <v/>
      </c>
      <c r="BE12" s="54" t="str">
        <f>IF('⚙ OFF Weekends'!$D$52="OFF","OFF","")</f>
        <v/>
      </c>
      <c r="BF12" s="56" t="str">
        <f>IF('⚙ OFF Weekends'!$D$53="OFF","OFF","")</f>
        <v/>
      </c>
      <c r="BG12" s="54" t="str">
        <f>IF('⚙ OFF Weekends'!$D$54="OFF","OFF","")</f>
        <v/>
      </c>
      <c r="BH12" s="56" t="str">
        <f>IF('⚙ OFF Weekends'!$D$55="OFF","OFF","")</f>
        <v/>
      </c>
      <c r="BI12" s="54" t="str">
        <f>IF('⚙ OFF Weekends'!$D$56="OFF","OFF","")</f>
        <v/>
      </c>
      <c r="BJ12" s="56" t="str">
        <f>IF('⚙ OFF Weekends'!$D$57="OFF","OFF","")</f>
        <v/>
      </c>
      <c r="BK12" s="54" t="str">
        <f>IF('⚙ OFF Weekends'!$D$58="OFF","OFF","")</f>
        <v/>
      </c>
      <c r="BL12" s="56" t="str">
        <f>IF('⚙ OFF Weekends'!$D$59="OFF","OFF","")</f>
        <v/>
      </c>
      <c r="BM12" s="54" t="str">
        <f>IF('⚙ OFF Weekends'!$D$60="OFF","OFF","")</f>
        <v/>
      </c>
      <c r="BN12" s="56" t="str">
        <f>IF('⚙ OFF Weekends'!$D$61="OFF","OFF","")</f>
        <v/>
      </c>
      <c r="BO12" s="54" t="str">
        <f>IF('⚙ OFF Weekends'!$D$62="OFF","OFF","")</f>
        <v/>
      </c>
      <c r="BP12" s="56" t="str">
        <f>IF('⚙ OFF Weekends'!$D$63="OFF","OFF","")</f>
        <v/>
      </c>
      <c r="BQ12" s="54" t="str">
        <f>IF('⚙ OFF Weekends'!$D$64="OFF","OFF","")</f>
        <v/>
      </c>
      <c r="BR12" s="56" t="str">
        <f>IF('⚙ OFF Weekends'!$D$65="OFF","OFF","")</f>
        <v/>
      </c>
      <c r="BS12" s="54" t="str">
        <f>IF('⚙ OFF Weekends'!$D$66="OFF","OFF","")</f>
        <v/>
      </c>
      <c r="BT12" s="56" t="str">
        <f>IF('⚙ OFF Weekends'!$D$67="OFF","OFF","")</f>
        <v/>
      </c>
      <c r="BU12" s="54" t="str">
        <f>IF('⚙ OFF Weekends'!$D$68="OFF","OFF","")</f>
        <v/>
      </c>
      <c r="BV12" s="56" t="str">
        <f>IF('⚙ OFF Weekends'!$D$69="OFF","OFF","")</f>
        <v/>
      </c>
      <c r="BW12" s="54" t="str">
        <f>IF('⚙ OFF Weekends'!$D$70="OFF","OFF","")</f>
        <v/>
      </c>
      <c r="BX12" s="56" t="str">
        <f>IF('⚙ OFF Weekends'!$D$71="OFF","OFF","")</f>
        <v/>
      </c>
      <c r="BY12" s="54" t="str">
        <f>IF('⚙ OFF Weekends'!$D$72="OFF","OFF","")</f>
        <v/>
      </c>
      <c r="BZ12" s="56" t="str">
        <f>IF('⚙ OFF Weekends'!$D$73="OFF","OFF","")</f>
        <v/>
      </c>
      <c r="CA12" s="54" t="str">
        <f>IF('⚙ OFF Weekends'!$D$74="OFF","OFF","")</f>
        <v/>
      </c>
      <c r="CB12" s="56" t="str">
        <f>IF('⚙ OFF Weekends'!$D$75="OFF","OFF","")</f>
        <v/>
      </c>
      <c r="CC12" s="54" t="str">
        <f>IF('⚙ OFF Weekends'!$D$76="OFF","OFF","")</f>
        <v/>
      </c>
      <c r="CD12" s="56" t="str">
        <f>IF('⚙ OFF Weekends'!$D$77="OFF","OFF","")</f>
        <v/>
      </c>
      <c r="CE12" s="73">
        <f t="shared" si="3"/>
        <v>7</v>
      </c>
      <c r="CF12" s="73">
        <f t="shared" si="4"/>
        <v>8</v>
      </c>
      <c r="CG12" s="73">
        <f t="shared" si="5"/>
        <v>3</v>
      </c>
      <c r="CH12" s="73" t="str">
        <f t="shared" si="6"/>
        <v>47%</v>
      </c>
    </row>
    <row r="13" ht="18.0" customHeight="1">
      <c r="A13" s="68">
        <v>5.0</v>
      </c>
      <c r="B13" s="25" t="s">
        <v>464</v>
      </c>
      <c r="C13" s="69"/>
      <c r="D13" s="70" t="str">
        <f t="shared" si="1"/>
        <v/>
      </c>
      <c r="E13" s="99" t="str">
        <f t="shared" si="2"/>
        <v/>
      </c>
      <c r="F13" s="21"/>
      <c r="G13" s="21"/>
      <c r="H13" s="21" t="s">
        <v>268</v>
      </c>
      <c r="I13" s="50" t="s">
        <v>37</v>
      </c>
      <c r="J13" s="50" t="s">
        <v>37</v>
      </c>
      <c r="K13" s="49" t="s">
        <v>197</v>
      </c>
      <c r="L13" s="50" t="s">
        <v>37</v>
      </c>
      <c r="M13" s="50" t="s">
        <v>37</v>
      </c>
      <c r="N13" s="50" t="s">
        <v>37</v>
      </c>
      <c r="O13" s="50" t="s">
        <v>37</v>
      </c>
      <c r="P13" s="50" t="s">
        <v>37</v>
      </c>
      <c r="Q13" s="50" t="s">
        <v>37</v>
      </c>
      <c r="R13" s="50" t="s">
        <v>37</v>
      </c>
      <c r="S13" s="52" t="s">
        <v>37</v>
      </c>
      <c r="T13" s="98" t="s">
        <v>196</v>
      </c>
      <c r="U13" s="52" t="s">
        <v>37</v>
      </c>
      <c r="V13" s="53" t="s">
        <v>37</v>
      </c>
      <c r="W13" s="54" t="str">
        <f>IF('⚙ OFF Weekends'!$D$18="OFF","OFF","")</f>
        <v>OFF</v>
      </c>
      <c r="X13" s="53" t="s">
        <v>37</v>
      </c>
      <c r="Y13" s="52" t="s">
        <v>37</v>
      </c>
      <c r="Z13" s="53" t="s">
        <v>223</v>
      </c>
      <c r="AA13" s="52" t="s">
        <v>223</v>
      </c>
      <c r="AB13" s="53" t="s">
        <v>37</v>
      </c>
      <c r="AC13" s="54" t="str">
        <f>IF('⚙ OFF Weekends'!$D$24="OFF","OFF","")</f>
        <v/>
      </c>
      <c r="AD13" s="56" t="str">
        <f>IF('⚙ OFF Weekends'!$D$25="OFF","OFF","")</f>
        <v/>
      </c>
      <c r="AE13" s="54" t="str">
        <f>IF('⚙ OFF Weekends'!$D$26="OFF","OFF","")</f>
        <v/>
      </c>
      <c r="AF13" s="56" t="str">
        <f>IF('⚙ OFF Weekends'!$D$27="OFF","OFF","")</f>
        <v/>
      </c>
      <c r="AG13" s="54" t="str">
        <f>IF('⚙ OFF Weekends'!$D$28="OFF","OFF","")</f>
        <v/>
      </c>
      <c r="AH13" s="56" t="str">
        <f>IF('⚙ OFF Weekends'!$D$29="OFF","OFF","")</f>
        <v/>
      </c>
      <c r="AI13" s="54" t="str">
        <f>IF('⚙ OFF Weekends'!$D$30="OFF","OFF","")</f>
        <v/>
      </c>
      <c r="AJ13" s="56" t="str">
        <f>IF('⚙ OFF Weekends'!$D$31="OFF","OFF","")</f>
        <v/>
      </c>
      <c r="AK13" s="54" t="str">
        <f>IF('⚙ OFF Weekends'!$D$32="OFF","OFF","")</f>
        <v/>
      </c>
      <c r="AL13" s="56" t="str">
        <f>IF('⚙ OFF Weekends'!$D$33="OFF","OFF","")</f>
        <v/>
      </c>
      <c r="AM13" s="54" t="str">
        <f>IF('⚙ OFF Weekends'!$D$34="OFF","OFF","")</f>
        <v/>
      </c>
      <c r="AN13" s="56" t="str">
        <f>IF('⚙ OFF Weekends'!$D$35="OFF","OFF","")</f>
        <v/>
      </c>
      <c r="AO13" s="54" t="str">
        <f>IF('⚙ OFF Weekends'!$D$36="OFF","OFF","")</f>
        <v/>
      </c>
      <c r="AP13" s="56" t="str">
        <f>IF('⚙ OFF Weekends'!$D$37="OFF","OFF","")</f>
        <v/>
      </c>
      <c r="AQ13" s="54" t="str">
        <f>IF('⚙ OFF Weekends'!$D$38="OFF","OFF","")</f>
        <v/>
      </c>
      <c r="AR13" s="56" t="str">
        <f>IF('⚙ OFF Weekends'!$D$39="OFF","OFF","")</f>
        <v/>
      </c>
      <c r="AS13" s="54" t="str">
        <f>IF('⚙ OFF Weekends'!$D$40="OFF","OFF","")</f>
        <v/>
      </c>
      <c r="AT13" s="56" t="str">
        <f>IF('⚙ OFF Weekends'!$D$41="OFF","OFF","")</f>
        <v/>
      </c>
      <c r="AU13" s="54" t="str">
        <f>IF('⚙ OFF Weekends'!$D$42="OFF","OFF","")</f>
        <v/>
      </c>
      <c r="AV13" s="56" t="str">
        <f>IF('⚙ OFF Weekends'!$D$43="OFF","OFF","")</f>
        <v/>
      </c>
      <c r="AW13" s="54" t="str">
        <f>IF('⚙ OFF Weekends'!$D$44="OFF","OFF","")</f>
        <v/>
      </c>
      <c r="AX13" s="56" t="str">
        <f>IF('⚙ OFF Weekends'!$D$45="OFF","OFF","")</f>
        <v/>
      </c>
      <c r="AY13" s="54" t="str">
        <f>IF('⚙ OFF Weekends'!$D$46="OFF","OFF","")</f>
        <v/>
      </c>
      <c r="AZ13" s="56" t="str">
        <f>IF('⚙ OFF Weekends'!$D$47="OFF","OFF","")</f>
        <v/>
      </c>
      <c r="BA13" s="54" t="str">
        <f>IF('⚙ OFF Weekends'!$D$48="OFF","OFF","")</f>
        <v/>
      </c>
      <c r="BB13" s="56" t="str">
        <f>IF('⚙ OFF Weekends'!$D$49="OFF","OFF","")</f>
        <v/>
      </c>
      <c r="BC13" s="54" t="str">
        <f>IF('⚙ OFF Weekends'!$D$50="OFF","OFF","")</f>
        <v/>
      </c>
      <c r="BD13" s="56" t="str">
        <f>IF('⚙ OFF Weekends'!$D$51="OFF","OFF","")</f>
        <v/>
      </c>
      <c r="BE13" s="54" t="str">
        <f>IF('⚙ OFF Weekends'!$D$52="OFF","OFF","")</f>
        <v/>
      </c>
      <c r="BF13" s="56" t="str">
        <f>IF('⚙ OFF Weekends'!$D$53="OFF","OFF","")</f>
        <v/>
      </c>
      <c r="BG13" s="54" t="str">
        <f>IF('⚙ OFF Weekends'!$D$54="OFF","OFF","")</f>
        <v/>
      </c>
      <c r="BH13" s="56" t="str">
        <f>IF('⚙ OFF Weekends'!$D$55="OFF","OFF","")</f>
        <v/>
      </c>
      <c r="BI13" s="54" t="str">
        <f>IF('⚙ OFF Weekends'!$D$56="OFF","OFF","")</f>
        <v/>
      </c>
      <c r="BJ13" s="56" t="str">
        <f>IF('⚙ OFF Weekends'!$D$57="OFF","OFF","")</f>
        <v/>
      </c>
      <c r="BK13" s="54" t="str">
        <f>IF('⚙ OFF Weekends'!$D$58="OFF","OFF","")</f>
        <v/>
      </c>
      <c r="BL13" s="56" t="str">
        <f>IF('⚙ OFF Weekends'!$D$59="OFF","OFF","")</f>
        <v/>
      </c>
      <c r="BM13" s="54" t="str">
        <f>IF('⚙ OFF Weekends'!$D$60="OFF","OFF","")</f>
        <v/>
      </c>
      <c r="BN13" s="56" t="str">
        <f>IF('⚙ OFF Weekends'!$D$61="OFF","OFF","")</f>
        <v/>
      </c>
      <c r="BO13" s="54" t="str">
        <f>IF('⚙ OFF Weekends'!$D$62="OFF","OFF","")</f>
        <v/>
      </c>
      <c r="BP13" s="56" t="str">
        <f>IF('⚙ OFF Weekends'!$D$63="OFF","OFF","")</f>
        <v/>
      </c>
      <c r="BQ13" s="54" t="str">
        <f>IF('⚙ OFF Weekends'!$D$64="OFF","OFF","")</f>
        <v/>
      </c>
      <c r="BR13" s="56" t="str">
        <f>IF('⚙ OFF Weekends'!$D$65="OFF","OFF","")</f>
        <v/>
      </c>
      <c r="BS13" s="54" t="str">
        <f>IF('⚙ OFF Weekends'!$D$66="OFF","OFF","")</f>
        <v/>
      </c>
      <c r="BT13" s="56" t="str">
        <f>IF('⚙ OFF Weekends'!$D$67="OFF","OFF","")</f>
        <v/>
      </c>
      <c r="BU13" s="54" t="str">
        <f>IF('⚙ OFF Weekends'!$D$68="OFF","OFF","")</f>
        <v/>
      </c>
      <c r="BV13" s="56" t="str">
        <f>IF('⚙ OFF Weekends'!$D$69="OFF","OFF","")</f>
        <v/>
      </c>
      <c r="BW13" s="54" t="str">
        <f>IF('⚙ OFF Weekends'!$D$70="OFF","OFF","")</f>
        <v/>
      </c>
      <c r="BX13" s="56" t="str">
        <f>IF('⚙ OFF Weekends'!$D$71="OFF","OFF","")</f>
        <v/>
      </c>
      <c r="BY13" s="54" t="str">
        <f>IF('⚙ OFF Weekends'!$D$72="OFF","OFF","")</f>
        <v/>
      </c>
      <c r="BZ13" s="56" t="str">
        <f>IF('⚙ OFF Weekends'!$D$73="OFF","OFF","")</f>
        <v/>
      </c>
      <c r="CA13" s="54" t="str">
        <f>IF('⚙ OFF Weekends'!$D$74="OFF","OFF","")</f>
        <v/>
      </c>
      <c r="CB13" s="56" t="str">
        <f>IF('⚙ OFF Weekends'!$D$75="OFF","OFF","")</f>
        <v/>
      </c>
      <c r="CC13" s="54" t="str">
        <f>IF('⚙ OFF Weekends'!$D$76="OFF","OFF","")</f>
        <v/>
      </c>
      <c r="CD13" s="56" t="str">
        <f>IF('⚙ OFF Weekends'!$D$77="OFF","OFF","")</f>
        <v/>
      </c>
      <c r="CE13" s="68">
        <f t="shared" si="3"/>
        <v>16</v>
      </c>
      <c r="CF13" s="68">
        <f t="shared" si="4"/>
        <v>2</v>
      </c>
      <c r="CG13" s="68">
        <f t="shared" si="5"/>
        <v>0</v>
      </c>
      <c r="CH13" s="68" t="str">
        <f t="shared" si="6"/>
        <v>89%</v>
      </c>
    </row>
    <row r="14" ht="18.0" customHeight="1">
      <c r="A14" s="73">
        <v>6.0</v>
      </c>
      <c r="B14" s="35" t="s">
        <v>467</v>
      </c>
      <c r="C14" s="74"/>
      <c r="D14" s="75" t="str">
        <f t="shared" si="1"/>
        <v/>
      </c>
      <c r="E14" s="80" t="str">
        <f t="shared" si="2"/>
        <v/>
      </c>
      <c r="F14" s="34"/>
      <c r="G14" s="34"/>
      <c r="H14" s="34" t="s">
        <v>268</v>
      </c>
      <c r="I14" s="79" t="s">
        <v>223</v>
      </c>
      <c r="J14" s="79" t="s">
        <v>223</v>
      </c>
      <c r="K14" s="49" t="s">
        <v>197</v>
      </c>
      <c r="L14" s="79" t="s">
        <v>223</v>
      </c>
      <c r="M14" s="48" t="s">
        <v>196</v>
      </c>
      <c r="N14" s="48" t="s">
        <v>196</v>
      </c>
      <c r="O14" s="79" t="s">
        <v>223</v>
      </c>
      <c r="P14" s="50" t="s">
        <v>37</v>
      </c>
      <c r="Q14" s="48" t="s">
        <v>196</v>
      </c>
      <c r="R14" s="48" t="s">
        <v>196</v>
      </c>
      <c r="S14" s="52" t="s">
        <v>198</v>
      </c>
      <c r="T14" s="98" t="s">
        <v>196</v>
      </c>
      <c r="U14" s="52" t="s">
        <v>196</v>
      </c>
      <c r="V14" s="53" t="s">
        <v>198</v>
      </c>
      <c r="W14" s="54" t="str">
        <f>IF('⚙ OFF Weekends'!$D$18="OFF","OFF","")</f>
        <v>OFF</v>
      </c>
      <c r="X14" s="53" t="s">
        <v>198</v>
      </c>
      <c r="Y14" s="52" t="s">
        <v>198</v>
      </c>
      <c r="Z14" s="53" t="s">
        <v>198</v>
      </c>
      <c r="AA14" s="52" t="s">
        <v>198</v>
      </c>
      <c r="AB14" s="53" t="s">
        <v>198</v>
      </c>
      <c r="AC14" s="54" t="str">
        <f>IF('⚙ OFF Weekends'!$D$24="OFF","OFF","")</f>
        <v/>
      </c>
      <c r="AD14" s="56" t="str">
        <f>IF('⚙ OFF Weekends'!$D$25="OFF","OFF","")</f>
        <v/>
      </c>
      <c r="AE14" s="54" t="str">
        <f>IF('⚙ OFF Weekends'!$D$26="OFF","OFF","")</f>
        <v/>
      </c>
      <c r="AF14" s="56" t="str">
        <f>IF('⚙ OFF Weekends'!$D$27="OFF","OFF","")</f>
        <v/>
      </c>
      <c r="AG14" s="54" t="str">
        <f>IF('⚙ OFF Weekends'!$D$28="OFF","OFF","")</f>
        <v/>
      </c>
      <c r="AH14" s="56" t="str">
        <f>IF('⚙ OFF Weekends'!$D$29="OFF","OFF","")</f>
        <v/>
      </c>
      <c r="AI14" s="54" t="str">
        <f>IF('⚙ OFF Weekends'!$D$30="OFF","OFF","")</f>
        <v/>
      </c>
      <c r="AJ14" s="56" t="str">
        <f>IF('⚙ OFF Weekends'!$D$31="OFF","OFF","")</f>
        <v/>
      </c>
      <c r="AK14" s="54" t="str">
        <f>IF('⚙ OFF Weekends'!$D$32="OFF","OFF","")</f>
        <v/>
      </c>
      <c r="AL14" s="56" t="str">
        <f>IF('⚙ OFF Weekends'!$D$33="OFF","OFF","")</f>
        <v/>
      </c>
      <c r="AM14" s="54" t="str">
        <f>IF('⚙ OFF Weekends'!$D$34="OFF","OFF","")</f>
        <v/>
      </c>
      <c r="AN14" s="56" t="str">
        <f>IF('⚙ OFF Weekends'!$D$35="OFF","OFF","")</f>
        <v/>
      </c>
      <c r="AO14" s="54" t="str">
        <f>IF('⚙ OFF Weekends'!$D$36="OFF","OFF","")</f>
        <v/>
      </c>
      <c r="AP14" s="56" t="str">
        <f>IF('⚙ OFF Weekends'!$D$37="OFF","OFF","")</f>
        <v/>
      </c>
      <c r="AQ14" s="54" t="str">
        <f>IF('⚙ OFF Weekends'!$D$38="OFF","OFF","")</f>
        <v/>
      </c>
      <c r="AR14" s="56" t="str">
        <f>IF('⚙ OFF Weekends'!$D$39="OFF","OFF","")</f>
        <v/>
      </c>
      <c r="AS14" s="54" t="str">
        <f>IF('⚙ OFF Weekends'!$D$40="OFF","OFF","")</f>
        <v/>
      </c>
      <c r="AT14" s="56" t="str">
        <f>IF('⚙ OFF Weekends'!$D$41="OFF","OFF","")</f>
        <v/>
      </c>
      <c r="AU14" s="54" t="str">
        <f>IF('⚙ OFF Weekends'!$D$42="OFF","OFF","")</f>
        <v/>
      </c>
      <c r="AV14" s="56" t="str">
        <f>IF('⚙ OFF Weekends'!$D$43="OFF","OFF","")</f>
        <v/>
      </c>
      <c r="AW14" s="54" t="str">
        <f>IF('⚙ OFF Weekends'!$D$44="OFF","OFF","")</f>
        <v/>
      </c>
      <c r="AX14" s="56" t="str">
        <f>IF('⚙ OFF Weekends'!$D$45="OFF","OFF","")</f>
        <v/>
      </c>
      <c r="AY14" s="54" t="str">
        <f>IF('⚙ OFF Weekends'!$D$46="OFF","OFF","")</f>
        <v/>
      </c>
      <c r="AZ14" s="56" t="str">
        <f>IF('⚙ OFF Weekends'!$D$47="OFF","OFF","")</f>
        <v/>
      </c>
      <c r="BA14" s="54" t="str">
        <f>IF('⚙ OFF Weekends'!$D$48="OFF","OFF","")</f>
        <v/>
      </c>
      <c r="BB14" s="56" t="str">
        <f>IF('⚙ OFF Weekends'!$D$49="OFF","OFF","")</f>
        <v/>
      </c>
      <c r="BC14" s="54" t="str">
        <f>IF('⚙ OFF Weekends'!$D$50="OFF","OFF","")</f>
        <v/>
      </c>
      <c r="BD14" s="56" t="str">
        <f>IF('⚙ OFF Weekends'!$D$51="OFF","OFF","")</f>
        <v/>
      </c>
      <c r="BE14" s="54" t="str">
        <f>IF('⚙ OFF Weekends'!$D$52="OFF","OFF","")</f>
        <v/>
      </c>
      <c r="BF14" s="56" t="str">
        <f>IF('⚙ OFF Weekends'!$D$53="OFF","OFF","")</f>
        <v/>
      </c>
      <c r="BG14" s="54" t="str">
        <f>IF('⚙ OFF Weekends'!$D$54="OFF","OFF","")</f>
        <v/>
      </c>
      <c r="BH14" s="56" t="str">
        <f>IF('⚙ OFF Weekends'!$D$55="OFF","OFF","")</f>
        <v/>
      </c>
      <c r="BI14" s="54" t="str">
        <f>IF('⚙ OFF Weekends'!$D$56="OFF","OFF","")</f>
        <v/>
      </c>
      <c r="BJ14" s="56" t="str">
        <f>IF('⚙ OFF Weekends'!$D$57="OFF","OFF","")</f>
        <v/>
      </c>
      <c r="BK14" s="54" t="str">
        <f>IF('⚙ OFF Weekends'!$D$58="OFF","OFF","")</f>
        <v/>
      </c>
      <c r="BL14" s="56" t="str">
        <f>IF('⚙ OFF Weekends'!$D$59="OFF","OFF","")</f>
        <v/>
      </c>
      <c r="BM14" s="54" t="str">
        <f>IF('⚙ OFF Weekends'!$D$60="OFF","OFF","")</f>
        <v/>
      </c>
      <c r="BN14" s="56" t="str">
        <f>IF('⚙ OFF Weekends'!$D$61="OFF","OFF","")</f>
        <v/>
      </c>
      <c r="BO14" s="54" t="str">
        <f>IF('⚙ OFF Weekends'!$D$62="OFF","OFF","")</f>
        <v/>
      </c>
      <c r="BP14" s="56" t="str">
        <f>IF('⚙ OFF Weekends'!$D$63="OFF","OFF","")</f>
        <v/>
      </c>
      <c r="BQ14" s="54" t="str">
        <f>IF('⚙ OFF Weekends'!$D$64="OFF","OFF","")</f>
        <v/>
      </c>
      <c r="BR14" s="56" t="str">
        <f>IF('⚙ OFF Weekends'!$D$65="OFF","OFF","")</f>
        <v/>
      </c>
      <c r="BS14" s="54" t="str">
        <f>IF('⚙ OFF Weekends'!$D$66="OFF","OFF","")</f>
        <v/>
      </c>
      <c r="BT14" s="56" t="str">
        <f>IF('⚙ OFF Weekends'!$D$67="OFF","OFF","")</f>
        <v/>
      </c>
      <c r="BU14" s="54" t="str">
        <f>IF('⚙ OFF Weekends'!$D$68="OFF","OFF","")</f>
        <v/>
      </c>
      <c r="BV14" s="56" t="str">
        <f>IF('⚙ OFF Weekends'!$D$69="OFF","OFF","")</f>
        <v/>
      </c>
      <c r="BW14" s="54" t="str">
        <f>IF('⚙ OFF Weekends'!$D$70="OFF","OFF","")</f>
        <v/>
      </c>
      <c r="BX14" s="56" t="str">
        <f>IF('⚙ OFF Weekends'!$D$71="OFF","OFF","")</f>
        <v/>
      </c>
      <c r="BY14" s="54" t="str">
        <f>IF('⚙ OFF Weekends'!$D$72="OFF","OFF","")</f>
        <v/>
      </c>
      <c r="BZ14" s="56" t="str">
        <f>IF('⚙ OFF Weekends'!$D$73="OFF","OFF","")</f>
        <v/>
      </c>
      <c r="CA14" s="54" t="str">
        <f>IF('⚙ OFF Weekends'!$D$74="OFF","OFF","")</f>
        <v/>
      </c>
      <c r="CB14" s="56" t="str">
        <f>IF('⚙ OFF Weekends'!$D$75="OFF","OFF","")</f>
        <v/>
      </c>
      <c r="CC14" s="54" t="str">
        <f>IF('⚙ OFF Weekends'!$D$76="OFF","OFF","")</f>
        <v/>
      </c>
      <c r="CD14" s="56" t="str">
        <f>IF('⚙ OFF Weekends'!$D$77="OFF","OFF","")</f>
        <v/>
      </c>
      <c r="CE14" s="73">
        <f t="shared" si="3"/>
        <v>7</v>
      </c>
      <c r="CF14" s="73">
        <f t="shared" si="4"/>
        <v>4</v>
      </c>
      <c r="CG14" s="73">
        <f t="shared" si="5"/>
        <v>7</v>
      </c>
      <c r="CH14" s="73" t="str">
        <f t="shared" si="6"/>
        <v>64%</v>
      </c>
    </row>
    <row r="15" ht="18.0" customHeight="1">
      <c r="A15" s="68">
        <v>7.0</v>
      </c>
      <c r="B15" s="25" t="s">
        <v>472</v>
      </c>
      <c r="C15" s="69"/>
      <c r="D15" s="70" t="str">
        <f t="shared" si="1"/>
        <v/>
      </c>
      <c r="E15" s="99" t="str">
        <f t="shared" si="2"/>
        <v/>
      </c>
      <c r="F15" s="21"/>
      <c r="G15" s="21"/>
      <c r="H15" s="21" t="s">
        <v>268</v>
      </c>
      <c r="I15" s="54" t="str">
        <f>IF('⚙ OFF Weekends'!$D$4="OFF","OFF","")</f>
        <v/>
      </c>
      <c r="J15" s="56" t="str">
        <f>IF('⚙ OFF Weekends'!$D$5="OFF","OFF","")</f>
        <v/>
      </c>
      <c r="K15" s="54" t="str">
        <f>IF('⚙ OFF Weekends'!$D$6="OFF","OFF","")</f>
        <v/>
      </c>
      <c r="L15" s="56" t="str">
        <f>IF('⚙ OFF Weekends'!$D$7="OFF","OFF","")</f>
        <v/>
      </c>
      <c r="M15" s="54" t="str">
        <f>IF('⚙ OFF Weekends'!$D$8="OFF","OFF","")</f>
        <v/>
      </c>
      <c r="N15" s="56" t="str">
        <f>IF('⚙ OFF Weekends'!$D$9="OFF","OFF","")</f>
        <v/>
      </c>
      <c r="O15" s="54" t="str">
        <f>IF('⚙ OFF Weekends'!$D$10="OFF","OFF","")</f>
        <v/>
      </c>
      <c r="P15" s="56" t="str">
        <f>IF('⚙ OFF Weekends'!$D$11="OFF","OFF","")</f>
        <v/>
      </c>
      <c r="Q15" s="50" t="s">
        <v>37</v>
      </c>
      <c r="R15" s="50" t="s">
        <v>37</v>
      </c>
      <c r="S15" s="52" t="s">
        <v>37</v>
      </c>
      <c r="T15" s="98" t="s">
        <v>196</v>
      </c>
      <c r="U15" s="52" t="s">
        <v>223</v>
      </c>
      <c r="V15" s="53" t="s">
        <v>223</v>
      </c>
      <c r="W15" s="54" t="str">
        <f>IF('⚙ OFF Weekends'!$D$18="OFF","OFF","")</f>
        <v>OFF</v>
      </c>
      <c r="X15" s="53" t="s">
        <v>223</v>
      </c>
      <c r="Y15" s="52" t="s">
        <v>223</v>
      </c>
      <c r="Z15" s="53" t="s">
        <v>223</v>
      </c>
      <c r="AA15" s="52" t="s">
        <v>223</v>
      </c>
      <c r="AB15" s="53" t="s">
        <v>223</v>
      </c>
      <c r="AC15" s="54" t="str">
        <f>IF('⚙ OFF Weekends'!$D$24="OFF","OFF","")</f>
        <v/>
      </c>
      <c r="AD15" s="56" t="str">
        <f>IF('⚙ OFF Weekends'!$D$25="OFF","OFF","")</f>
        <v/>
      </c>
      <c r="AE15" s="54" t="str">
        <f>IF('⚙ OFF Weekends'!$D$26="OFF","OFF","")</f>
        <v/>
      </c>
      <c r="AF15" s="56" t="str">
        <f>IF('⚙ OFF Weekends'!$D$27="OFF","OFF","")</f>
        <v/>
      </c>
      <c r="AG15" s="54" t="str">
        <f>IF('⚙ OFF Weekends'!$D$28="OFF","OFF","")</f>
        <v/>
      </c>
      <c r="AH15" s="56" t="str">
        <f>IF('⚙ OFF Weekends'!$D$29="OFF","OFF","")</f>
        <v/>
      </c>
      <c r="AI15" s="54" t="str">
        <f>IF('⚙ OFF Weekends'!$D$30="OFF","OFF","")</f>
        <v/>
      </c>
      <c r="AJ15" s="56" t="str">
        <f>IF('⚙ OFF Weekends'!$D$31="OFF","OFF","")</f>
        <v/>
      </c>
      <c r="AK15" s="54" t="str">
        <f>IF('⚙ OFF Weekends'!$D$32="OFF","OFF","")</f>
        <v/>
      </c>
      <c r="AL15" s="56" t="str">
        <f>IF('⚙ OFF Weekends'!$D$33="OFF","OFF","")</f>
        <v/>
      </c>
      <c r="AM15" s="54" t="str">
        <f>IF('⚙ OFF Weekends'!$D$34="OFF","OFF","")</f>
        <v/>
      </c>
      <c r="AN15" s="56" t="str">
        <f>IF('⚙ OFF Weekends'!$D$35="OFF","OFF","")</f>
        <v/>
      </c>
      <c r="AO15" s="54" t="str">
        <f>IF('⚙ OFF Weekends'!$D$36="OFF","OFF","")</f>
        <v/>
      </c>
      <c r="AP15" s="56" t="str">
        <f>IF('⚙ OFF Weekends'!$D$37="OFF","OFF","")</f>
        <v/>
      </c>
      <c r="AQ15" s="54" t="str">
        <f>IF('⚙ OFF Weekends'!$D$38="OFF","OFF","")</f>
        <v/>
      </c>
      <c r="AR15" s="56" t="str">
        <f>IF('⚙ OFF Weekends'!$D$39="OFF","OFF","")</f>
        <v/>
      </c>
      <c r="AS15" s="54" t="str">
        <f>IF('⚙ OFF Weekends'!$D$40="OFF","OFF","")</f>
        <v/>
      </c>
      <c r="AT15" s="56" t="str">
        <f>IF('⚙ OFF Weekends'!$D$41="OFF","OFF","")</f>
        <v/>
      </c>
      <c r="AU15" s="54" t="str">
        <f>IF('⚙ OFF Weekends'!$D$42="OFF","OFF","")</f>
        <v/>
      </c>
      <c r="AV15" s="56" t="str">
        <f>IF('⚙ OFF Weekends'!$D$43="OFF","OFF","")</f>
        <v/>
      </c>
      <c r="AW15" s="54" t="str">
        <f>IF('⚙ OFF Weekends'!$D$44="OFF","OFF","")</f>
        <v/>
      </c>
      <c r="AX15" s="56" t="str">
        <f>IF('⚙ OFF Weekends'!$D$45="OFF","OFF","")</f>
        <v/>
      </c>
      <c r="AY15" s="54" t="str">
        <f>IF('⚙ OFF Weekends'!$D$46="OFF","OFF","")</f>
        <v/>
      </c>
      <c r="AZ15" s="56" t="str">
        <f>IF('⚙ OFF Weekends'!$D$47="OFF","OFF","")</f>
        <v/>
      </c>
      <c r="BA15" s="54" t="str">
        <f>IF('⚙ OFF Weekends'!$D$48="OFF","OFF","")</f>
        <v/>
      </c>
      <c r="BB15" s="56" t="str">
        <f>IF('⚙ OFF Weekends'!$D$49="OFF","OFF","")</f>
        <v/>
      </c>
      <c r="BC15" s="54" t="str">
        <f>IF('⚙ OFF Weekends'!$D$50="OFF","OFF","")</f>
        <v/>
      </c>
      <c r="BD15" s="56" t="str">
        <f>IF('⚙ OFF Weekends'!$D$51="OFF","OFF","")</f>
        <v/>
      </c>
      <c r="BE15" s="54" t="str">
        <f>IF('⚙ OFF Weekends'!$D$52="OFF","OFF","")</f>
        <v/>
      </c>
      <c r="BF15" s="56" t="str">
        <f>IF('⚙ OFF Weekends'!$D$53="OFF","OFF","")</f>
        <v/>
      </c>
      <c r="BG15" s="54" t="str">
        <f>IF('⚙ OFF Weekends'!$D$54="OFF","OFF","")</f>
        <v/>
      </c>
      <c r="BH15" s="56" t="str">
        <f>IF('⚙ OFF Weekends'!$D$55="OFF","OFF","")</f>
        <v/>
      </c>
      <c r="BI15" s="54" t="str">
        <f>IF('⚙ OFF Weekends'!$D$56="OFF","OFF","")</f>
        <v/>
      </c>
      <c r="BJ15" s="56" t="str">
        <f>IF('⚙ OFF Weekends'!$D$57="OFF","OFF","")</f>
        <v/>
      </c>
      <c r="BK15" s="54" t="str">
        <f>IF('⚙ OFF Weekends'!$D$58="OFF","OFF","")</f>
        <v/>
      </c>
      <c r="BL15" s="56" t="str">
        <f>IF('⚙ OFF Weekends'!$D$59="OFF","OFF","")</f>
        <v/>
      </c>
      <c r="BM15" s="54" t="str">
        <f>IF('⚙ OFF Weekends'!$D$60="OFF","OFF","")</f>
        <v/>
      </c>
      <c r="BN15" s="56" t="str">
        <f>IF('⚙ OFF Weekends'!$D$61="OFF","OFF","")</f>
        <v/>
      </c>
      <c r="BO15" s="54" t="str">
        <f>IF('⚙ OFF Weekends'!$D$62="OFF","OFF","")</f>
        <v/>
      </c>
      <c r="BP15" s="56" t="str">
        <f>IF('⚙ OFF Weekends'!$D$63="OFF","OFF","")</f>
        <v/>
      </c>
      <c r="BQ15" s="54" t="str">
        <f>IF('⚙ OFF Weekends'!$D$64="OFF","OFF","")</f>
        <v/>
      </c>
      <c r="BR15" s="56" t="str">
        <f>IF('⚙ OFF Weekends'!$D$65="OFF","OFF","")</f>
        <v/>
      </c>
      <c r="BS15" s="54" t="str">
        <f>IF('⚙ OFF Weekends'!$D$66="OFF","OFF","")</f>
        <v/>
      </c>
      <c r="BT15" s="56" t="str">
        <f>IF('⚙ OFF Weekends'!$D$67="OFF","OFF","")</f>
        <v/>
      </c>
      <c r="BU15" s="54" t="str">
        <f>IF('⚙ OFF Weekends'!$D$68="OFF","OFF","")</f>
        <v/>
      </c>
      <c r="BV15" s="56" t="str">
        <f>IF('⚙ OFF Weekends'!$D$69="OFF","OFF","")</f>
        <v/>
      </c>
      <c r="BW15" s="54" t="str">
        <f>IF('⚙ OFF Weekends'!$D$70="OFF","OFF","")</f>
        <v/>
      </c>
      <c r="BX15" s="56" t="str">
        <f>IF('⚙ OFF Weekends'!$D$71="OFF","OFF","")</f>
        <v/>
      </c>
      <c r="BY15" s="54" t="str">
        <f>IF('⚙ OFF Weekends'!$D$72="OFF","OFF","")</f>
        <v/>
      </c>
      <c r="BZ15" s="56" t="str">
        <f>IF('⚙ OFF Weekends'!$D$73="OFF","OFF","")</f>
        <v/>
      </c>
      <c r="CA15" s="54" t="str">
        <f>IF('⚙ OFF Weekends'!$D$74="OFF","OFF","")</f>
        <v/>
      </c>
      <c r="CB15" s="56" t="str">
        <f>IF('⚙ OFF Weekends'!$D$75="OFF","OFF","")</f>
        <v/>
      </c>
      <c r="CC15" s="54" t="str">
        <f>IF('⚙ OFF Weekends'!$D$76="OFF","OFF","")</f>
        <v/>
      </c>
      <c r="CD15" s="56" t="str">
        <f>IF('⚙ OFF Weekends'!$D$77="OFF","OFF","")</f>
        <v/>
      </c>
      <c r="CE15" s="68">
        <f t="shared" si="3"/>
        <v>4</v>
      </c>
      <c r="CF15" s="68">
        <f t="shared" si="4"/>
        <v>7</v>
      </c>
      <c r="CG15" s="68">
        <f t="shared" si="5"/>
        <v>0</v>
      </c>
      <c r="CH15" s="68" t="str">
        <f t="shared" si="6"/>
        <v>36%</v>
      </c>
    </row>
    <row r="16" ht="18.0" customHeight="1">
      <c r="A16" s="84">
        <v>8.0</v>
      </c>
      <c r="B16" s="94" t="s">
        <v>481</v>
      </c>
      <c r="C16" s="89"/>
      <c r="D16" s="87" t="str">
        <f t="shared" si="1"/>
        <v/>
      </c>
      <c r="E16" s="93" t="str">
        <f t="shared" si="2"/>
        <v/>
      </c>
      <c r="F16" s="89"/>
      <c r="G16" s="89"/>
      <c r="H16" s="89"/>
      <c r="I16" s="90" t="str">
        <f>IF('⚙ OFF Weekends'!$D$4="OFF","OFF","")</f>
        <v/>
      </c>
      <c r="J16" s="90" t="str">
        <f>IF('⚙ OFF Weekends'!$D$5="OFF","OFF","")</f>
        <v/>
      </c>
      <c r="K16" s="90" t="str">
        <f>IF('⚙ OFF Weekends'!$D$6="OFF","OFF","")</f>
        <v/>
      </c>
      <c r="L16" s="90" t="str">
        <f>IF('⚙ OFF Weekends'!$D$7="OFF","OFF","")</f>
        <v/>
      </c>
      <c r="M16" s="90" t="str">
        <f>IF('⚙ OFF Weekends'!$D$8="OFF","OFF","")</f>
        <v/>
      </c>
      <c r="N16" s="90" t="str">
        <f>IF('⚙ OFF Weekends'!$D$9="OFF","OFF","")</f>
        <v/>
      </c>
      <c r="O16" s="90" t="str">
        <f>IF('⚙ OFF Weekends'!$D$10="OFF","OFF","")</f>
        <v/>
      </c>
      <c r="P16" s="90" t="str">
        <f>IF('⚙ OFF Weekends'!$D$11="OFF","OFF","")</f>
        <v/>
      </c>
      <c r="Q16" s="90" t="str">
        <f>IF('⚙ OFF Weekends'!$D$12="OFF","OFF","")</f>
        <v/>
      </c>
      <c r="R16" s="90" t="str">
        <f>IF('⚙ OFF Weekends'!$D$13="OFF","OFF","")</f>
        <v/>
      </c>
      <c r="S16" s="91" t="s">
        <v>37</v>
      </c>
      <c r="T16" s="91" t="s">
        <v>223</v>
      </c>
      <c r="U16" s="91" t="s">
        <v>223</v>
      </c>
      <c r="V16" s="91" t="s">
        <v>223</v>
      </c>
      <c r="W16" s="90" t="str">
        <f>IF('⚙ OFF Weekends'!$D$18="OFF","OFF","")</f>
        <v>OFF</v>
      </c>
      <c r="X16" s="91" t="s">
        <v>223</v>
      </c>
      <c r="Y16" s="91" t="s">
        <v>223</v>
      </c>
      <c r="Z16" s="91" t="s">
        <v>223</v>
      </c>
      <c r="AA16" s="91" t="s">
        <v>223</v>
      </c>
      <c r="AB16" s="91" t="s">
        <v>223</v>
      </c>
      <c r="AC16" s="90" t="str">
        <f>IF('⚙ OFF Weekends'!$D$24="OFF","OFF","")</f>
        <v/>
      </c>
      <c r="AD16" s="90" t="str">
        <f>IF('⚙ OFF Weekends'!$D$25="OFF","OFF","")</f>
        <v/>
      </c>
      <c r="AE16" s="90" t="str">
        <f>IF('⚙ OFF Weekends'!$D$26="OFF","OFF","")</f>
        <v/>
      </c>
      <c r="AF16" s="90" t="str">
        <f>IF('⚙ OFF Weekends'!$D$27="OFF","OFF","")</f>
        <v/>
      </c>
      <c r="AG16" s="90" t="str">
        <f>IF('⚙ OFF Weekends'!$D$28="OFF","OFF","")</f>
        <v/>
      </c>
      <c r="AH16" s="90" t="str">
        <f>IF('⚙ OFF Weekends'!$D$29="OFF","OFF","")</f>
        <v/>
      </c>
      <c r="AI16" s="90" t="str">
        <f>IF('⚙ OFF Weekends'!$D$30="OFF","OFF","")</f>
        <v/>
      </c>
      <c r="AJ16" s="90" t="str">
        <f>IF('⚙ OFF Weekends'!$D$31="OFF","OFF","")</f>
        <v/>
      </c>
      <c r="AK16" s="90" t="str">
        <f>IF('⚙ OFF Weekends'!$D$32="OFF","OFF","")</f>
        <v/>
      </c>
      <c r="AL16" s="90" t="str">
        <f>IF('⚙ OFF Weekends'!$D$33="OFF","OFF","")</f>
        <v/>
      </c>
      <c r="AM16" s="90" t="str">
        <f>IF('⚙ OFF Weekends'!$D$34="OFF","OFF","")</f>
        <v/>
      </c>
      <c r="AN16" s="90" t="str">
        <f>IF('⚙ OFF Weekends'!$D$35="OFF","OFF","")</f>
        <v/>
      </c>
      <c r="AO16" s="90" t="str">
        <f>IF('⚙ OFF Weekends'!$D$36="OFF","OFF","")</f>
        <v/>
      </c>
      <c r="AP16" s="90" t="str">
        <f>IF('⚙ OFF Weekends'!$D$37="OFF","OFF","")</f>
        <v/>
      </c>
      <c r="AQ16" s="90" t="str">
        <f>IF('⚙ OFF Weekends'!$D$38="OFF","OFF","")</f>
        <v/>
      </c>
      <c r="AR16" s="90" t="str">
        <f>IF('⚙ OFF Weekends'!$D$39="OFF","OFF","")</f>
        <v/>
      </c>
      <c r="AS16" s="90" t="str">
        <f>IF('⚙ OFF Weekends'!$D$40="OFF","OFF","")</f>
        <v/>
      </c>
      <c r="AT16" s="90" t="str">
        <f>IF('⚙ OFF Weekends'!$D$41="OFF","OFF","")</f>
        <v/>
      </c>
      <c r="AU16" s="90" t="str">
        <f>IF('⚙ OFF Weekends'!$D$42="OFF","OFF","")</f>
        <v/>
      </c>
      <c r="AV16" s="90" t="str">
        <f>IF('⚙ OFF Weekends'!$D$43="OFF","OFF","")</f>
        <v/>
      </c>
      <c r="AW16" s="90" t="str">
        <f>IF('⚙ OFF Weekends'!$D$44="OFF","OFF","")</f>
        <v/>
      </c>
      <c r="AX16" s="90" t="str">
        <f>IF('⚙ OFF Weekends'!$D$45="OFF","OFF","")</f>
        <v/>
      </c>
      <c r="AY16" s="90" t="str">
        <f>IF('⚙ OFF Weekends'!$D$46="OFF","OFF","")</f>
        <v/>
      </c>
      <c r="AZ16" s="90" t="str">
        <f>IF('⚙ OFF Weekends'!$D$47="OFF","OFF","")</f>
        <v/>
      </c>
      <c r="BA16" s="90" t="str">
        <f>IF('⚙ OFF Weekends'!$D$48="OFF","OFF","")</f>
        <v/>
      </c>
      <c r="BB16" s="90" t="str">
        <f>IF('⚙ OFF Weekends'!$D$49="OFF","OFF","")</f>
        <v/>
      </c>
      <c r="BC16" s="90" t="str">
        <f>IF('⚙ OFF Weekends'!$D$50="OFF","OFF","")</f>
        <v/>
      </c>
      <c r="BD16" s="90" t="str">
        <f>IF('⚙ OFF Weekends'!$D$51="OFF","OFF","")</f>
        <v/>
      </c>
      <c r="BE16" s="90" t="str">
        <f>IF('⚙ OFF Weekends'!$D$52="OFF","OFF","")</f>
        <v/>
      </c>
      <c r="BF16" s="90" t="str">
        <f>IF('⚙ OFF Weekends'!$D$53="OFF","OFF","")</f>
        <v/>
      </c>
      <c r="BG16" s="90" t="str">
        <f>IF('⚙ OFF Weekends'!$D$54="OFF","OFF","")</f>
        <v/>
      </c>
      <c r="BH16" s="90" t="str">
        <f>IF('⚙ OFF Weekends'!$D$55="OFF","OFF","")</f>
        <v/>
      </c>
      <c r="BI16" s="90" t="str">
        <f>IF('⚙ OFF Weekends'!$D$56="OFF","OFF","")</f>
        <v/>
      </c>
      <c r="BJ16" s="90" t="str">
        <f>IF('⚙ OFF Weekends'!$D$57="OFF","OFF","")</f>
        <v/>
      </c>
      <c r="BK16" s="90" t="str">
        <f>IF('⚙ OFF Weekends'!$D$58="OFF","OFF","")</f>
        <v/>
      </c>
      <c r="BL16" s="90" t="str">
        <f>IF('⚙ OFF Weekends'!$D$59="OFF","OFF","")</f>
        <v/>
      </c>
      <c r="BM16" s="90" t="str">
        <f>IF('⚙ OFF Weekends'!$D$60="OFF","OFF","")</f>
        <v/>
      </c>
      <c r="BN16" s="90" t="str">
        <f>IF('⚙ OFF Weekends'!$D$61="OFF","OFF","")</f>
        <v/>
      </c>
      <c r="BO16" s="90" t="str">
        <f>IF('⚙ OFF Weekends'!$D$62="OFF","OFF","")</f>
        <v/>
      </c>
      <c r="BP16" s="90" t="str">
        <f>IF('⚙ OFF Weekends'!$D$63="OFF","OFF","")</f>
        <v/>
      </c>
      <c r="BQ16" s="90" t="str">
        <f>IF('⚙ OFF Weekends'!$D$64="OFF","OFF","")</f>
        <v/>
      </c>
      <c r="BR16" s="90" t="str">
        <f>IF('⚙ OFF Weekends'!$D$65="OFF","OFF","")</f>
        <v/>
      </c>
      <c r="BS16" s="90" t="str">
        <f>IF('⚙ OFF Weekends'!$D$66="OFF","OFF","")</f>
        <v/>
      </c>
      <c r="BT16" s="90" t="str">
        <f>IF('⚙ OFF Weekends'!$D$67="OFF","OFF","")</f>
        <v/>
      </c>
      <c r="BU16" s="90" t="str">
        <f>IF('⚙ OFF Weekends'!$D$68="OFF","OFF","")</f>
        <v/>
      </c>
      <c r="BV16" s="90" t="str">
        <f>IF('⚙ OFF Weekends'!$D$69="OFF","OFF","")</f>
        <v/>
      </c>
      <c r="BW16" s="90" t="str">
        <f>IF('⚙ OFF Weekends'!$D$70="OFF","OFF","")</f>
        <v/>
      </c>
      <c r="BX16" s="90" t="str">
        <f>IF('⚙ OFF Weekends'!$D$71="OFF","OFF","")</f>
        <v/>
      </c>
      <c r="BY16" s="90" t="str">
        <f>IF('⚙ OFF Weekends'!$D$72="OFF","OFF","")</f>
        <v/>
      </c>
      <c r="BZ16" s="90" t="str">
        <f>IF('⚙ OFF Weekends'!$D$73="OFF","OFF","")</f>
        <v/>
      </c>
      <c r="CA16" s="90" t="str">
        <f>IF('⚙ OFF Weekends'!$D$74="OFF","OFF","")</f>
        <v/>
      </c>
      <c r="CB16" s="90" t="str">
        <f>IF('⚙ OFF Weekends'!$D$75="OFF","OFF","")</f>
        <v/>
      </c>
      <c r="CC16" s="90" t="str">
        <f>IF('⚙ OFF Weekends'!$D$76="OFF","OFF","")</f>
        <v/>
      </c>
      <c r="CD16" s="90" t="str">
        <f>IF('⚙ OFF Weekends'!$D$77="OFF","OFF","")</f>
        <v/>
      </c>
      <c r="CE16" s="92">
        <f t="shared" si="3"/>
        <v>1</v>
      </c>
      <c r="CF16" s="92">
        <f t="shared" si="4"/>
        <v>8</v>
      </c>
      <c r="CG16" s="92">
        <f t="shared" si="5"/>
        <v>0</v>
      </c>
      <c r="CH16" s="92" t="str">
        <f t="shared" si="6"/>
        <v>11%</v>
      </c>
    </row>
    <row r="17" ht="18.0" customHeight="1">
      <c r="A17" s="84">
        <v>9.0</v>
      </c>
      <c r="B17" s="94" t="s">
        <v>485</v>
      </c>
      <c r="C17" s="89"/>
      <c r="D17" s="87" t="str">
        <f t="shared" si="1"/>
        <v/>
      </c>
      <c r="E17" s="93" t="str">
        <f t="shared" si="2"/>
        <v/>
      </c>
      <c r="F17" s="89"/>
      <c r="G17" s="89"/>
      <c r="H17" s="89"/>
      <c r="I17" s="90" t="str">
        <f>IF('⚙ OFF Weekends'!$D$4="OFF","OFF","")</f>
        <v/>
      </c>
      <c r="J17" s="90" t="str">
        <f>IF('⚙ OFF Weekends'!$D$5="OFF","OFF","")</f>
        <v/>
      </c>
      <c r="K17" s="90" t="str">
        <f>IF('⚙ OFF Weekends'!$D$6="OFF","OFF","")</f>
        <v/>
      </c>
      <c r="L17" s="90" t="str">
        <f>IF('⚙ OFF Weekends'!$D$7="OFF","OFF","")</f>
        <v/>
      </c>
      <c r="M17" s="90" t="str">
        <f>IF('⚙ OFF Weekends'!$D$8="OFF","OFF","")</f>
        <v/>
      </c>
      <c r="N17" s="90" t="str">
        <f>IF('⚙ OFF Weekends'!$D$9="OFF","OFF","")</f>
        <v/>
      </c>
      <c r="O17" s="90" t="str">
        <f>IF('⚙ OFF Weekends'!$D$10="OFF","OFF","")</f>
        <v/>
      </c>
      <c r="P17" s="90" t="str">
        <f>IF('⚙ OFF Weekends'!$D$11="OFF","OFF","")</f>
        <v/>
      </c>
      <c r="Q17" s="90" t="str">
        <f>IF('⚙ OFF Weekends'!$D$12="OFF","OFF","")</f>
        <v/>
      </c>
      <c r="R17" s="90" t="str">
        <f>IF('⚙ OFF Weekends'!$D$13="OFF","OFF","")</f>
        <v/>
      </c>
      <c r="S17" s="91" t="s">
        <v>37</v>
      </c>
      <c r="T17" s="91" t="s">
        <v>196</v>
      </c>
      <c r="U17" s="91" t="s">
        <v>37</v>
      </c>
      <c r="V17" s="91" t="s">
        <v>37</v>
      </c>
      <c r="W17" s="90" t="str">
        <f>IF('⚙ OFF Weekends'!$D$18="OFF","OFF","")</f>
        <v>OFF</v>
      </c>
      <c r="X17" s="91" t="s">
        <v>37</v>
      </c>
      <c r="Y17" s="91" t="s">
        <v>196</v>
      </c>
      <c r="Z17" s="91" t="s">
        <v>37</v>
      </c>
      <c r="AA17" s="91" t="s">
        <v>223</v>
      </c>
      <c r="AB17" s="91" t="s">
        <v>37</v>
      </c>
      <c r="AC17" s="90" t="str">
        <f>IF('⚙ OFF Weekends'!$D$24="OFF","OFF","")</f>
        <v/>
      </c>
      <c r="AD17" s="90" t="str">
        <f>IF('⚙ OFF Weekends'!$D$25="OFF","OFF","")</f>
        <v/>
      </c>
      <c r="AE17" s="90" t="str">
        <f>IF('⚙ OFF Weekends'!$D$26="OFF","OFF","")</f>
        <v/>
      </c>
      <c r="AF17" s="90" t="str">
        <f>IF('⚙ OFF Weekends'!$D$27="OFF","OFF","")</f>
        <v/>
      </c>
      <c r="AG17" s="90" t="str">
        <f>IF('⚙ OFF Weekends'!$D$28="OFF","OFF","")</f>
        <v/>
      </c>
      <c r="AH17" s="90" t="str">
        <f>IF('⚙ OFF Weekends'!$D$29="OFF","OFF","")</f>
        <v/>
      </c>
      <c r="AI17" s="90" t="str">
        <f>IF('⚙ OFF Weekends'!$D$30="OFF","OFF","")</f>
        <v/>
      </c>
      <c r="AJ17" s="90" t="str">
        <f>IF('⚙ OFF Weekends'!$D$31="OFF","OFF","")</f>
        <v/>
      </c>
      <c r="AK17" s="90" t="str">
        <f>IF('⚙ OFF Weekends'!$D$32="OFF","OFF","")</f>
        <v/>
      </c>
      <c r="AL17" s="90" t="str">
        <f>IF('⚙ OFF Weekends'!$D$33="OFF","OFF","")</f>
        <v/>
      </c>
      <c r="AM17" s="90" t="str">
        <f>IF('⚙ OFF Weekends'!$D$34="OFF","OFF","")</f>
        <v/>
      </c>
      <c r="AN17" s="90" t="str">
        <f>IF('⚙ OFF Weekends'!$D$35="OFF","OFF","")</f>
        <v/>
      </c>
      <c r="AO17" s="90" t="str">
        <f>IF('⚙ OFF Weekends'!$D$36="OFF","OFF","")</f>
        <v/>
      </c>
      <c r="AP17" s="90" t="str">
        <f>IF('⚙ OFF Weekends'!$D$37="OFF","OFF","")</f>
        <v/>
      </c>
      <c r="AQ17" s="90" t="str">
        <f>IF('⚙ OFF Weekends'!$D$38="OFF","OFF","")</f>
        <v/>
      </c>
      <c r="AR17" s="90" t="str">
        <f>IF('⚙ OFF Weekends'!$D$39="OFF","OFF","")</f>
        <v/>
      </c>
      <c r="AS17" s="90" t="str">
        <f>IF('⚙ OFF Weekends'!$D$40="OFF","OFF","")</f>
        <v/>
      </c>
      <c r="AT17" s="90" t="str">
        <f>IF('⚙ OFF Weekends'!$D$41="OFF","OFF","")</f>
        <v/>
      </c>
      <c r="AU17" s="90" t="str">
        <f>IF('⚙ OFF Weekends'!$D$42="OFF","OFF","")</f>
        <v/>
      </c>
      <c r="AV17" s="90" t="str">
        <f>IF('⚙ OFF Weekends'!$D$43="OFF","OFF","")</f>
        <v/>
      </c>
      <c r="AW17" s="90" t="str">
        <f>IF('⚙ OFF Weekends'!$D$44="OFF","OFF","")</f>
        <v/>
      </c>
      <c r="AX17" s="90" t="str">
        <f>IF('⚙ OFF Weekends'!$D$45="OFF","OFF","")</f>
        <v/>
      </c>
      <c r="AY17" s="90" t="str">
        <f>IF('⚙ OFF Weekends'!$D$46="OFF","OFF","")</f>
        <v/>
      </c>
      <c r="AZ17" s="90" t="str">
        <f>IF('⚙ OFF Weekends'!$D$47="OFF","OFF","")</f>
        <v/>
      </c>
      <c r="BA17" s="90" t="str">
        <f>IF('⚙ OFF Weekends'!$D$48="OFF","OFF","")</f>
        <v/>
      </c>
      <c r="BB17" s="90" t="str">
        <f>IF('⚙ OFF Weekends'!$D$49="OFF","OFF","")</f>
        <v/>
      </c>
      <c r="BC17" s="90" t="str">
        <f>IF('⚙ OFF Weekends'!$D$50="OFF","OFF","")</f>
        <v/>
      </c>
      <c r="BD17" s="90" t="str">
        <f>IF('⚙ OFF Weekends'!$D$51="OFF","OFF","")</f>
        <v/>
      </c>
      <c r="BE17" s="90" t="str">
        <f>IF('⚙ OFF Weekends'!$D$52="OFF","OFF","")</f>
        <v/>
      </c>
      <c r="BF17" s="90" t="str">
        <f>IF('⚙ OFF Weekends'!$D$53="OFF","OFF","")</f>
        <v/>
      </c>
      <c r="BG17" s="90" t="str">
        <f>IF('⚙ OFF Weekends'!$D$54="OFF","OFF","")</f>
        <v/>
      </c>
      <c r="BH17" s="90" t="str">
        <f>IF('⚙ OFF Weekends'!$D$55="OFF","OFF","")</f>
        <v/>
      </c>
      <c r="BI17" s="90" t="str">
        <f>IF('⚙ OFF Weekends'!$D$56="OFF","OFF","")</f>
        <v/>
      </c>
      <c r="BJ17" s="90" t="str">
        <f>IF('⚙ OFF Weekends'!$D$57="OFF","OFF","")</f>
        <v/>
      </c>
      <c r="BK17" s="90" t="str">
        <f>IF('⚙ OFF Weekends'!$D$58="OFF","OFF","")</f>
        <v/>
      </c>
      <c r="BL17" s="90" t="str">
        <f>IF('⚙ OFF Weekends'!$D$59="OFF","OFF","")</f>
        <v/>
      </c>
      <c r="BM17" s="90" t="str">
        <f>IF('⚙ OFF Weekends'!$D$60="OFF","OFF","")</f>
        <v/>
      </c>
      <c r="BN17" s="90" t="str">
        <f>IF('⚙ OFF Weekends'!$D$61="OFF","OFF","")</f>
        <v/>
      </c>
      <c r="BO17" s="90" t="str">
        <f>IF('⚙ OFF Weekends'!$D$62="OFF","OFF","")</f>
        <v/>
      </c>
      <c r="BP17" s="90" t="str">
        <f>IF('⚙ OFF Weekends'!$D$63="OFF","OFF","")</f>
        <v/>
      </c>
      <c r="BQ17" s="90" t="str">
        <f>IF('⚙ OFF Weekends'!$D$64="OFF","OFF","")</f>
        <v/>
      </c>
      <c r="BR17" s="90" t="str">
        <f>IF('⚙ OFF Weekends'!$D$65="OFF","OFF","")</f>
        <v/>
      </c>
      <c r="BS17" s="90" t="str">
        <f>IF('⚙ OFF Weekends'!$D$66="OFF","OFF","")</f>
        <v/>
      </c>
      <c r="BT17" s="90" t="str">
        <f>IF('⚙ OFF Weekends'!$D$67="OFF","OFF","")</f>
        <v/>
      </c>
      <c r="BU17" s="90" t="str">
        <f>IF('⚙ OFF Weekends'!$D$68="OFF","OFF","")</f>
        <v/>
      </c>
      <c r="BV17" s="90" t="str">
        <f>IF('⚙ OFF Weekends'!$D$69="OFF","OFF","")</f>
        <v/>
      </c>
      <c r="BW17" s="90" t="str">
        <f>IF('⚙ OFF Weekends'!$D$70="OFF","OFF","")</f>
        <v/>
      </c>
      <c r="BX17" s="90" t="str">
        <f>IF('⚙ OFF Weekends'!$D$71="OFF","OFF","")</f>
        <v/>
      </c>
      <c r="BY17" s="90" t="str">
        <f>IF('⚙ OFF Weekends'!$D$72="OFF","OFF","")</f>
        <v/>
      </c>
      <c r="BZ17" s="90" t="str">
        <f>IF('⚙ OFF Weekends'!$D$73="OFF","OFF","")</f>
        <v/>
      </c>
      <c r="CA17" s="90" t="str">
        <f>IF('⚙ OFF Weekends'!$D$74="OFF","OFF","")</f>
        <v/>
      </c>
      <c r="CB17" s="90" t="str">
        <f>IF('⚙ OFF Weekends'!$D$75="OFF","OFF","")</f>
        <v/>
      </c>
      <c r="CC17" s="90" t="str">
        <f>IF('⚙ OFF Weekends'!$D$76="OFF","OFF","")</f>
        <v/>
      </c>
      <c r="CD17" s="90" t="str">
        <f>IF('⚙ OFF Weekends'!$D$77="OFF","OFF","")</f>
        <v/>
      </c>
      <c r="CE17" s="92">
        <f t="shared" si="3"/>
        <v>8</v>
      </c>
      <c r="CF17" s="92">
        <f t="shared" si="4"/>
        <v>1</v>
      </c>
      <c r="CG17" s="92">
        <f t="shared" si="5"/>
        <v>0</v>
      </c>
      <c r="CH17" s="92" t="str">
        <f t="shared" si="6"/>
        <v>89%</v>
      </c>
    </row>
    <row r="18" ht="18.0" customHeight="1">
      <c r="A18" s="84">
        <v>10.0</v>
      </c>
      <c r="B18" s="94" t="s">
        <v>488</v>
      </c>
      <c r="C18" s="89"/>
      <c r="D18" s="87" t="str">
        <f t="shared" si="1"/>
        <v/>
      </c>
      <c r="E18" s="93" t="str">
        <f t="shared" si="2"/>
        <v/>
      </c>
      <c r="F18" s="89"/>
      <c r="G18" s="89"/>
      <c r="H18" s="89"/>
      <c r="I18" s="90" t="str">
        <f>IF('⚙ OFF Weekends'!$D$4="OFF","OFF","")</f>
        <v/>
      </c>
      <c r="J18" s="90" t="str">
        <f>IF('⚙ OFF Weekends'!$D$5="OFF","OFF","")</f>
        <v/>
      </c>
      <c r="K18" s="90" t="str">
        <f>IF('⚙ OFF Weekends'!$D$6="OFF","OFF","")</f>
        <v/>
      </c>
      <c r="L18" s="90" t="str">
        <f>IF('⚙ OFF Weekends'!$D$7="OFF","OFF","")</f>
        <v/>
      </c>
      <c r="M18" s="90" t="str">
        <f>IF('⚙ OFF Weekends'!$D$8="OFF","OFF","")</f>
        <v/>
      </c>
      <c r="N18" s="90" t="str">
        <f>IF('⚙ OFF Weekends'!$D$9="OFF","OFF","")</f>
        <v/>
      </c>
      <c r="O18" s="90" t="str">
        <f>IF('⚙ OFF Weekends'!$D$10="OFF","OFF","")</f>
        <v/>
      </c>
      <c r="P18" s="90" t="str">
        <f>IF('⚙ OFF Weekends'!$D$11="OFF","OFF","")</f>
        <v/>
      </c>
      <c r="Q18" s="90" t="str">
        <f>IF('⚙ OFF Weekends'!$D$12="OFF","OFF","")</f>
        <v/>
      </c>
      <c r="R18" s="90" t="str">
        <f>IF('⚙ OFF Weekends'!$D$13="OFF","OFF","")</f>
        <v/>
      </c>
      <c r="S18" s="90" t="str">
        <f>IF('⚙ OFF Weekends'!$D$14="OFF","OFF","")</f>
        <v/>
      </c>
      <c r="T18" s="90" t="str">
        <f>IF('⚙ OFF Weekends'!$D$15="OFF","OFF","")</f>
        <v/>
      </c>
      <c r="U18" s="90" t="str">
        <f>IF('⚙ OFF Weekends'!$D$16="OFF","OFF","")</f>
        <v/>
      </c>
      <c r="V18" s="90" t="str">
        <f>IF('⚙ OFF Weekends'!$D$17="OFF","OFF","")</f>
        <v/>
      </c>
      <c r="W18" s="90" t="str">
        <f>IF('⚙ OFF Weekends'!$D$18="OFF","OFF","")</f>
        <v>OFF</v>
      </c>
      <c r="X18" s="90" t="str">
        <f>IF('⚙ OFF Weekends'!$D$19="OFF","OFF","")</f>
        <v/>
      </c>
      <c r="Y18" s="90" t="str">
        <f>IF('⚙ OFF Weekends'!$D$20="OFF","OFF","")</f>
        <v/>
      </c>
      <c r="Z18" s="90" t="str">
        <f>IF('⚙ OFF Weekends'!$D$21="OFF","OFF","")</f>
        <v/>
      </c>
      <c r="AA18" s="91" t="s">
        <v>196</v>
      </c>
      <c r="AB18" s="91" t="s">
        <v>196</v>
      </c>
      <c r="AC18" s="90" t="str">
        <f>IF('⚙ OFF Weekends'!$D$24="OFF","OFF","")</f>
        <v/>
      </c>
      <c r="AD18" s="90" t="str">
        <f>IF('⚙ OFF Weekends'!$D$25="OFF","OFF","")</f>
        <v/>
      </c>
      <c r="AE18" s="90" t="str">
        <f>IF('⚙ OFF Weekends'!$D$26="OFF","OFF","")</f>
        <v/>
      </c>
      <c r="AF18" s="90" t="str">
        <f>IF('⚙ OFF Weekends'!$D$27="OFF","OFF","")</f>
        <v/>
      </c>
      <c r="AG18" s="90" t="str">
        <f>IF('⚙ OFF Weekends'!$D$28="OFF","OFF","")</f>
        <v/>
      </c>
      <c r="AH18" s="90" t="str">
        <f>IF('⚙ OFF Weekends'!$D$29="OFF","OFF","")</f>
        <v/>
      </c>
      <c r="AI18" s="90" t="str">
        <f>IF('⚙ OFF Weekends'!$D$30="OFF","OFF","")</f>
        <v/>
      </c>
      <c r="AJ18" s="90" t="str">
        <f>IF('⚙ OFF Weekends'!$D$31="OFF","OFF","")</f>
        <v/>
      </c>
      <c r="AK18" s="90" t="str">
        <f>IF('⚙ OFF Weekends'!$D$32="OFF","OFF","")</f>
        <v/>
      </c>
      <c r="AL18" s="90" t="str">
        <f>IF('⚙ OFF Weekends'!$D$33="OFF","OFF","")</f>
        <v/>
      </c>
      <c r="AM18" s="90" t="str">
        <f>IF('⚙ OFF Weekends'!$D$34="OFF","OFF","")</f>
        <v/>
      </c>
      <c r="AN18" s="90" t="str">
        <f>IF('⚙ OFF Weekends'!$D$35="OFF","OFF","")</f>
        <v/>
      </c>
      <c r="AO18" s="90" t="str">
        <f>IF('⚙ OFF Weekends'!$D$36="OFF","OFF","")</f>
        <v/>
      </c>
      <c r="AP18" s="90" t="str">
        <f>IF('⚙ OFF Weekends'!$D$37="OFF","OFF","")</f>
        <v/>
      </c>
      <c r="AQ18" s="90" t="str">
        <f>IF('⚙ OFF Weekends'!$D$38="OFF","OFF","")</f>
        <v/>
      </c>
      <c r="AR18" s="90" t="str">
        <f>IF('⚙ OFF Weekends'!$D$39="OFF","OFF","")</f>
        <v/>
      </c>
      <c r="AS18" s="90" t="str">
        <f>IF('⚙ OFF Weekends'!$D$40="OFF","OFF","")</f>
        <v/>
      </c>
      <c r="AT18" s="90" t="str">
        <f>IF('⚙ OFF Weekends'!$D$41="OFF","OFF","")</f>
        <v/>
      </c>
      <c r="AU18" s="90" t="str">
        <f>IF('⚙ OFF Weekends'!$D$42="OFF","OFF","")</f>
        <v/>
      </c>
      <c r="AV18" s="90" t="str">
        <f>IF('⚙ OFF Weekends'!$D$43="OFF","OFF","")</f>
        <v/>
      </c>
      <c r="AW18" s="90" t="str">
        <f>IF('⚙ OFF Weekends'!$D$44="OFF","OFF","")</f>
        <v/>
      </c>
      <c r="AX18" s="90" t="str">
        <f>IF('⚙ OFF Weekends'!$D$45="OFF","OFF","")</f>
        <v/>
      </c>
      <c r="AY18" s="90" t="str">
        <f>IF('⚙ OFF Weekends'!$D$46="OFF","OFF","")</f>
        <v/>
      </c>
      <c r="AZ18" s="90" t="str">
        <f>IF('⚙ OFF Weekends'!$D$47="OFF","OFF","")</f>
        <v/>
      </c>
      <c r="BA18" s="90" t="str">
        <f>IF('⚙ OFF Weekends'!$D$48="OFF","OFF","")</f>
        <v/>
      </c>
      <c r="BB18" s="90" t="str">
        <f>IF('⚙ OFF Weekends'!$D$49="OFF","OFF","")</f>
        <v/>
      </c>
      <c r="BC18" s="90" t="str">
        <f>IF('⚙ OFF Weekends'!$D$50="OFF","OFF","")</f>
        <v/>
      </c>
      <c r="BD18" s="90" t="str">
        <f>IF('⚙ OFF Weekends'!$D$51="OFF","OFF","")</f>
        <v/>
      </c>
      <c r="BE18" s="90" t="str">
        <f>IF('⚙ OFF Weekends'!$D$52="OFF","OFF","")</f>
        <v/>
      </c>
      <c r="BF18" s="90" t="str">
        <f>IF('⚙ OFF Weekends'!$D$53="OFF","OFF","")</f>
        <v/>
      </c>
      <c r="BG18" s="90" t="str">
        <f>IF('⚙ OFF Weekends'!$D$54="OFF","OFF","")</f>
        <v/>
      </c>
      <c r="BH18" s="90" t="str">
        <f>IF('⚙ OFF Weekends'!$D$55="OFF","OFF","")</f>
        <v/>
      </c>
      <c r="BI18" s="90" t="str">
        <f>IF('⚙ OFF Weekends'!$D$56="OFF","OFF","")</f>
        <v/>
      </c>
      <c r="BJ18" s="90" t="str">
        <f>IF('⚙ OFF Weekends'!$D$57="OFF","OFF","")</f>
        <v/>
      </c>
      <c r="BK18" s="90" t="str">
        <f>IF('⚙ OFF Weekends'!$D$58="OFF","OFF","")</f>
        <v/>
      </c>
      <c r="BL18" s="90" t="str">
        <f>IF('⚙ OFF Weekends'!$D$59="OFF","OFF","")</f>
        <v/>
      </c>
      <c r="BM18" s="90" t="str">
        <f>IF('⚙ OFF Weekends'!$D$60="OFF","OFF","")</f>
        <v/>
      </c>
      <c r="BN18" s="90" t="str">
        <f>IF('⚙ OFF Weekends'!$D$61="OFF","OFF","")</f>
        <v/>
      </c>
      <c r="BO18" s="90" t="str">
        <f>IF('⚙ OFF Weekends'!$D$62="OFF","OFF","")</f>
        <v/>
      </c>
      <c r="BP18" s="90" t="str">
        <f>IF('⚙ OFF Weekends'!$D$63="OFF","OFF","")</f>
        <v/>
      </c>
      <c r="BQ18" s="90" t="str">
        <f>IF('⚙ OFF Weekends'!$D$64="OFF","OFF","")</f>
        <v/>
      </c>
      <c r="BR18" s="90" t="str">
        <f>IF('⚙ OFF Weekends'!$D$65="OFF","OFF","")</f>
        <v/>
      </c>
      <c r="BS18" s="90" t="str">
        <f>IF('⚙ OFF Weekends'!$D$66="OFF","OFF","")</f>
        <v/>
      </c>
      <c r="BT18" s="90" t="str">
        <f>IF('⚙ OFF Weekends'!$D$67="OFF","OFF","")</f>
        <v/>
      </c>
      <c r="BU18" s="90" t="str">
        <f>IF('⚙ OFF Weekends'!$D$68="OFF","OFF","")</f>
        <v/>
      </c>
      <c r="BV18" s="90" t="str">
        <f>IF('⚙ OFF Weekends'!$D$69="OFF","OFF","")</f>
        <v/>
      </c>
      <c r="BW18" s="90" t="str">
        <f>IF('⚙ OFF Weekends'!$D$70="OFF","OFF","")</f>
        <v/>
      </c>
      <c r="BX18" s="90" t="str">
        <f>IF('⚙ OFF Weekends'!$D$71="OFF","OFF","")</f>
        <v/>
      </c>
      <c r="BY18" s="90" t="str">
        <f>IF('⚙ OFF Weekends'!$D$72="OFF","OFF","")</f>
        <v/>
      </c>
      <c r="BZ18" s="90" t="str">
        <f>IF('⚙ OFF Weekends'!$D$73="OFF","OFF","")</f>
        <v/>
      </c>
      <c r="CA18" s="90" t="str">
        <f>IF('⚙ OFF Weekends'!$D$74="OFF","OFF","")</f>
        <v/>
      </c>
      <c r="CB18" s="90" t="str">
        <f>IF('⚙ OFF Weekends'!$D$75="OFF","OFF","")</f>
        <v/>
      </c>
      <c r="CC18" s="90" t="str">
        <f>IF('⚙ OFF Weekends'!$D$76="OFF","OFF","")</f>
        <v/>
      </c>
      <c r="CD18" s="90" t="str">
        <f>IF('⚙ OFF Weekends'!$D$77="OFF","OFF","")</f>
        <v/>
      </c>
      <c r="CE18" s="92">
        <f t="shared" si="3"/>
        <v>2</v>
      </c>
      <c r="CF18" s="92">
        <f t="shared" si="4"/>
        <v>0</v>
      </c>
      <c r="CG18" s="92">
        <f t="shared" si="5"/>
        <v>0</v>
      </c>
      <c r="CH18" s="92" t="str">
        <f t="shared" si="6"/>
        <v>100%</v>
      </c>
    </row>
    <row r="19" ht="6.0" customHeight="1">
      <c r="A19" s="67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3"/>
    </row>
    <row r="20" ht="19.5" customHeight="1">
      <c r="A20" s="8" t="s">
        <v>497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3"/>
    </row>
    <row r="21" ht="18.0" customHeight="1">
      <c r="A21" s="95">
        <v>1.0</v>
      </c>
      <c r="B21" s="12" t="s">
        <v>498</v>
      </c>
      <c r="C21" s="14" t="s">
        <v>499</v>
      </c>
      <c r="D21" s="17" t="str">
        <f t="shared" ref="D21:D43" si="7">IF(C21&lt;&gt;"",HYPERLINK("tel:"&amp;SUBSTITUTE(SUBSTITUTE(C21," ",""),"+","+"),"📞 Call"),"")</f>
        <v>📞 Call</v>
      </c>
      <c r="E21" s="19" t="str">
        <f t="shared" ref="E21:E43" si="8">IF(C21&lt;&gt;"",HYPERLINK("https://wa.me/"&amp;SUBSTITUTE(SUBSTITUTE(C21,"+","")," ",""),"💬 WhatsApp"),"")</f>
        <v>💬 WhatsApp</v>
      </c>
      <c r="F21" s="10" t="s">
        <v>459</v>
      </c>
      <c r="G21" s="10" t="s">
        <v>501</v>
      </c>
      <c r="H21" s="10"/>
      <c r="I21" s="79" t="s">
        <v>223</v>
      </c>
      <c r="J21" s="50" t="s">
        <v>37</v>
      </c>
      <c r="K21" s="49" t="s">
        <v>197</v>
      </c>
      <c r="L21" s="79" t="s">
        <v>223</v>
      </c>
      <c r="M21" s="79" t="s">
        <v>223</v>
      </c>
      <c r="N21" s="50" t="s">
        <v>37</v>
      </c>
      <c r="O21" s="79" t="s">
        <v>223</v>
      </c>
      <c r="P21" s="79" t="s">
        <v>223</v>
      </c>
      <c r="Q21" s="50" t="s">
        <v>37</v>
      </c>
      <c r="R21" s="79" t="s">
        <v>223</v>
      </c>
      <c r="S21" s="52" t="s">
        <v>223</v>
      </c>
      <c r="T21" s="98" t="s">
        <v>223</v>
      </c>
      <c r="U21" s="52" t="s">
        <v>223</v>
      </c>
      <c r="V21" s="53" t="s">
        <v>223</v>
      </c>
      <c r="W21" s="54" t="str">
        <f>IF('⚙ OFF Weekends'!$D$18="OFF","OFF","")</f>
        <v>OFF</v>
      </c>
      <c r="X21" s="53" t="s">
        <v>223</v>
      </c>
      <c r="Y21" s="52" t="s">
        <v>223</v>
      </c>
      <c r="Z21" s="53" t="s">
        <v>223</v>
      </c>
      <c r="AA21" s="52" t="s">
        <v>223</v>
      </c>
      <c r="AB21" s="53" t="s">
        <v>223</v>
      </c>
      <c r="AC21" s="54" t="str">
        <f>IF('⚙ OFF Weekends'!$D$24="OFF","OFF","")</f>
        <v/>
      </c>
      <c r="AD21" s="56" t="str">
        <f>IF('⚙ OFF Weekends'!$D$25="OFF","OFF","")</f>
        <v/>
      </c>
      <c r="AE21" s="54" t="str">
        <f>IF('⚙ OFF Weekends'!$D$26="OFF","OFF","")</f>
        <v/>
      </c>
      <c r="AF21" s="56" t="str">
        <f>IF('⚙ OFF Weekends'!$D$27="OFF","OFF","")</f>
        <v/>
      </c>
      <c r="AG21" s="54" t="str">
        <f>IF('⚙ OFF Weekends'!$D$28="OFF","OFF","")</f>
        <v/>
      </c>
      <c r="AH21" s="56" t="str">
        <f>IF('⚙ OFF Weekends'!$D$29="OFF","OFF","")</f>
        <v/>
      </c>
      <c r="AI21" s="54" t="str">
        <f>IF('⚙ OFF Weekends'!$D$30="OFF","OFF","")</f>
        <v/>
      </c>
      <c r="AJ21" s="56" t="str">
        <f>IF('⚙ OFF Weekends'!$D$31="OFF","OFF","")</f>
        <v/>
      </c>
      <c r="AK21" s="54" t="str">
        <f>IF('⚙ OFF Weekends'!$D$32="OFF","OFF","")</f>
        <v/>
      </c>
      <c r="AL21" s="56" t="str">
        <f>IF('⚙ OFF Weekends'!$D$33="OFF","OFF","")</f>
        <v/>
      </c>
      <c r="AM21" s="54" t="str">
        <f>IF('⚙ OFF Weekends'!$D$34="OFF","OFF","")</f>
        <v/>
      </c>
      <c r="AN21" s="56" t="str">
        <f>IF('⚙ OFF Weekends'!$D$35="OFF","OFF","")</f>
        <v/>
      </c>
      <c r="AO21" s="54" t="str">
        <f>IF('⚙ OFF Weekends'!$D$36="OFF","OFF","")</f>
        <v/>
      </c>
      <c r="AP21" s="56" t="str">
        <f>IF('⚙ OFF Weekends'!$D$37="OFF","OFF","")</f>
        <v/>
      </c>
      <c r="AQ21" s="54" t="str">
        <f>IF('⚙ OFF Weekends'!$D$38="OFF","OFF","")</f>
        <v/>
      </c>
      <c r="AR21" s="56" t="str">
        <f>IF('⚙ OFF Weekends'!$D$39="OFF","OFF","")</f>
        <v/>
      </c>
      <c r="AS21" s="54" t="str">
        <f>IF('⚙ OFF Weekends'!$D$40="OFF","OFF","")</f>
        <v/>
      </c>
      <c r="AT21" s="56" t="str">
        <f>IF('⚙ OFF Weekends'!$D$41="OFF","OFF","")</f>
        <v/>
      </c>
      <c r="AU21" s="54" t="str">
        <f>IF('⚙ OFF Weekends'!$D$42="OFF","OFF","")</f>
        <v/>
      </c>
      <c r="AV21" s="56" t="str">
        <f>IF('⚙ OFF Weekends'!$D$43="OFF","OFF","")</f>
        <v/>
      </c>
      <c r="AW21" s="54" t="str">
        <f>IF('⚙ OFF Weekends'!$D$44="OFF","OFF","")</f>
        <v/>
      </c>
      <c r="AX21" s="56" t="str">
        <f>IF('⚙ OFF Weekends'!$D$45="OFF","OFF","")</f>
        <v/>
      </c>
      <c r="AY21" s="54" t="str">
        <f>IF('⚙ OFF Weekends'!$D$46="OFF","OFF","")</f>
        <v/>
      </c>
      <c r="AZ21" s="56" t="str">
        <f>IF('⚙ OFF Weekends'!$D$47="OFF","OFF","")</f>
        <v/>
      </c>
      <c r="BA21" s="54" t="str">
        <f>IF('⚙ OFF Weekends'!$D$48="OFF","OFF","")</f>
        <v/>
      </c>
      <c r="BB21" s="56" t="str">
        <f>IF('⚙ OFF Weekends'!$D$49="OFF","OFF","")</f>
        <v/>
      </c>
      <c r="BC21" s="54" t="str">
        <f>IF('⚙ OFF Weekends'!$D$50="OFF","OFF","")</f>
        <v/>
      </c>
      <c r="BD21" s="56" t="str">
        <f>IF('⚙ OFF Weekends'!$D$51="OFF","OFF","")</f>
        <v/>
      </c>
      <c r="BE21" s="54" t="str">
        <f>IF('⚙ OFF Weekends'!$D$52="OFF","OFF","")</f>
        <v/>
      </c>
      <c r="BF21" s="56" t="str">
        <f>IF('⚙ OFF Weekends'!$D$53="OFF","OFF","")</f>
        <v/>
      </c>
      <c r="BG21" s="54" t="str">
        <f>IF('⚙ OFF Weekends'!$D$54="OFF","OFF","")</f>
        <v/>
      </c>
      <c r="BH21" s="56" t="str">
        <f>IF('⚙ OFF Weekends'!$D$55="OFF","OFF","")</f>
        <v/>
      </c>
      <c r="BI21" s="54" t="str">
        <f>IF('⚙ OFF Weekends'!$D$56="OFF","OFF","")</f>
        <v/>
      </c>
      <c r="BJ21" s="56" t="str">
        <f>IF('⚙ OFF Weekends'!$D$57="OFF","OFF","")</f>
        <v/>
      </c>
      <c r="BK21" s="54" t="str">
        <f>IF('⚙ OFF Weekends'!$D$58="OFF","OFF","")</f>
        <v/>
      </c>
      <c r="BL21" s="56" t="str">
        <f>IF('⚙ OFF Weekends'!$D$59="OFF","OFF","")</f>
        <v/>
      </c>
      <c r="BM21" s="54" t="str">
        <f>IF('⚙ OFF Weekends'!$D$60="OFF","OFF","")</f>
        <v/>
      </c>
      <c r="BN21" s="56" t="str">
        <f>IF('⚙ OFF Weekends'!$D$61="OFF","OFF","")</f>
        <v/>
      </c>
      <c r="BO21" s="54" t="str">
        <f>IF('⚙ OFF Weekends'!$D$62="OFF","OFF","")</f>
        <v/>
      </c>
      <c r="BP21" s="56" t="str">
        <f>IF('⚙ OFF Weekends'!$D$63="OFF","OFF","")</f>
        <v/>
      </c>
      <c r="BQ21" s="54" t="str">
        <f>IF('⚙ OFF Weekends'!$D$64="OFF","OFF","")</f>
        <v/>
      </c>
      <c r="BR21" s="56" t="str">
        <f>IF('⚙ OFF Weekends'!$D$65="OFF","OFF","")</f>
        <v/>
      </c>
      <c r="BS21" s="54" t="str">
        <f>IF('⚙ OFF Weekends'!$D$66="OFF","OFF","")</f>
        <v/>
      </c>
      <c r="BT21" s="56" t="str">
        <f>IF('⚙ OFF Weekends'!$D$67="OFF","OFF","")</f>
        <v/>
      </c>
      <c r="BU21" s="54" t="str">
        <f>IF('⚙ OFF Weekends'!$D$68="OFF","OFF","")</f>
        <v/>
      </c>
      <c r="BV21" s="56" t="str">
        <f>IF('⚙ OFF Weekends'!$D$69="OFF","OFF","")</f>
        <v/>
      </c>
      <c r="BW21" s="54" t="str">
        <f>IF('⚙ OFF Weekends'!$D$70="OFF","OFF","")</f>
        <v/>
      </c>
      <c r="BX21" s="56" t="str">
        <f>IF('⚙ OFF Weekends'!$D$71="OFF","OFF","")</f>
        <v/>
      </c>
      <c r="BY21" s="54" t="str">
        <f>IF('⚙ OFF Weekends'!$D$72="OFF","OFF","")</f>
        <v/>
      </c>
      <c r="BZ21" s="56" t="str">
        <f>IF('⚙ OFF Weekends'!$D$73="OFF","OFF","")</f>
        <v/>
      </c>
      <c r="CA21" s="54" t="str">
        <f>IF('⚙ OFF Weekends'!$D$74="OFF","OFF","")</f>
        <v/>
      </c>
      <c r="CB21" s="56" t="str">
        <f>IF('⚙ OFF Weekends'!$D$75="OFF","OFF","")</f>
        <v/>
      </c>
      <c r="CC21" s="54" t="str">
        <f>IF('⚙ OFF Weekends'!$D$76="OFF","OFF","")</f>
        <v/>
      </c>
      <c r="CD21" s="56" t="str">
        <f>IF('⚙ OFF Weekends'!$D$77="OFF","OFF","")</f>
        <v/>
      </c>
      <c r="CE21" s="95">
        <f t="shared" ref="CE21:CE43" si="9">COUNTIF(I21:CD21,"Present")+COUNTIF(I21:CD21,"Late")</f>
        <v>3</v>
      </c>
      <c r="CF21" s="95">
        <f t="shared" ref="CF21:CF43" si="10">COUNTIF(I21:CD21,"Absent")</f>
        <v>15</v>
      </c>
      <c r="CG21" s="95">
        <f t="shared" ref="CG21:CG43" si="11">COUNTIF(I21:CD21,"Leave")</f>
        <v>0</v>
      </c>
      <c r="CH21" s="95" t="str">
        <f t="shared" ref="CH21:CH43" si="12">IF(CE21+CF21=0,"0%",TEXT(CE21/(CE21+CF21),"0%"))</f>
        <v>17%</v>
      </c>
    </row>
    <row r="22" ht="18.0" customHeight="1">
      <c r="A22" s="96">
        <v>2.0</v>
      </c>
      <c r="B22" s="22" t="s">
        <v>512</v>
      </c>
      <c r="C22" s="23" t="s">
        <v>513</v>
      </c>
      <c r="D22" s="24" t="str">
        <f t="shared" si="7"/>
        <v>📞 Call</v>
      </c>
      <c r="E22" s="41" t="str">
        <f t="shared" si="8"/>
        <v>💬 WhatsApp</v>
      </c>
      <c r="F22" s="20" t="s">
        <v>459</v>
      </c>
      <c r="G22" s="20" t="s">
        <v>501</v>
      </c>
      <c r="H22" s="20" t="s">
        <v>514</v>
      </c>
      <c r="I22" s="79" t="s">
        <v>223</v>
      </c>
      <c r="J22" s="50" t="s">
        <v>37</v>
      </c>
      <c r="K22" s="49" t="s">
        <v>197</v>
      </c>
      <c r="L22" s="77" t="s">
        <v>198</v>
      </c>
      <c r="M22" s="77" t="s">
        <v>198</v>
      </c>
      <c r="N22" s="77" t="s">
        <v>198</v>
      </c>
      <c r="O22" s="50" t="s">
        <v>37</v>
      </c>
      <c r="P22" s="79" t="s">
        <v>223</v>
      </c>
      <c r="Q22" s="50" t="s">
        <v>37</v>
      </c>
      <c r="R22" s="77" t="s">
        <v>198</v>
      </c>
      <c r="S22" s="52" t="s">
        <v>223</v>
      </c>
      <c r="T22" s="98" t="s">
        <v>196</v>
      </c>
      <c r="U22" s="52" t="s">
        <v>223</v>
      </c>
      <c r="V22" s="53" t="s">
        <v>223</v>
      </c>
      <c r="W22" s="54" t="str">
        <f>IF('⚙ OFF Weekends'!$D$18="OFF","OFF","")</f>
        <v>OFF</v>
      </c>
      <c r="X22" s="53" t="s">
        <v>223</v>
      </c>
      <c r="Y22" s="52" t="s">
        <v>223</v>
      </c>
      <c r="Z22" s="53" t="s">
        <v>223</v>
      </c>
      <c r="AA22" s="52" t="s">
        <v>223</v>
      </c>
      <c r="AB22" s="53" t="s">
        <v>37</v>
      </c>
      <c r="AC22" s="54" t="str">
        <f>IF('⚙ OFF Weekends'!$D$24="OFF","OFF","")</f>
        <v/>
      </c>
      <c r="AD22" s="56" t="str">
        <f>IF('⚙ OFF Weekends'!$D$25="OFF","OFF","")</f>
        <v/>
      </c>
      <c r="AE22" s="54" t="str">
        <f>IF('⚙ OFF Weekends'!$D$26="OFF","OFF","")</f>
        <v/>
      </c>
      <c r="AF22" s="56" t="str">
        <f>IF('⚙ OFF Weekends'!$D$27="OFF","OFF","")</f>
        <v/>
      </c>
      <c r="AG22" s="54" t="str">
        <f>IF('⚙ OFF Weekends'!$D$28="OFF","OFF","")</f>
        <v/>
      </c>
      <c r="AH22" s="56" t="str">
        <f>IF('⚙ OFF Weekends'!$D$29="OFF","OFF","")</f>
        <v/>
      </c>
      <c r="AI22" s="54" t="str">
        <f>IF('⚙ OFF Weekends'!$D$30="OFF","OFF","")</f>
        <v/>
      </c>
      <c r="AJ22" s="56" t="str">
        <f>IF('⚙ OFF Weekends'!$D$31="OFF","OFF","")</f>
        <v/>
      </c>
      <c r="AK22" s="54" t="str">
        <f>IF('⚙ OFF Weekends'!$D$32="OFF","OFF","")</f>
        <v/>
      </c>
      <c r="AL22" s="56" t="str">
        <f>IF('⚙ OFF Weekends'!$D$33="OFF","OFF","")</f>
        <v/>
      </c>
      <c r="AM22" s="54" t="str">
        <f>IF('⚙ OFF Weekends'!$D$34="OFF","OFF","")</f>
        <v/>
      </c>
      <c r="AN22" s="56" t="str">
        <f>IF('⚙ OFF Weekends'!$D$35="OFF","OFF","")</f>
        <v/>
      </c>
      <c r="AO22" s="54" t="str">
        <f>IF('⚙ OFF Weekends'!$D$36="OFF","OFF","")</f>
        <v/>
      </c>
      <c r="AP22" s="56" t="str">
        <f>IF('⚙ OFF Weekends'!$D$37="OFF","OFF","")</f>
        <v/>
      </c>
      <c r="AQ22" s="54" t="str">
        <f>IF('⚙ OFF Weekends'!$D$38="OFF","OFF","")</f>
        <v/>
      </c>
      <c r="AR22" s="56" t="str">
        <f>IF('⚙ OFF Weekends'!$D$39="OFF","OFF","")</f>
        <v/>
      </c>
      <c r="AS22" s="54" t="str">
        <f>IF('⚙ OFF Weekends'!$D$40="OFF","OFF","")</f>
        <v/>
      </c>
      <c r="AT22" s="56" t="str">
        <f>IF('⚙ OFF Weekends'!$D$41="OFF","OFF","")</f>
        <v/>
      </c>
      <c r="AU22" s="54" t="str">
        <f>IF('⚙ OFF Weekends'!$D$42="OFF","OFF","")</f>
        <v/>
      </c>
      <c r="AV22" s="56" t="str">
        <f>IF('⚙ OFF Weekends'!$D$43="OFF","OFF","")</f>
        <v/>
      </c>
      <c r="AW22" s="54" t="str">
        <f>IF('⚙ OFF Weekends'!$D$44="OFF","OFF","")</f>
        <v/>
      </c>
      <c r="AX22" s="56" t="str">
        <f>IF('⚙ OFF Weekends'!$D$45="OFF","OFF","")</f>
        <v/>
      </c>
      <c r="AY22" s="54" t="str">
        <f>IF('⚙ OFF Weekends'!$D$46="OFF","OFF","")</f>
        <v/>
      </c>
      <c r="AZ22" s="56" t="str">
        <f>IF('⚙ OFF Weekends'!$D$47="OFF","OFF","")</f>
        <v/>
      </c>
      <c r="BA22" s="54" t="str">
        <f>IF('⚙ OFF Weekends'!$D$48="OFF","OFF","")</f>
        <v/>
      </c>
      <c r="BB22" s="56" t="str">
        <f>IF('⚙ OFF Weekends'!$D$49="OFF","OFF","")</f>
        <v/>
      </c>
      <c r="BC22" s="54" t="str">
        <f>IF('⚙ OFF Weekends'!$D$50="OFF","OFF","")</f>
        <v/>
      </c>
      <c r="BD22" s="56" t="str">
        <f>IF('⚙ OFF Weekends'!$D$51="OFF","OFF","")</f>
        <v/>
      </c>
      <c r="BE22" s="54" t="str">
        <f>IF('⚙ OFF Weekends'!$D$52="OFF","OFF","")</f>
        <v/>
      </c>
      <c r="BF22" s="56" t="str">
        <f>IF('⚙ OFF Weekends'!$D$53="OFF","OFF","")</f>
        <v/>
      </c>
      <c r="BG22" s="54" t="str">
        <f>IF('⚙ OFF Weekends'!$D$54="OFF","OFF","")</f>
        <v/>
      </c>
      <c r="BH22" s="56" t="str">
        <f>IF('⚙ OFF Weekends'!$D$55="OFF","OFF","")</f>
        <v/>
      </c>
      <c r="BI22" s="54" t="str">
        <f>IF('⚙ OFF Weekends'!$D$56="OFF","OFF","")</f>
        <v/>
      </c>
      <c r="BJ22" s="56" t="str">
        <f>IF('⚙ OFF Weekends'!$D$57="OFF","OFF","")</f>
        <v/>
      </c>
      <c r="BK22" s="54" t="str">
        <f>IF('⚙ OFF Weekends'!$D$58="OFF","OFF","")</f>
        <v/>
      </c>
      <c r="BL22" s="56" t="str">
        <f>IF('⚙ OFF Weekends'!$D$59="OFF","OFF","")</f>
        <v/>
      </c>
      <c r="BM22" s="54" t="str">
        <f>IF('⚙ OFF Weekends'!$D$60="OFF","OFF","")</f>
        <v/>
      </c>
      <c r="BN22" s="56" t="str">
        <f>IF('⚙ OFF Weekends'!$D$61="OFF","OFF","")</f>
        <v/>
      </c>
      <c r="BO22" s="54" t="str">
        <f>IF('⚙ OFF Weekends'!$D$62="OFF","OFF","")</f>
        <v/>
      </c>
      <c r="BP22" s="56" t="str">
        <f>IF('⚙ OFF Weekends'!$D$63="OFF","OFF","")</f>
        <v/>
      </c>
      <c r="BQ22" s="54" t="str">
        <f>IF('⚙ OFF Weekends'!$D$64="OFF","OFF","")</f>
        <v/>
      </c>
      <c r="BR22" s="56" t="str">
        <f>IF('⚙ OFF Weekends'!$D$65="OFF","OFF","")</f>
        <v/>
      </c>
      <c r="BS22" s="54" t="str">
        <f>IF('⚙ OFF Weekends'!$D$66="OFF","OFF","")</f>
        <v/>
      </c>
      <c r="BT22" s="56" t="str">
        <f>IF('⚙ OFF Weekends'!$D$67="OFF","OFF","")</f>
        <v/>
      </c>
      <c r="BU22" s="54" t="str">
        <f>IF('⚙ OFF Weekends'!$D$68="OFF","OFF","")</f>
        <v/>
      </c>
      <c r="BV22" s="56" t="str">
        <f>IF('⚙ OFF Weekends'!$D$69="OFF","OFF","")</f>
        <v/>
      </c>
      <c r="BW22" s="54" t="str">
        <f>IF('⚙ OFF Weekends'!$D$70="OFF","OFF","")</f>
        <v/>
      </c>
      <c r="BX22" s="56" t="str">
        <f>IF('⚙ OFF Weekends'!$D$71="OFF","OFF","")</f>
        <v/>
      </c>
      <c r="BY22" s="54" t="str">
        <f>IF('⚙ OFF Weekends'!$D$72="OFF","OFF","")</f>
        <v/>
      </c>
      <c r="BZ22" s="56" t="str">
        <f>IF('⚙ OFF Weekends'!$D$73="OFF","OFF","")</f>
        <v/>
      </c>
      <c r="CA22" s="54" t="str">
        <f>IF('⚙ OFF Weekends'!$D$74="OFF","OFF","")</f>
        <v/>
      </c>
      <c r="CB22" s="56" t="str">
        <f>IF('⚙ OFF Weekends'!$D$75="OFF","OFF","")</f>
        <v/>
      </c>
      <c r="CC22" s="54" t="str">
        <f>IF('⚙ OFF Weekends'!$D$76="OFF","OFF","")</f>
        <v/>
      </c>
      <c r="CD22" s="56" t="str">
        <f>IF('⚙ OFF Weekends'!$D$77="OFF","OFF","")</f>
        <v/>
      </c>
      <c r="CE22" s="96">
        <f t="shared" si="9"/>
        <v>5</v>
      </c>
      <c r="CF22" s="96">
        <f t="shared" si="10"/>
        <v>9</v>
      </c>
      <c r="CG22" s="96">
        <f t="shared" si="11"/>
        <v>4</v>
      </c>
      <c r="CH22" s="96" t="str">
        <f t="shared" si="12"/>
        <v>36%</v>
      </c>
    </row>
    <row r="23" ht="18.0" customHeight="1">
      <c r="A23" s="95">
        <v>3.0</v>
      </c>
      <c r="B23" s="12" t="s">
        <v>526</v>
      </c>
      <c r="C23" s="14" t="s">
        <v>527</v>
      </c>
      <c r="D23" s="17" t="str">
        <f t="shared" si="7"/>
        <v>📞 Call</v>
      </c>
      <c r="E23" s="19" t="str">
        <f t="shared" si="8"/>
        <v>💬 WhatsApp</v>
      </c>
      <c r="F23" s="10" t="s">
        <v>459</v>
      </c>
      <c r="G23" s="10" t="s">
        <v>528</v>
      </c>
      <c r="H23" s="10"/>
      <c r="I23" s="79" t="s">
        <v>223</v>
      </c>
      <c r="J23" s="50" t="s">
        <v>37</v>
      </c>
      <c r="K23" s="49" t="s">
        <v>197</v>
      </c>
      <c r="L23" s="79" t="s">
        <v>223</v>
      </c>
      <c r="M23" s="50" t="s">
        <v>37</v>
      </c>
      <c r="N23" s="50" t="s">
        <v>37</v>
      </c>
      <c r="O23" s="50" t="s">
        <v>37</v>
      </c>
      <c r="P23" s="48" t="s">
        <v>196</v>
      </c>
      <c r="Q23" s="48" t="s">
        <v>196</v>
      </c>
      <c r="R23" s="50" t="s">
        <v>37</v>
      </c>
      <c r="S23" s="52" t="s">
        <v>37</v>
      </c>
      <c r="T23" s="98" t="s">
        <v>196</v>
      </c>
      <c r="U23" s="52" t="s">
        <v>37</v>
      </c>
      <c r="V23" s="53" t="s">
        <v>196</v>
      </c>
      <c r="W23" s="54" t="str">
        <f>IF('⚙ OFF Weekends'!$D$18="OFF","OFF","")</f>
        <v>OFF</v>
      </c>
      <c r="X23" s="53" t="s">
        <v>37</v>
      </c>
      <c r="Y23" s="52" t="s">
        <v>37</v>
      </c>
      <c r="Z23" s="53" t="s">
        <v>196</v>
      </c>
      <c r="AA23" s="52" t="s">
        <v>196</v>
      </c>
      <c r="AB23" s="53" t="s">
        <v>37</v>
      </c>
      <c r="AC23" s="54" t="str">
        <f>IF('⚙ OFF Weekends'!$D$24="OFF","OFF","")</f>
        <v/>
      </c>
      <c r="AD23" s="56" t="str">
        <f>IF('⚙ OFF Weekends'!$D$25="OFF","OFF","")</f>
        <v/>
      </c>
      <c r="AE23" s="54" t="str">
        <f>IF('⚙ OFF Weekends'!$D$26="OFF","OFF","")</f>
        <v/>
      </c>
      <c r="AF23" s="56" t="str">
        <f>IF('⚙ OFF Weekends'!$D$27="OFF","OFF","")</f>
        <v/>
      </c>
      <c r="AG23" s="54" t="str">
        <f>IF('⚙ OFF Weekends'!$D$28="OFF","OFF","")</f>
        <v/>
      </c>
      <c r="AH23" s="56" t="str">
        <f>IF('⚙ OFF Weekends'!$D$29="OFF","OFF","")</f>
        <v/>
      </c>
      <c r="AI23" s="54" t="str">
        <f>IF('⚙ OFF Weekends'!$D$30="OFF","OFF","")</f>
        <v/>
      </c>
      <c r="AJ23" s="56" t="str">
        <f>IF('⚙ OFF Weekends'!$D$31="OFF","OFF","")</f>
        <v/>
      </c>
      <c r="AK23" s="54" t="str">
        <f>IF('⚙ OFF Weekends'!$D$32="OFF","OFF","")</f>
        <v/>
      </c>
      <c r="AL23" s="56" t="str">
        <f>IF('⚙ OFF Weekends'!$D$33="OFF","OFF","")</f>
        <v/>
      </c>
      <c r="AM23" s="54" t="str">
        <f>IF('⚙ OFF Weekends'!$D$34="OFF","OFF","")</f>
        <v/>
      </c>
      <c r="AN23" s="56" t="str">
        <f>IF('⚙ OFF Weekends'!$D$35="OFF","OFF","")</f>
        <v/>
      </c>
      <c r="AO23" s="54" t="str">
        <f>IF('⚙ OFF Weekends'!$D$36="OFF","OFF","")</f>
        <v/>
      </c>
      <c r="AP23" s="56" t="str">
        <f>IF('⚙ OFF Weekends'!$D$37="OFF","OFF","")</f>
        <v/>
      </c>
      <c r="AQ23" s="54" t="str">
        <f>IF('⚙ OFF Weekends'!$D$38="OFF","OFF","")</f>
        <v/>
      </c>
      <c r="AR23" s="56" t="str">
        <f>IF('⚙ OFF Weekends'!$D$39="OFF","OFF","")</f>
        <v/>
      </c>
      <c r="AS23" s="54" t="str">
        <f>IF('⚙ OFF Weekends'!$D$40="OFF","OFF","")</f>
        <v/>
      </c>
      <c r="AT23" s="56" t="str">
        <f>IF('⚙ OFF Weekends'!$D$41="OFF","OFF","")</f>
        <v/>
      </c>
      <c r="AU23" s="54" t="str">
        <f>IF('⚙ OFF Weekends'!$D$42="OFF","OFF","")</f>
        <v/>
      </c>
      <c r="AV23" s="56" t="str">
        <f>IF('⚙ OFF Weekends'!$D$43="OFF","OFF","")</f>
        <v/>
      </c>
      <c r="AW23" s="54" t="str">
        <f>IF('⚙ OFF Weekends'!$D$44="OFF","OFF","")</f>
        <v/>
      </c>
      <c r="AX23" s="56" t="str">
        <f>IF('⚙ OFF Weekends'!$D$45="OFF","OFF","")</f>
        <v/>
      </c>
      <c r="AY23" s="54" t="str">
        <f>IF('⚙ OFF Weekends'!$D$46="OFF","OFF","")</f>
        <v/>
      </c>
      <c r="AZ23" s="56" t="str">
        <f>IF('⚙ OFF Weekends'!$D$47="OFF","OFF","")</f>
        <v/>
      </c>
      <c r="BA23" s="54" t="str">
        <f>IF('⚙ OFF Weekends'!$D$48="OFF","OFF","")</f>
        <v/>
      </c>
      <c r="BB23" s="56" t="str">
        <f>IF('⚙ OFF Weekends'!$D$49="OFF","OFF","")</f>
        <v/>
      </c>
      <c r="BC23" s="54" t="str">
        <f>IF('⚙ OFF Weekends'!$D$50="OFF","OFF","")</f>
        <v/>
      </c>
      <c r="BD23" s="56" t="str">
        <f>IF('⚙ OFF Weekends'!$D$51="OFF","OFF","")</f>
        <v/>
      </c>
      <c r="BE23" s="54" t="str">
        <f>IF('⚙ OFF Weekends'!$D$52="OFF","OFF","")</f>
        <v/>
      </c>
      <c r="BF23" s="56" t="str">
        <f>IF('⚙ OFF Weekends'!$D$53="OFF","OFF","")</f>
        <v/>
      </c>
      <c r="BG23" s="54" t="str">
        <f>IF('⚙ OFF Weekends'!$D$54="OFF","OFF","")</f>
        <v/>
      </c>
      <c r="BH23" s="56" t="str">
        <f>IF('⚙ OFF Weekends'!$D$55="OFF","OFF","")</f>
        <v/>
      </c>
      <c r="BI23" s="54" t="str">
        <f>IF('⚙ OFF Weekends'!$D$56="OFF","OFF","")</f>
        <v/>
      </c>
      <c r="BJ23" s="56" t="str">
        <f>IF('⚙ OFF Weekends'!$D$57="OFF","OFF","")</f>
        <v/>
      </c>
      <c r="BK23" s="54" t="str">
        <f>IF('⚙ OFF Weekends'!$D$58="OFF","OFF","")</f>
        <v/>
      </c>
      <c r="BL23" s="56" t="str">
        <f>IF('⚙ OFF Weekends'!$D$59="OFF","OFF","")</f>
        <v/>
      </c>
      <c r="BM23" s="54" t="str">
        <f>IF('⚙ OFF Weekends'!$D$60="OFF","OFF","")</f>
        <v/>
      </c>
      <c r="BN23" s="56" t="str">
        <f>IF('⚙ OFF Weekends'!$D$61="OFF","OFF","")</f>
        <v/>
      </c>
      <c r="BO23" s="54" t="str">
        <f>IF('⚙ OFF Weekends'!$D$62="OFF","OFF","")</f>
        <v/>
      </c>
      <c r="BP23" s="56" t="str">
        <f>IF('⚙ OFF Weekends'!$D$63="OFF","OFF","")</f>
        <v/>
      </c>
      <c r="BQ23" s="54" t="str">
        <f>IF('⚙ OFF Weekends'!$D$64="OFF","OFF","")</f>
        <v/>
      </c>
      <c r="BR23" s="56" t="str">
        <f>IF('⚙ OFF Weekends'!$D$65="OFF","OFF","")</f>
        <v/>
      </c>
      <c r="BS23" s="54" t="str">
        <f>IF('⚙ OFF Weekends'!$D$66="OFF","OFF","")</f>
        <v/>
      </c>
      <c r="BT23" s="56" t="str">
        <f>IF('⚙ OFF Weekends'!$D$67="OFF","OFF","")</f>
        <v/>
      </c>
      <c r="BU23" s="54" t="str">
        <f>IF('⚙ OFF Weekends'!$D$68="OFF","OFF","")</f>
        <v/>
      </c>
      <c r="BV23" s="56" t="str">
        <f>IF('⚙ OFF Weekends'!$D$69="OFF","OFF","")</f>
        <v/>
      </c>
      <c r="BW23" s="54" t="str">
        <f>IF('⚙ OFF Weekends'!$D$70="OFF","OFF","")</f>
        <v/>
      </c>
      <c r="BX23" s="56" t="str">
        <f>IF('⚙ OFF Weekends'!$D$71="OFF","OFF","")</f>
        <v/>
      </c>
      <c r="BY23" s="54" t="str">
        <f>IF('⚙ OFF Weekends'!$D$72="OFF","OFF","")</f>
        <v/>
      </c>
      <c r="BZ23" s="56" t="str">
        <f>IF('⚙ OFF Weekends'!$D$73="OFF","OFF","")</f>
        <v/>
      </c>
      <c r="CA23" s="54" t="str">
        <f>IF('⚙ OFF Weekends'!$D$74="OFF","OFF","")</f>
        <v/>
      </c>
      <c r="CB23" s="56" t="str">
        <f>IF('⚙ OFF Weekends'!$D$75="OFF","OFF","")</f>
        <v/>
      </c>
      <c r="CC23" s="54" t="str">
        <f>IF('⚙ OFF Weekends'!$D$76="OFF","OFF","")</f>
        <v/>
      </c>
      <c r="CD23" s="56" t="str">
        <f>IF('⚙ OFF Weekends'!$D$77="OFF","OFF","")</f>
        <v/>
      </c>
      <c r="CE23" s="95">
        <f t="shared" si="9"/>
        <v>16</v>
      </c>
      <c r="CF23" s="95">
        <f t="shared" si="10"/>
        <v>2</v>
      </c>
      <c r="CG23" s="95">
        <f t="shared" si="11"/>
        <v>0</v>
      </c>
      <c r="CH23" s="95" t="str">
        <f t="shared" si="12"/>
        <v>89%</v>
      </c>
    </row>
    <row r="24" ht="18.0" customHeight="1">
      <c r="A24" s="96">
        <v>4.0</v>
      </c>
      <c r="B24" s="22" t="s">
        <v>541</v>
      </c>
      <c r="C24" s="23" t="s">
        <v>542</v>
      </c>
      <c r="D24" s="24" t="str">
        <f t="shared" si="7"/>
        <v>📞 Call</v>
      </c>
      <c r="E24" s="41" t="str">
        <f t="shared" si="8"/>
        <v>💬 WhatsApp</v>
      </c>
      <c r="F24" s="20" t="s">
        <v>459</v>
      </c>
      <c r="G24" s="20" t="s">
        <v>528</v>
      </c>
      <c r="H24" s="20"/>
      <c r="I24" s="79" t="s">
        <v>223</v>
      </c>
      <c r="J24" s="79" t="s">
        <v>223</v>
      </c>
      <c r="K24" s="49" t="s">
        <v>197</v>
      </c>
      <c r="L24" s="79" t="s">
        <v>223</v>
      </c>
      <c r="M24" s="77" t="s">
        <v>198</v>
      </c>
      <c r="N24" s="50" t="s">
        <v>37</v>
      </c>
      <c r="O24" s="77" t="s">
        <v>198</v>
      </c>
      <c r="P24" s="48" t="s">
        <v>196</v>
      </c>
      <c r="Q24" s="77" t="s">
        <v>198</v>
      </c>
      <c r="R24" s="77" t="s">
        <v>198</v>
      </c>
      <c r="S24" s="52" t="s">
        <v>223</v>
      </c>
      <c r="T24" s="98" t="s">
        <v>196</v>
      </c>
      <c r="U24" s="52" t="s">
        <v>37</v>
      </c>
      <c r="V24" s="53" t="s">
        <v>223</v>
      </c>
      <c r="W24" s="54" t="str">
        <f>IF('⚙ OFF Weekends'!$D$18="OFF","OFF","")</f>
        <v>OFF</v>
      </c>
      <c r="X24" s="53" t="s">
        <v>223</v>
      </c>
      <c r="Y24" s="52" t="s">
        <v>223</v>
      </c>
      <c r="Z24" s="53" t="s">
        <v>223</v>
      </c>
      <c r="AA24" s="52" t="s">
        <v>223</v>
      </c>
      <c r="AB24" s="53" t="s">
        <v>223</v>
      </c>
      <c r="AC24" s="54" t="str">
        <f>IF('⚙ OFF Weekends'!$D$24="OFF","OFF","")</f>
        <v/>
      </c>
      <c r="AD24" s="56" t="str">
        <f>IF('⚙ OFF Weekends'!$D$25="OFF","OFF","")</f>
        <v/>
      </c>
      <c r="AE24" s="54" t="str">
        <f>IF('⚙ OFF Weekends'!$D$26="OFF","OFF","")</f>
        <v/>
      </c>
      <c r="AF24" s="56" t="str">
        <f>IF('⚙ OFF Weekends'!$D$27="OFF","OFF","")</f>
        <v/>
      </c>
      <c r="AG24" s="54" t="str">
        <f>IF('⚙ OFF Weekends'!$D$28="OFF","OFF","")</f>
        <v/>
      </c>
      <c r="AH24" s="56" t="str">
        <f>IF('⚙ OFF Weekends'!$D$29="OFF","OFF","")</f>
        <v/>
      </c>
      <c r="AI24" s="54" t="str">
        <f>IF('⚙ OFF Weekends'!$D$30="OFF","OFF","")</f>
        <v/>
      </c>
      <c r="AJ24" s="56" t="str">
        <f>IF('⚙ OFF Weekends'!$D$31="OFF","OFF","")</f>
        <v/>
      </c>
      <c r="AK24" s="54" t="str">
        <f>IF('⚙ OFF Weekends'!$D$32="OFF","OFF","")</f>
        <v/>
      </c>
      <c r="AL24" s="56" t="str">
        <f>IF('⚙ OFF Weekends'!$D$33="OFF","OFF","")</f>
        <v/>
      </c>
      <c r="AM24" s="54" t="str">
        <f>IF('⚙ OFF Weekends'!$D$34="OFF","OFF","")</f>
        <v/>
      </c>
      <c r="AN24" s="56" t="str">
        <f>IF('⚙ OFF Weekends'!$D$35="OFF","OFF","")</f>
        <v/>
      </c>
      <c r="AO24" s="54" t="str">
        <f>IF('⚙ OFF Weekends'!$D$36="OFF","OFF","")</f>
        <v/>
      </c>
      <c r="AP24" s="56" t="str">
        <f>IF('⚙ OFF Weekends'!$D$37="OFF","OFF","")</f>
        <v/>
      </c>
      <c r="AQ24" s="54" t="str">
        <f>IF('⚙ OFF Weekends'!$D$38="OFF","OFF","")</f>
        <v/>
      </c>
      <c r="AR24" s="56" t="str">
        <f>IF('⚙ OFF Weekends'!$D$39="OFF","OFF","")</f>
        <v/>
      </c>
      <c r="AS24" s="54" t="str">
        <f>IF('⚙ OFF Weekends'!$D$40="OFF","OFF","")</f>
        <v/>
      </c>
      <c r="AT24" s="56" t="str">
        <f>IF('⚙ OFF Weekends'!$D$41="OFF","OFF","")</f>
        <v/>
      </c>
      <c r="AU24" s="54" t="str">
        <f>IF('⚙ OFF Weekends'!$D$42="OFF","OFF","")</f>
        <v/>
      </c>
      <c r="AV24" s="56" t="str">
        <f>IF('⚙ OFF Weekends'!$D$43="OFF","OFF","")</f>
        <v/>
      </c>
      <c r="AW24" s="54" t="str">
        <f>IF('⚙ OFF Weekends'!$D$44="OFF","OFF","")</f>
        <v/>
      </c>
      <c r="AX24" s="56" t="str">
        <f>IF('⚙ OFF Weekends'!$D$45="OFF","OFF","")</f>
        <v/>
      </c>
      <c r="AY24" s="54" t="str">
        <f>IF('⚙ OFF Weekends'!$D$46="OFF","OFF","")</f>
        <v/>
      </c>
      <c r="AZ24" s="56" t="str">
        <f>IF('⚙ OFF Weekends'!$D$47="OFF","OFF","")</f>
        <v/>
      </c>
      <c r="BA24" s="54" t="str">
        <f>IF('⚙ OFF Weekends'!$D$48="OFF","OFF","")</f>
        <v/>
      </c>
      <c r="BB24" s="56" t="str">
        <f>IF('⚙ OFF Weekends'!$D$49="OFF","OFF","")</f>
        <v/>
      </c>
      <c r="BC24" s="54" t="str">
        <f>IF('⚙ OFF Weekends'!$D$50="OFF","OFF","")</f>
        <v/>
      </c>
      <c r="BD24" s="56" t="str">
        <f>IF('⚙ OFF Weekends'!$D$51="OFF","OFF","")</f>
        <v/>
      </c>
      <c r="BE24" s="54" t="str">
        <f>IF('⚙ OFF Weekends'!$D$52="OFF","OFF","")</f>
        <v/>
      </c>
      <c r="BF24" s="56" t="str">
        <f>IF('⚙ OFF Weekends'!$D$53="OFF","OFF","")</f>
        <v/>
      </c>
      <c r="BG24" s="54" t="str">
        <f>IF('⚙ OFF Weekends'!$D$54="OFF","OFF","")</f>
        <v/>
      </c>
      <c r="BH24" s="56" t="str">
        <f>IF('⚙ OFF Weekends'!$D$55="OFF","OFF","")</f>
        <v/>
      </c>
      <c r="BI24" s="54" t="str">
        <f>IF('⚙ OFF Weekends'!$D$56="OFF","OFF","")</f>
        <v/>
      </c>
      <c r="BJ24" s="56" t="str">
        <f>IF('⚙ OFF Weekends'!$D$57="OFF","OFF","")</f>
        <v/>
      </c>
      <c r="BK24" s="54" t="str">
        <f>IF('⚙ OFF Weekends'!$D$58="OFF","OFF","")</f>
        <v/>
      </c>
      <c r="BL24" s="56" t="str">
        <f>IF('⚙ OFF Weekends'!$D$59="OFF","OFF","")</f>
        <v/>
      </c>
      <c r="BM24" s="54" t="str">
        <f>IF('⚙ OFF Weekends'!$D$60="OFF","OFF","")</f>
        <v/>
      </c>
      <c r="BN24" s="56" t="str">
        <f>IF('⚙ OFF Weekends'!$D$61="OFF","OFF","")</f>
        <v/>
      </c>
      <c r="BO24" s="54" t="str">
        <f>IF('⚙ OFF Weekends'!$D$62="OFF","OFF","")</f>
        <v/>
      </c>
      <c r="BP24" s="56" t="str">
        <f>IF('⚙ OFF Weekends'!$D$63="OFF","OFF","")</f>
        <v/>
      </c>
      <c r="BQ24" s="54" t="str">
        <f>IF('⚙ OFF Weekends'!$D$64="OFF","OFF","")</f>
        <v/>
      </c>
      <c r="BR24" s="56" t="str">
        <f>IF('⚙ OFF Weekends'!$D$65="OFF","OFF","")</f>
        <v/>
      </c>
      <c r="BS24" s="54" t="str">
        <f>IF('⚙ OFF Weekends'!$D$66="OFF","OFF","")</f>
        <v/>
      </c>
      <c r="BT24" s="56" t="str">
        <f>IF('⚙ OFF Weekends'!$D$67="OFF","OFF","")</f>
        <v/>
      </c>
      <c r="BU24" s="54" t="str">
        <f>IF('⚙ OFF Weekends'!$D$68="OFF","OFF","")</f>
        <v/>
      </c>
      <c r="BV24" s="56" t="str">
        <f>IF('⚙ OFF Weekends'!$D$69="OFF","OFF","")</f>
        <v/>
      </c>
      <c r="BW24" s="54" t="str">
        <f>IF('⚙ OFF Weekends'!$D$70="OFF","OFF","")</f>
        <v/>
      </c>
      <c r="BX24" s="56" t="str">
        <f>IF('⚙ OFF Weekends'!$D$71="OFF","OFF","")</f>
        <v/>
      </c>
      <c r="BY24" s="54" t="str">
        <f>IF('⚙ OFF Weekends'!$D$72="OFF","OFF","")</f>
        <v/>
      </c>
      <c r="BZ24" s="56" t="str">
        <f>IF('⚙ OFF Weekends'!$D$73="OFF","OFF","")</f>
        <v/>
      </c>
      <c r="CA24" s="54" t="str">
        <f>IF('⚙ OFF Weekends'!$D$74="OFF","OFF","")</f>
        <v/>
      </c>
      <c r="CB24" s="56" t="str">
        <f>IF('⚙ OFF Weekends'!$D$75="OFF","OFF","")</f>
        <v/>
      </c>
      <c r="CC24" s="54" t="str">
        <f>IF('⚙ OFF Weekends'!$D$76="OFF","OFF","")</f>
        <v/>
      </c>
      <c r="CD24" s="56" t="str">
        <f>IF('⚙ OFF Weekends'!$D$77="OFF","OFF","")</f>
        <v/>
      </c>
      <c r="CE24" s="96">
        <f t="shared" si="9"/>
        <v>4</v>
      </c>
      <c r="CF24" s="96">
        <f t="shared" si="10"/>
        <v>10</v>
      </c>
      <c r="CG24" s="96">
        <f t="shared" si="11"/>
        <v>4</v>
      </c>
      <c r="CH24" s="96" t="str">
        <f t="shared" si="12"/>
        <v>29%</v>
      </c>
    </row>
    <row r="25" ht="18.0" customHeight="1">
      <c r="A25" s="95">
        <v>5.0</v>
      </c>
      <c r="B25" s="12" t="s">
        <v>550</v>
      </c>
      <c r="C25" s="14" t="s">
        <v>551</v>
      </c>
      <c r="D25" s="17" t="str">
        <f t="shared" si="7"/>
        <v>📞 Call</v>
      </c>
      <c r="E25" s="19" t="str">
        <f t="shared" si="8"/>
        <v>💬 WhatsApp</v>
      </c>
      <c r="F25" s="10" t="s">
        <v>459</v>
      </c>
      <c r="G25" s="10" t="s">
        <v>528</v>
      </c>
      <c r="H25" s="10"/>
      <c r="I25" s="50" t="s">
        <v>37</v>
      </c>
      <c r="J25" s="79" t="s">
        <v>223</v>
      </c>
      <c r="K25" s="49" t="s">
        <v>197</v>
      </c>
      <c r="L25" s="50" t="s">
        <v>37</v>
      </c>
      <c r="M25" s="48" t="s">
        <v>196</v>
      </c>
      <c r="N25" s="48" t="s">
        <v>196</v>
      </c>
      <c r="O25" s="48" t="s">
        <v>196</v>
      </c>
      <c r="P25" s="48" t="s">
        <v>196</v>
      </c>
      <c r="Q25" s="48" t="s">
        <v>196</v>
      </c>
      <c r="R25" s="48" t="s">
        <v>196</v>
      </c>
      <c r="S25" s="52" t="s">
        <v>196</v>
      </c>
      <c r="T25" s="98" t="s">
        <v>196</v>
      </c>
      <c r="U25" s="52" t="s">
        <v>198</v>
      </c>
      <c r="V25" s="53" t="s">
        <v>198</v>
      </c>
      <c r="W25" s="54" t="str">
        <f>IF('⚙ OFF Weekends'!$D$18="OFF","OFF","")</f>
        <v>OFF</v>
      </c>
      <c r="X25" s="53" t="s">
        <v>198</v>
      </c>
      <c r="Y25" s="52" t="s">
        <v>198</v>
      </c>
      <c r="Z25" s="53" t="s">
        <v>198</v>
      </c>
      <c r="AA25" s="52" t="s">
        <v>198</v>
      </c>
      <c r="AB25" s="53" t="s">
        <v>198</v>
      </c>
      <c r="AC25" s="54" t="str">
        <f>IF('⚙ OFF Weekends'!$D$24="OFF","OFF","")</f>
        <v/>
      </c>
      <c r="AD25" s="56" t="str">
        <f>IF('⚙ OFF Weekends'!$D$25="OFF","OFF","")</f>
        <v/>
      </c>
      <c r="AE25" s="54" t="str">
        <f>IF('⚙ OFF Weekends'!$D$26="OFF","OFF","")</f>
        <v/>
      </c>
      <c r="AF25" s="56" t="str">
        <f>IF('⚙ OFF Weekends'!$D$27="OFF","OFF","")</f>
        <v/>
      </c>
      <c r="AG25" s="54" t="str">
        <f>IF('⚙ OFF Weekends'!$D$28="OFF","OFF","")</f>
        <v/>
      </c>
      <c r="AH25" s="56" t="str">
        <f>IF('⚙ OFF Weekends'!$D$29="OFF","OFF","")</f>
        <v/>
      </c>
      <c r="AI25" s="54" t="str">
        <f>IF('⚙ OFF Weekends'!$D$30="OFF","OFF","")</f>
        <v/>
      </c>
      <c r="AJ25" s="56" t="str">
        <f>IF('⚙ OFF Weekends'!$D$31="OFF","OFF","")</f>
        <v/>
      </c>
      <c r="AK25" s="54" t="str">
        <f>IF('⚙ OFF Weekends'!$D$32="OFF","OFF","")</f>
        <v/>
      </c>
      <c r="AL25" s="56" t="str">
        <f>IF('⚙ OFF Weekends'!$D$33="OFF","OFF","")</f>
        <v/>
      </c>
      <c r="AM25" s="54" t="str">
        <f>IF('⚙ OFF Weekends'!$D$34="OFF","OFF","")</f>
        <v/>
      </c>
      <c r="AN25" s="56" t="str">
        <f>IF('⚙ OFF Weekends'!$D$35="OFF","OFF","")</f>
        <v/>
      </c>
      <c r="AO25" s="54" t="str">
        <f>IF('⚙ OFF Weekends'!$D$36="OFF","OFF","")</f>
        <v/>
      </c>
      <c r="AP25" s="56" t="str">
        <f>IF('⚙ OFF Weekends'!$D$37="OFF","OFF","")</f>
        <v/>
      </c>
      <c r="AQ25" s="54" t="str">
        <f>IF('⚙ OFF Weekends'!$D$38="OFF","OFF","")</f>
        <v/>
      </c>
      <c r="AR25" s="56" t="str">
        <f>IF('⚙ OFF Weekends'!$D$39="OFF","OFF","")</f>
        <v/>
      </c>
      <c r="AS25" s="54" t="str">
        <f>IF('⚙ OFF Weekends'!$D$40="OFF","OFF","")</f>
        <v/>
      </c>
      <c r="AT25" s="56" t="str">
        <f>IF('⚙ OFF Weekends'!$D$41="OFF","OFF","")</f>
        <v/>
      </c>
      <c r="AU25" s="54" t="str">
        <f>IF('⚙ OFF Weekends'!$D$42="OFF","OFF","")</f>
        <v/>
      </c>
      <c r="AV25" s="56" t="str">
        <f>IF('⚙ OFF Weekends'!$D$43="OFF","OFF","")</f>
        <v/>
      </c>
      <c r="AW25" s="54" t="str">
        <f>IF('⚙ OFF Weekends'!$D$44="OFF","OFF","")</f>
        <v/>
      </c>
      <c r="AX25" s="56" t="str">
        <f>IF('⚙ OFF Weekends'!$D$45="OFF","OFF","")</f>
        <v/>
      </c>
      <c r="AY25" s="54" t="str">
        <f>IF('⚙ OFF Weekends'!$D$46="OFF","OFF","")</f>
        <v/>
      </c>
      <c r="AZ25" s="56" t="str">
        <f>IF('⚙ OFF Weekends'!$D$47="OFF","OFF","")</f>
        <v/>
      </c>
      <c r="BA25" s="54" t="str">
        <f>IF('⚙ OFF Weekends'!$D$48="OFF","OFF","")</f>
        <v/>
      </c>
      <c r="BB25" s="56" t="str">
        <f>IF('⚙ OFF Weekends'!$D$49="OFF","OFF","")</f>
        <v/>
      </c>
      <c r="BC25" s="54" t="str">
        <f>IF('⚙ OFF Weekends'!$D$50="OFF","OFF","")</f>
        <v/>
      </c>
      <c r="BD25" s="56" t="str">
        <f>IF('⚙ OFF Weekends'!$D$51="OFF","OFF","")</f>
        <v/>
      </c>
      <c r="BE25" s="54" t="str">
        <f>IF('⚙ OFF Weekends'!$D$52="OFF","OFF","")</f>
        <v/>
      </c>
      <c r="BF25" s="56" t="str">
        <f>IF('⚙ OFF Weekends'!$D$53="OFF","OFF","")</f>
        <v/>
      </c>
      <c r="BG25" s="54" t="str">
        <f>IF('⚙ OFF Weekends'!$D$54="OFF","OFF","")</f>
        <v/>
      </c>
      <c r="BH25" s="56" t="str">
        <f>IF('⚙ OFF Weekends'!$D$55="OFF","OFF","")</f>
        <v/>
      </c>
      <c r="BI25" s="54" t="str">
        <f>IF('⚙ OFF Weekends'!$D$56="OFF","OFF","")</f>
        <v/>
      </c>
      <c r="BJ25" s="56" t="str">
        <f>IF('⚙ OFF Weekends'!$D$57="OFF","OFF","")</f>
        <v/>
      </c>
      <c r="BK25" s="54" t="str">
        <f>IF('⚙ OFF Weekends'!$D$58="OFF","OFF","")</f>
        <v/>
      </c>
      <c r="BL25" s="56" t="str">
        <f>IF('⚙ OFF Weekends'!$D$59="OFF","OFF","")</f>
        <v/>
      </c>
      <c r="BM25" s="54" t="str">
        <f>IF('⚙ OFF Weekends'!$D$60="OFF","OFF","")</f>
        <v/>
      </c>
      <c r="BN25" s="56" t="str">
        <f>IF('⚙ OFF Weekends'!$D$61="OFF","OFF","")</f>
        <v/>
      </c>
      <c r="BO25" s="54" t="str">
        <f>IF('⚙ OFF Weekends'!$D$62="OFF","OFF","")</f>
        <v/>
      </c>
      <c r="BP25" s="56" t="str">
        <f>IF('⚙ OFF Weekends'!$D$63="OFF","OFF","")</f>
        <v/>
      </c>
      <c r="BQ25" s="54" t="str">
        <f>IF('⚙ OFF Weekends'!$D$64="OFF","OFF","")</f>
        <v/>
      </c>
      <c r="BR25" s="56" t="str">
        <f>IF('⚙ OFF Weekends'!$D$65="OFF","OFF","")</f>
        <v/>
      </c>
      <c r="BS25" s="54" t="str">
        <f>IF('⚙ OFF Weekends'!$D$66="OFF","OFF","")</f>
        <v/>
      </c>
      <c r="BT25" s="56" t="str">
        <f>IF('⚙ OFF Weekends'!$D$67="OFF","OFF","")</f>
        <v/>
      </c>
      <c r="BU25" s="54" t="str">
        <f>IF('⚙ OFF Weekends'!$D$68="OFF","OFF","")</f>
        <v/>
      </c>
      <c r="BV25" s="56" t="str">
        <f>IF('⚙ OFF Weekends'!$D$69="OFF","OFF","")</f>
        <v/>
      </c>
      <c r="BW25" s="54" t="str">
        <f>IF('⚙ OFF Weekends'!$D$70="OFF","OFF","")</f>
        <v/>
      </c>
      <c r="BX25" s="56" t="str">
        <f>IF('⚙ OFF Weekends'!$D$71="OFF","OFF","")</f>
        <v/>
      </c>
      <c r="BY25" s="54" t="str">
        <f>IF('⚙ OFF Weekends'!$D$72="OFF","OFF","")</f>
        <v/>
      </c>
      <c r="BZ25" s="56" t="str">
        <f>IF('⚙ OFF Weekends'!$D$73="OFF","OFF","")</f>
        <v/>
      </c>
      <c r="CA25" s="54" t="str">
        <f>IF('⚙ OFF Weekends'!$D$74="OFF","OFF","")</f>
        <v/>
      </c>
      <c r="CB25" s="56" t="str">
        <f>IF('⚙ OFF Weekends'!$D$75="OFF","OFF","")</f>
        <v/>
      </c>
      <c r="CC25" s="54" t="str">
        <f>IF('⚙ OFF Weekends'!$D$76="OFF","OFF","")</f>
        <v/>
      </c>
      <c r="CD25" s="56" t="str">
        <f>IF('⚙ OFF Weekends'!$D$77="OFF","OFF","")</f>
        <v/>
      </c>
      <c r="CE25" s="95">
        <f t="shared" si="9"/>
        <v>10</v>
      </c>
      <c r="CF25" s="95">
        <f t="shared" si="10"/>
        <v>1</v>
      </c>
      <c r="CG25" s="95">
        <f t="shared" si="11"/>
        <v>7</v>
      </c>
      <c r="CH25" s="95" t="str">
        <f t="shared" si="12"/>
        <v>91%</v>
      </c>
    </row>
    <row r="26" ht="18.0" customHeight="1">
      <c r="A26" s="96">
        <v>6.0</v>
      </c>
      <c r="B26" s="22" t="s">
        <v>556</v>
      </c>
      <c r="C26" s="23" t="s">
        <v>557</v>
      </c>
      <c r="D26" s="24" t="str">
        <f t="shared" si="7"/>
        <v>📞 Call</v>
      </c>
      <c r="E26" s="41" t="str">
        <f t="shared" si="8"/>
        <v>💬 WhatsApp</v>
      </c>
      <c r="F26" s="20" t="s">
        <v>459</v>
      </c>
      <c r="G26" s="20" t="s">
        <v>528</v>
      </c>
      <c r="H26" s="20"/>
      <c r="I26" s="50" t="s">
        <v>37</v>
      </c>
      <c r="J26" s="50" t="s">
        <v>37</v>
      </c>
      <c r="K26" s="49" t="s">
        <v>197</v>
      </c>
      <c r="L26" s="79" t="s">
        <v>223</v>
      </c>
      <c r="M26" s="50" t="s">
        <v>37</v>
      </c>
      <c r="N26" s="79" t="s">
        <v>223</v>
      </c>
      <c r="O26" s="50" t="s">
        <v>37</v>
      </c>
      <c r="P26" s="50" t="s">
        <v>37</v>
      </c>
      <c r="Q26" s="50" t="s">
        <v>37</v>
      </c>
      <c r="R26" s="79" t="s">
        <v>223</v>
      </c>
      <c r="S26" s="52" t="s">
        <v>223</v>
      </c>
      <c r="T26" s="98" t="s">
        <v>223</v>
      </c>
      <c r="U26" s="52" t="s">
        <v>223</v>
      </c>
      <c r="V26" s="53" t="s">
        <v>223</v>
      </c>
      <c r="W26" s="54" t="str">
        <f>IF('⚙ OFF Weekends'!$D$18="OFF","OFF","")</f>
        <v>OFF</v>
      </c>
      <c r="X26" s="53" t="s">
        <v>223</v>
      </c>
      <c r="Y26" s="52" t="s">
        <v>223</v>
      </c>
      <c r="Z26" s="53" t="s">
        <v>223</v>
      </c>
      <c r="AA26" s="52" t="s">
        <v>198</v>
      </c>
      <c r="AB26" s="53" t="s">
        <v>223</v>
      </c>
      <c r="AC26" s="54" t="str">
        <f>IF('⚙ OFF Weekends'!$D$24="OFF","OFF","")</f>
        <v/>
      </c>
      <c r="AD26" s="56" t="str">
        <f>IF('⚙ OFF Weekends'!$D$25="OFF","OFF","")</f>
        <v/>
      </c>
      <c r="AE26" s="54" t="str">
        <f>IF('⚙ OFF Weekends'!$D$26="OFF","OFF","")</f>
        <v/>
      </c>
      <c r="AF26" s="56" t="str">
        <f>IF('⚙ OFF Weekends'!$D$27="OFF","OFF","")</f>
        <v/>
      </c>
      <c r="AG26" s="54" t="str">
        <f>IF('⚙ OFF Weekends'!$D$28="OFF","OFF","")</f>
        <v/>
      </c>
      <c r="AH26" s="56" t="str">
        <f>IF('⚙ OFF Weekends'!$D$29="OFF","OFF","")</f>
        <v/>
      </c>
      <c r="AI26" s="54" t="str">
        <f>IF('⚙ OFF Weekends'!$D$30="OFF","OFF","")</f>
        <v/>
      </c>
      <c r="AJ26" s="56" t="str">
        <f>IF('⚙ OFF Weekends'!$D$31="OFF","OFF","")</f>
        <v/>
      </c>
      <c r="AK26" s="54" t="str">
        <f>IF('⚙ OFF Weekends'!$D$32="OFF","OFF","")</f>
        <v/>
      </c>
      <c r="AL26" s="56" t="str">
        <f>IF('⚙ OFF Weekends'!$D$33="OFF","OFF","")</f>
        <v/>
      </c>
      <c r="AM26" s="54" t="str">
        <f>IF('⚙ OFF Weekends'!$D$34="OFF","OFF","")</f>
        <v/>
      </c>
      <c r="AN26" s="56" t="str">
        <f>IF('⚙ OFF Weekends'!$D$35="OFF","OFF","")</f>
        <v/>
      </c>
      <c r="AO26" s="54" t="str">
        <f>IF('⚙ OFF Weekends'!$D$36="OFF","OFF","")</f>
        <v/>
      </c>
      <c r="AP26" s="56" t="str">
        <f>IF('⚙ OFF Weekends'!$D$37="OFF","OFF","")</f>
        <v/>
      </c>
      <c r="AQ26" s="54" t="str">
        <f>IF('⚙ OFF Weekends'!$D$38="OFF","OFF","")</f>
        <v/>
      </c>
      <c r="AR26" s="56" t="str">
        <f>IF('⚙ OFF Weekends'!$D$39="OFF","OFF","")</f>
        <v/>
      </c>
      <c r="AS26" s="54" t="str">
        <f>IF('⚙ OFF Weekends'!$D$40="OFF","OFF","")</f>
        <v/>
      </c>
      <c r="AT26" s="56" t="str">
        <f>IF('⚙ OFF Weekends'!$D$41="OFF","OFF","")</f>
        <v/>
      </c>
      <c r="AU26" s="54" t="str">
        <f>IF('⚙ OFF Weekends'!$D$42="OFF","OFF","")</f>
        <v/>
      </c>
      <c r="AV26" s="56" t="str">
        <f>IF('⚙ OFF Weekends'!$D$43="OFF","OFF","")</f>
        <v/>
      </c>
      <c r="AW26" s="54" t="str">
        <f>IF('⚙ OFF Weekends'!$D$44="OFF","OFF","")</f>
        <v/>
      </c>
      <c r="AX26" s="56" t="str">
        <f>IF('⚙ OFF Weekends'!$D$45="OFF","OFF","")</f>
        <v/>
      </c>
      <c r="AY26" s="54" t="str">
        <f>IF('⚙ OFF Weekends'!$D$46="OFF","OFF","")</f>
        <v/>
      </c>
      <c r="AZ26" s="56" t="str">
        <f>IF('⚙ OFF Weekends'!$D$47="OFF","OFF","")</f>
        <v/>
      </c>
      <c r="BA26" s="54" t="str">
        <f>IF('⚙ OFF Weekends'!$D$48="OFF","OFF","")</f>
        <v/>
      </c>
      <c r="BB26" s="56" t="str">
        <f>IF('⚙ OFF Weekends'!$D$49="OFF","OFF","")</f>
        <v/>
      </c>
      <c r="BC26" s="54" t="str">
        <f>IF('⚙ OFF Weekends'!$D$50="OFF","OFF","")</f>
        <v/>
      </c>
      <c r="BD26" s="56" t="str">
        <f>IF('⚙ OFF Weekends'!$D$51="OFF","OFF","")</f>
        <v/>
      </c>
      <c r="BE26" s="54" t="str">
        <f>IF('⚙ OFF Weekends'!$D$52="OFF","OFF","")</f>
        <v/>
      </c>
      <c r="BF26" s="56" t="str">
        <f>IF('⚙ OFF Weekends'!$D$53="OFF","OFF","")</f>
        <v/>
      </c>
      <c r="BG26" s="54" t="str">
        <f>IF('⚙ OFF Weekends'!$D$54="OFF","OFF","")</f>
        <v/>
      </c>
      <c r="BH26" s="56" t="str">
        <f>IF('⚙ OFF Weekends'!$D$55="OFF","OFF","")</f>
        <v/>
      </c>
      <c r="BI26" s="54" t="str">
        <f>IF('⚙ OFF Weekends'!$D$56="OFF","OFF","")</f>
        <v/>
      </c>
      <c r="BJ26" s="56" t="str">
        <f>IF('⚙ OFF Weekends'!$D$57="OFF","OFF","")</f>
        <v/>
      </c>
      <c r="BK26" s="54" t="str">
        <f>IF('⚙ OFF Weekends'!$D$58="OFF","OFF","")</f>
        <v/>
      </c>
      <c r="BL26" s="56" t="str">
        <f>IF('⚙ OFF Weekends'!$D$59="OFF","OFF","")</f>
        <v/>
      </c>
      <c r="BM26" s="54" t="str">
        <f>IF('⚙ OFF Weekends'!$D$60="OFF","OFF","")</f>
        <v/>
      </c>
      <c r="BN26" s="56" t="str">
        <f>IF('⚙ OFF Weekends'!$D$61="OFF","OFF","")</f>
        <v/>
      </c>
      <c r="BO26" s="54" t="str">
        <f>IF('⚙ OFF Weekends'!$D$62="OFF","OFF","")</f>
        <v/>
      </c>
      <c r="BP26" s="56" t="str">
        <f>IF('⚙ OFF Weekends'!$D$63="OFF","OFF","")</f>
        <v/>
      </c>
      <c r="BQ26" s="54" t="str">
        <f>IF('⚙ OFF Weekends'!$D$64="OFF","OFF","")</f>
        <v/>
      </c>
      <c r="BR26" s="56" t="str">
        <f>IF('⚙ OFF Weekends'!$D$65="OFF","OFF","")</f>
        <v/>
      </c>
      <c r="BS26" s="54" t="str">
        <f>IF('⚙ OFF Weekends'!$D$66="OFF","OFF","")</f>
        <v/>
      </c>
      <c r="BT26" s="56" t="str">
        <f>IF('⚙ OFF Weekends'!$D$67="OFF","OFF","")</f>
        <v/>
      </c>
      <c r="BU26" s="54" t="str">
        <f>IF('⚙ OFF Weekends'!$D$68="OFF","OFF","")</f>
        <v/>
      </c>
      <c r="BV26" s="56" t="str">
        <f>IF('⚙ OFF Weekends'!$D$69="OFF","OFF","")</f>
        <v/>
      </c>
      <c r="BW26" s="54" t="str">
        <f>IF('⚙ OFF Weekends'!$D$70="OFF","OFF","")</f>
        <v/>
      </c>
      <c r="BX26" s="56" t="str">
        <f>IF('⚙ OFF Weekends'!$D$71="OFF","OFF","")</f>
        <v/>
      </c>
      <c r="BY26" s="54" t="str">
        <f>IF('⚙ OFF Weekends'!$D$72="OFF","OFF","")</f>
        <v/>
      </c>
      <c r="BZ26" s="56" t="str">
        <f>IF('⚙ OFF Weekends'!$D$73="OFF","OFF","")</f>
        <v/>
      </c>
      <c r="CA26" s="54" t="str">
        <f>IF('⚙ OFF Weekends'!$D$74="OFF","OFF","")</f>
        <v/>
      </c>
      <c r="CB26" s="56" t="str">
        <f>IF('⚙ OFF Weekends'!$D$75="OFF","OFF","")</f>
        <v/>
      </c>
      <c r="CC26" s="54" t="str">
        <f>IF('⚙ OFF Weekends'!$D$76="OFF","OFF","")</f>
        <v/>
      </c>
      <c r="CD26" s="56" t="str">
        <f>IF('⚙ OFF Weekends'!$D$77="OFF","OFF","")</f>
        <v/>
      </c>
      <c r="CE26" s="96">
        <f t="shared" si="9"/>
        <v>6</v>
      </c>
      <c r="CF26" s="96">
        <f t="shared" si="10"/>
        <v>11</v>
      </c>
      <c r="CG26" s="96">
        <f t="shared" si="11"/>
        <v>1</v>
      </c>
      <c r="CH26" s="96" t="str">
        <f t="shared" si="12"/>
        <v>35%</v>
      </c>
    </row>
    <row r="27" ht="18.0" customHeight="1">
      <c r="A27" s="95">
        <v>7.0</v>
      </c>
      <c r="B27" s="12" t="s">
        <v>563</v>
      </c>
      <c r="C27" s="14" t="s">
        <v>513</v>
      </c>
      <c r="D27" s="17" t="str">
        <f t="shared" si="7"/>
        <v>📞 Call</v>
      </c>
      <c r="E27" s="19" t="str">
        <f t="shared" si="8"/>
        <v>💬 WhatsApp</v>
      </c>
      <c r="F27" s="10" t="s">
        <v>459</v>
      </c>
      <c r="G27" s="10" t="s">
        <v>528</v>
      </c>
      <c r="H27" s="10" t="s">
        <v>514</v>
      </c>
      <c r="I27" s="79" t="s">
        <v>223</v>
      </c>
      <c r="J27" s="50" t="s">
        <v>37</v>
      </c>
      <c r="K27" s="49" t="s">
        <v>197</v>
      </c>
      <c r="L27" s="79" t="s">
        <v>223</v>
      </c>
      <c r="M27" s="77" t="s">
        <v>198</v>
      </c>
      <c r="N27" s="77" t="s">
        <v>198</v>
      </c>
      <c r="O27" s="50" t="s">
        <v>37</v>
      </c>
      <c r="P27" s="79" t="s">
        <v>223</v>
      </c>
      <c r="Q27" s="50" t="s">
        <v>37</v>
      </c>
      <c r="R27" s="50" t="s">
        <v>37</v>
      </c>
      <c r="S27" s="52" t="s">
        <v>37</v>
      </c>
      <c r="T27" s="98" t="s">
        <v>196</v>
      </c>
      <c r="U27" s="52" t="s">
        <v>223</v>
      </c>
      <c r="V27" s="53" t="s">
        <v>37</v>
      </c>
      <c r="W27" s="54" t="str">
        <f>IF('⚙ OFF Weekends'!$D$18="OFF","OFF","")</f>
        <v>OFF</v>
      </c>
      <c r="X27" s="53" t="s">
        <v>223</v>
      </c>
      <c r="Y27" s="52" t="s">
        <v>223</v>
      </c>
      <c r="Z27" s="53" t="s">
        <v>223</v>
      </c>
      <c r="AA27" s="52" t="s">
        <v>223</v>
      </c>
      <c r="AB27" s="53" t="s">
        <v>37</v>
      </c>
      <c r="AC27" s="54" t="str">
        <f>IF('⚙ OFF Weekends'!$D$24="OFF","OFF","")</f>
        <v/>
      </c>
      <c r="AD27" s="56" t="str">
        <f>IF('⚙ OFF Weekends'!$D$25="OFF","OFF","")</f>
        <v/>
      </c>
      <c r="AE27" s="54" t="str">
        <f>IF('⚙ OFF Weekends'!$D$26="OFF","OFF","")</f>
        <v/>
      </c>
      <c r="AF27" s="56" t="str">
        <f>IF('⚙ OFF Weekends'!$D$27="OFF","OFF","")</f>
        <v/>
      </c>
      <c r="AG27" s="54" t="str">
        <f>IF('⚙ OFF Weekends'!$D$28="OFF","OFF","")</f>
        <v/>
      </c>
      <c r="AH27" s="56" t="str">
        <f>IF('⚙ OFF Weekends'!$D$29="OFF","OFF","")</f>
        <v/>
      </c>
      <c r="AI27" s="54" t="str">
        <f>IF('⚙ OFF Weekends'!$D$30="OFF","OFF","")</f>
        <v/>
      </c>
      <c r="AJ27" s="56" t="str">
        <f>IF('⚙ OFF Weekends'!$D$31="OFF","OFF","")</f>
        <v/>
      </c>
      <c r="AK27" s="54" t="str">
        <f>IF('⚙ OFF Weekends'!$D$32="OFF","OFF","")</f>
        <v/>
      </c>
      <c r="AL27" s="56" t="str">
        <f>IF('⚙ OFF Weekends'!$D$33="OFF","OFF","")</f>
        <v/>
      </c>
      <c r="AM27" s="54" t="str">
        <f>IF('⚙ OFF Weekends'!$D$34="OFF","OFF","")</f>
        <v/>
      </c>
      <c r="AN27" s="56" t="str">
        <f>IF('⚙ OFF Weekends'!$D$35="OFF","OFF","")</f>
        <v/>
      </c>
      <c r="AO27" s="54" t="str">
        <f>IF('⚙ OFF Weekends'!$D$36="OFF","OFF","")</f>
        <v/>
      </c>
      <c r="AP27" s="56" t="str">
        <f>IF('⚙ OFF Weekends'!$D$37="OFF","OFF","")</f>
        <v/>
      </c>
      <c r="AQ27" s="54" t="str">
        <f>IF('⚙ OFF Weekends'!$D$38="OFF","OFF","")</f>
        <v/>
      </c>
      <c r="AR27" s="56" t="str">
        <f>IF('⚙ OFF Weekends'!$D$39="OFF","OFF","")</f>
        <v/>
      </c>
      <c r="AS27" s="54" t="str">
        <f>IF('⚙ OFF Weekends'!$D$40="OFF","OFF","")</f>
        <v/>
      </c>
      <c r="AT27" s="56" t="str">
        <f>IF('⚙ OFF Weekends'!$D$41="OFF","OFF","")</f>
        <v/>
      </c>
      <c r="AU27" s="54" t="str">
        <f>IF('⚙ OFF Weekends'!$D$42="OFF","OFF","")</f>
        <v/>
      </c>
      <c r="AV27" s="56" t="str">
        <f>IF('⚙ OFF Weekends'!$D$43="OFF","OFF","")</f>
        <v/>
      </c>
      <c r="AW27" s="54" t="str">
        <f>IF('⚙ OFF Weekends'!$D$44="OFF","OFF","")</f>
        <v/>
      </c>
      <c r="AX27" s="56" t="str">
        <f>IF('⚙ OFF Weekends'!$D$45="OFF","OFF","")</f>
        <v/>
      </c>
      <c r="AY27" s="54" t="str">
        <f>IF('⚙ OFF Weekends'!$D$46="OFF","OFF","")</f>
        <v/>
      </c>
      <c r="AZ27" s="56" t="str">
        <f>IF('⚙ OFF Weekends'!$D$47="OFF","OFF","")</f>
        <v/>
      </c>
      <c r="BA27" s="54" t="str">
        <f>IF('⚙ OFF Weekends'!$D$48="OFF","OFF","")</f>
        <v/>
      </c>
      <c r="BB27" s="56" t="str">
        <f>IF('⚙ OFF Weekends'!$D$49="OFF","OFF","")</f>
        <v/>
      </c>
      <c r="BC27" s="54" t="str">
        <f>IF('⚙ OFF Weekends'!$D$50="OFF","OFF","")</f>
        <v/>
      </c>
      <c r="BD27" s="56" t="str">
        <f>IF('⚙ OFF Weekends'!$D$51="OFF","OFF","")</f>
        <v/>
      </c>
      <c r="BE27" s="54" t="str">
        <f>IF('⚙ OFF Weekends'!$D$52="OFF","OFF","")</f>
        <v/>
      </c>
      <c r="BF27" s="56" t="str">
        <f>IF('⚙ OFF Weekends'!$D$53="OFF","OFF","")</f>
        <v/>
      </c>
      <c r="BG27" s="54" t="str">
        <f>IF('⚙ OFF Weekends'!$D$54="OFF","OFF","")</f>
        <v/>
      </c>
      <c r="BH27" s="56" t="str">
        <f>IF('⚙ OFF Weekends'!$D$55="OFF","OFF","")</f>
        <v/>
      </c>
      <c r="BI27" s="54" t="str">
        <f>IF('⚙ OFF Weekends'!$D$56="OFF","OFF","")</f>
        <v/>
      </c>
      <c r="BJ27" s="56" t="str">
        <f>IF('⚙ OFF Weekends'!$D$57="OFF","OFF","")</f>
        <v/>
      </c>
      <c r="BK27" s="54" t="str">
        <f>IF('⚙ OFF Weekends'!$D$58="OFF","OFF","")</f>
        <v/>
      </c>
      <c r="BL27" s="56" t="str">
        <f>IF('⚙ OFF Weekends'!$D$59="OFF","OFF","")</f>
        <v/>
      </c>
      <c r="BM27" s="54" t="str">
        <f>IF('⚙ OFF Weekends'!$D$60="OFF","OFF","")</f>
        <v/>
      </c>
      <c r="BN27" s="56" t="str">
        <f>IF('⚙ OFF Weekends'!$D$61="OFF","OFF","")</f>
        <v/>
      </c>
      <c r="BO27" s="54" t="str">
        <f>IF('⚙ OFF Weekends'!$D$62="OFF","OFF","")</f>
        <v/>
      </c>
      <c r="BP27" s="56" t="str">
        <f>IF('⚙ OFF Weekends'!$D$63="OFF","OFF","")</f>
        <v/>
      </c>
      <c r="BQ27" s="54" t="str">
        <f>IF('⚙ OFF Weekends'!$D$64="OFF","OFF","")</f>
        <v/>
      </c>
      <c r="BR27" s="56" t="str">
        <f>IF('⚙ OFF Weekends'!$D$65="OFF","OFF","")</f>
        <v/>
      </c>
      <c r="BS27" s="54" t="str">
        <f>IF('⚙ OFF Weekends'!$D$66="OFF","OFF","")</f>
        <v/>
      </c>
      <c r="BT27" s="56" t="str">
        <f>IF('⚙ OFF Weekends'!$D$67="OFF","OFF","")</f>
        <v/>
      </c>
      <c r="BU27" s="54" t="str">
        <f>IF('⚙ OFF Weekends'!$D$68="OFF","OFF","")</f>
        <v/>
      </c>
      <c r="BV27" s="56" t="str">
        <f>IF('⚙ OFF Weekends'!$D$69="OFF","OFF","")</f>
        <v/>
      </c>
      <c r="BW27" s="54" t="str">
        <f>IF('⚙ OFF Weekends'!$D$70="OFF","OFF","")</f>
        <v/>
      </c>
      <c r="BX27" s="56" t="str">
        <f>IF('⚙ OFF Weekends'!$D$71="OFF","OFF","")</f>
        <v/>
      </c>
      <c r="BY27" s="54" t="str">
        <f>IF('⚙ OFF Weekends'!$D$72="OFF","OFF","")</f>
        <v/>
      </c>
      <c r="BZ27" s="56" t="str">
        <f>IF('⚙ OFF Weekends'!$D$73="OFF","OFF","")</f>
        <v/>
      </c>
      <c r="CA27" s="54" t="str">
        <f>IF('⚙ OFF Weekends'!$D$74="OFF","OFF","")</f>
        <v/>
      </c>
      <c r="CB27" s="56" t="str">
        <f>IF('⚙ OFF Weekends'!$D$75="OFF","OFF","")</f>
        <v/>
      </c>
      <c r="CC27" s="54" t="str">
        <f>IF('⚙ OFF Weekends'!$D$76="OFF","OFF","")</f>
        <v/>
      </c>
      <c r="CD27" s="56" t="str">
        <f>IF('⚙ OFF Weekends'!$D$77="OFF","OFF","")</f>
        <v/>
      </c>
      <c r="CE27" s="95">
        <f t="shared" si="9"/>
        <v>8</v>
      </c>
      <c r="CF27" s="95">
        <f t="shared" si="10"/>
        <v>8</v>
      </c>
      <c r="CG27" s="95">
        <f t="shared" si="11"/>
        <v>2</v>
      </c>
      <c r="CH27" s="95" t="str">
        <f t="shared" si="12"/>
        <v>50%</v>
      </c>
    </row>
    <row r="28" ht="18.0" customHeight="1">
      <c r="A28" s="96">
        <v>8.0</v>
      </c>
      <c r="B28" s="22" t="s">
        <v>570</v>
      </c>
      <c r="C28" s="23" t="s">
        <v>571</v>
      </c>
      <c r="D28" s="24" t="str">
        <f t="shared" si="7"/>
        <v>📞 Call</v>
      </c>
      <c r="E28" s="41" t="str">
        <f t="shared" si="8"/>
        <v>💬 WhatsApp</v>
      </c>
      <c r="F28" s="20" t="s">
        <v>459</v>
      </c>
      <c r="G28" s="20" t="s">
        <v>528</v>
      </c>
      <c r="H28" s="20" t="s">
        <v>320</v>
      </c>
      <c r="I28" s="50" t="s">
        <v>37</v>
      </c>
      <c r="J28" s="50" t="s">
        <v>37</v>
      </c>
      <c r="K28" s="49" t="s">
        <v>197</v>
      </c>
      <c r="L28" s="79" t="s">
        <v>223</v>
      </c>
      <c r="M28" s="50" t="s">
        <v>37</v>
      </c>
      <c r="N28" s="50" t="s">
        <v>37</v>
      </c>
      <c r="O28" s="50" t="s">
        <v>37</v>
      </c>
      <c r="P28" s="50" t="s">
        <v>37</v>
      </c>
      <c r="Q28" s="48" t="s">
        <v>196</v>
      </c>
      <c r="R28" s="48" t="s">
        <v>196</v>
      </c>
      <c r="S28" s="52" t="s">
        <v>196</v>
      </c>
      <c r="T28" s="98" t="s">
        <v>196</v>
      </c>
      <c r="U28" s="52" t="s">
        <v>198</v>
      </c>
      <c r="V28" s="53" t="s">
        <v>198</v>
      </c>
      <c r="W28" s="54" t="str">
        <f>IF('⚙ OFF Weekends'!$D$18="OFF","OFF","")</f>
        <v>OFF</v>
      </c>
      <c r="X28" s="53" t="s">
        <v>223</v>
      </c>
      <c r="Y28" s="52" t="s">
        <v>196</v>
      </c>
      <c r="Z28" s="53" t="s">
        <v>223</v>
      </c>
      <c r="AA28" s="52" t="s">
        <v>196</v>
      </c>
      <c r="AB28" s="53" t="s">
        <v>196</v>
      </c>
      <c r="AC28" s="54" t="str">
        <f>IF('⚙ OFF Weekends'!$D$24="OFF","OFF","")</f>
        <v/>
      </c>
      <c r="AD28" s="56" t="str">
        <f>IF('⚙ OFF Weekends'!$D$25="OFF","OFF","")</f>
        <v/>
      </c>
      <c r="AE28" s="54" t="str">
        <f>IF('⚙ OFF Weekends'!$D$26="OFF","OFF","")</f>
        <v/>
      </c>
      <c r="AF28" s="56" t="str">
        <f>IF('⚙ OFF Weekends'!$D$27="OFF","OFF","")</f>
        <v/>
      </c>
      <c r="AG28" s="54" t="str">
        <f>IF('⚙ OFF Weekends'!$D$28="OFF","OFF","")</f>
        <v/>
      </c>
      <c r="AH28" s="56" t="str">
        <f>IF('⚙ OFF Weekends'!$D$29="OFF","OFF","")</f>
        <v/>
      </c>
      <c r="AI28" s="54" t="str">
        <f>IF('⚙ OFF Weekends'!$D$30="OFF","OFF","")</f>
        <v/>
      </c>
      <c r="AJ28" s="56" t="str">
        <f>IF('⚙ OFF Weekends'!$D$31="OFF","OFF","")</f>
        <v/>
      </c>
      <c r="AK28" s="54" t="str">
        <f>IF('⚙ OFF Weekends'!$D$32="OFF","OFF","")</f>
        <v/>
      </c>
      <c r="AL28" s="56" t="str">
        <f>IF('⚙ OFF Weekends'!$D$33="OFF","OFF","")</f>
        <v/>
      </c>
      <c r="AM28" s="54" t="str">
        <f>IF('⚙ OFF Weekends'!$D$34="OFF","OFF","")</f>
        <v/>
      </c>
      <c r="AN28" s="56" t="str">
        <f>IF('⚙ OFF Weekends'!$D$35="OFF","OFF","")</f>
        <v/>
      </c>
      <c r="AO28" s="54" t="str">
        <f>IF('⚙ OFF Weekends'!$D$36="OFF","OFF","")</f>
        <v/>
      </c>
      <c r="AP28" s="56" t="str">
        <f>IF('⚙ OFF Weekends'!$D$37="OFF","OFF","")</f>
        <v/>
      </c>
      <c r="AQ28" s="54" t="str">
        <f>IF('⚙ OFF Weekends'!$D$38="OFF","OFF","")</f>
        <v/>
      </c>
      <c r="AR28" s="56" t="str">
        <f>IF('⚙ OFF Weekends'!$D$39="OFF","OFF","")</f>
        <v/>
      </c>
      <c r="AS28" s="54" t="str">
        <f>IF('⚙ OFF Weekends'!$D$40="OFF","OFF","")</f>
        <v/>
      </c>
      <c r="AT28" s="56" t="str">
        <f>IF('⚙ OFF Weekends'!$D$41="OFF","OFF","")</f>
        <v/>
      </c>
      <c r="AU28" s="54" t="str">
        <f>IF('⚙ OFF Weekends'!$D$42="OFF","OFF","")</f>
        <v/>
      </c>
      <c r="AV28" s="56" t="str">
        <f>IF('⚙ OFF Weekends'!$D$43="OFF","OFF","")</f>
        <v/>
      </c>
      <c r="AW28" s="54" t="str">
        <f>IF('⚙ OFF Weekends'!$D$44="OFF","OFF","")</f>
        <v/>
      </c>
      <c r="AX28" s="56" t="str">
        <f>IF('⚙ OFF Weekends'!$D$45="OFF","OFF","")</f>
        <v/>
      </c>
      <c r="AY28" s="54" t="str">
        <f>IF('⚙ OFF Weekends'!$D$46="OFF","OFF","")</f>
        <v/>
      </c>
      <c r="AZ28" s="56" t="str">
        <f>IF('⚙ OFF Weekends'!$D$47="OFF","OFF","")</f>
        <v/>
      </c>
      <c r="BA28" s="54" t="str">
        <f>IF('⚙ OFF Weekends'!$D$48="OFF","OFF","")</f>
        <v/>
      </c>
      <c r="BB28" s="56" t="str">
        <f>IF('⚙ OFF Weekends'!$D$49="OFF","OFF","")</f>
        <v/>
      </c>
      <c r="BC28" s="54" t="str">
        <f>IF('⚙ OFF Weekends'!$D$50="OFF","OFF","")</f>
        <v/>
      </c>
      <c r="BD28" s="56" t="str">
        <f>IF('⚙ OFF Weekends'!$D$51="OFF","OFF","")</f>
        <v/>
      </c>
      <c r="BE28" s="54" t="str">
        <f>IF('⚙ OFF Weekends'!$D$52="OFF","OFF","")</f>
        <v/>
      </c>
      <c r="BF28" s="56" t="str">
        <f>IF('⚙ OFF Weekends'!$D$53="OFF","OFF","")</f>
        <v/>
      </c>
      <c r="BG28" s="54" t="str">
        <f>IF('⚙ OFF Weekends'!$D$54="OFF","OFF","")</f>
        <v/>
      </c>
      <c r="BH28" s="56" t="str">
        <f>IF('⚙ OFF Weekends'!$D$55="OFF","OFF","")</f>
        <v/>
      </c>
      <c r="BI28" s="54" t="str">
        <f>IF('⚙ OFF Weekends'!$D$56="OFF","OFF","")</f>
        <v/>
      </c>
      <c r="BJ28" s="56" t="str">
        <f>IF('⚙ OFF Weekends'!$D$57="OFF","OFF","")</f>
        <v/>
      </c>
      <c r="BK28" s="54" t="str">
        <f>IF('⚙ OFF Weekends'!$D$58="OFF","OFF","")</f>
        <v/>
      </c>
      <c r="BL28" s="56" t="str">
        <f>IF('⚙ OFF Weekends'!$D$59="OFF","OFF","")</f>
        <v/>
      </c>
      <c r="BM28" s="54" t="str">
        <f>IF('⚙ OFF Weekends'!$D$60="OFF","OFF","")</f>
        <v/>
      </c>
      <c r="BN28" s="56" t="str">
        <f>IF('⚙ OFF Weekends'!$D$61="OFF","OFF","")</f>
        <v/>
      </c>
      <c r="BO28" s="54" t="str">
        <f>IF('⚙ OFF Weekends'!$D$62="OFF","OFF","")</f>
        <v/>
      </c>
      <c r="BP28" s="56" t="str">
        <f>IF('⚙ OFF Weekends'!$D$63="OFF","OFF","")</f>
        <v/>
      </c>
      <c r="BQ28" s="54" t="str">
        <f>IF('⚙ OFF Weekends'!$D$64="OFF","OFF","")</f>
        <v/>
      </c>
      <c r="BR28" s="56" t="str">
        <f>IF('⚙ OFF Weekends'!$D$65="OFF","OFF","")</f>
        <v/>
      </c>
      <c r="BS28" s="54" t="str">
        <f>IF('⚙ OFF Weekends'!$D$66="OFF","OFF","")</f>
        <v/>
      </c>
      <c r="BT28" s="56" t="str">
        <f>IF('⚙ OFF Weekends'!$D$67="OFF","OFF","")</f>
        <v/>
      </c>
      <c r="BU28" s="54" t="str">
        <f>IF('⚙ OFF Weekends'!$D$68="OFF","OFF","")</f>
        <v/>
      </c>
      <c r="BV28" s="56" t="str">
        <f>IF('⚙ OFF Weekends'!$D$69="OFF","OFF","")</f>
        <v/>
      </c>
      <c r="BW28" s="54" t="str">
        <f>IF('⚙ OFF Weekends'!$D$70="OFF","OFF","")</f>
        <v/>
      </c>
      <c r="BX28" s="56" t="str">
        <f>IF('⚙ OFF Weekends'!$D$71="OFF","OFF","")</f>
        <v/>
      </c>
      <c r="BY28" s="54" t="str">
        <f>IF('⚙ OFF Weekends'!$D$72="OFF","OFF","")</f>
        <v/>
      </c>
      <c r="BZ28" s="56" t="str">
        <f>IF('⚙ OFF Weekends'!$D$73="OFF","OFF","")</f>
        <v/>
      </c>
      <c r="CA28" s="54" t="str">
        <f>IF('⚙ OFF Weekends'!$D$74="OFF","OFF","")</f>
        <v/>
      </c>
      <c r="CB28" s="56" t="str">
        <f>IF('⚙ OFF Weekends'!$D$75="OFF","OFF","")</f>
        <v/>
      </c>
      <c r="CC28" s="54" t="str">
        <f>IF('⚙ OFF Weekends'!$D$76="OFF","OFF","")</f>
        <v/>
      </c>
      <c r="CD28" s="56" t="str">
        <f>IF('⚙ OFF Weekends'!$D$77="OFF","OFF","")</f>
        <v/>
      </c>
      <c r="CE28" s="96">
        <f t="shared" si="9"/>
        <v>13</v>
      </c>
      <c r="CF28" s="96">
        <f t="shared" si="10"/>
        <v>3</v>
      </c>
      <c r="CG28" s="96">
        <f t="shared" si="11"/>
        <v>2</v>
      </c>
      <c r="CH28" s="96" t="str">
        <f t="shared" si="12"/>
        <v>81%</v>
      </c>
    </row>
    <row r="29" ht="18.0" customHeight="1">
      <c r="A29" s="95">
        <v>9.0</v>
      </c>
      <c r="B29" s="12" t="s">
        <v>578</v>
      </c>
      <c r="C29" s="14" t="s">
        <v>579</v>
      </c>
      <c r="D29" s="17" t="str">
        <f t="shared" si="7"/>
        <v>📞 Call</v>
      </c>
      <c r="E29" s="19" t="str">
        <f t="shared" si="8"/>
        <v>💬 WhatsApp</v>
      </c>
      <c r="F29" s="10" t="s">
        <v>459</v>
      </c>
      <c r="G29" s="10" t="s">
        <v>528</v>
      </c>
      <c r="H29" s="10" t="s">
        <v>330</v>
      </c>
      <c r="I29" s="79" t="s">
        <v>223</v>
      </c>
      <c r="J29" s="77" t="s">
        <v>198</v>
      </c>
      <c r="K29" s="49" t="s">
        <v>197</v>
      </c>
      <c r="L29" s="77" t="s">
        <v>198</v>
      </c>
      <c r="M29" s="50" t="s">
        <v>37</v>
      </c>
      <c r="N29" s="50" t="s">
        <v>37</v>
      </c>
      <c r="O29" s="79" t="s">
        <v>223</v>
      </c>
      <c r="P29" s="50" t="s">
        <v>37</v>
      </c>
      <c r="Q29" s="48" t="s">
        <v>196</v>
      </c>
      <c r="R29" s="48" t="s">
        <v>196</v>
      </c>
      <c r="S29" s="52" t="s">
        <v>196</v>
      </c>
      <c r="T29" s="98" t="s">
        <v>196</v>
      </c>
      <c r="U29" s="52" t="s">
        <v>223</v>
      </c>
      <c r="V29" s="53" t="s">
        <v>198</v>
      </c>
      <c r="W29" s="54" t="str">
        <f>IF('⚙ OFF Weekends'!$D$18="OFF","OFF","")</f>
        <v>OFF</v>
      </c>
      <c r="X29" s="53" t="s">
        <v>198</v>
      </c>
      <c r="Y29" s="52" t="s">
        <v>198</v>
      </c>
      <c r="Z29" s="53" t="s">
        <v>198</v>
      </c>
      <c r="AA29" s="52" t="s">
        <v>198</v>
      </c>
      <c r="AB29" s="53" t="s">
        <v>198</v>
      </c>
      <c r="AC29" s="54" t="str">
        <f>IF('⚙ OFF Weekends'!$D$24="OFF","OFF","")</f>
        <v/>
      </c>
      <c r="AD29" s="56" t="str">
        <f>IF('⚙ OFF Weekends'!$D$25="OFF","OFF","")</f>
        <v/>
      </c>
      <c r="AE29" s="54" t="str">
        <f>IF('⚙ OFF Weekends'!$D$26="OFF","OFF","")</f>
        <v/>
      </c>
      <c r="AF29" s="56" t="str">
        <f>IF('⚙ OFF Weekends'!$D$27="OFF","OFF","")</f>
        <v/>
      </c>
      <c r="AG29" s="54" t="str">
        <f>IF('⚙ OFF Weekends'!$D$28="OFF","OFF","")</f>
        <v/>
      </c>
      <c r="AH29" s="56" t="str">
        <f>IF('⚙ OFF Weekends'!$D$29="OFF","OFF","")</f>
        <v/>
      </c>
      <c r="AI29" s="54" t="str">
        <f>IF('⚙ OFF Weekends'!$D$30="OFF","OFF","")</f>
        <v/>
      </c>
      <c r="AJ29" s="56" t="str">
        <f>IF('⚙ OFF Weekends'!$D$31="OFF","OFF","")</f>
        <v/>
      </c>
      <c r="AK29" s="54" t="str">
        <f>IF('⚙ OFF Weekends'!$D$32="OFF","OFF","")</f>
        <v/>
      </c>
      <c r="AL29" s="56" t="str">
        <f>IF('⚙ OFF Weekends'!$D$33="OFF","OFF","")</f>
        <v/>
      </c>
      <c r="AM29" s="54" t="str">
        <f>IF('⚙ OFF Weekends'!$D$34="OFF","OFF","")</f>
        <v/>
      </c>
      <c r="AN29" s="56" t="str">
        <f>IF('⚙ OFF Weekends'!$D$35="OFF","OFF","")</f>
        <v/>
      </c>
      <c r="AO29" s="54" t="str">
        <f>IF('⚙ OFF Weekends'!$D$36="OFF","OFF","")</f>
        <v/>
      </c>
      <c r="AP29" s="56" t="str">
        <f>IF('⚙ OFF Weekends'!$D$37="OFF","OFF","")</f>
        <v/>
      </c>
      <c r="AQ29" s="54" t="str">
        <f>IF('⚙ OFF Weekends'!$D$38="OFF","OFF","")</f>
        <v/>
      </c>
      <c r="AR29" s="56" t="str">
        <f>IF('⚙ OFF Weekends'!$D$39="OFF","OFF","")</f>
        <v/>
      </c>
      <c r="AS29" s="54" t="str">
        <f>IF('⚙ OFF Weekends'!$D$40="OFF","OFF","")</f>
        <v/>
      </c>
      <c r="AT29" s="56" t="str">
        <f>IF('⚙ OFF Weekends'!$D$41="OFF","OFF","")</f>
        <v/>
      </c>
      <c r="AU29" s="54" t="str">
        <f>IF('⚙ OFF Weekends'!$D$42="OFF","OFF","")</f>
        <v/>
      </c>
      <c r="AV29" s="56" t="str">
        <f>IF('⚙ OFF Weekends'!$D$43="OFF","OFF","")</f>
        <v/>
      </c>
      <c r="AW29" s="54" t="str">
        <f>IF('⚙ OFF Weekends'!$D$44="OFF","OFF","")</f>
        <v/>
      </c>
      <c r="AX29" s="56" t="str">
        <f>IF('⚙ OFF Weekends'!$D$45="OFF","OFF","")</f>
        <v/>
      </c>
      <c r="AY29" s="54" t="str">
        <f>IF('⚙ OFF Weekends'!$D$46="OFF","OFF","")</f>
        <v/>
      </c>
      <c r="AZ29" s="56" t="str">
        <f>IF('⚙ OFF Weekends'!$D$47="OFF","OFF","")</f>
        <v/>
      </c>
      <c r="BA29" s="54" t="str">
        <f>IF('⚙ OFF Weekends'!$D$48="OFF","OFF","")</f>
        <v/>
      </c>
      <c r="BB29" s="56" t="str">
        <f>IF('⚙ OFF Weekends'!$D$49="OFF","OFF","")</f>
        <v/>
      </c>
      <c r="BC29" s="54" t="str">
        <f>IF('⚙ OFF Weekends'!$D$50="OFF","OFF","")</f>
        <v/>
      </c>
      <c r="BD29" s="56" t="str">
        <f>IF('⚙ OFF Weekends'!$D$51="OFF","OFF","")</f>
        <v/>
      </c>
      <c r="BE29" s="54" t="str">
        <f>IF('⚙ OFF Weekends'!$D$52="OFF","OFF","")</f>
        <v/>
      </c>
      <c r="BF29" s="56" t="str">
        <f>IF('⚙ OFF Weekends'!$D$53="OFF","OFF","")</f>
        <v/>
      </c>
      <c r="BG29" s="54" t="str">
        <f>IF('⚙ OFF Weekends'!$D$54="OFF","OFF","")</f>
        <v/>
      </c>
      <c r="BH29" s="56" t="str">
        <f>IF('⚙ OFF Weekends'!$D$55="OFF","OFF","")</f>
        <v/>
      </c>
      <c r="BI29" s="54" t="str">
        <f>IF('⚙ OFF Weekends'!$D$56="OFF","OFF","")</f>
        <v/>
      </c>
      <c r="BJ29" s="56" t="str">
        <f>IF('⚙ OFF Weekends'!$D$57="OFF","OFF","")</f>
        <v/>
      </c>
      <c r="BK29" s="54" t="str">
        <f>IF('⚙ OFF Weekends'!$D$58="OFF","OFF","")</f>
        <v/>
      </c>
      <c r="BL29" s="56" t="str">
        <f>IF('⚙ OFF Weekends'!$D$59="OFF","OFF","")</f>
        <v/>
      </c>
      <c r="BM29" s="54" t="str">
        <f>IF('⚙ OFF Weekends'!$D$60="OFF","OFF","")</f>
        <v/>
      </c>
      <c r="BN29" s="56" t="str">
        <f>IF('⚙ OFF Weekends'!$D$61="OFF","OFF","")</f>
        <v/>
      </c>
      <c r="BO29" s="54" t="str">
        <f>IF('⚙ OFF Weekends'!$D$62="OFF","OFF","")</f>
        <v/>
      </c>
      <c r="BP29" s="56" t="str">
        <f>IF('⚙ OFF Weekends'!$D$63="OFF","OFF","")</f>
        <v/>
      </c>
      <c r="BQ29" s="54" t="str">
        <f>IF('⚙ OFF Weekends'!$D$64="OFF","OFF","")</f>
        <v/>
      </c>
      <c r="BR29" s="56" t="str">
        <f>IF('⚙ OFF Weekends'!$D$65="OFF","OFF","")</f>
        <v/>
      </c>
      <c r="BS29" s="54" t="str">
        <f>IF('⚙ OFF Weekends'!$D$66="OFF","OFF","")</f>
        <v/>
      </c>
      <c r="BT29" s="56" t="str">
        <f>IF('⚙ OFF Weekends'!$D$67="OFF","OFF","")</f>
        <v/>
      </c>
      <c r="BU29" s="54" t="str">
        <f>IF('⚙ OFF Weekends'!$D$68="OFF","OFF","")</f>
        <v/>
      </c>
      <c r="BV29" s="56" t="str">
        <f>IF('⚙ OFF Weekends'!$D$69="OFF","OFF","")</f>
        <v/>
      </c>
      <c r="BW29" s="54" t="str">
        <f>IF('⚙ OFF Weekends'!$D$70="OFF","OFF","")</f>
        <v/>
      </c>
      <c r="BX29" s="56" t="str">
        <f>IF('⚙ OFF Weekends'!$D$71="OFF","OFF","")</f>
        <v/>
      </c>
      <c r="BY29" s="54" t="str">
        <f>IF('⚙ OFF Weekends'!$D$72="OFF","OFF","")</f>
        <v/>
      </c>
      <c r="BZ29" s="56" t="str">
        <f>IF('⚙ OFF Weekends'!$D$73="OFF","OFF","")</f>
        <v/>
      </c>
      <c r="CA29" s="54" t="str">
        <f>IF('⚙ OFF Weekends'!$D$74="OFF","OFF","")</f>
        <v/>
      </c>
      <c r="CB29" s="56" t="str">
        <f>IF('⚙ OFF Weekends'!$D$75="OFF","OFF","")</f>
        <v/>
      </c>
      <c r="CC29" s="54" t="str">
        <f>IF('⚙ OFF Weekends'!$D$76="OFF","OFF","")</f>
        <v/>
      </c>
      <c r="CD29" s="56" t="str">
        <f>IF('⚙ OFF Weekends'!$D$77="OFF","OFF","")</f>
        <v/>
      </c>
      <c r="CE29" s="95">
        <f t="shared" si="9"/>
        <v>7</v>
      </c>
      <c r="CF29" s="95">
        <f t="shared" si="10"/>
        <v>3</v>
      </c>
      <c r="CG29" s="95">
        <f t="shared" si="11"/>
        <v>8</v>
      </c>
      <c r="CH29" s="95" t="str">
        <f t="shared" si="12"/>
        <v>70%</v>
      </c>
    </row>
    <row r="30" ht="18.0" customHeight="1">
      <c r="A30" s="96">
        <v>10.0</v>
      </c>
      <c r="B30" s="22" t="s">
        <v>583</v>
      </c>
      <c r="C30" s="23" t="s">
        <v>527</v>
      </c>
      <c r="D30" s="24" t="str">
        <f t="shared" si="7"/>
        <v>📞 Call</v>
      </c>
      <c r="E30" s="41" t="str">
        <f t="shared" si="8"/>
        <v>💬 WhatsApp</v>
      </c>
      <c r="F30" s="20" t="s">
        <v>459</v>
      </c>
      <c r="G30" s="20" t="s">
        <v>584</v>
      </c>
      <c r="H30" s="20"/>
      <c r="I30" s="79" t="s">
        <v>223</v>
      </c>
      <c r="J30" s="50" t="s">
        <v>37</v>
      </c>
      <c r="K30" s="49" t="s">
        <v>197</v>
      </c>
      <c r="L30" s="79" t="s">
        <v>223</v>
      </c>
      <c r="M30" s="50" t="s">
        <v>37</v>
      </c>
      <c r="N30" s="50" t="s">
        <v>37</v>
      </c>
      <c r="O30" s="50" t="s">
        <v>37</v>
      </c>
      <c r="P30" s="48" t="s">
        <v>196</v>
      </c>
      <c r="Q30" s="77" t="s">
        <v>198</v>
      </c>
      <c r="R30" s="50" t="s">
        <v>37</v>
      </c>
      <c r="S30" s="52" t="s">
        <v>37</v>
      </c>
      <c r="T30" s="98" t="s">
        <v>196</v>
      </c>
      <c r="U30" s="52" t="s">
        <v>37</v>
      </c>
      <c r="V30" s="53" t="s">
        <v>196</v>
      </c>
      <c r="W30" s="54" t="str">
        <f>IF('⚙ OFF Weekends'!$D$18="OFF","OFF","")</f>
        <v>OFF</v>
      </c>
      <c r="X30" s="53" t="s">
        <v>223</v>
      </c>
      <c r="Y30" s="52" t="s">
        <v>37</v>
      </c>
      <c r="Z30" s="53" t="s">
        <v>196</v>
      </c>
      <c r="AA30" s="52" t="s">
        <v>196</v>
      </c>
      <c r="AB30" s="53" t="s">
        <v>198</v>
      </c>
      <c r="AC30" s="54" t="str">
        <f>IF('⚙ OFF Weekends'!$D$24="OFF","OFF","")</f>
        <v/>
      </c>
      <c r="AD30" s="56" t="str">
        <f>IF('⚙ OFF Weekends'!$D$25="OFF","OFF","")</f>
        <v/>
      </c>
      <c r="AE30" s="54" t="str">
        <f>IF('⚙ OFF Weekends'!$D$26="OFF","OFF","")</f>
        <v/>
      </c>
      <c r="AF30" s="56" t="str">
        <f>IF('⚙ OFF Weekends'!$D$27="OFF","OFF","")</f>
        <v/>
      </c>
      <c r="AG30" s="54" t="str">
        <f>IF('⚙ OFF Weekends'!$D$28="OFF","OFF","")</f>
        <v/>
      </c>
      <c r="AH30" s="56" t="str">
        <f>IF('⚙ OFF Weekends'!$D$29="OFF","OFF","")</f>
        <v/>
      </c>
      <c r="AI30" s="54" t="str">
        <f>IF('⚙ OFF Weekends'!$D$30="OFF","OFF","")</f>
        <v/>
      </c>
      <c r="AJ30" s="56" t="str">
        <f>IF('⚙ OFF Weekends'!$D$31="OFF","OFF","")</f>
        <v/>
      </c>
      <c r="AK30" s="54" t="str">
        <f>IF('⚙ OFF Weekends'!$D$32="OFF","OFF","")</f>
        <v/>
      </c>
      <c r="AL30" s="56" t="str">
        <f>IF('⚙ OFF Weekends'!$D$33="OFF","OFF","")</f>
        <v/>
      </c>
      <c r="AM30" s="54" t="str">
        <f>IF('⚙ OFF Weekends'!$D$34="OFF","OFF","")</f>
        <v/>
      </c>
      <c r="AN30" s="56" t="str">
        <f>IF('⚙ OFF Weekends'!$D$35="OFF","OFF","")</f>
        <v/>
      </c>
      <c r="AO30" s="54" t="str">
        <f>IF('⚙ OFF Weekends'!$D$36="OFF","OFF","")</f>
        <v/>
      </c>
      <c r="AP30" s="56" t="str">
        <f>IF('⚙ OFF Weekends'!$D$37="OFF","OFF","")</f>
        <v/>
      </c>
      <c r="AQ30" s="54" t="str">
        <f>IF('⚙ OFF Weekends'!$D$38="OFF","OFF","")</f>
        <v/>
      </c>
      <c r="AR30" s="56" t="str">
        <f>IF('⚙ OFF Weekends'!$D$39="OFF","OFF","")</f>
        <v/>
      </c>
      <c r="AS30" s="54" t="str">
        <f>IF('⚙ OFF Weekends'!$D$40="OFF","OFF","")</f>
        <v/>
      </c>
      <c r="AT30" s="56" t="str">
        <f>IF('⚙ OFF Weekends'!$D$41="OFF","OFF","")</f>
        <v/>
      </c>
      <c r="AU30" s="54" t="str">
        <f>IF('⚙ OFF Weekends'!$D$42="OFF","OFF","")</f>
        <v/>
      </c>
      <c r="AV30" s="56" t="str">
        <f>IF('⚙ OFF Weekends'!$D$43="OFF","OFF","")</f>
        <v/>
      </c>
      <c r="AW30" s="54" t="str">
        <f>IF('⚙ OFF Weekends'!$D$44="OFF","OFF","")</f>
        <v/>
      </c>
      <c r="AX30" s="56" t="str">
        <f>IF('⚙ OFF Weekends'!$D$45="OFF","OFF","")</f>
        <v/>
      </c>
      <c r="AY30" s="54" t="str">
        <f>IF('⚙ OFF Weekends'!$D$46="OFF","OFF","")</f>
        <v/>
      </c>
      <c r="AZ30" s="56" t="str">
        <f>IF('⚙ OFF Weekends'!$D$47="OFF","OFF","")</f>
        <v/>
      </c>
      <c r="BA30" s="54" t="str">
        <f>IF('⚙ OFF Weekends'!$D$48="OFF","OFF","")</f>
        <v/>
      </c>
      <c r="BB30" s="56" t="str">
        <f>IF('⚙ OFF Weekends'!$D$49="OFF","OFF","")</f>
        <v/>
      </c>
      <c r="BC30" s="54" t="str">
        <f>IF('⚙ OFF Weekends'!$D$50="OFF","OFF","")</f>
        <v/>
      </c>
      <c r="BD30" s="56" t="str">
        <f>IF('⚙ OFF Weekends'!$D$51="OFF","OFF","")</f>
        <v/>
      </c>
      <c r="BE30" s="54" t="str">
        <f>IF('⚙ OFF Weekends'!$D$52="OFF","OFF","")</f>
        <v/>
      </c>
      <c r="BF30" s="56" t="str">
        <f>IF('⚙ OFF Weekends'!$D$53="OFF","OFF","")</f>
        <v/>
      </c>
      <c r="BG30" s="54" t="str">
        <f>IF('⚙ OFF Weekends'!$D$54="OFF","OFF","")</f>
        <v/>
      </c>
      <c r="BH30" s="56" t="str">
        <f>IF('⚙ OFF Weekends'!$D$55="OFF","OFF","")</f>
        <v/>
      </c>
      <c r="BI30" s="54" t="str">
        <f>IF('⚙ OFF Weekends'!$D$56="OFF","OFF","")</f>
        <v/>
      </c>
      <c r="BJ30" s="56" t="str">
        <f>IF('⚙ OFF Weekends'!$D$57="OFF","OFF","")</f>
        <v/>
      </c>
      <c r="BK30" s="54" t="str">
        <f>IF('⚙ OFF Weekends'!$D$58="OFF","OFF","")</f>
        <v/>
      </c>
      <c r="BL30" s="56" t="str">
        <f>IF('⚙ OFF Weekends'!$D$59="OFF","OFF","")</f>
        <v/>
      </c>
      <c r="BM30" s="54" t="str">
        <f>IF('⚙ OFF Weekends'!$D$60="OFF","OFF","")</f>
        <v/>
      </c>
      <c r="BN30" s="56" t="str">
        <f>IF('⚙ OFF Weekends'!$D$61="OFF","OFF","")</f>
        <v/>
      </c>
      <c r="BO30" s="54" t="str">
        <f>IF('⚙ OFF Weekends'!$D$62="OFF","OFF","")</f>
        <v/>
      </c>
      <c r="BP30" s="56" t="str">
        <f>IF('⚙ OFF Weekends'!$D$63="OFF","OFF","")</f>
        <v/>
      </c>
      <c r="BQ30" s="54" t="str">
        <f>IF('⚙ OFF Weekends'!$D$64="OFF","OFF","")</f>
        <v/>
      </c>
      <c r="BR30" s="56" t="str">
        <f>IF('⚙ OFF Weekends'!$D$65="OFF","OFF","")</f>
        <v/>
      </c>
      <c r="BS30" s="54" t="str">
        <f>IF('⚙ OFF Weekends'!$D$66="OFF","OFF","")</f>
        <v/>
      </c>
      <c r="BT30" s="56" t="str">
        <f>IF('⚙ OFF Weekends'!$D$67="OFF","OFF","")</f>
        <v/>
      </c>
      <c r="BU30" s="54" t="str">
        <f>IF('⚙ OFF Weekends'!$D$68="OFF","OFF","")</f>
        <v/>
      </c>
      <c r="BV30" s="56" t="str">
        <f>IF('⚙ OFF Weekends'!$D$69="OFF","OFF","")</f>
        <v/>
      </c>
      <c r="BW30" s="54" t="str">
        <f>IF('⚙ OFF Weekends'!$D$70="OFF","OFF","")</f>
        <v/>
      </c>
      <c r="BX30" s="56" t="str">
        <f>IF('⚙ OFF Weekends'!$D$71="OFF","OFF","")</f>
        <v/>
      </c>
      <c r="BY30" s="54" t="str">
        <f>IF('⚙ OFF Weekends'!$D$72="OFF","OFF","")</f>
        <v/>
      </c>
      <c r="BZ30" s="56" t="str">
        <f>IF('⚙ OFF Weekends'!$D$73="OFF","OFF","")</f>
        <v/>
      </c>
      <c r="CA30" s="54" t="str">
        <f>IF('⚙ OFF Weekends'!$D$74="OFF","OFF","")</f>
        <v/>
      </c>
      <c r="CB30" s="56" t="str">
        <f>IF('⚙ OFF Weekends'!$D$75="OFF","OFF","")</f>
        <v/>
      </c>
      <c r="CC30" s="54" t="str">
        <f>IF('⚙ OFF Weekends'!$D$76="OFF","OFF","")</f>
        <v/>
      </c>
      <c r="CD30" s="56" t="str">
        <f>IF('⚙ OFF Weekends'!$D$77="OFF","OFF","")</f>
        <v/>
      </c>
      <c r="CE30" s="96">
        <f t="shared" si="9"/>
        <v>13</v>
      </c>
      <c r="CF30" s="96">
        <f t="shared" si="10"/>
        <v>3</v>
      </c>
      <c r="CG30" s="96">
        <f t="shared" si="11"/>
        <v>2</v>
      </c>
      <c r="CH30" s="96" t="str">
        <f t="shared" si="12"/>
        <v>81%</v>
      </c>
    </row>
    <row r="31" ht="18.0" customHeight="1">
      <c r="A31" s="95">
        <v>11.0</v>
      </c>
      <c r="B31" s="12" t="s">
        <v>586</v>
      </c>
      <c r="C31" s="14" t="s">
        <v>587</v>
      </c>
      <c r="D31" s="17" t="str">
        <f t="shared" si="7"/>
        <v>📞 Call</v>
      </c>
      <c r="E31" s="19" t="str">
        <f t="shared" si="8"/>
        <v>💬 WhatsApp</v>
      </c>
      <c r="F31" s="10" t="s">
        <v>459</v>
      </c>
      <c r="G31" s="10" t="s">
        <v>584</v>
      </c>
      <c r="H31" s="10"/>
      <c r="I31" s="79" t="s">
        <v>223</v>
      </c>
      <c r="J31" s="79" t="s">
        <v>223</v>
      </c>
      <c r="K31" s="49" t="s">
        <v>197</v>
      </c>
      <c r="L31" s="130" t="s">
        <v>296</v>
      </c>
      <c r="M31" s="130" t="s">
        <v>296</v>
      </c>
      <c r="N31" s="130" t="s">
        <v>296</v>
      </c>
      <c r="O31" s="130" t="s">
        <v>296</v>
      </c>
      <c r="P31" s="130" t="s">
        <v>296</v>
      </c>
      <c r="Q31" s="130" t="s">
        <v>296</v>
      </c>
      <c r="R31" s="130" t="s">
        <v>296</v>
      </c>
      <c r="S31" s="52" t="s">
        <v>296</v>
      </c>
      <c r="T31" s="98" t="s">
        <v>296</v>
      </c>
      <c r="U31" s="98" t="s">
        <v>296</v>
      </c>
      <c r="V31" s="98" t="s">
        <v>296</v>
      </c>
      <c r="W31" s="98" t="s">
        <v>296</v>
      </c>
      <c r="X31" s="98" t="s">
        <v>296</v>
      </c>
      <c r="Y31" s="98" t="s">
        <v>296</v>
      </c>
      <c r="Z31" s="98" t="s">
        <v>296</v>
      </c>
      <c r="AA31" s="98" t="s">
        <v>296</v>
      </c>
      <c r="AB31" s="98" t="s">
        <v>296</v>
      </c>
      <c r="AC31" s="98" t="s">
        <v>296</v>
      </c>
      <c r="AD31" s="98" t="s">
        <v>296</v>
      </c>
      <c r="AE31" s="98" t="s">
        <v>296</v>
      </c>
      <c r="AF31" s="98" t="s">
        <v>296</v>
      </c>
      <c r="AG31" s="98" t="s">
        <v>296</v>
      </c>
      <c r="AH31" s="98" t="s">
        <v>296</v>
      </c>
      <c r="AI31" s="54" t="str">
        <f>IF('⚙ OFF Weekends'!$D$30="OFF","OFF","")</f>
        <v/>
      </c>
      <c r="AJ31" s="56" t="str">
        <f>IF('⚙ OFF Weekends'!$D$31="OFF","OFF","")</f>
        <v/>
      </c>
      <c r="AK31" s="54" t="str">
        <f>IF('⚙ OFF Weekends'!$D$32="OFF","OFF","")</f>
        <v/>
      </c>
      <c r="AL31" s="56" t="str">
        <f>IF('⚙ OFF Weekends'!$D$33="OFF","OFF","")</f>
        <v/>
      </c>
      <c r="AM31" s="54" t="str">
        <f>IF('⚙ OFF Weekends'!$D$34="OFF","OFF","")</f>
        <v/>
      </c>
      <c r="AN31" s="56" t="str">
        <f>IF('⚙ OFF Weekends'!$D$35="OFF","OFF","")</f>
        <v/>
      </c>
      <c r="AO31" s="54" t="str">
        <f>IF('⚙ OFF Weekends'!$D$36="OFF","OFF","")</f>
        <v/>
      </c>
      <c r="AP31" s="56" t="str">
        <f>IF('⚙ OFF Weekends'!$D$37="OFF","OFF","")</f>
        <v/>
      </c>
      <c r="AQ31" s="54" t="str">
        <f>IF('⚙ OFF Weekends'!$D$38="OFF","OFF","")</f>
        <v/>
      </c>
      <c r="AR31" s="56" t="str">
        <f>IF('⚙ OFF Weekends'!$D$39="OFF","OFF","")</f>
        <v/>
      </c>
      <c r="AS31" s="54" t="str">
        <f>IF('⚙ OFF Weekends'!$D$40="OFF","OFF","")</f>
        <v/>
      </c>
      <c r="AT31" s="56" t="str">
        <f>IF('⚙ OFF Weekends'!$D$41="OFF","OFF","")</f>
        <v/>
      </c>
      <c r="AU31" s="54" t="str">
        <f>IF('⚙ OFF Weekends'!$D$42="OFF","OFF","")</f>
        <v/>
      </c>
      <c r="AV31" s="56" t="str">
        <f>IF('⚙ OFF Weekends'!$D$43="OFF","OFF","")</f>
        <v/>
      </c>
      <c r="AW31" s="54" t="str">
        <f>IF('⚙ OFF Weekends'!$D$44="OFF","OFF","")</f>
        <v/>
      </c>
      <c r="AX31" s="56" t="str">
        <f>IF('⚙ OFF Weekends'!$D$45="OFF","OFF","")</f>
        <v/>
      </c>
      <c r="AY31" s="54" t="str">
        <f>IF('⚙ OFF Weekends'!$D$46="OFF","OFF","")</f>
        <v/>
      </c>
      <c r="AZ31" s="56" t="str">
        <f>IF('⚙ OFF Weekends'!$D$47="OFF","OFF","")</f>
        <v/>
      </c>
      <c r="BA31" s="54" t="str">
        <f>IF('⚙ OFF Weekends'!$D$48="OFF","OFF","")</f>
        <v/>
      </c>
      <c r="BB31" s="56" t="str">
        <f>IF('⚙ OFF Weekends'!$D$49="OFF","OFF","")</f>
        <v/>
      </c>
      <c r="BC31" s="54" t="str">
        <f>IF('⚙ OFF Weekends'!$D$50="OFF","OFF","")</f>
        <v/>
      </c>
      <c r="BD31" s="56" t="str">
        <f>IF('⚙ OFF Weekends'!$D$51="OFF","OFF","")</f>
        <v/>
      </c>
      <c r="BE31" s="54" t="str">
        <f>IF('⚙ OFF Weekends'!$D$52="OFF","OFF","")</f>
        <v/>
      </c>
      <c r="BF31" s="56" t="str">
        <f>IF('⚙ OFF Weekends'!$D$53="OFF","OFF","")</f>
        <v/>
      </c>
      <c r="BG31" s="54" t="str">
        <f>IF('⚙ OFF Weekends'!$D$54="OFF","OFF","")</f>
        <v/>
      </c>
      <c r="BH31" s="56" t="str">
        <f>IF('⚙ OFF Weekends'!$D$55="OFF","OFF","")</f>
        <v/>
      </c>
      <c r="BI31" s="54" t="str">
        <f>IF('⚙ OFF Weekends'!$D$56="OFF","OFF","")</f>
        <v/>
      </c>
      <c r="BJ31" s="56" t="str">
        <f>IF('⚙ OFF Weekends'!$D$57="OFF","OFF","")</f>
        <v/>
      </c>
      <c r="BK31" s="54" t="str">
        <f>IF('⚙ OFF Weekends'!$D$58="OFF","OFF","")</f>
        <v/>
      </c>
      <c r="BL31" s="56" t="str">
        <f>IF('⚙ OFF Weekends'!$D$59="OFF","OFF","")</f>
        <v/>
      </c>
      <c r="BM31" s="54" t="str">
        <f>IF('⚙ OFF Weekends'!$D$60="OFF","OFF","")</f>
        <v/>
      </c>
      <c r="BN31" s="56" t="str">
        <f>IF('⚙ OFF Weekends'!$D$61="OFF","OFF","")</f>
        <v/>
      </c>
      <c r="BO31" s="54" t="str">
        <f>IF('⚙ OFF Weekends'!$D$62="OFF","OFF","")</f>
        <v/>
      </c>
      <c r="BP31" s="56" t="str">
        <f>IF('⚙ OFF Weekends'!$D$63="OFF","OFF","")</f>
        <v/>
      </c>
      <c r="BQ31" s="54" t="str">
        <f>IF('⚙ OFF Weekends'!$D$64="OFF","OFF","")</f>
        <v/>
      </c>
      <c r="BR31" s="56" t="str">
        <f>IF('⚙ OFF Weekends'!$D$65="OFF","OFF","")</f>
        <v/>
      </c>
      <c r="BS31" s="54" t="str">
        <f>IF('⚙ OFF Weekends'!$D$66="OFF","OFF","")</f>
        <v/>
      </c>
      <c r="BT31" s="56" t="str">
        <f>IF('⚙ OFF Weekends'!$D$67="OFF","OFF","")</f>
        <v/>
      </c>
      <c r="BU31" s="54" t="str">
        <f>IF('⚙ OFF Weekends'!$D$68="OFF","OFF","")</f>
        <v/>
      </c>
      <c r="BV31" s="56" t="str">
        <f>IF('⚙ OFF Weekends'!$D$69="OFF","OFF","")</f>
        <v/>
      </c>
      <c r="BW31" s="54" t="str">
        <f>IF('⚙ OFF Weekends'!$D$70="OFF","OFF","")</f>
        <v/>
      </c>
      <c r="BX31" s="56" t="str">
        <f>IF('⚙ OFF Weekends'!$D$71="OFF","OFF","")</f>
        <v/>
      </c>
      <c r="BY31" s="54" t="str">
        <f>IF('⚙ OFF Weekends'!$D$72="OFF","OFF","")</f>
        <v/>
      </c>
      <c r="BZ31" s="56" t="str">
        <f>IF('⚙ OFF Weekends'!$D$73="OFF","OFF","")</f>
        <v/>
      </c>
      <c r="CA31" s="54" t="str">
        <f>IF('⚙ OFF Weekends'!$D$74="OFF","OFF","")</f>
        <v/>
      </c>
      <c r="CB31" s="56" t="str">
        <f>IF('⚙ OFF Weekends'!$D$75="OFF","OFF","")</f>
        <v/>
      </c>
      <c r="CC31" s="54" t="str">
        <f>IF('⚙ OFF Weekends'!$D$76="OFF","OFF","")</f>
        <v/>
      </c>
      <c r="CD31" s="56" t="str">
        <f>IF('⚙ OFF Weekends'!$D$77="OFF","OFF","")</f>
        <v/>
      </c>
      <c r="CE31" s="95">
        <f t="shared" si="9"/>
        <v>0</v>
      </c>
      <c r="CF31" s="95">
        <f t="shared" si="10"/>
        <v>2</v>
      </c>
      <c r="CG31" s="95">
        <f t="shared" si="11"/>
        <v>0</v>
      </c>
      <c r="CH31" s="95" t="str">
        <f t="shared" si="12"/>
        <v>0%</v>
      </c>
    </row>
    <row r="32" ht="18.0" customHeight="1">
      <c r="A32" s="96">
        <v>12.0</v>
      </c>
      <c r="B32" s="22" t="s">
        <v>495</v>
      </c>
      <c r="C32" s="23" t="s">
        <v>593</v>
      </c>
      <c r="D32" s="24" t="str">
        <f t="shared" si="7"/>
        <v>📞 Call</v>
      </c>
      <c r="E32" s="41" t="str">
        <f t="shared" si="8"/>
        <v>💬 WhatsApp</v>
      </c>
      <c r="F32" s="20" t="s">
        <v>459</v>
      </c>
      <c r="G32" s="20" t="s">
        <v>275</v>
      </c>
      <c r="H32" s="20" t="s">
        <v>594</v>
      </c>
      <c r="I32" s="50" t="s">
        <v>37</v>
      </c>
      <c r="J32" s="79" t="s">
        <v>223</v>
      </c>
      <c r="K32" s="49" t="s">
        <v>197</v>
      </c>
      <c r="L32" s="79" t="s">
        <v>223</v>
      </c>
      <c r="M32" s="79" t="s">
        <v>223</v>
      </c>
      <c r="N32" s="50" t="s">
        <v>37</v>
      </c>
      <c r="O32" s="79" t="s">
        <v>223</v>
      </c>
      <c r="P32" s="79" t="s">
        <v>223</v>
      </c>
      <c r="Q32" s="50" t="s">
        <v>37</v>
      </c>
      <c r="R32" s="79" t="s">
        <v>223</v>
      </c>
      <c r="S32" s="52" t="s">
        <v>37</v>
      </c>
      <c r="T32" s="98" t="s">
        <v>196</v>
      </c>
      <c r="U32" s="52" t="s">
        <v>223</v>
      </c>
      <c r="V32" s="53" t="s">
        <v>198</v>
      </c>
      <c r="W32" s="54" t="str">
        <f>IF('⚙ OFF Weekends'!$D$18="OFF","OFF","")</f>
        <v>OFF</v>
      </c>
      <c r="X32" s="53" t="s">
        <v>223</v>
      </c>
      <c r="Y32" s="52" t="s">
        <v>223</v>
      </c>
      <c r="Z32" s="53" t="s">
        <v>223</v>
      </c>
      <c r="AA32" s="52" t="s">
        <v>223</v>
      </c>
      <c r="AB32" s="53" t="s">
        <v>223</v>
      </c>
      <c r="AC32" s="54" t="str">
        <f>IF('⚙ OFF Weekends'!$D$24="OFF","OFF","")</f>
        <v/>
      </c>
      <c r="AD32" s="56" t="str">
        <f>IF('⚙ OFF Weekends'!$D$25="OFF","OFF","")</f>
        <v/>
      </c>
      <c r="AE32" s="54" t="str">
        <f>IF('⚙ OFF Weekends'!$D$26="OFF","OFF","")</f>
        <v/>
      </c>
      <c r="AF32" s="56" t="str">
        <f>IF('⚙ OFF Weekends'!$D$27="OFF","OFF","")</f>
        <v/>
      </c>
      <c r="AG32" s="54" t="str">
        <f>IF('⚙ OFF Weekends'!$D$28="OFF","OFF","")</f>
        <v/>
      </c>
      <c r="AH32" s="56" t="str">
        <f>IF('⚙ OFF Weekends'!$D$29="OFF","OFF","")</f>
        <v/>
      </c>
      <c r="AI32" s="54" t="str">
        <f>IF('⚙ OFF Weekends'!$D$30="OFF","OFF","")</f>
        <v/>
      </c>
      <c r="AJ32" s="56" t="str">
        <f>IF('⚙ OFF Weekends'!$D$31="OFF","OFF","")</f>
        <v/>
      </c>
      <c r="AK32" s="54" t="str">
        <f>IF('⚙ OFF Weekends'!$D$32="OFF","OFF","")</f>
        <v/>
      </c>
      <c r="AL32" s="56" t="str">
        <f>IF('⚙ OFF Weekends'!$D$33="OFF","OFF","")</f>
        <v/>
      </c>
      <c r="AM32" s="54" t="str">
        <f>IF('⚙ OFF Weekends'!$D$34="OFF","OFF","")</f>
        <v/>
      </c>
      <c r="AN32" s="56" t="str">
        <f>IF('⚙ OFF Weekends'!$D$35="OFF","OFF","")</f>
        <v/>
      </c>
      <c r="AO32" s="54" t="str">
        <f>IF('⚙ OFF Weekends'!$D$36="OFF","OFF","")</f>
        <v/>
      </c>
      <c r="AP32" s="56" t="str">
        <f>IF('⚙ OFF Weekends'!$D$37="OFF","OFF","")</f>
        <v/>
      </c>
      <c r="AQ32" s="54" t="str">
        <f>IF('⚙ OFF Weekends'!$D$38="OFF","OFF","")</f>
        <v/>
      </c>
      <c r="AR32" s="56" t="str">
        <f>IF('⚙ OFF Weekends'!$D$39="OFF","OFF","")</f>
        <v/>
      </c>
      <c r="AS32" s="54" t="str">
        <f>IF('⚙ OFF Weekends'!$D$40="OFF","OFF","")</f>
        <v/>
      </c>
      <c r="AT32" s="56" t="str">
        <f>IF('⚙ OFF Weekends'!$D$41="OFF","OFF","")</f>
        <v/>
      </c>
      <c r="AU32" s="54" t="str">
        <f>IF('⚙ OFF Weekends'!$D$42="OFF","OFF","")</f>
        <v/>
      </c>
      <c r="AV32" s="56" t="str">
        <f>IF('⚙ OFF Weekends'!$D$43="OFF","OFF","")</f>
        <v/>
      </c>
      <c r="AW32" s="54" t="str">
        <f>IF('⚙ OFF Weekends'!$D$44="OFF","OFF","")</f>
        <v/>
      </c>
      <c r="AX32" s="56" t="str">
        <f>IF('⚙ OFF Weekends'!$D$45="OFF","OFF","")</f>
        <v/>
      </c>
      <c r="AY32" s="54" t="str">
        <f>IF('⚙ OFF Weekends'!$D$46="OFF","OFF","")</f>
        <v/>
      </c>
      <c r="AZ32" s="56" t="str">
        <f>IF('⚙ OFF Weekends'!$D$47="OFF","OFF","")</f>
        <v/>
      </c>
      <c r="BA32" s="54" t="str">
        <f>IF('⚙ OFF Weekends'!$D$48="OFF","OFF","")</f>
        <v/>
      </c>
      <c r="BB32" s="56" t="str">
        <f>IF('⚙ OFF Weekends'!$D$49="OFF","OFF","")</f>
        <v/>
      </c>
      <c r="BC32" s="54" t="str">
        <f>IF('⚙ OFF Weekends'!$D$50="OFF","OFF","")</f>
        <v/>
      </c>
      <c r="BD32" s="56" t="str">
        <f>IF('⚙ OFF Weekends'!$D$51="OFF","OFF","")</f>
        <v/>
      </c>
      <c r="BE32" s="54" t="str">
        <f>IF('⚙ OFF Weekends'!$D$52="OFF","OFF","")</f>
        <v/>
      </c>
      <c r="BF32" s="56" t="str">
        <f>IF('⚙ OFF Weekends'!$D$53="OFF","OFF","")</f>
        <v/>
      </c>
      <c r="BG32" s="54" t="str">
        <f>IF('⚙ OFF Weekends'!$D$54="OFF","OFF","")</f>
        <v/>
      </c>
      <c r="BH32" s="56" t="str">
        <f>IF('⚙ OFF Weekends'!$D$55="OFF","OFF","")</f>
        <v/>
      </c>
      <c r="BI32" s="54" t="str">
        <f>IF('⚙ OFF Weekends'!$D$56="OFF","OFF","")</f>
        <v/>
      </c>
      <c r="BJ32" s="56" t="str">
        <f>IF('⚙ OFF Weekends'!$D$57="OFF","OFF","")</f>
        <v/>
      </c>
      <c r="BK32" s="54" t="str">
        <f>IF('⚙ OFF Weekends'!$D$58="OFF","OFF","")</f>
        <v/>
      </c>
      <c r="BL32" s="56" t="str">
        <f>IF('⚙ OFF Weekends'!$D$59="OFF","OFF","")</f>
        <v/>
      </c>
      <c r="BM32" s="54" t="str">
        <f>IF('⚙ OFF Weekends'!$D$60="OFF","OFF","")</f>
        <v/>
      </c>
      <c r="BN32" s="56" t="str">
        <f>IF('⚙ OFF Weekends'!$D$61="OFF","OFF","")</f>
        <v/>
      </c>
      <c r="BO32" s="54" t="str">
        <f>IF('⚙ OFF Weekends'!$D$62="OFF","OFF","")</f>
        <v/>
      </c>
      <c r="BP32" s="56" t="str">
        <f>IF('⚙ OFF Weekends'!$D$63="OFF","OFF","")</f>
        <v/>
      </c>
      <c r="BQ32" s="54" t="str">
        <f>IF('⚙ OFF Weekends'!$D$64="OFF","OFF","")</f>
        <v/>
      </c>
      <c r="BR32" s="56" t="str">
        <f>IF('⚙ OFF Weekends'!$D$65="OFF","OFF","")</f>
        <v/>
      </c>
      <c r="BS32" s="54" t="str">
        <f>IF('⚙ OFF Weekends'!$D$66="OFF","OFF","")</f>
        <v/>
      </c>
      <c r="BT32" s="56" t="str">
        <f>IF('⚙ OFF Weekends'!$D$67="OFF","OFF","")</f>
        <v/>
      </c>
      <c r="BU32" s="54" t="str">
        <f>IF('⚙ OFF Weekends'!$D$68="OFF","OFF","")</f>
        <v/>
      </c>
      <c r="BV32" s="56" t="str">
        <f>IF('⚙ OFF Weekends'!$D$69="OFF","OFF","")</f>
        <v/>
      </c>
      <c r="BW32" s="54" t="str">
        <f>IF('⚙ OFF Weekends'!$D$70="OFF","OFF","")</f>
        <v/>
      </c>
      <c r="BX32" s="56" t="str">
        <f>IF('⚙ OFF Weekends'!$D$71="OFF","OFF","")</f>
        <v/>
      </c>
      <c r="BY32" s="54" t="str">
        <f>IF('⚙ OFF Weekends'!$D$72="OFF","OFF","")</f>
        <v/>
      </c>
      <c r="BZ32" s="56" t="str">
        <f>IF('⚙ OFF Weekends'!$D$73="OFF","OFF","")</f>
        <v/>
      </c>
      <c r="CA32" s="54" t="str">
        <f>IF('⚙ OFF Weekends'!$D$74="OFF","OFF","")</f>
        <v/>
      </c>
      <c r="CB32" s="56" t="str">
        <f>IF('⚙ OFF Weekends'!$D$75="OFF","OFF","")</f>
        <v/>
      </c>
      <c r="CC32" s="54" t="str">
        <f>IF('⚙ OFF Weekends'!$D$76="OFF","OFF","")</f>
        <v/>
      </c>
      <c r="CD32" s="56" t="str">
        <f>IF('⚙ OFF Weekends'!$D$77="OFF","OFF","")</f>
        <v/>
      </c>
      <c r="CE32" s="96">
        <f t="shared" si="9"/>
        <v>5</v>
      </c>
      <c r="CF32" s="96">
        <f t="shared" si="10"/>
        <v>12</v>
      </c>
      <c r="CG32" s="96">
        <f t="shared" si="11"/>
        <v>1</v>
      </c>
      <c r="CH32" s="96" t="str">
        <f t="shared" si="12"/>
        <v>29%</v>
      </c>
    </row>
    <row r="33" ht="18.0" customHeight="1">
      <c r="A33" s="95">
        <v>13.0</v>
      </c>
      <c r="B33" s="12" t="s">
        <v>597</v>
      </c>
      <c r="C33" s="14" t="s">
        <v>598</v>
      </c>
      <c r="D33" s="17" t="str">
        <f t="shared" si="7"/>
        <v>📞 Call</v>
      </c>
      <c r="E33" s="19" t="str">
        <f t="shared" si="8"/>
        <v>💬 WhatsApp</v>
      </c>
      <c r="F33" s="10" t="s">
        <v>459</v>
      </c>
      <c r="G33" s="10" t="s">
        <v>294</v>
      </c>
      <c r="H33" s="10"/>
      <c r="I33" s="54" t="str">
        <f>IF('⚙ OFF Weekends'!$D$4="OFF","OFF","")</f>
        <v/>
      </c>
      <c r="J33" s="56" t="str">
        <f>IF('⚙ OFF Weekends'!$D$5="OFF","OFF","")</f>
        <v/>
      </c>
      <c r="K33" s="56" t="str">
        <f>IF('⚙ OFF Weekends'!$D$5="OFF","OFF","")</f>
        <v/>
      </c>
      <c r="L33" s="50" t="s">
        <v>37</v>
      </c>
      <c r="M33" s="50" t="s">
        <v>37</v>
      </c>
      <c r="N33" s="48" t="s">
        <v>196</v>
      </c>
      <c r="O33" s="48" t="s">
        <v>196</v>
      </c>
      <c r="P33" s="48" t="s">
        <v>196</v>
      </c>
      <c r="Q33" s="48" t="s">
        <v>196</v>
      </c>
      <c r="R33" s="48" t="s">
        <v>196</v>
      </c>
      <c r="S33" s="52" t="s">
        <v>196</v>
      </c>
      <c r="T33" s="98" t="s">
        <v>196</v>
      </c>
      <c r="U33" s="52" t="s">
        <v>196</v>
      </c>
      <c r="V33" s="53" t="s">
        <v>196</v>
      </c>
      <c r="W33" s="54" t="str">
        <f>IF('⚙ OFF Weekends'!$D$18="OFF","OFF","")</f>
        <v>OFF</v>
      </c>
      <c r="X33" s="53" t="s">
        <v>196</v>
      </c>
      <c r="Y33" s="52" t="s">
        <v>37</v>
      </c>
      <c r="Z33" s="53" t="s">
        <v>196</v>
      </c>
      <c r="AA33" s="52" t="s">
        <v>223</v>
      </c>
      <c r="AB33" s="53" t="s">
        <v>196</v>
      </c>
      <c r="AC33" s="54" t="str">
        <f>IF('⚙ OFF Weekends'!$D$24="OFF","OFF","")</f>
        <v/>
      </c>
      <c r="AD33" s="56" t="str">
        <f>IF('⚙ OFF Weekends'!$D$25="OFF","OFF","")</f>
        <v/>
      </c>
      <c r="AE33" s="54" t="str">
        <f>IF('⚙ OFF Weekends'!$D$26="OFF","OFF","")</f>
        <v/>
      </c>
      <c r="AF33" s="56" t="str">
        <f>IF('⚙ OFF Weekends'!$D$27="OFF","OFF","")</f>
        <v/>
      </c>
      <c r="AG33" s="54" t="str">
        <f>IF('⚙ OFF Weekends'!$D$28="OFF","OFF","")</f>
        <v/>
      </c>
      <c r="AH33" s="56" t="str">
        <f>IF('⚙ OFF Weekends'!$D$29="OFF","OFF","")</f>
        <v/>
      </c>
      <c r="AI33" s="54" t="str">
        <f>IF('⚙ OFF Weekends'!$D$30="OFF","OFF","")</f>
        <v/>
      </c>
      <c r="AJ33" s="56" t="str">
        <f>IF('⚙ OFF Weekends'!$D$31="OFF","OFF","")</f>
        <v/>
      </c>
      <c r="AK33" s="54" t="str">
        <f>IF('⚙ OFF Weekends'!$D$32="OFF","OFF","")</f>
        <v/>
      </c>
      <c r="AL33" s="56" t="str">
        <f>IF('⚙ OFF Weekends'!$D$33="OFF","OFF","")</f>
        <v/>
      </c>
      <c r="AM33" s="54" t="str">
        <f>IF('⚙ OFF Weekends'!$D$34="OFF","OFF","")</f>
        <v/>
      </c>
      <c r="AN33" s="56" t="str">
        <f>IF('⚙ OFF Weekends'!$D$35="OFF","OFF","")</f>
        <v/>
      </c>
      <c r="AO33" s="54" t="str">
        <f>IF('⚙ OFF Weekends'!$D$36="OFF","OFF","")</f>
        <v/>
      </c>
      <c r="AP33" s="56" t="str">
        <f>IF('⚙ OFF Weekends'!$D$37="OFF","OFF","")</f>
        <v/>
      </c>
      <c r="AQ33" s="54" t="str">
        <f>IF('⚙ OFF Weekends'!$D$38="OFF","OFF","")</f>
        <v/>
      </c>
      <c r="AR33" s="56" t="str">
        <f>IF('⚙ OFF Weekends'!$D$39="OFF","OFF","")</f>
        <v/>
      </c>
      <c r="AS33" s="54" t="str">
        <f>IF('⚙ OFF Weekends'!$D$40="OFF","OFF","")</f>
        <v/>
      </c>
      <c r="AT33" s="56" t="str">
        <f>IF('⚙ OFF Weekends'!$D$41="OFF","OFF","")</f>
        <v/>
      </c>
      <c r="AU33" s="54" t="str">
        <f>IF('⚙ OFF Weekends'!$D$42="OFF","OFF","")</f>
        <v/>
      </c>
      <c r="AV33" s="56" t="str">
        <f>IF('⚙ OFF Weekends'!$D$43="OFF","OFF","")</f>
        <v/>
      </c>
      <c r="AW33" s="54" t="str">
        <f>IF('⚙ OFF Weekends'!$D$44="OFF","OFF","")</f>
        <v/>
      </c>
      <c r="AX33" s="56" t="str">
        <f>IF('⚙ OFF Weekends'!$D$45="OFF","OFF","")</f>
        <v/>
      </c>
      <c r="AY33" s="54" t="str">
        <f>IF('⚙ OFF Weekends'!$D$46="OFF","OFF","")</f>
        <v/>
      </c>
      <c r="AZ33" s="56" t="str">
        <f>IF('⚙ OFF Weekends'!$D$47="OFF","OFF","")</f>
        <v/>
      </c>
      <c r="BA33" s="54" t="str">
        <f>IF('⚙ OFF Weekends'!$D$48="OFF","OFF","")</f>
        <v/>
      </c>
      <c r="BB33" s="56" t="str">
        <f>IF('⚙ OFF Weekends'!$D$49="OFF","OFF","")</f>
        <v/>
      </c>
      <c r="BC33" s="54" t="str">
        <f>IF('⚙ OFF Weekends'!$D$50="OFF","OFF","")</f>
        <v/>
      </c>
      <c r="BD33" s="56" t="str">
        <f>IF('⚙ OFF Weekends'!$D$51="OFF","OFF","")</f>
        <v/>
      </c>
      <c r="BE33" s="54" t="str">
        <f>IF('⚙ OFF Weekends'!$D$52="OFF","OFF","")</f>
        <v/>
      </c>
      <c r="BF33" s="56" t="str">
        <f>IF('⚙ OFF Weekends'!$D$53="OFF","OFF","")</f>
        <v/>
      </c>
      <c r="BG33" s="54" t="str">
        <f>IF('⚙ OFF Weekends'!$D$54="OFF","OFF","")</f>
        <v/>
      </c>
      <c r="BH33" s="56" t="str">
        <f>IF('⚙ OFF Weekends'!$D$55="OFF","OFF","")</f>
        <v/>
      </c>
      <c r="BI33" s="54" t="str">
        <f>IF('⚙ OFF Weekends'!$D$56="OFF","OFF","")</f>
        <v/>
      </c>
      <c r="BJ33" s="56" t="str">
        <f>IF('⚙ OFF Weekends'!$D$57="OFF","OFF","")</f>
        <v/>
      </c>
      <c r="BK33" s="54" t="str">
        <f>IF('⚙ OFF Weekends'!$D$58="OFF","OFF","")</f>
        <v/>
      </c>
      <c r="BL33" s="56" t="str">
        <f>IF('⚙ OFF Weekends'!$D$59="OFF","OFF","")</f>
        <v/>
      </c>
      <c r="BM33" s="54" t="str">
        <f>IF('⚙ OFF Weekends'!$D$60="OFF","OFF","")</f>
        <v/>
      </c>
      <c r="BN33" s="56" t="str">
        <f>IF('⚙ OFF Weekends'!$D$61="OFF","OFF","")</f>
        <v/>
      </c>
      <c r="BO33" s="54" t="str">
        <f>IF('⚙ OFF Weekends'!$D$62="OFF","OFF","")</f>
        <v/>
      </c>
      <c r="BP33" s="56" t="str">
        <f>IF('⚙ OFF Weekends'!$D$63="OFF","OFF","")</f>
        <v/>
      </c>
      <c r="BQ33" s="54" t="str">
        <f>IF('⚙ OFF Weekends'!$D$64="OFF","OFF","")</f>
        <v/>
      </c>
      <c r="BR33" s="56" t="str">
        <f>IF('⚙ OFF Weekends'!$D$65="OFF","OFF","")</f>
        <v/>
      </c>
      <c r="BS33" s="54" t="str">
        <f>IF('⚙ OFF Weekends'!$D$66="OFF","OFF","")</f>
        <v/>
      </c>
      <c r="BT33" s="56" t="str">
        <f>IF('⚙ OFF Weekends'!$D$67="OFF","OFF","")</f>
        <v/>
      </c>
      <c r="BU33" s="54" t="str">
        <f>IF('⚙ OFF Weekends'!$D$68="OFF","OFF","")</f>
        <v/>
      </c>
      <c r="BV33" s="56" t="str">
        <f>IF('⚙ OFF Weekends'!$D$69="OFF","OFF","")</f>
        <v/>
      </c>
      <c r="BW33" s="54" t="str">
        <f>IF('⚙ OFF Weekends'!$D$70="OFF","OFF","")</f>
        <v/>
      </c>
      <c r="BX33" s="56" t="str">
        <f>IF('⚙ OFF Weekends'!$D$71="OFF","OFF","")</f>
        <v/>
      </c>
      <c r="BY33" s="54" t="str">
        <f>IF('⚙ OFF Weekends'!$D$72="OFF","OFF","")</f>
        <v/>
      </c>
      <c r="BZ33" s="56" t="str">
        <f>IF('⚙ OFF Weekends'!$D$73="OFF","OFF","")</f>
        <v/>
      </c>
      <c r="CA33" s="54" t="str">
        <f>IF('⚙ OFF Weekends'!$D$74="OFF","OFF","")</f>
        <v/>
      </c>
      <c r="CB33" s="56" t="str">
        <f>IF('⚙ OFF Weekends'!$D$75="OFF","OFF","")</f>
        <v/>
      </c>
      <c r="CC33" s="54" t="str">
        <f>IF('⚙ OFF Weekends'!$D$76="OFF","OFF","")</f>
        <v/>
      </c>
      <c r="CD33" s="56" t="str">
        <f>IF('⚙ OFF Weekends'!$D$77="OFF","OFF","")</f>
        <v/>
      </c>
      <c r="CE33" s="95">
        <f t="shared" si="9"/>
        <v>15</v>
      </c>
      <c r="CF33" s="95">
        <f t="shared" si="10"/>
        <v>1</v>
      </c>
      <c r="CG33" s="95">
        <f t="shared" si="11"/>
        <v>0</v>
      </c>
      <c r="CH33" s="95" t="str">
        <f t="shared" si="12"/>
        <v>94%</v>
      </c>
    </row>
    <row r="34" ht="18.0" customHeight="1">
      <c r="A34" s="96">
        <v>14.0</v>
      </c>
      <c r="B34" s="22" t="s">
        <v>599</v>
      </c>
      <c r="C34" s="23" t="s">
        <v>598</v>
      </c>
      <c r="D34" s="24" t="str">
        <f t="shared" si="7"/>
        <v>📞 Call</v>
      </c>
      <c r="E34" s="41" t="str">
        <f t="shared" si="8"/>
        <v>💬 WhatsApp</v>
      </c>
      <c r="F34" s="20" t="s">
        <v>459</v>
      </c>
      <c r="G34" s="20" t="s">
        <v>275</v>
      </c>
      <c r="H34" s="20" t="s">
        <v>600</v>
      </c>
      <c r="I34" s="54" t="str">
        <f>IF('⚙ OFF Weekends'!$D$4="OFF","OFF","")</f>
        <v/>
      </c>
      <c r="J34" s="56" t="str">
        <f>IF('⚙ OFF Weekends'!$D$5="OFF","OFF","")</f>
        <v/>
      </c>
      <c r="K34" s="56" t="str">
        <f>IF('⚙ OFF Weekends'!$D$5="OFF","OFF","")</f>
        <v/>
      </c>
      <c r="L34" s="56" t="str">
        <f>IF('⚙ OFF Weekends'!$D$7="OFF","OFF","")</f>
        <v/>
      </c>
      <c r="M34" s="50" t="s">
        <v>37</v>
      </c>
      <c r="N34" s="48" t="s">
        <v>196</v>
      </c>
      <c r="O34" s="48" t="s">
        <v>196</v>
      </c>
      <c r="P34" s="48" t="s">
        <v>196</v>
      </c>
      <c r="Q34" s="48" t="s">
        <v>196</v>
      </c>
      <c r="R34" s="48" t="s">
        <v>196</v>
      </c>
      <c r="S34" s="52" t="s">
        <v>196</v>
      </c>
      <c r="T34" s="98" t="s">
        <v>196</v>
      </c>
      <c r="U34" s="52" t="s">
        <v>196</v>
      </c>
      <c r="V34" s="53" t="s">
        <v>196</v>
      </c>
      <c r="W34" s="54" t="str">
        <f>IF('⚙ OFF Weekends'!$D$18="OFF","OFF","")</f>
        <v>OFF</v>
      </c>
      <c r="X34" s="53" t="s">
        <v>223</v>
      </c>
      <c r="Y34" s="52" t="s">
        <v>37</v>
      </c>
      <c r="Z34" s="53" t="s">
        <v>223</v>
      </c>
      <c r="AA34" s="52" t="s">
        <v>223</v>
      </c>
      <c r="AB34" s="53" t="s">
        <v>196</v>
      </c>
      <c r="AC34" s="54" t="str">
        <f>IF('⚙ OFF Weekends'!$D$24="OFF","OFF","")</f>
        <v/>
      </c>
      <c r="AD34" s="56" t="str">
        <f>IF('⚙ OFF Weekends'!$D$25="OFF","OFF","")</f>
        <v/>
      </c>
      <c r="AE34" s="54" t="str">
        <f>IF('⚙ OFF Weekends'!$D$26="OFF","OFF","")</f>
        <v/>
      </c>
      <c r="AF34" s="56" t="str">
        <f>IF('⚙ OFF Weekends'!$D$27="OFF","OFF","")</f>
        <v/>
      </c>
      <c r="AG34" s="54" t="str">
        <f>IF('⚙ OFF Weekends'!$D$28="OFF","OFF","")</f>
        <v/>
      </c>
      <c r="AH34" s="56" t="str">
        <f>IF('⚙ OFF Weekends'!$D$29="OFF","OFF","")</f>
        <v/>
      </c>
      <c r="AI34" s="54" t="str">
        <f>IF('⚙ OFF Weekends'!$D$30="OFF","OFF","")</f>
        <v/>
      </c>
      <c r="AJ34" s="56" t="str">
        <f>IF('⚙ OFF Weekends'!$D$31="OFF","OFF","")</f>
        <v/>
      </c>
      <c r="AK34" s="54" t="str">
        <f>IF('⚙ OFF Weekends'!$D$32="OFF","OFF","")</f>
        <v/>
      </c>
      <c r="AL34" s="56" t="str">
        <f>IF('⚙ OFF Weekends'!$D$33="OFF","OFF","")</f>
        <v/>
      </c>
      <c r="AM34" s="54" t="str">
        <f>IF('⚙ OFF Weekends'!$D$34="OFF","OFF","")</f>
        <v/>
      </c>
      <c r="AN34" s="56" t="str">
        <f>IF('⚙ OFF Weekends'!$D$35="OFF","OFF","")</f>
        <v/>
      </c>
      <c r="AO34" s="54" t="str">
        <f>IF('⚙ OFF Weekends'!$D$36="OFF","OFF","")</f>
        <v/>
      </c>
      <c r="AP34" s="56" t="str">
        <f>IF('⚙ OFF Weekends'!$D$37="OFF","OFF","")</f>
        <v/>
      </c>
      <c r="AQ34" s="54" t="str">
        <f>IF('⚙ OFF Weekends'!$D$38="OFF","OFF","")</f>
        <v/>
      </c>
      <c r="AR34" s="56" t="str">
        <f>IF('⚙ OFF Weekends'!$D$39="OFF","OFF","")</f>
        <v/>
      </c>
      <c r="AS34" s="54" t="str">
        <f>IF('⚙ OFF Weekends'!$D$40="OFF","OFF","")</f>
        <v/>
      </c>
      <c r="AT34" s="56" t="str">
        <f>IF('⚙ OFF Weekends'!$D$41="OFF","OFF","")</f>
        <v/>
      </c>
      <c r="AU34" s="54" t="str">
        <f>IF('⚙ OFF Weekends'!$D$42="OFF","OFF","")</f>
        <v/>
      </c>
      <c r="AV34" s="56" t="str">
        <f>IF('⚙ OFF Weekends'!$D$43="OFF","OFF","")</f>
        <v/>
      </c>
      <c r="AW34" s="54" t="str">
        <f>IF('⚙ OFF Weekends'!$D$44="OFF","OFF","")</f>
        <v/>
      </c>
      <c r="AX34" s="56" t="str">
        <f>IF('⚙ OFF Weekends'!$D$45="OFF","OFF","")</f>
        <v/>
      </c>
      <c r="AY34" s="54" t="str">
        <f>IF('⚙ OFF Weekends'!$D$46="OFF","OFF","")</f>
        <v/>
      </c>
      <c r="AZ34" s="56" t="str">
        <f>IF('⚙ OFF Weekends'!$D$47="OFF","OFF","")</f>
        <v/>
      </c>
      <c r="BA34" s="54" t="str">
        <f>IF('⚙ OFF Weekends'!$D$48="OFF","OFF","")</f>
        <v/>
      </c>
      <c r="BB34" s="56" t="str">
        <f>IF('⚙ OFF Weekends'!$D$49="OFF","OFF","")</f>
        <v/>
      </c>
      <c r="BC34" s="54" t="str">
        <f>IF('⚙ OFF Weekends'!$D$50="OFF","OFF","")</f>
        <v/>
      </c>
      <c r="BD34" s="56" t="str">
        <f>IF('⚙ OFF Weekends'!$D$51="OFF","OFF","")</f>
        <v/>
      </c>
      <c r="BE34" s="54" t="str">
        <f>IF('⚙ OFF Weekends'!$D$52="OFF","OFF","")</f>
        <v/>
      </c>
      <c r="BF34" s="56" t="str">
        <f>IF('⚙ OFF Weekends'!$D$53="OFF","OFF","")</f>
        <v/>
      </c>
      <c r="BG34" s="54" t="str">
        <f>IF('⚙ OFF Weekends'!$D$54="OFF","OFF","")</f>
        <v/>
      </c>
      <c r="BH34" s="56" t="str">
        <f>IF('⚙ OFF Weekends'!$D$55="OFF","OFF","")</f>
        <v/>
      </c>
      <c r="BI34" s="54" t="str">
        <f>IF('⚙ OFF Weekends'!$D$56="OFF","OFF","")</f>
        <v/>
      </c>
      <c r="BJ34" s="56" t="str">
        <f>IF('⚙ OFF Weekends'!$D$57="OFF","OFF","")</f>
        <v/>
      </c>
      <c r="BK34" s="54" t="str">
        <f>IF('⚙ OFF Weekends'!$D$58="OFF","OFF","")</f>
        <v/>
      </c>
      <c r="BL34" s="56" t="str">
        <f>IF('⚙ OFF Weekends'!$D$59="OFF","OFF","")</f>
        <v/>
      </c>
      <c r="BM34" s="54" t="str">
        <f>IF('⚙ OFF Weekends'!$D$60="OFF","OFF","")</f>
        <v/>
      </c>
      <c r="BN34" s="56" t="str">
        <f>IF('⚙ OFF Weekends'!$D$61="OFF","OFF","")</f>
        <v/>
      </c>
      <c r="BO34" s="54" t="str">
        <f>IF('⚙ OFF Weekends'!$D$62="OFF","OFF","")</f>
        <v/>
      </c>
      <c r="BP34" s="56" t="str">
        <f>IF('⚙ OFF Weekends'!$D$63="OFF","OFF","")</f>
        <v/>
      </c>
      <c r="BQ34" s="54" t="str">
        <f>IF('⚙ OFF Weekends'!$D$64="OFF","OFF","")</f>
        <v/>
      </c>
      <c r="BR34" s="56" t="str">
        <f>IF('⚙ OFF Weekends'!$D$65="OFF","OFF","")</f>
        <v/>
      </c>
      <c r="BS34" s="54" t="str">
        <f>IF('⚙ OFF Weekends'!$D$66="OFF","OFF","")</f>
        <v/>
      </c>
      <c r="BT34" s="56" t="str">
        <f>IF('⚙ OFF Weekends'!$D$67="OFF","OFF","")</f>
        <v/>
      </c>
      <c r="BU34" s="54" t="str">
        <f>IF('⚙ OFF Weekends'!$D$68="OFF","OFF","")</f>
        <v/>
      </c>
      <c r="BV34" s="56" t="str">
        <f>IF('⚙ OFF Weekends'!$D$69="OFF","OFF","")</f>
        <v/>
      </c>
      <c r="BW34" s="54" t="str">
        <f>IF('⚙ OFF Weekends'!$D$70="OFF","OFF","")</f>
        <v/>
      </c>
      <c r="BX34" s="56" t="str">
        <f>IF('⚙ OFF Weekends'!$D$71="OFF","OFF","")</f>
        <v/>
      </c>
      <c r="BY34" s="54" t="str">
        <f>IF('⚙ OFF Weekends'!$D$72="OFF","OFF","")</f>
        <v/>
      </c>
      <c r="BZ34" s="56" t="str">
        <f>IF('⚙ OFF Weekends'!$D$73="OFF","OFF","")</f>
        <v/>
      </c>
      <c r="CA34" s="54" t="str">
        <f>IF('⚙ OFF Weekends'!$D$74="OFF","OFF","")</f>
        <v/>
      </c>
      <c r="CB34" s="56" t="str">
        <f>IF('⚙ OFF Weekends'!$D$75="OFF","OFF","")</f>
        <v/>
      </c>
      <c r="CC34" s="54" t="str">
        <f>IF('⚙ OFF Weekends'!$D$76="OFF","OFF","")</f>
        <v/>
      </c>
      <c r="CD34" s="56" t="str">
        <f>IF('⚙ OFF Weekends'!$D$77="OFF","OFF","")</f>
        <v/>
      </c>
      <c r="CE34" s="96">
        <f t="shared" si="9"/>
        <v>12</v>
      </c>
      <c r="CF34" s="96">
        <f t="shared" si="10"/>
        <v>3</v>
      </c>
      <c r="CG34" s="96">
        <f t="shared" si="11"/>
        <v>0</v>
      </c>
      <c r="CH34" s="96" t="str">
        <f t="shared" si="12"/>
        <v>80%</v>
      </c>
    </row>
    <row r="35" ht="18.0" customHeight="1">
      <c r="A35" s="95">
        <v>15.0</v>
      </c>
      <c r="B35" s="12" t="s">
        <v>605</v>
      </c>
      <c r="C35" s="14" t="s">
        <v>606</v>
      </c>
      <c r="D35" s="17" t="str">
        <f t="shared" si="7"/>
        <v>📞 Call</v>
      </c>
      <c r="E35" s="19" t="str">
        <f t="shared" si="8"/>
        <v>💬 WhatsApp</v>
      </c>
      <c r="F35" s="10" t="s">
        <v>423</v>
      </c>
      <c r="G35" s="10" t="s">
        <v>381</v>
      </c>
      <c r="H35" s="10" t="s">
        <v>295</v>
      </c>
      <c r="I35" s="54" t="str">
        <f>IF('⚙ OFF Weekends'!$D$4="OFF","OFF","")</f>
        <v/>
      </c>
      <c r="J35" s="56" t="str">
        <f>IF('⚙ OFF Weekends'!$D$5="OFF","OFF","")</f>
        <v/>
      </c>
      <c r="K35" s="56" t="str">
        <f>IF('⚙ OFF Weekends'!$D$5="OFF","OFF","")</f>
        <v/>
      </c>
      <c r="L35" s="56" t="str">
        <f>IF('⚙ OFF Weekends'!$D$7="OFF","OFF","")</f>
        <v/>
      </c>
      <c r="M35" s="50" t="s">
        <v>37</v>
      </c>
      <c r="N35" s="48" t="s">
        <v>196</v>
      </c>
      <c r="O35" s="48" t="s">
        <v>196</v>
      </c>
      <c r="P35" s="48" t="s">
        <v>196</v>
      </c>
      <c r="Q35" s="48" t="s">
        <v>196</v>
      </c>
      <c r="R35" s="79" t="s">
        <v>223</v>
      </c>
      <c r="S35" s="52" t="s">
        <v>37</v>
      </c>
      <c r="T35" s="98" t="s">
        <v>196</v>
      </c>
      <c r="U35" s="52" t="s">
        <v>223</v>
      </c>
      <c r="V35" s="53" t="s">
        <v>196</v>
      </c>
      <c r="W35" s="54" t="str">
        <f>IF('⚙ OFF Weekends'!$D$18="OFF","OFF","")</f>
        <v>OFF</v>
      </c>
      <c r="X35" s="53" t="s">
        <v>196</v>
      </c>
      <c r="Y35" s="52" t="s">
        <v>37</v>
      </c>
      <c r="Z35" s="53" t="s">
        <v>223</v>
      </c>
      <c r="AA35" s="52" t="s">
        <v>223</v>
      </c>
      <c r="AB35" s="53" t="s">
        <v>223</v>
      </c>
      <c r="AC35" s="54" t="str">
        <f>IF('⚙ OFF Weekends'!$D$24="OFF","OFF","")</f>
        <v/>
      </c>
      <c r="AD35" s="56" t="str">
        <f>IF('⚙ OFF Weekends'!$D$25="OFF","OFF","")</f>
        <v/>
      </c>
      <c r="AE35" s="54" t="str">
        <f>IF('⚙ OFF Weekends'!$D$26="OFF","OFF","")</f>
        <v/>
      </c>
      <c r="AF35" s="56" t="str">
        <f>IF('⚙ OFF Weekends'!$D$27="OFF","OFF","")</f>
        <v/>
      </c>
      <c r="AG35" s="54" t="str">
        <f>IF('⚙ OFF Weekends'!$D$28="OFF","OFF","")</f>
        <v/>
      </c>
      <c r="AH35" s="56" t="str">
        <f>IF('⚙ OFF Weekends'!$D$29="OFF","OFF","")</f>
        <v/>
      </c>
      <c r="AI35" s="54" t="str">
        <f>IF('⚙ OFF Weekends'!$D$30="OFF","OFF","")</f>
        <v/>
      </c>
      <c r="AJ35" s="56" t="str">
        <f>IF('⚙ OFF Weekends'!$D$31="OFF","OFF","")</f>
        <v/>
      </c>
      <c r="AK35" s="54" t="str">
        <f>IF('⚙ OFF Weekends'!$D$32="OFF","OFF","")</f>
        <v/>
      </c>
      <c r="AL35" s="56" t="str">
        <f>IF('⚙ OFF Weekends'!$D$33="OFF","OFF","")</f>
        <v/>
      </c>
      <c r="AM35" s="54" t="str">
        <f>IF('⚙ OFF Weekends'!$D$34="OFF","OFF","")</f>
        <v/>
      </c>
      <c r="AN35" s="56" t="str">
        <f>IF('⚙ OFF Weekends'!$D$35="OFF","OFF","")</f>
        <v/>
      </c>
      <c r="AO35" s="54" t="str">
        <f>IF('⚙ OFF Weekends'!$D$36="OFF","OFF","")</f>
        <v/>
      </c>
      <c r="AP35" s="56" t="str">
        <f>IF('⚙ OFF Weekends'!$D$37="OFF","OFF","")</f>
        <v/>
      </c>
      <c r="AQ35" s="54" t="str">
        <f>IF('⚙ OFF Weekends'!$D$38="OFF","OFF","")</f>
        <v/>
      </c>
      <c r="AR35" s="56" t="str">
        <f>IF('⚙ OFF Weekends'!$D$39="OFF","OFF","")</f>
        <v/>
      </c>
      <c r="AS35" s="54" t="str">
        <f>IF('⚙ OFF Weekends'!$D$40="OFF","OFF","")</f>
        <v/>
      </c>
      <c r="AT35" s="56" t="str">
        <f>IF('⚙ OFF Weekends'!$D$41="OFF","OFF","")</f>
        <v/>
      </c>
      <c r="AU35" s="54" t="str">
        <f>IF('⚙ OFF Weekends'!$D$42="OFF","OFF","")</f>
        <v/>
      </c>
      <c r="AV35" s="56" t="str">
        <f>IF('⚙ OFF Weekends'!$D$43="OFF","OFF","")</f>
        <v/>
      </c>
      <c r="AW35" s="54" t="str">
        <f>IF('⚙ OFF Weekends'!$D$44="OFF","OFF","")</f>
        <v/>
      </c>
      <c r="AX35" s="56" t="str">
        <f>IF('⚙ OFF Weekends'!$D$45="OFF","OFF","")</f>
        <v/>
      </c>
      <c r="AY35" s="54" t="str">
        <f>IF('⚙ OFF Weekends'!$D$46="OFF","OFF","")</f>
        <v/>
      </c>
      <c r="AZ35" s="56" t="str">
        <f>IF('⚙ OFF Weekends'!$D$47="OFF","OFF","")</f>
        <v/>
      </c>
      <c r="BA35" s="54" t="str">
        <f>IF('⚙ OFF Weekends'!$D$48="OFF","OFF","")</f>
        <v/>
      </c>
      <c r="BB35" s="56" t="str">
        <f>IF('⚙ OFF Weekends'!$D$49="OFF","OFF","")</f>
        <v/>
      </c>
      <c r="BC35" s="54" t="str">
        <f>IF('⚙ OFF Weekends'!$D$50="OFF","OFF","")</f>
        <v/>
      </c>
      <c r="BD35" s="56" t="str">
        <f>IF('⚙ OFF Weekends'!$D$51="OFF","OFF","")</f>
        <v/>
      </c>
      <c r="BE35" s="54" t="str">
        <f>IF('⚙ OFF Weekends'!$D$52="OFF","OFF","")</f>
        <v/>
      </c>
      <c r="BF35" s="56" t="str">
        <f>IF('⚙ OFF Weekends'!$D$53="OFF","OFF","")</f>
        <v/>
      </c>
      <c r="BG35" s="54" t="str">
        <f>IF('⚙ OFF Weekends'!$D$54="OFF","OFF","")</f>
        <v/>
      </c>
      <c r="BH35" s="56" t="str">
        <f>IF('⚙ OFF Weekends'!$D$55="OFF","OFF","")</f>
        <v/>
      </c>
      <c r="BI35" s="54" t="str">
        <f>IF('⚙ OFF Weekends'!$D$56="OFF","OFF","")</f>
        <v/>
      </c>
      <c r="BJ35" s="56" t="str">
        <f>IF('⚙ OFF Weekends'!$D$57="OFF","OFF","")</f>
        <v/>
      </c>
      <c r="BK35" s="54" t="str">
        <f>IF('⚙ OFF Weekends'!$D$58="OFF","OFF","")</f>
        <v/>
      </c>
      <c r="BL35" s="56" t="str">
        <f>IF('⚙ OFF Weekends'!$D$59="OFF","OFF","")</f>
        <v/>
      </c>
      <c r="BM35" s="54" t="str">
        <f>IF('⚙ OFF Weekends'!$D$60="OFF","OFF","")</f>
        <v/>
      </c>
      <c r="BN35" s="56" t="str">
        <f>IF('⚙ OFF Weekends'!$D$61="OFF","OFF","")</f>
        <v/>
      </c>
      <c r="BO35" s="54" t="str">
        <f>IF('⚙ OFF Weekends'!$D$62="OFF","OFF","")</f>
        <v/>
      </c>
      <c r="BP35" s="56" t="str">
        <f>IF('⚙ OFF Weekends'!$D$63="OFF","OFF","")</f>
        <v/>
      </c>
      <c r="BQ35" s="54" t="str">
        <f>IF('⚙ OFF Weekends'!$D$64="OFF","OFF","")</f>
        <v/>
      </c>
      <c r="BR35" s="56" t="str">
        <f>IF('⚙ OFF Weekends'!$D$65="OFF","OFF","")</f>
        <v/>
      </c>
      <c r="BS35" s="54" t="str">
        <f>IF('⚙ OFF Weekends'!$D$66="OFF","OFF","")</f>
        <v/>
      </c>
      <c r="BT35" s="56" t="str">
        <f>IF('⚙ OFF Weekends'!$D$67="OFF","OFF","")</f>
        <v/>
      </c>
      <c r="BU35" s="54" t="str">
        <f>IF('⚙ OFF Weekends'!$D$68="OFF","OFF","")</f>
        <v/>
      </c>
      <c r="BV35" s="56" t="str">
        <f>IF('⚙ OFF Weekends'!$D$69="OFF","OFF","")</f>
        <v/>
      </c>
      <c r="BW35" s="54" t="str">
        <f>IF('⚙ OFF Weekends'!$D$70="OFF","OFF","")</f>
        <v/>
      </c>
      <c r="BX35" s="56" t="str">
        <f>IF('⚙ OFF Weekends'!$D$71="OFF","OFF","")</f>
        <v/>
      </c>
      <c r="BY35" s="54" t="str">
        <f>IF('⚙ OFF Weekends'!$D$72="OFF","OFF","")</f>
        <v/>
      </c>
      <c r="BZ35" s="56" t="str">
        <f>IF('⚙ OFF Weekends'!$D$73="OFF","OFF","")</f>
        <v/>
      </c>
      <c r="CA35" s="54" t="str">
        <f>IF('⚙ OFF Weekends'!$D$74="OFF","OFF","")</f>
        <v/>
      </c>
      <c r="CB35" s="56" t="str">
        <f>IF('⚙ OFF Weekends'!$D$75="OFF","OFF","")</f>
        <v/>
      </c>
      <c r="CC35" s="54" t="str">
        <f>IF('⚙ OFF Weekends'!$D$76="OFF","OFF","")</f>
        <v/>
      </c>
      <c r="CD35" s="56" t="str">
        <f>IF('⚙ OFF Weekends'!$D$77="OFF","OFF","")</f>
        <v/>
      </c>
      <c r="CE35" s="95">
        <f t="shared" si="9"/>
        <v>10</v>
      </c>
      <c r="CF35" s="95">
        <f t="shared" si="10"/>
        <v>5</v>
      </c>
      <c r="CG35" s="95">
        <f t="shared" si="11"/>
        <v>0</v>
      </c>
      <c r="CH35" s="95" t="str">
        <f t="shared" si="12"/>
        <v>67%</v>
      </c>
    </row>
    <row r="36" ht="18.0" customHeight="1">
      <c r="A36" s="96">
        <v>16.0</v>
      </c>
      <c r="B36" s="22" t="s">
        <v>615</v>
      </c>
      <c r="C36" s="23" t="s">
        <v>617</v>
      </c>
      <c r="D36" s="24" t="str">
        <f t="shared" si="7"/>
        <v>📞 Call</v>
      </c>
      <c r="E36" s="41" t="str">
        <f t="shared" si="8"/>
        <v>💬 WhatsApp</v>
      </c>
      <c r="F36" s="20" t="s">
        <v>459</v>
      </c>
      <c r="G36" s="20" t="s">
        <v>275</v>
      </c>
      <c r="H36" s="20" t="s">
        <v>299</v>
      </c>
      <c r="I36" s="54" t="str">
        <f>IF('⚙ OFF Weekends'!$D$4="OFF","OFF","")</f>
        <v/>
      </c>
      <c r="J36" s="56" t="str">
        <f>IF('⚙ OFF Weekends'!$D$5="OFF","OFF","")</f>
        <v/>
      </c>
      <c r="K36" s="56" t="str">
        <f>IF('⚙ OFF Weekends'!$D$5="OFF","OFF","")</f>
        <v/>
      </c>
      <c r="L36" s="56" t="str">
        <f>IF('⚙ OFF Weekends'!$D$7="OFF","OFF","")</f>
        <v/>
      </c>
      <c r="M36" s="54" t="str">
        <f>IF('⚙ OFF Weekends'!$D$8="OFF","OFF","")</f>
        <v/>
      </c>
      <c r="N36" s="48" t="s">
        <v>196</v>
      </c>
      <c r="O36" s="79" t="s">
        <v>223</v>
      </c>
      <c r="P36" s="50" t="s">
        <v>37</v>
      </c>
      <c r="Q36" s="50" t="s">
        <v>37</v>
      </c>
      <c r="R36" s="48" t="s">
        <v>196</v>
      </c>
      <c r="S36" s="52" t="s">
        <v>37</v>
      </c>
      <c r="T36" s="98" t="s">
        <v>196</v>
      </c>
      <c r="U36" s="52" t="s">
        <v>37</v>
      </c>
      <c r="V36" s="53" t="s">
        <v>223</v>
      </c>
      <c r="W36" s="54" t="str">
        <f>IF('⚙ OFF Weekends'!$D$18="OFF","OFF","")</f>
        <v>OFF</v>
      </c>
      <c r="X36" s="53" t="s">
        <v>223</v>
      </c>
      <c r="Y36" s="52" t="s">
        <v>37</v>
      </c>
      <c r="Z36" s="53" t="s">
        <v>37</v>
      </c>
      <c r="AA36" s="52" t="s">
        <v>198</v>
      </c>
      <c r="AB36" s="53" t="s">
        <v>223</v>
      </c>
      <c r="AC36" s="54" t="str">
        <f>IF('⚙ OFF Weekends'!$D$24="OFF","OFF","")</f>
        <v/>
      </c>
      <c r="AD36" s="56" t="str">
        <f>IF('⚙ OFF Weekends'!$D$25="OFF","OFF","")</f>
        <v/>
      </c>
      <c r="AE36" s="54" t="str">
        <f>IF('⚙ OFF Weekends'!$D$26="OFF","OFF","")</f>
        <v/>
      </c>
      <c r="AF36" s="56" t="str">
        <f>IF('⚙ OFF Weekends'!$D$27="OFF","OFF","")</f>
        <v/>
      </c>
      <c r="AG36" s="54" t="str">
        <f>IF('⚙ OFF Weekends'!$D$28="OFF","OFF","")</f>
        <v/>
      </c>
      <c r="AH36" s="56" t="str">
        <f>IF('⚙ OFF Weekends'!$D$29="OFF","OFF","")</f>
        <v/>
      </c>
      <c r="AI36" s="54" t="str">
        <f>IF('⚙ OFF Weekends'!$D$30="OFF","OFF","")</f>
        <v/>
      </c>
      <c r="AJ36" s="56" t="str">
        <f>IF('⚙ OFF Weekends'!$D$31="OFF","OFF","")</f>
        <v/>
      </c>
      <c r="AK36" s="54" t="str">
        <f>IF('⚙ OFF Weekends'!$D$32="OFF","OFF","")</f>
        <v/>
      </c>
      <c r="AL36" s="56" t="str">
        <f>IF('⚙ OFF Weekends'!$D$33="OFF","OFF","")</f>
        <v/>
      </c>
      <c r="AM36" s="54" t="str">
        <f>IF('⚙ OFF Weekends'!$D$34="OFF","OFF","")</f>
        <v/>
      </c>
      <c r="AN36" s="56" t="str">
        <f>IF('⚙ OFF Weekends'!$D$35="OFF","OFF","")</f>
        <v/>
      </c>
      <c r="AO36" s="54" t="str">
        <f>IF('⚙ OFF Weekends'!$D$36="OFF","OFF","")</f>
        <v/>
      </c>
      <c r="AP36" s="56" t="str">
        <f>IF('⚙ OFF Weekends'!$D$37="OFF","OFF","")</f>
        <v/>
      </c>
      <c r="AQ36" s="54" t="str">
        <f>IF('⚙ OFF Weekends'!$D$38="OFF","OFF","")</f>
        <v/>
      </c>
      <c r="AR36" s="56" t="str">
        <f>IF('⚙ OFF Weekends'!$D$39="OFF","OFF","")</f>
        <v/>
      </c>
      <c r="AS36" s="54" t="str">
        <f>IF('⚙ OFF Weekends'!$D$40="OFF","OFF","")</f>
        <v/>
      </c>
      <c r="AT36" s="56" t="str">
        <f>IF('⚙ OFF Weekends'!$D$41="OFF","OFF","")</f>
        <v/>
      </c>
      <c r="AU36" s="54" t="str">
        <f>IF('⚙ OFF Weekends'!$D$42="OFF","OFF","")</f>
        <v/>
      </c>
      <c r="AV36" s="56" t="str">
        <f>IF('⚙ OFF Weekends'!$D$43="OFF","OFF","")</f>
        <v/>
      </c>
      <c r="AW36" s="54" t="str">
        <f>IF('⚙ OFF Weekends'!$D$44="OFF","OFF","")</f>
        <v/>
      </c>
      <c r="AX36" s="56" t="str">
        <f>IF('⚙ OFF Weekends'!$D$45="OFF","OFF","")</f>
        <v/>
      </c>
      <c r="AY36" s="54" t="str">
        <f>IF('⚙ OFF Weekends'!$D$46="OFF","OFF","")</f>
        <v/>
      </c>
      <c r="AZ36" s="56" t="str">
        <f>IF('⚙ OFF Weekends'!$D$47="OFF","OFF","")</f>
        <v/>
      </c>
      <c r="BA36" s="54" t="str">
        <f>IF('⚙ OFF Weekends'!$D$48="OFF","OFF","")</f>
        <v/>
      </c>
      <c r="BB36" s="56" t="str">
        <f>IF('⚙ OFF Weekends'!$D$49="OFF","OFF","")</f>
        <v/>
      </c>
      <c r="BC36" s="54" t="str">
        <f>IF('⚙ OFF Weekends'!$D$50="OFF","OFF","")</f>
        <v/>
      </c>
      <c r="BD36" s="56" t="str">
        <f>IF('⚙ OFF Weekends'!$D$51="OFF","OFF","")</f>
        <v/>
      </c>
      <c r="BE36" s="54" t="str">
        <f>IF('⚙ OFF Weekends'!$D$52="OFF","OFF","")</f>
        <v/>
      </c>
      <c r="BF36" s="56" t="str">
        <f>IF('⚙ OFF Weekends'!$D$53="OFF","OFF","")</f>
        <v/>
      </c>
      <c r="BG36" s="54" t="str">
        <f>IF('⚙ OFF Weekends'!$D$54="OFF","OFF","")</f>
        <v/>
      </c>
      <c r="BH36" s="56" t="str">
        <f>IF('⚙ OFF Weekends'!$D$55="OFF","OFF","")</f>
        <v/>
      </c>
      <c r="BI36" s="54" t="str">
        <f>IF('⚙ OFF Weekends'!$D$56="OFF","OFF","")</f>
        <v/>
      </c>
      <c r="BJ36" s="56" t="str">
        <f>IF('⚙ OFF Weekends'!$D$57="OFF","OFF","")</f>
        <v/>
      </c>
      <c r="BK36" s="54" t="str">
        <f>IF('⚙ OFF Weekends'!$D$58="OFF","OFF","")</f>
        <v/>
      </c>
      <c r="BL36" s="56" t="str">
        <f>IF('⚙ OFF Weekends'!$D$59="OFF","OFF","")</f>
        <v/>
      </c>
      <c r="BM36" s="54" t="str">
        <f>IF('⚙ OFF Weekends'!$D$60="OFF","OFF","")</f>
        <v/>
      </c>
      <c r="BN36" s="56" t="str">
        <f>IF('⚙ OFF Weekends'!$D$61="OFF","OFF","")</f>
        <v/>
      </c>
      <c r="BO36" s="54" t="str">
        <f>IF('⚙ OFF Weekends'!$D$62="OFF","OFF","")</f>
        <v/>
      </c>
      <c r="BP36" s="56" t="str">
        <f>IF('⚙ OFF Weekends'!$D$63="OFF","OFF","")</f>
        <v/>
      </c>
      <c r="BQ36" s="54" t="str">
        <f>IF('⚙ OFF Weekends'!$D$64="OFF","OFF","")</f>
        <v/>
      </c>
      <c r="BR36" s="56" t="str">
        <f>IF('⚙ OFF Weekends'!$D$65="OFF","OFF","")</f>
        <v/>
      </c>
      <c r="BS36" s="54" t="str">
        <f>IF('⚙ OFF Weekends'!$D$66="OFF","OFF","")</f>
        <v/>
      </c>
      <c r="BT36" s="56" t="str">
        <f>IF('⚙ OFF Weekends'!$D$67="OFF","OFF","")</f>
        <v/>
      </c>
      <c r="BU36" s="54" t="str">
        <f>IF('⚙ OFF Weekends'!$D$68="OFF","OFF","")</f>
        <v/>
      </c>
      <c r="BV36" s="56" t="str">
        <f>IF('⚙ OFF Weekends'!$D$69="OFF","OFF","")</f>
        <v/>
      </c>
      <c r="BW36" s="54" t="str">
        <f>IF('⚙ OFF Weekends'!$D$70="OFF","OFF","")</f>
        <v/>
      </c>
      <c r="BX36" s="56" t="str">
        <f>IF('⚙ OFF Weekends'!$D$71="OFF","OFF","")</f>
        <v/>
      </c>
      <c r="BY36" s="54" t="str">
        <f>IF('⚙ OFF Weekends'!$D$72="OFF","OFF","")</f>
        <v/>
      </c>
      <c r="BZ36" s="56" t="str">
        <f>IF('⚙ OFF Weekends'!$D$73="OFF","OFF","")</f>
        <v/>
      </c>
      <c r="CA36" s="54" t="str">
        <f>IF('⚙ OFF Weekends'!$D$74="OFF","OFF","")</f>
        <v/>
      </c>
      <c r="CB36" s="56" t="str">
        <f>IF('⚙ OFF Weekends'!$D$75="OFF","OFF","")</f>
        <v/>
      </c>
      <c r="CC36" s="54" t="str">
        <f>IF('⚙ OFF Weekends'!$D$76="OFF","OFF","")</f>
        <v/>
      </c>
      <c r="CD36" s="56" t="str">
        <f>IF('⚙ OFF Weekends'!$D$77="OFF","OFF","")</f>
        <v/>
      </c>
      <c r="CE36" s="96">
        <f t="shared" si="9"/>
        <v>9</v>
      </c>
      <c r="CF36" s="96">
        <f t="shared" si="10"/>
        <v>4</v>
      </c>
      <c r="CG36" s="96">
        <f t="shared" si="11"/>
        <v>1</v>
      </c>
      <c r="CH36" s="96" t="str">
        <f t="shared" si="12"/>
        <v>69%</v>
      </c>
    </row>
    <row r="37" ht="18.0" customHeight="1">
      <c r="A37" s="95">
        <v>17.0</v>
      </c>
      <c r="B37" s="12" t="s">
        <v>622</v>
      </c>
      <c r="C37" s="118" t="s">
        <v>623</v>
      </c>
      <c r="D37" s="17" t="str">
        <f t="shared" si="7"/>
        <v>📞 Call</v>
      </c>
      <c r="E37" s="19" t="str">
        <f t="shared" si="8"/>
        <v>💬 WhatsApp</v>
      </c>
      <c r="F37" s="119" t="s">
        <v>459</v>
      </c>
      <c r="G37" s="10"/>
      <c r="H37" s="10"/>
      <c r="I37" s="54" t="str">
        <f>IF('⚙ OFF Weekends'!$D$4="OFF","OFF","")</f>
        <v/>
      </c>
      <c r="J37" s="56" t="str">
        <f>IF('⚙ OFF Weekends'!$D$5="OFF","OFF","")</f>
        <v/>
      </c>
      <c r="K37" s="56" t="str">
        <f>IF('⚙ OFF Weekends'!$D$5="OFF","OFF","")</f>
        <v/>
      </c>
      <c r="L37" s="56" t="str">
        <f>IF('⚙ OFF Weekends'!$D$7="OFF","OFF","")</f>
        <v/>
      </c>
      <c r="M37" s="54" t="str">
        <f>IF('⚙ OFF Weekends'!$D$8="OFF","OFF","")</f>
        <v/>
      </c>
      <c r="N37" s="56" t="str">
        <f>IF('⚙ OFF Weekends'!$D$9="OFF","OFF","")</f>
        <v/>
      </c>
      <c r="O37" s="54" t="str">
        <f>IF('⚙ OFF Weekends'!$D$10="OFF","OFF","")</f>
        <v/>
      </c>
      <c r="P37" s="50" t="s">
        <v>37</v>
      </c>
      <c r="Q37" s="48" t="s">
        <v>196</v>
      </c>
      <c r="R37" s="50" t="s">
        <v>37</v>
      </c>
      <c r="S37" s="52" t="s">
        <v>37</v>
      </c>
      <c r="T37" s="98" t="s">
        <v>196</v>
      </c>
      <c r="U37" s="52" t="s">
        <v>223</v>
      </c>
      <c r="V37" s="53" t="s">
        <v>223</v>
      </c>
      <c r="W37" s="54" t="str">
        <f>IF('⚙ OFF Weekends'!$D$18="OFF","OFF","")</f>
        <v>OFF</v>
      </c>
      <c r="X37" s="53" t="s">
        <v>223</v>
      </c>
      <c r="Y37" s="52" t="s">
        <v>198</v>
      </c>
      <c r="Z37" s="53" t="s">
        <v>198</v>
      </c>
      <c r="AA37" s="52" t="s">
        <v>223</v>
      </c>
      <c r="AB37" s="53" t="s">
        <v>223</v>
      </c>
      <c r="AC37" s="54" t="str">
        <f>IF('⚙ OFF Weekends'!$D$24="OFF","OFF","")</f>
        <v/>
      </c>
      <c r="AD37" s="56" t="str">
        <f>IF('⚙ OFF Weekends'!$D$25="OFF","OFF","")</f>
        <v/>
      </c>
      <c r="AE37" s="54" t="str">
        <f>IF('⚙ OFF Weekends'!$D$26="OFF","OFF","")</f>
        <v/>
      </c>
      <c r="AF37" s="56" t="str">
        <f>IF('⚙ OFF Weekends'!$D$27="OFF","OFF","")</f>
        <v/>
      </c>
      <c r="AG37" s="54" t="str">
        <f>IF('⚙ OFF Weekends'!$D$28="OFF","OFF","")</f>
        <v/>
      </c>
      <c r="AH37" s="56" t="str">
        <f>IF('⚙ OFF Weekends'!$D$29="OFF","OFF","")</f>
        <v/>
      </c>
      <c r="AI37" s="54" t="str">
        <f>IF('⚙ OFF Weekends'!$D$30="OFF","OFF","")</f>
        <v/>
      </c>
      <c r="AJ37" s="56" t="str">
        <f>IF('⚙ OFF Weekends'!$D$31="OFF","OFF","")</f>
        <v/>
      </c>
      <c r="AK37" s="54" t="str">
        <f>IF('⚙ OFF Weekends'!$D$32="OFF","OFF","")</f>
        <v/>
      </c>
      <c r="AL37" s="56" t="str">
        <f>IF('⚙ OFF Weekends'!$D$33="OFF","OFF","")</f>
        <v/>
      </c>
      <c r="AM37" s="54" t="str">
        <f>IF('⚙ OFF Weekends'!$D$34="OFF","OFF","")</f>
        <v/>
      </c>
      <c r="AN37" s="56" t="str">
        <f>IF('⚙ OFF Weekends'!$D$35="OFF","OFF","")</f>
        <v/>
      </c>
      <c r="AO37" s="54" t="str">
        <f>IF('⚙ OFF Weekends'!$D$36="OFF","OFF","")</f>
        <v/>
      </c>
      <c r="AP37" s="56" t="str">
        <f>IF('⚙ OFF Weekends'!$D$37="OFF","OFF","")</f>
        <v/>
      </c>
      <c r="AQ37" s="54" t="str">
        <f>IF('⚙ OFF Weekends'!$D$38="OFF","OFF","")</f>
        <v/>
      </c>
      <c r="AR37" s="56" t="str">
        <f>IF('⚙ OFF Weekends'!$D$39="OFF","OFF","")</f>
        <v/>
      </c>
      <c r="AS37" s="54" t="str">
        <f>IF('⚙ OFF Weekends'!$D$40="OFF","OFF","")</f>
        <v/>
      </c>
      <c r="AT37" s="56" t="str">
        <f>IF('⚙ OFF Weekends'!$D$41="OFF","OFF","")</f>
        <v/>
      </c>
      <c r="AU37" s="54" t="str">
        <f>IF('⚙ OFF Weekends'!$D$42="OFF","OFF","")</f>
        <v/>
      </c>
      <c r="AV37" s="56" t="str">
        <f>IF('⚙ OFF Weekends'!$D$43="OFF","OFF","")</f>
        <v/>
      </c>
      <c r="AW37" s="54" t="str">
        <f>IF('⚙ OFF Weekends'!$D$44="OFF","OFF","")</f>
        <v/>
      </c>
      <c r="AX37" s="56" t="str">
        <f>IF('⚙ OFF Weekends'!$D$45="OFF","OFF","")</f>
        <v/>
      </c>
      <c r="AY37" s="54" t="str">
        <f>IF('⚙ OFF Weekends'!$D$46="OFF","OFF","")</f>
        <v/>
      </c>
      <c r="AZ37" s="56" t="str">
        <f>IF('⚙ OFF Weekends'!$D$47="OFF","OFF","")</f>
        <v/>
      </c>
      <c r="BA37" s="54" t="str">
        <f>IF('⚙ OFF Weekends'!$D$48="OFF","OFF","")</f>
        <v/>
      </c>
      <c r="BB37" s="56" t="str">
        <f>IF('⚙ OFF Weekends'!$D$49="OFF","OFF","")</f>
        <v/>
      </c>
      <c r="BC37" s="54" t="str">
        <f>IF('⚙ OFF Weekends'!$D$50="OFF","OFF","")</f>
        <v/>
      </c>
      <c r="BD37" s="56" t="str">
        <f>IF('⚙ OFF Weekends'!$D$51="OFF","OFF","")</f>
        <v/>
      </c>
      <c r="BE37" s="54" t="str">
        <f>IF('⚙ OFF Weekends'!$D$52="OFF","OFF","")</f>
        <v/>
      </c>
      <c r="BF37" s="56" t="str">
        <f>IF('⚙ OFF Weekends'!$D$53="OFF","OFF","")</f>
        <v/>
      </c>
      <c r="BG37" s="54" t="str">
        <f>IF('⚙ OFF Weekends'!$D$54="OFF","OFF","")</f>
        <v/>
      </c>
      <c r="BH37" s="56" t="str">
        <f>IF('⚙ OFF Weekends'!$D$55="OFF","OFF","")</f>
        <v/>
      </c>
      <c r="BI37" s="54" t="str">
        <f>IF('⚙ OFF Weekends'!$D$56="OFF","OFF","")</f>
        <v/>
      </c>
      <c r="BJ37" s="56" t="str">
        <f>IF('⚙ OFF Weekends'!$D$57="OFF","OFF","")</f>
        <v/>
      </c>
      <c r="BK37" s="54" t="str">
        <f>IF('⚙ OFF Weekends'!$D$58="OFF","OFF","")</f>
        <v/>
      </c>
      <c r="BL37" s="56" t="str">
        <f>IF('⚙ OFF Weekends'!$D$59="OFF","OFF","")</f>
        <v/>
      </c>
      <c r="BM37" s="54" t="str">
        <f>IF('⚙ OFF Weekends'!$D$60="OFF","OFF","")</f>
        <v/>
      </c>
      <c r="BN37" s="56" t="str">
        <f>IF('⚙ OFF Weekends'!$D$61="OFF","OFF","")</f>
        <v/>
      </c>
      <c r="BO37" s="54" t="str">
        <f>IF('⚙ OFF Weekends'!$D$62="OFF","OFF","")</f>
        <v/>
      </c>
      <c r="BP37" s="56" t="str">
        <f>IF('⚙ OFF Weekends'!$D$63="OFF","OFF","")</f>
        <v/>
      </c>
      <c r="BQ37" s="54" t="str">
        <f>IF('⚙ OFF Weekends'!$D$64="OFF","OFF","")</f>
        <v/>
      </c>
      <c r="BR37" s="56" t="str">
        <f>IF('⚙ OFF Weekends'!$D$65="OFF","OFF","")</f>
        <v/>
      </c>
      <c r="BS37" s="54" t="str">
        <f>IF('⚙ OFF Weekends'!$D$66="OFF","OFF","")</f>
        <v/>
      </c>
      <c r="BT37" s="56" t="str">
        <f>IF('⚙ OFF Weekends'!$D$67="OFF","OFF","")</f>
        <v/>
      </c>
      <c r="BU37" s="54" t="str">
        <f>IF('⚙ OFF Weekends'!$D$68="OFF","OFF","")</f>
        <v/>
      </c>
      <c r="BV37" s="56" t="str">
        <f>IF('⚙ OFF Weekends'!$D$69="OFF","OFF","")</f>
        <v/>
      </c>
      <c r="BW37" s="54" t="str">
        <f>IF('⚙ OFF Weekends'!$D$70="OFF","OFF","")</f>
        <v/>
      </c>
      <c r="BX37" s="56" t="str">
        <f>IF('⚙ OFF Weekends'!$D$71="OFF","OFF","")</f>
        <v/>
      </c>
      <c r="BY37" s="54" t="str">
        <f>IF('⚙ OFF Weekends'!$D$72="OFF","OFF","")</f>
        <v/>
      </c>
      <c r="BZ37" s="56" t="str">
        <f>IF('⚙ OFF Weekends'!$D$73="OFF","OFF","")</f>
        <v/>
      </c>
      <c r="CA37" s="54" t="str">
        <f>IF('⚙ OFF Weekends'!$D$74="OFF","OFF","")</f>
        <v/>
      </c>
      <c r="CB37" s="56" t="str">
        <f>IF('⚙ OFF Weekends'!$D$75="OFF","OFF","")</f>
        <v/>
      </c>
      <c r="CC37" s="54" t="str">
        <f>IF('⚙ OFF Weekends'!$D$76="OFF","OFF","")</f>
        <v/>
      </c>
      <c r="CD37" s="56" t="str">
        <f>IF('⚙ OFF Weekends'!$D$77="OFF","OFF","")</f>
        <v/>
      </c>
      <c r="CE37" s="95">
        <f t="shared" si="9"/>
        <v>5</v>
      </c>
      <c r="CF37" s="95">
        <f t="shared" si="10"/>
        <v>5</v>
      </c>
      <c r="CG37" s="95">
        <f t="shared" si="11"/>
        <v>2</v>
      </c>
      <c r="CH37" s="95" t="str">
        <f t="shared" si="12"/>
        <v>50%</v>
      </c>
    </row>
    <row r="38" ht="18.0" customHeight="1">
      <c r="A38" s="96">
        <v>18.0</v>
      </c>
      <c r="B38" s="22" t="s">
        <v>627</v>
      </c>
      <c r="C38" s="133" t="s">
        <v>628</v>
      </c>
      <c r="D38" s="24" t="str">
        <f t="shared" si="7"/>
        <v>📞 Call</v>
      </c>
      <c r="E38" s="41" t="str">
        <f t="shared" si="8"/>
        <v>💬 WhatsApp</v>
      </c>
      <c r="F38" s="104" t="s">
        <v>459</v>
      </c>
      <c r="G38" s="20"/>
      <c r="H38" s="20"/>
      <c r="I38" s="54" t="str">
        <f>IF('⚙ OFF Weekends'!$D$4="OFF","OFF","")</f>
        <v/>
      </c>
      <c r="J38" s="56" t="str">
        <f>IF('⚙ OFF Weekends'!$D$5="OFF","OFF","")</f>
        <v/>
      </c>
      <c r="K38" s="54" t="str">
        <f>IF('⚙ OFF Weekends'!$D$6="OFF","OFF","")</f>
        <v/>
      </c>
      <c r="L38" s="56" t="str">
        <f>IF('⚙ OFF Weekends'!$D$7="OFF","OFF","")</f>
        <v/>
      </c>
      <c r="M38" s="54" t="str">
        <f>IF('⚙ OFF Weekends'!$D$8="OFF","OFF","")</f>
        <v/>
      </c>
      <c r="N38" s="56" t="str">
        <f>IF('⚙ OFF Weekends'!$D$9="OFF","OFF","")</f>
        <v/>
      </c>
      <c r="O38" s="54" t="str">
        <f>IF('⚙ OFF Weekends'!$D$10="OFF","OFF","")</f>
        <v/>
      </c>
      <c r="P38" s="56" t="str">
        <f>IF('⚙ OFF Weekends'!$D$11="OFF","OFF","")</f>
        <v/>
      </c>
      <c r="Q38" s="54" t="str">
        <f>IF('⚙ OFF Weekends'!$D$12="OFF","OFF","")</f>
        <v/>
      </c>
      <c r="R38" s="50" t="s">
        <v>37</v>
      </c>
      <c r="S38" s="52" t="s">
        <v>198</v>
      </c>
      <c r="T38" s="98" t="s">
        <v>198</v>
      </c>
      <c r="U38" s="52" t="s">
        <v>37</v>
      </c>
      <c r="V38" s="53" t="s">
        <v>223</v>
      </c>
      <c r="W38" s="54" t="str">
        <f>IF('⚙ OFF Weekends'!$D$18="OFF","OFF","")</f>
        <v>OFF</v>
      </c>
      <c r="X38" s="53" t="s">
        <v>223</v>
      </c>
      <c r="Y38" s="52" t="s">
        <v>37</v>
      </c>
      <c r="Z38" s="53" t="s">
        <v>37</v>
      </c>
      <c r="AA38" s="52" t="s">
        <v>223</v>
      </c>
      <c r="AB38" s="53" t="s">
        <v>196</v>
      </c>
      <c r="AC38" s="54" t="str">
        <f>IF('⚙ OFF Weekends'!$D$24="OFF","OFF","")</f>
        <v/>
      </c>
      <c r="AD38" s="56" t="str">
        <f>IF('⚙ OFF Weekends'!$D$25="OFF","OFF","")</f>
        <v/>
      </c>
      <c r="AE38" s="54" t="str">
        <f>IF('⚙ OFF Weekends'!$D$26="OFF","OFF","")</f>
        <v/>
      </c>
      <c r="AF38" s="56" t="str">
        <f>IF('⚙ OFF Weekends'!$D$27="OFF","OFF","")</f>
        <v/>
      </c>
      <c r="AG38" s="54" t="str">
        <f>IF('⚙ OFF Weekends'!$D$28="OFF","OFF","")</f>
        <v/>
      </c>
      <c r="AH38" s="56" t="str">
        <f>IF('⚙ OFF Weekends'!$D$29="OFF","OFF","")</f>
        <v/>
      </c>
      <c r="AI38" s="54" t="str">
        <f>IF('⚙ OFF Weekends'!$D$30="OFF","OFF","")</f>
        <v/>
      </c>
      <c r="AJ38" s="56" t="str">
        <f>IF('⚙ OFF Weekends'!$D$31="OFF","OFF","")</f>
        <v/>
      </c>
      <c r="AK38" s="54" t="str">
        <f>IF('⚙ OFF Weekends'!$D$32="OFF","OFF","")</f>
        <v/>
      </c>
      <c r="AL38" s="56" t="str">
        <f>IF('⚙ OFF Weekends'!$D$33="OFF","OFF","")</f>
        <v/>
      </c>
      <c r="AM38" s="54" t="str">
        <f>IF('⚙ OFF Weekends'!$D$34="OFF","OFF","")</f>
        <v/>
      </c>
      <c r="AN38" s="56" t="str">
        <f>IF('⚙ OFF Weekends'!$D$35="OFF","OFF","")</f>
        <v/>
      </c>
      <c r="AO38" s="54" t="str">
        <f>IF('⚙ OFF Weekends'!$D$36="OFF","OFF","")</f>
        <v/>
      </c>
      <c r="AP38" s="56" t="str">
        <f>IF('⚙ OFF Weekends'!$D$37="OFF","OFF","")</f>
        <v/>
      </c>
      <c r="AQ38" s="54" t="str">
        <f>IF('⚙ OFF Weekends'!$D$38="OFF","OFF","")</f>
        <v/>
      </c>
      <c r="AR38" s="56" t="str">
        <f>IF('⚙ OFF Weekends'!$D$39="OFF","OFF","")</f>
        <v/>
      </c>
      <c r="AS38" s="54" t="str">
        <f>IF('⚙ OFF Weekends'!$D$40="OFF","OFF","")</f>
        <v/>
      </c>
      <c r="AT38" s="56" t="str">
        <f>IF('⚙ OFF Weekends'!$D$41="OFF","OFF","")</f>
        <v/>
      </c>
      <c r="AU38" s="54" t="str">
        <f>IF('⚙ OFF Weekends'!$D$42="OFF","OFF","")</f>
        <v/>
      </c>
      <c r="AV38" s="56" t="str">
        <f>IF('⚙ OFF Weekends'!$D$43="OFF","OFF","")</f>
        <v/>
      </c>
      <c r="AW38" s="54" t="str">
        <f>IF('⚙ OFF Weekends'!$D$44="OFF","OFF","")</f>
        <v/>
      </c>
      <c r="AX38" s="56" t="str">
        <f>IF('⚙ OFF Weekends'!$D$45="OFF","OFF","")</f>
        <v/>
      </c>
      <c r="AY38" s="54" t="str">
        <f>IF('⚙ OFF Weekends'!$D$46="OFF","OFF","")</f>
        <v/>
      </c>
      <c r="AZ38" s="56" t="str">
        <f>IF('⚙ OFF Weekends'!$D$47="OFF","OFF","")</f>
        <v/>
      </c>
      <c r="BA38" s="54" t="str">
        <f>IF('⚙ OFF Weekends'!$D$48="OFF","OFF","")</f>
        <v/>
      </c>
      <c r="BB38" s="56" t="str">
        <f>IF('⚙ OFF Weekends'!$D$49="OFF","OFF","")</f>
        <v/>
      </c>
      <c r="BC38" s="54" t="str">
        <f>IF('⚙ OFF Weekends'!$D$50="OFF","OFF","")</f>
        <v/>
      </c>
      <c r="BD38" s="56" t="str">
        <f>IF('⚙ OFF Weekends'!$D$51="OFF","OFF","")</f>
        <v/>
      </c>
      <c r="BE38" s="54" t="str">
        <f>IF('⚙ OFF Weekends'!$D$52="OFF","OFF","")</f>
        <v/>
      </c>
      <c r="BF38" s="56" t="str">
        <f>IF('⚙ OFF Weekends'!$D$53="OFF","OFF","")</f>
        <v/>
      </c>
      <c r="BG38" s="54" t="str">
        <f>IF('⚙ OFF Weekends'!$D$54="OFF","OFF","")</f>
        <v/>
      </c>
      <c r="BH38" s="56" t="str">
        <f>IF('⚙ OFF Weekends'!$D$55="OFF","OFF","")</f>
        <v/>
      </c>
      <c r="BI38" s="54" t="str">
        <f>IF('⚙ OFF Weekends'!$D$56="OFF","OFF","")</f>
        <v/>
      </c>
      <c r="BJ38" s="56" t="str">
        <f>IF('⚙ OFF Weekends'!$D$57="OFF","OFF","")</f>
        <v/>
      </c>
      <c r="BK38" s="54" t="str">
        <f>IF('⚙ OFF Weekends'!$D$58="OFF","OFF","")</f>
        <v/>
      </c>
      <c r="BL38" s="56" t="str">
        <f>IF('⚙ OFF Weekends'!$D$59="OFF","OFF","")</f>
        <v/>
      </c>
      <c r="BM38" s="54" t="str">
        <f>IF('⚙ OFF Weekends'!$D$60="OFF","OFF","")</f>
        <v/>
      </c>
      <c r="BN38" s="56" t="str">
        <f>IF('⚙ OFF Weekends'!$D$61="OFF","OFF","")</f>
        <v/>
      </c>
      <c r="BO38" s="54" t="str">
        <f>IF('⚙ OFF Weekends'!$D$62="OFF","OFF","")</f>
        <v/>
      </c>
      <c r="BP38" s="56" t="str">
        <f>IF('⚙ OFF Weekends'!$D$63="OFF","OFF","")</f>
        <v/>
      </c>
      <c r="BQ38" s="54" t="str">
        <f>IF('⚙ OFF Weekends'!$D$64="OFF","OFF","")</f>
        <v/>
      </c>
      <c r="BR38" s="56" t="str">
        <f>IF('⚙ OFF Weekends'!$D$65="OFF","OFF","")</f>
        <v/>
      </c>
      <c r="BS38" s="54" t="str">
        <f>IF('⚙ OFF Weekends'!$D$66="OFF","OFF","")</f>
        <v/>
      </c>
      <c r="BT38" s="56" t="str">
        <f>IF('⚙ OFF Weekends'!$D$67="OFF","OFF","")</f>
        <v/>
      </c>
      <c r="BU38" s="54" t="str">
        <f>IF('⚙ OFF Weekends'!$D$68="OFF","OFF","")</f>
        <v/>
      </c>
      <c r="BV38" s="56" t="str">
        <f>IF('⚙ OFF Weekends'!$D$69="OFF","OFF","")</f>
        <v/>
      </c>
      <c r="BW38" s="54" t="str">
        <f>IF('⚙ OFF Weekends'!$D$70="OFF","OFF","")</f>
        <v/>
      </c>
      <c r="BX38" s="56" t="str">
        <f>IF('⚙ OFF Weekends'!$D$71="OFF","OFF","")</f>
        <v/>
      </c>
      <c r="BY38" s="54" t="str">
        <f>IF('⚙ OFF Weekends'!$D$72="OFF","OFF","")</f>
        <v/>
      </c>
      <c r="BZ38" s="56" t="str">
        <f>IF('⚙ OFF Weekends'!$D$73="OFF","OFF","")</f>
        <v/>
      </c>
      <c r="CA38" s="54" t="str">
        <f>IF('⚙ OFF Weekends'!$D$74="OFF","OFF","")</f>
        <v/>
      </c>
      <c r="CB38" s="56" t="str">
        <f>IF('⚙ OFF Weekends'!$D$75="OFF","OFF","")</f>
        <v/>
      </c>
      <c r="CC38" s="54" t="str">
        <f>IF('⚙ OFF Weekends'!$D$76="OFF","OFF","")</f>
        <v/>
      </c>
      <c r="CD38" s="56" t="str">
        <f>IF('⚙ OFF Weekends'!$D$77="OFF","OFF","")</f>
        <v/>
      </c>
      <c r="CE38" s="96">
        <f t="shared" si="9"/>
        <v>5</v>
      </c>
      <c r="CF38" s="96">
        <f t="shared" si="10"/>
        <v>3</v>
      </c>
      <c r="CG38" s="96">
        <f t="shared" si="11"/>
        <v>2</v>
      </c>
      <c r="CH38" s="96" t="str">
        <f t="shared" si="12"/>
        <v>63%</v>
      </c>
    </row>
    <row r="39" ht="18.0" customHeight="1">
      <c r="A39" s="107">
        <v>19.0</v>
      </c>
      <c r="B39" s="108"/>
      <c r="C39" s="108"/>
      <c r="D39" s="109" t="str">
        <f t="shared" si="7"/>
        <v/>
      </c>
      <c r="E39" s="110" t="str">
        <f t="shared" si="8"/>
        <v/>
      </c>
      <c r="F39" s="108"/>
      <c r="G39" s="108"/>
      <c r="H39" s="108"/>
      <c r="I39" s="111" t="str">
        <f>IF('⚙ OFF Weekends'!$D$4="OFF","OFF","")</f>
        <v/>
      </c>
      <c r="J39" s="111" t="str">
        <f>IF('⚙ OFF Weekends'!$D$5="OFF","OFF","")</f>
        <v/>
      </c>
      <c r="K39" s="111" t="str">
        <f>IF('⚙ OFF Weekends'!$D$6="OFF","OFF","")</f>
        <v/>
      </c>
      <c r="L39" s="111" t="str">
        <f>IF('⚙ OFF Weekends'!$D$7="OFF","OFF","")</f>
        <v/>
      </c>
      <c r="M39" s="111" t="str">
        <f>IF('⚙ OFF Weekends'!$D$8="OFF","OFF","")</f>
        <v/>
      </c>
      <c r="N39" s="111" t="str">
        <f>IF('⚙ OFF Weekends'!$D$9="OFF","OFF","")</f>
        <v/>
      </c>
      <c r="O39" s="111" t="str">
        <f>IF('⚙ OFF Weekends'!$D$10="OFF","OFF","")</f>
        <v/>
      </c>
      <c r="P39" s="111" t="str">
        <f>IF('⚙ OFF Weekends'!$D$11="OFF","OFF","")</f>
        <v/>
      </c>
      <c r="Q39" s="111" t="str">
        <f>IF('⚙ OFF Weekends'!$D$12="OFF","OFF","")</f>
        <v/>
      </c>
      <c r="R39" s="111" t="str">
        <f>IF('⚙ OFF Weekends'!$D$13="OFF","OFF","")</f>
        <v/>
      </c>
      <c r="S39" s="111" t="str">
        <f>IF('⚙ OFF Weekends'!$D$14="OFF","OFF","")</f>
        <v/>
      </c>
      <c r="T39" s="111" t="str">
        <f>IF('⚙ OFF Weekends'!$D$15="OFF","OFF","")</f>
        <v/>
      </c>
      <c r="U39" s="111" t="str">
        <f>IF('⚙ OFF Weekends'!$D$16="OFF","OFF","")</f>
        <v/>
      </c>
      <c r="V39" s="111" t="str">
        <f>IF('⚙ OFF Weekends'!$D$17="OFF","OFF","")</f>
        <v/>
      </c>
      <c r="W39" s="111" t="str">
        <f>IF('⚙ OFF Weekends'!$D$18="OFF","OFF","")</f>
        <v>OFF</v>
      </c>
      <c r="X39" s="111" t="str">
        <f>IF('⚙ OFF Weekends'!$D$19="OFF","OFF","")</f>
        <v/>
      </c>
      <c r="Y39" s="111" t="str">
        <f>IF('⚙ OFF Weekends'!$D$20="OFF","OFF","")</f>
        <v/>
      </c>
      <c r="Z39" s="111" t="str">
        <f>IF('⚙ OFF Weekends'!$D$21="OFF","OFF","")</f>
        <v/>
      </c>
      <c r="AA39" s="111" t="str">
        <f>IF('⚙ OFF Weekends'!$D$22="OFF","OFF","")</f>
        <v/>
      </c>
      <c r="AB39" s="111" t="str">
        <f>IF('⚙ OFF Weekends'!$D$23="OFF","OFF","")</f>
        <v/>
      </c>
      <c r="AC39" s="111" t="str">
        <f>IF('⚙ OFF Weekends'!$D$24="OFF","OFF","")</f>
        <v/>
      </c>
      <c r="AD39" s="111" t="str">
        <f>IF('⚙ OFF Weekends'!$D$25="OFF","OFF","")</f>
        <v/>
      </c>
      <c r="AE39" s="111" t="str">
        <f>IF('⚙ OFF Weekends'!$D$26="OFF","OFF","")</f>
        <v/>
      </c>
      <c r="AF39" s="111" t="str">
        <f>IF('⚙ OFF Weekends'!$D$27="OFF","OFF","")</f>
        <v/>
      </c>
      <c r="AG39" s="111" t="str">
        <f>IF('⚙ OFF Weekends'!$D$28="OFF","OFF","")</f>
        <v/>
      </c>
      <c r="AH39" s="111" t="str">
        <f>IF('⚙ OFF Weekends'!$D$29="OFF","OFF","")</f>
        <v/>
      </c>
      <c r="AI39" s="111" t="str">
        <f>IF('⚙ OFF Weekends'!$D$30="OFF","OFF","")</f>
        <v/>
      </c>
      <c r="AJ39" s="111" t="str">
        <f>IF('⚙ OFF Weekends'!$D$31="OFF","OFF","")</f>
        <v/>
      </c>
      <c r="AK39" s="111" t="str">
        <f>IF('⚙ OFF Weekends'!$D$32="OFF","OFF","")</f>
        <v/>
      </c>
      <c r="AL39" s="111" t="str">
        <f>IF('⚙ OFF Weekends'!$D$33="OFF","OFF","")</f>
        <v/>
      </c>
      <c r="AM39" s="111" t="str">
        <f>IF('⚙ OFF Weekends'!$D$34="OFF","OFF","")</f>
        <v/>
      </c>
      <c r="AN39" s="111" t="str">
        <f>IF('⚙ OFF Weekends'!$D$35="OFF","OFF","")</f>
        <v/>
      </c>
      <c r="AO39" s="111" t="str">
        <f>IF('⚙ OFF Weekends'!$D$36="OFF","OFF","")</f>
        <v/>
      </c>
      <c r="AP39" s="111" t="str">
        <f>IF('⚙ OFF Weekends'!$D$37="OFF","OFF","")</f>
        <v/>
      </c>
      <c r="AQ39" s="111" t="str">
        <f>IF('⚙ OFF Weekends'!$D$38="OFF","OFF","")</f>
        <v/>
      </c>
      <c r="AR39" s="111" t="str">
        <f>IF('⚙ OFF Weekends'!$D$39="OFF","OFF","")</f>
        <v/>
      </c>
      <c r="AS39" s="111" t="str">
        <f>IF('⚙ OFF Weekends'!$D$40="OFF","OFF","")</f>
        <v/>
      </c>
      <c r="AT39" s="111" t="str">
        <f>IF('⚙ OFF Weekends'!$D$41="OFF","OFF","")</f>
        <v/>
      </c>
      <c r="AU39" s="111" t="str">
        <f>IF('⚙ OFF Weekends'!$D$42="OFF","OFF","")</f>
        <v/>
      </c>
      <c r="AV39" s="111" t="str">
        <f>IF('⚙ OFF Weekends'!$D$43="OFF","OFF","")</f>
        <v/>
      </c>
      <c r="AW39" s="111" t="str">
        <f>IF('⚙ OFF Weekends'!$D$44="OFF","OFF","")</f>
        <v/>
      </c>
      <c r="AX39" s="111" t="str">
        <f>IF('⚙ OFF Weekends'!$D$45="OFF","OFF","")</f>
        <v/>
      </c>
      <c r="AY39" s="111" t="str">
        <f>IF('⚙ OFF Weekends'!$D$46="OFF","OFF","")</f>
        <v/>
      </c>
      <c r="AZ39" s="111" t="str">
        <f>IF('⚙ OFF Weekends'!$D$47="OFF","OFF","")</f>
        <v/>
      </c>
      <c r="BA39" s="111" t="str">
        <f>IF('⚙ OFF Weekends'!$D$48="OFF","OFF","")</f>
        <v/>
      </c>
      <c r="BB39" s="111" t="str">
        <f>IF('⚙ OFF Weekends'!$D$49="OFF","OFF","")</f>
        <v/>
      </c>
      <c r="BC39" s="111" t="str">
        <f>IF('⚙ OFF Weekends'!$D$50="OFF","OFF","")</f>
        <v/>
      </c>
      <c r="BD39" s="111" t="str">
        <f>IF('⚙ OFF Weekends'!$D$51="OFF","OFF","")</f>
        <v/>
      </c>
      <c r="BE39" s="111" t="str">
        <f>IF('⚙ OFF Weekends'!$D$52="OFF","OFF","")</f>
        <v/>
      </c>
      <c r="BF39" s="111" t="str">
        <f>IF('⚙ OFF Weekends'!$D$53="OFF","OFF","")</f>
        <v/>
      </c>
      <c r="BG39" s="111" t="str">
        <f>IF('⚙ OFF Weekends'!$D$54="OFF","OFF","")</f>
        <v/>
      </c>
      <c r="BH39" s="111" t="str">
        <f>IF('⚙ OFF Weekends'!$D$55="OFF","OFF","")</f>
        <v/>
      </c>
      <c r="BI39" s="111" t="str">
        <f>IF('⚙ OFF Weekends'!$D$56="OFF","OFF","")</f>
        <v/>
      </c>
      <c r="BJ39" s="111" t="str">
        <f>IF('⚙ OFF Weekends'!$D$57="OFF","OFF","")</f>
        <v/>
      </c>
      <c r="BK39" s="111" t="str">
        <f>IF('⚙ OFF Weekends'!$D$58="OFF","OFF","")</f>
        <v/>
      </c>
      <c r="BL39" s="111" t="str">
        <f>IF('⚙ OFF Weekends'!$D$59="OFF","OFF","")</f>
        <v/>
      </c>
      <c r="BM39" s="111" t="str">
        <f>IF('⚙ OFF Weekends'!$D$60="OFF","OFF","")</f>
        <v/>
      </c>
      <c r="BN39" s="111" t="str">
        <f>IF('⚙ OFF Weekends'!$D$61="OFF","OFF","")</f>
        <v/>
      </c>
      <c r="BO39" s="111" t="str">
        <f>IF('⚙ OFF Weekends'!$D$62="OFF","OFF","")</f>
        <v/>
      </c>
      <c r="BP39" s="111" t="str">
        <f>IF('⚙ OFF Weekends'!$D$63="OFF","OFF","")</f>
        <v/>
      </c>
      <c r="BQ39" s="111" t="str">
        <f>IF('⚙ OFF Weekends'!$D$64="OFF","OFF","")</f>
        <v/>
      </c>
      <c r="BR39" s="111" t="str">
        <f>IF('⚙ OFF Weekends'!$D$65="OFF","OFF","")</f>
        <v/>
      </c>
      <c r="BS39" s="111" t="str">
        <f>IF('⚙ OFF Weekends'!$D$66="OFF","OFF","")</f>
        <v/>
      </c>
      <c r="BT39" s="111" t="str">
        <f>IF('⚙ OFF Weekends'!$D$67="OFF","OFF","")</f>
        <v/>
      </c>
      <c r="BU39" s="111" t="str">
        <f>IF('⚙ OFF Weekends'!$D$68="OFF","OFF","")</f>
        <v/>
      </c>
      <c r="BV39" s="111" t="str">
        <f>IF('⚙ OFF Weekends'!$D$69="OFF","OFF","")</f>
        <v/>
      </c>
      <c r="BW39" s="111" t="str">
        <f>IF('⚙ OFF Weekends'!$D$70="OFF","OFF","")</f>
        <v/>
      </c>
      <c r="BX39" s="111" t="str">
        <f>IF('⚙ OFF Weekends'!$D$71="OFF","OFF","")</f>
        <v/>
      </c>
      <c r="BY39" s="111" t="str">
        <f>IF('⚙ OFF Weekends'!$D$72="OFF","OFF","")</f>
        <v/>
      </c>
      <c r="BZ39" s="111" t="str">
        <f>IF('⚙ OFF Weekends'!$D$73="OFF","OFF","")</f>
        <v/>
      </c>
      <c r="CA39" s="111" t="str">
        <f>IF('⚙ OFF Weekends'!$D$74="OFF","OFF","")</f>
        <v/>
      </c>
      <c r="CB39" s="111" t="str">
        <f>IF('⚙ OFF Weekends'!$D$75="OFF","OFF","")</f>
        <v/>
      </c>
      <c r="CC39" s="111" t="str">
        <f>IF('⚙ OFF Weekends'!$D$76="OFF","OFF","")</f>
        <v/>
      </c>
      <c r="CD39" s="111" t="str">
        <f>IF('⚙ OFF Weekends'!$D$77="OFF","OFF","")</f>
        <v/>
      </c>
      <c r="CE39" s="112">
        <f t="shared" si="9"/>
        <v>0</v>
      </c>
      <c r="CF39" s="112">
        <f t="shared" si="10"/>
        <v>0</v>
      </c>
      <c r="CG39" s="112">
        <f t="shared" si="11"/>
        <v>0</v>
      </c>
      <c r="CH39" s="112" t="str">
        <f t="shared" si="12"/>
        <v>0%</v>
      </c>
    </row>
    <row r="40" ht="18.0" customHeight="1">
      <c r="A40" s="107">
        <v>20.0</v>
      </c>
      <c r="B40" s="108"/>
      <c r="C40" s="108"/>
      <c r="D40" s="109" t="str">
        <f t="shared" si="7"/>
        <v/>
      </c>
      <c r="E40" s="110" t="str">
        <f t="shared" si="8"/>
        <v/>
      </c>
      <c r="F40" s="108"/>
      <c r="G40" s="108"/>
      <c r="H40" s="108"/>
      <c r="I40" s="111" t="str">
        <f>IF('⚙ OFF Weekends'!$D$4="OFF","OFF","")</f>
        <v/>
      </c>
      <c r="J40" s="111" t="str">
        <f>IF('⚙ OFF Weekends'!$D$5="OFF","OFF","")</f>
        <v/>
      </c>
      <c r="K40" s="111" t="str">
        <f>IF('⚙ OFF Weekends'!$D$6="OFF","OFF","")</f>
        <v/>
      </c>
      <c r="L40" s="111" t="str">
        <f>IF('⚙ OFF Weekends'!$D$7="OFF","OFF","")</f>
        <v/>
      </c>
      <c r="M40" s="111" t="str">
        <f>IF('⚙ OFF Weekends'!$D$8="OFF","OFF","")</f>
        <v/>
      </c>
      <c r="N40" s="111" t="str">
        <f>IF('⚙ OFF Weekends'!$D$9="OFF","OFF","")</f>
        <v/>
      </c>
      <c r="O40" s="111" t="str">
        <f>IF('⚙ OFF Weekends'!$D$10="OFF","OFF","")</f>
        <v/>
      </c>
      <c r="P40" s="111" t="str">
        <f>IF('⚙ OFF Weekends'!$D$11="OFF","OFF","")</f>
        <v/>
      </c>
      <c r="Q40" s="111" t="str">
        <f>IF('⚙ OFF Weekends'!$D$12="OFF","OFF","")</f>
        <v/>
      </c>
      <c r="R40" s="111" t="str">
        <f>IF('⚙ OFF Weekends'!$D$13="OFF","OFF","")</f>
        <v/>
      </c>
      <c r="S40" s="111" t="str">
        <f>IF('⚙ OFF Weekends'!$D$14="OFF","OFF","")</f>
        <v/>
      </c>
      <c r="T40" s="111" t="str">
        <f>IF('⚙ OFF Weekends'!$D$15="OFF","OFF","")</f>
        <v/>
      </c>
      <c r="U40" s="111" t="str">
        <f>IF('⚙ OFF Weekends'!$D$16="OFF","OFF","")</f>
        <v/>
      </c>
      <c r="V40" s="111" t="str">
        <f>IF('⚙ OFF Weekends'!$D$17="OFF","OFF","")</f>
        <v/>
      </c>
      <c r="W40" s="111" t="str">
        <f>IF('⚙ OFF Weekends'!$D$18="OFF","OFF","")</f>
        <v>OFF</v>
      </c>
      <c r="X40" s="111" t="str">
        <f>IF('⚙ OFF Weekends'!$D$19="OFF","OFF","")</f>
        <v/>
      </c>
      <c r="Y40" s="111" t="str">
        <f>IF('⚙ OFF Weekends'!$D$20="OFF","OFF","")</f>
        <v/>
      </c>
      <c r="Z40" s="111" t="str">
        <f>IF('⚙ OFF Weekends'!$D$21="OFF","OFF","")</f>
        <v/>
      </c>
      <c r="AA40" s="111" t="str">
        <f>IF('⚙ OFF Weekends'!$D$22="OFF","OFF","")</f>
        <v/>
      </c>
      <c r="AB40" s="111" t="str">
        <f>IF('⚙ OFF Weekends'!$D$23="OFF","OFF","")</f>
        <v/>
      </c>
      <c r="AC40" s="111" t="str">
        <f>IF('⚙ OFF Weekends'!$D$24="OFF","OFF","")</f>
        <v/>
      </c>
      <c r="AD40" s="111" t="str">
        <f>IF('⚙ OFF Weekends'!$D$25="OFF","OFF","")</f>
        <v/>
      </c>
      <c r="AE40" s="111" t="str">
        <f>IF('⚙ OFF Weekends'!$D$26="OFF","OFF","")</f>
        <v/>
      </c>
      <c r="AF40" s="111" t="str">
        <f>IF('⚙ OFF Weekends'!$D$27="OFF","OFF","")</f>
        <v/>
      </c>
      <c r="AG40" s="111" t="str">
        <f>IF('⚙ OFF Weekends'!$D$28="OFF","OFF","")</f>
        <v/>
      </c>
      <c r="AH40" s="111" t="str">
        <f>IF('⚙ OFF Weekends'!$D$29="OFF","OFF","")</f>
        <v/>
      </c>
      <c r="AI40" s="111" t="str">
        <f>IF('⚙ OFF Weekends'!$D$30="OFF","OFF","")</f>
        <v/>
      </c>
      <c r="AJ40" s="111" t="str">
        <f>IF('⚙ OFF Weekends'!$D$31="OFF","OFF","")</f>
        <v/>
      </c>
      <c r="AK40" s="111" t="str">
        <f>IF('⚙ OFF Weekends'!$D$32="OFF","OFF","")</f>
        <v/>
      </c>
      <c r="AL40" s="111" t="str">
        <f>IF('⚙ OFF Weekends'!$D$33="OFF","OFF","")</f>
        <v/>
      </c>
      <c r="AM40" s="111" t="str">
        <f>IF('⚙ OFF Weekends'!$D$34="OFF","OFF","")</f>
        <v/>
      </c>
      <c r="AN40" s="111" t="str">
        <f>IF('⚙ OFF Weekends'!$D$35="OFF","OFF","")</f>
        <v/>
      </c>
      <c r="AO40" s="111" t="str">
        <f>IF('⚙ OFF Weekends'!$D$36="OFF","OFF","")</f>
        <v/>
      </c>
      <c r="AP40" s="111" t="str">
        <f>IF('⚙ OFF Weekends'!$D$37="OFF","OFF","")</f>
        <v/>
      </c>
      <c r="AQ40" s="111" t="str">
        <f>IF('⚙ OFF Weekends'!$D$38="OFF","OFF","")</f>
        <v/>
      </c>
      <c r="AR40" s="111" t="str">
        <f>IF('⚙ OFF Weekends'!$D$39="OFF","OFF","")</f>
        <v/>
      </c>
      <c r="AS40" s="111" t="str">
        <f>IF('⚙ OFF Weekends'!$D$40="OFF","OFF","")</f>
        <v/>
      </c>
      <c r="AT40" s="111" t="str">
        <f>IF('⚙ OFF Weekends'!$D$41="OFF","OFF","")</f>
        <v/>
      </c>
      <c r="AU40" s="111" t="str">
        <f>IF('⚙ OFF Weekends'!$D$42="OFF","OFF","")</f>
        <v/>
      </c>
      <c r="AV40" s="111" t="str">
        <f>IF('⚙ OFF Weekends'!$D$43="OFF","OFF","")</f>
        <v/>
      </c>
      <c r="AW40" s="111" t="str">
        <f>IF('⚙ OFF Weekends'!$D$44="OFF","OFF","")</f>
        <v/>
      </c>
      <c r="AX40" s="111" t="str">
        <f>IF('⚙ OFF Weekends'!$D$45="OFF","OFF","")</f>
        <v/>
      </c>
      <c r="AY40" s="111" t="str">
        <f>IF('⚙ OFF Weekends'!$D$46="OFF","OFF","")</f>
        <v/>
      </c>
      <c r="AZ40" s="111" t="str">
        <f>IF('⚙ OFF Weekends'!$D$47="OFF","OFF","")</f>
        <v/>
      </c>
      <c r="BA40" s="111" t="str">
        <f>IF('⚙ OFF Weekends'!$D$48="OFF","OFF","")</f>
        <v/>
      </c>
      <c r="BB40" s="111" t="str">
        <f>IF('⚙ OFF Weekends'!$D$49="OFF","OFF","")</f>
        <v/>
      </c>
      <c r="BC40" s="111" t="str">
        <f>IF('⚙ OFF Weekends'!$D$50="OFF","OFF","")</f>
        <v/>
      </c>
      <c r="BD40" s="111" t="str">
        <f>IF('⚙ OFF Weekends'!$D$51="OFF","OFF","")</f>
        <v/>
      </c>
      <c r="BE40" s="111" t="str">
        <f>IF('⚙ OFF Weekends'!$D$52="OFF","OFF","")</f>
        <v/>
      </c>
      <c r="BF40" s="111" t="str">
        <f>IF('⚙ OFF Weekends'!$D$53="OFF","OFF","")</f>
        <v/>
      </c>
      <c r="BG40" s="111" t="str">
        <f>IF('⚙ OFF Weekends'!$D$54="OFF","OFF","")</f>
        <v/>
      </c>
      <c r="BH40" s="111" t="str">
        <f>IF('⚙ OFF Weekends'!$D$55="OFF","OFF","")</f>
        <v/>
      </c>
      <c r="BI40" s="111" t="str">
        <f>IF('⚙ OFF Weekends'!$D$56="OFF","OFF","")</f>
        <v/>
      </c>
      <c r="BJ40" s="111" t="str">
        <f>IF('⚙ OFF Weekends'!$D$57="OFF","OFF","")</f>
        <v/>
      </c>
      <c r="BK40" s="111" t="str">
        <f>IF('⚙ OFF Weekends'!$D$58="OFF","OFF","")</f>
        <v/>
      </c>
      <c r="BL40" s="111" t="str">
        <f>IF('⚙ OFF Weekends'!$D$59="OFF","OFF","")</f>
        <v/>
      </c>
      <c r="BM40" s="111" t="str">
        <f>IF('⚙ OFF Weekends'!$D$60="OFF","OFF","")</f>
        <v/>
      </c>
      <c r="BN40" s="111" t="str">
        <f>IF('⚙ OFF Weekends'!$D$61="OFF","OFF","")</f>
        <v/>
      </c>
      <c r="BO40" s="111" t="str">
        <f>IF('⚙ OFF Weekends'!$D$62="OFF","OFF","")</f>
        <v/>
      </c>
      <c r="BP40" s="111" t="str">
        <f>IF('⚙ OFF Weekends'!$D$63="OFF","OFF","")</f>
        <v/>
      </c>
      <c r="BQ40" s="111" t="str">
        <f>IF('⚙ OFF Weekends'!$D$64="OFF","OFF","")</f>
        <v/>
      </c>
      <c r="BR40" s="111" t="str">
        <f>IF('⚙ OFF Weekends'!$D$65="OFF","OFF","")</f>
        <v/>
      </c>
      <c r="BS40" s="111" t="str">
        <f>IF('⚙ OFF Weekends'!$D$66="OFF","OFF","")</f>
        <v/>
      </c>
      <c r="BT40" s="111" t="str">
        <f>IF('⚙ OFF Weekends'!$D$67="OFF","OFF","")</f>
        <v/>
      </c>
      <c r="BU40" s="111" t="str">
        <f>IF('⚙ OFF Weekends'!$D$68="OFF","OFF","")</f>
        <v/>
      </c>
      <c r="BV40" s="111" t="str">
        <f>IF('⚙ OFF Weekends'!$D$69="OFF","OFF","")</f>
        <v/>
      </c>
      <c r="BW40" s="111" t="str">
        <f>IF('⚙ OFF Weekends'!$D$70="OFF","OFF","")</f>
        <v/>
      </c>
      <c r="BX40" s="111" t="str">
        <f>IF('⚙ OFF Weekends'!$D$71="OFF","OFF","")</f>
        <v/>
      </c>
      <c r="BY40" s="111" t="str">
        <f>IF('⚙ OFF Weekends'!$D$72="OFF","OFF","")</f>
        <v/>
      </c>
      <c r="BZ40" s="111" t="str">
        <f>IF('⚙ OFF Weekends'!$D$73="OFF","OFF","")</f>
        <v/>
      </c>
      <c r="CA40" s="111" t="str">
        <f>IF('⚙ OFF Weekends'!$D$74="OFF","OFF","")</f>
        <v/>
      </c>
      <c r="CB40" s="111" t="str">
        <f>IF('⚙ OFF Weekends'!$D$75="OFF","OFF","")</f>
        <v/>
      </c>
      <c r="CC40" s="111" t="str">
        <f>IF('⚙ OFF Weekends'!$D$76="OFF","OFF","")</f>
        <v/>
      </c>
      <c r="CD40" s="111" t="str">
        <f>IF('⚙ OFF Weekends'!$D$77="OFF","OFF","")</f>
        <v/>
      </c>
      <c r="CE40" s="112">
        <f t="shared" si="9"/>
        <v>0</v>
      </c>
      <c r="CF40" s="112">
        <f t="shared" si="10"/>
        <v>0</v>
      </c>
      <c r="CG40" s="112">
        <f t="shared" si="11"/>
        <v>0</v>
      </c>
      <c r="CH40" s="112" t="str">
        <f t="shared" si="12"/>
        <v>0%</v>
      </c>
    </row>
    <row r="41" ht="18.0" customHeight="1">
      <c r="A41" s="107">
        <v>21.0</v>
      </c>
      <c r="B41" s="108"/>
      <c r="C41" s="108"/>
      <c r="D41" s="109" t="str">
        <f t="shared" si="7"/>
        <v/>
      </c>
      <c r="E41" s="110" t="str">
        <f t="shared" si="8"/>
        <v/>
      </c>
      <c r="F41" s="108"/>
      <c r="G41" s="108"/>
      <c r="H41" s="108"/>
      <c r="I41" s="111" t="str">
        <f>IF('⚙ OFF Weekends'!$D$4="OFF","OFF","")</f>
        <v/>
      </c>
      <c r="J41" s="111" t="str">
        <f>IF('⚙ OFF Weekends'!$D$5="OFF","OFF","")</f>
        <v/>
      </c>
      <c r="K41" s="111" t="str">
        <f>IF('⚙ OFF Weekends'!$D$6="OFF","OFF","")</f>
        <v/>
      </c>
      <c r="L41" s="111" t="str">
        <f>IF('⚙ OFF Weekends'!$D$7="OFF","OFF","")</f>
        <v/>
      </c>
      <c r="M41" s="111" t="str">
        <f>IF('⚙ OFF Weekends'!$D$8="OFF","OFF","")</f>
        <v/>
      </c>
      <c r="N41" s="111" t="str">
        <f>IF('⚙ OFF Weekends'!$D$9="OFF","OFF","")</f>
        <v/>
      </c>
      <c r="O41" s="111" t="str">
        <f>IF('⚙ OFF Weekends'!$D$10="OFF","OFF","")</f>
        <v/>
      </c>
      <c r="P41" s="111" t="str">
        <f>IF('⚙ OFF Weekends'!$D$11="OFF","OFF","")</f>
        <v/>
      </c>
      <c r="Q41" s="111" t="str">
        <f>IF('⚙ OFF Weekends'!$D$12="OFF","OFF","")</f>
        <v/>
      </c>
      <c r="R41" s="111" t="str">
        <f>IF('⚙ OFF Weekends'!$D$13="OFF","OFF","")</f>
        <v/>
      </c>
      <c r="S41" s="111" t="str">
        <f>IF('⚙ OFF Weekends'!$D$14="OFF","OFF","")</f>
        <v/>
      </c>
      <c r="T41" s="111" t="str">
        <f>IF('⚙ OFF Weekends'!$D$15="OFF","OFF","")</f>
        <v/>
      </c>
      <c r="U41" s="111" t="str">
        <f>IF('⚙ OFF Weekends'!$D$16="OFF","OFF","")</f>
        <v/>
      </c>
      <c r="V41" s="111" t="str">
        <f>IF('⚙ OFF Weekends'!$D$17="OFF","OFF","")</f>
        <v/>
      </c>
      <c r="W41" s="111" t="str">
        <f>IF('⚙ OFF Weekends'!$D$18="OFF","OFF","")</f>
        <v>OFF</v>
      </c>
      <c r="X41" s="111" t="str">
        <f>IF('⚙ OFF Weekends'!$D$19="OFF","OFF","")</f>
        <v/>
      </c>
      <c r="Y41" s="111" t="str">
        <f>IF('⚙ OFF Weekends'!$D$20="OFF","OFF","")</f>
        <v/>
      </c>
      <c r="Z41" s="111" t="str">
        <f>IF('⚙ OFF Weekends'!$D$21="OFF","OFF","")</f>
        <v/>
      </c>
      <c r="AA41" s="111" t="str">
        <f>IF('⚙ OFF Weekends'!$D$22="OFF","OFF","")</f>
        <v/>
      </c>
      <c r="AB41" s="111" t="str">
        <f>IF('⚙ OFF Weekends'!$D$23="OFF","OFF","")</f>
        <v/>
      </c>
      <c r="AC41" s="111" t="str">
        <f>IF('⚙ OFF Weekends'!$D$24="OFF","OFF","")</f>
        <v/>
      </c>
      <c r="AD41" s="111" t="str">
        <f>IF('⚙ OFF Weekends'!$D$25="OFF","OFF","")</f>
        <v/>
      </c>
      <c r="AE41" s="111" t="str">
        <f>IF('⚙ OFF Weekends'!$D$26="OFF","OFF","")</f>
        <v/>
      </c>
      <c r="AF41" s="111" t="str">
        <f>IF('⚙ OFF Weekends'!$D$27="OFF","OFF","")</f>
        <v/>
      </c>
      <c r="AG41" s="111" t="str">
        <f>IF('⚙ OFF Weekends'!$D$28="OFF","OFF","")</f>
        <v/>
      </c>
      <c r="AH41" s="111" t="str">
        <f>IF('⚙ OFF Weekends'!$D$29="OFF","OFF","")</f>
        <v/>
      </c>
      <c r="AI41" s="111" t="str">
        <f>IF('⚙ OFF Weekends'!$D$30="OFF","OFF","")</f>
        <v/>
      </c>
      <c r="AJ41" s="111" t="str">
        <f>IF('⚙ OFF Weekends'!$D$31="OFF","OFF","")</f>
        <v/>
      </c>
      <c r="AK41" s="111" t="str">
        <f>IF('⚙ OFF Weekends'!$D$32="OFF","OFF","")</f>
        <v/>
      </c>
      <c r="AL41" s="111" t="str">
        <f>IF('⚙ OFF Weekends'!$D$33="OFF","OFF","")</f>
        <v/>
      </c>
      <c r="AM41" s="111" t="str">
        <f>IF('⚙ OFF Weekends'!$D$34="OFF","OFF","")</f>
        <v/>
      </c>
      <c r="AN41" s="111" t="str">
        <f>IF('⚙ OFF Weekends'!$D$35="OFF","OFF","")</f>
        <v/>
      </c>
      <c r="AO41" s="111" t="str">
        <f>IF('⚙ OFF Weekends'!$D$36="OFF","OFF","")</f>
        <v/>
      </c>
      <c r="AP41" s="111" t="str">
        <f>IF('⚙ OFF Weekends'!$D$37="OFF","OFF","")</f>
        <v/>
      </c>
      <c r="AQ41" s="111" t="str">
        <f>IF('⚙ OFF Weekends'!$D$38="OFF","OFF","")</f>
        <v/>
      </c>
      <c r="AR41" s="111" t="str">
        <f>IF('⚙ OFF Weekends'!$D$39="OFF","OFF","")</f>
        <v/>
      </c>
      <c r="AS41" s="111" t="str">
        <f>IF('⚙ OFF Weekends'!$D$40="OFF","OFF","")</f>
        <v/>
      </c>
      <c r="AT41" s="111" t="str">
        <f>IF('⚙ OFF Weekends'!$D$41="OFF","OFF","")</f>
        <v/>
      </c>
      <c r="AU41" s="111" t="str">
        <f>IF('⚙ OFF Weekends'!$D$42="OFF","OFF","")</f>
        <v/>
      </c>
      <c r="AV41" s="111" t="str">
        <f>IF('⚙ OFF Weekends'!$D$43="OFF","OFF","")</f>
        <v/>
      </c>
      <c r="AW41" s="111" t="str">
        <f>IF('⚙ OFF Weekends'!$D$44="OFF","OFF","")</f>
        <v/>
      </c>
      <c r="AX41" s="111" t="str">
        <f>IF('⚙ OFF Weekends'!$D$45="OFF","OFF","")</f>
        <v/>
      </c>
      <c r="AY41" s="111" t="str">
        <f>IF('⚙ OFF Weekends'!$D$46="OFF","OFF","")</f>
        <v/>
      </c>
      <c r="AZ41" s="111" t="str">
        <f>IF('⚙ OFF Weekends'!$D$47="OFF","OFF","")</f>
        <v/>
      </c>
      <c r="BA41" s="111" t="str">
        <f>IF('⚙ OFF Weekends'!$D$48="OFF","OFF","")</f>
        <v/>
      </c>
      <c r="BB41" s="111" t="str">
        <f>IF('⚙ OFF Weekends'!$D$49="OFF","OFF","")</f>
        <v/>
      </c>
      <c r="BC41" s="111" t="str">
        <f>IF('⚙ OFF Weekends'!$D$50="OFF","OFF","")</f>
        <v/>
      </c>
      <c r="BD41" s="111" t="str">
        <f>IF('⚙ OFF Weekends'!$D$51="OFF","OFF","")</f>
        <v/>
      </c>
      <c r="BE41" s="111" t="str">
        <f>IF('⚙ OFF Weekends'!$D$52="OFF","OFF","")</f>
        <v/>
      </c>
      <c r="BF41" s="111" t="str">
        <f>IF('⚙ OFF Weekends'!$D$53="OFF","OFF","")</f>
        <v/>
      </c>
      <c r="BG41" s="111" t="str">
        <f>IF('⚙ OFF Weekends'!$D$54="OFF","OFF","")</f>
        <v/>
      </c>
      <c r="BH41" s="111" t="str">
        <f>IF('⚙ OFF Weekends'!$D$55="OFF","OFF","")</f>
        <v/>
      </c>
      <c r="BI41" s="111" t="str">
        <f>IF('⚙ OFF Weekends'!$D$56="OFF","OFF","")</f>
        <v/>
      </c>
      <c r="BJ41" s="111" t="str">
        <f>IF('⚙ OFF Weekends'!$D$57="OFF","OFF","")</f>
        <v/>
      </c>
      <c r="BK41" s="111" t="str">
        <f>IF('⚙ OFF Weekends'!$D$58="OFF","OFF","")</f>
        <v/>
      </c>
      <c r="BL41" s="111" t="str">
        <f>IF('⚙ OFF Weekends'!$D$59="OFF","OFF","")</f>
        <v/>
      </c>
      <c r="BM41" s="111" t="str">
        <f>IF('⚙ OFF Weekends'!$D$60="OFF","OFF","")</f>
        <v/>
      </c>
      <c r="BN41" s="111" t="str">
        <f>IF('⚙ OFF Weekends'!$D$61="OFF","OFF","")</f>
        <v/>
      </c>
      <c r="BO41" s="111" t="str">
        <f>IF('⚙ OFF Weekends'!$D$62="OFF","OFF","")</f>
        <v/>
      </c>
      <c r="BP41" s="111" t="str">
        <f>IF('⚙ OFF Weekends'!$D$63="OFF","OFF","")</f>
        <v/>
      </c>
      <c r="BQ41" s="111" t="str">
        <f>IF('⚙ OFF Weekends'!$D$64="OFF","OFF","")</f>
        <v/>
      </c>
      <c r="BR41" s="111" t="str">
        <f>IF('⚙ OFF Weekends'!$D$65="OFF","OFF","")</f>
        <v/>
      </c>
      <c r="BS41" s="111" t="str">
        <f>IF('⚙ OFF Weekends'!$D$66="OFF","OFF","")</f>
        <v/>
      </c>
      <c r="BT41" s="111" t="str">
        <f>IF('⚙ OFF Weekends'!$D$67="OFF","OFF","")</f>
        <v/>
      </c>
      <c r="BU41" s="111" t="str">
        <f>IF('⚙ OFF Weekends'!$D$68="OFF","OFF","")</f>
        <v/>
      </c>
      <c r="BV41" s="111" t="str">
        <f>IF('⚙ OFF Weekends'!$D$69="OFF","OFF","")</f>
        <v/>
      </c>
      <c r="BW41" s="111" t="str">
        <f>IF('⚙ OFF Weekends'!$D$70="OFF","OFF","")</f>
        <v/>
      </c>
      <c r="BX41" s="111" t="str">
        <f>IF('⚙ OFF Weekends'!$D$71="OFF","OFF","")</f>
        <v/>
      </c>
      <c r="BY41" s="111" t="str">
        <f>IF('⚙ OFF Weekends'!$D$72="OFF","OFF","")</f>
        <v/>
      </c>
      <c r="BZ41" s="111" t="str">
        <f>IF('⚙ OFF Weekends'!$D$73="OFF","OFF","")</f>
        <v/>
      </c>
      <c r="CA41" s="111" t="str">
        <f>IF('⚙ OFF Weekends'!$D$74="OFF","OFF","")</f>
        <v/>
      </c>
      <c r="CB41" s="111" t="str">
        <f>IF('⚙ OFF Weekends'!$D$75="OFF","OFF","")</f>
        <v/>
      </c>
      <c r="CC41" s="111" t="str">
        <f>IF('⚙ OFF Weekends'!$D$76="OFF","OFF","")</f>
        <v/>
      </c>
      <c r="CD41" s="111" t="str">
        <f>IF('⚙ OFF Weekends'!$D$77="OFF","OFF","")</f>
        <v/>
      </c>
      <c r="CE41" s="112">
        <f t="shared" si="9"/>
        <v>0</v>
      </c>
      <c r="CF41" s="112">
        <f t="shared" si="10"/>
        <v>0</v>
      </c>
      <c r="CG41" s="112">
        <f t="shared" si="11"/>
        <v>0</v>
      </c>
      <c r="CH41" s="112" t="str">
        <f t="shared" si="12"/>
        <v>0%</v>
      </c>
    </row>
    <row r="42" ht="18.0" customHeight="1">
      <c r="A42" s="107">
        <v>22.0</v>
      </c>
      <c r="B42" s="108"/>
      <c r="C42" s="108"/>
      <c r="D42" s="109" t="str">
        <f t="shared" si="7"/>
        <v/>
      </c>
      <c r="E42" s="110" t="str">
        <f t="shared" si="8"/>
        <v/>
      </c>
      <c r="F42" s="108"/>
      <c r="G42" s="108"/>
      <c r="H42" s="108"/>
      <c r="I42" s="111" t="str">
        <f>IF('⚙ OFF Weekends'!$D$4="OFF","OFF","")</f>
        <v/>
      </c>
      <c r="J42" s="111" t="str">
        <f>IF('⚙ OFF Weekends'!$D$5="OFF","OFF","")</f>
        <v/>
      </c>
      <c r="K42" s="111" t="str">
        <f>IF('⚙ OFF Weekends'!$D$6="OFF","OFF","")</f>
        <v/>
      </c>
      <c r="L42" s="111" t="str">
        <f>IF('⚙ OFF Weekends'!$D$7="OFF","OFF","")</f>
        <v/>
      </c>
      <c r="M42" s="111" t="str">
        <f>IF('⚙ OFF Weekends'!$D$8="OFF","OFF","")</f>
        <v/>
      </c>
      <c r="N42" s="111" t="str">
        <f>IF('⚙ OFF Weekends'!$D$9="OFF","OFF","")</f>
        <v/>
      </c>
      <c r="O42" s="111" t="str">
        <f>IF('⚙ OFF Weekends'!$D$10="OFF","OFF","")</f>
        <v/>
      </c>
      <c r="P42" s="111" t="str">
        <f>IF('⚙ OFF Weekends'!$D$11="OFF","OFF","")</f>
        <v/>
      </c>
      <c r="Q42" s="111" t="str">
        <f>IF('⚙ OFF Weekends'!$D$12="OFF","OFF","")</f>
        <v/>
      </c>
      <c r="R42" s="111" t="str">
        <f>IF('⚙ OFF Weekends'!$D$13="OFF","OFF","")</f>
        <v/>
      </c>
      <c r="S42" s="111" t="str">
        <f>IF('⚙ OFF Weekends'!$D$14="OFF","OFF","")</f>
        <v/>
      </c>
      <c r="T42" s="111" t="str">
        <f>IF('⚙ OFF Weekends'!$D$15="OFF","OFF","")</f>
        <v/>
      </c>
      <c r="U42" s="111" t="str">
        <f>IF('⚙ OFF Weekends'!$D$16="OFF","OFF","")</f>
        <v/>
      </c>
      <c r="V42" s="111" t="str">
        <f>IF('⚙ OFF Weekends'!$D$17="OFF","OFF","")</f>
        <v/>
      </c>
      <c r="W42" s="111" t="str">
        <f>IF('⚙ OFF Weekends'!$D$18="OFF","OFF","")</f>
        <v>OFF</v>
      </c>
      <c r="X42" s="111" t="str">
        <f>IF('⚙ OFF Weekends'!$D$19="OFF","OFF","")</f>
        <v/>
      </c>
      <c r="Y42" s="111" t="str">
        <f>IF('⚙ OFF Weekends'!$D$20="OFF","OFF","")</f>
        <v/>
      </c>
      <c r="Z42" s="111" t="str">
        <f>IF('⚙ OFF Weekends'!$D$21="OFF","OFF","")</f>
        <v/>
      </c>
      <c r="AA42" s="111" t="str">
        <f>IF('⚙ OFF Weekends'!$D$22="OFF","OFF","")</f>
        <v/>
      </c>
      <c r="AB42" s="111" t="str">
        <f>IF('⚙ OFF Weekends'!$D$23="OFF","OFF","")</f>
        <v/>
      </c>
      <c r="AC42" s="111" t="str">
        <f>IF('⚙ OFF Weekends'!$D$24="OFF","OFF","")</f>
        <v/>
      </c>
      <c r="AD42" s="111" t="str">
        <f>IF('⚙ OFF Weekends'!$D$25="OFF","OFF","")</f>
        <v/>
      </c>
      <c r="AE42" s="111" t="str">
        <f>IF('⚙ OFF Weekends'!$D$26="OFF","OFF","")</f>
        <v/>
      </c>
      <c r="AF42" s="111" t="str">
        <f>IF('⚙ OFF Weekends'!$D$27="OFF","OFF","")</f>
        <v/>
      </c>
      <c r="AG42" s="111" t="str">
        <f>IF('⚙ OFF Weekends'!$D$28="OFF","OFF","")</f>
        <v/>
      </c>
      <c r="AH42" s="111" t="str">
        <f>IF('⚙ OFF Weekends'!$D$29="OFF","OFF","")</f>
        <v/>
      </c>
      <c r="AI42" s="111" t="str">
        <f>IF('⚙ OFF Weekends'!$D$30="OFF","OFF","")</f>
        <v/>
      </c>
      <c r="AJ42" s="111" t="str">
        <f>IF('⚙ OFF Weekends'!$D$31="OFF","OFF","")</f>
        <v/>
      </c>
      <c r="AK42" s="111" t="str">
        <f>IF('⚙ OFF Weekends'!$D$32="OFF","OFF","")</f>
        <v/>
      </c>
      <c r="AL42" s="111" t="str">
        <f>IF('⚙ OFF Weekends'!$D$33="OFF","OFF","")</f>
        <v/>
      </c>
      <c r="AM42" s="111" t="str">
        <f>IF('⚙ OFF Weekends'!$D$34="OFF","OFF","")</f>
        <v/>
      </c>
      <c r="AN42" s="111" t="str">
        <f>IF('⚙ OFF Weekends'!$D$35="OFF","OFF","")</f>
        <v/>
      </c>
      <c r="AO42" s="111" t="str">
        <f>IF('⚙ OFF Weekends'!$D$36="OFF","OFF","")</f>
        <v/>
      </c>
      <c r="AP42" s="111" t="str">
        <f>IF('⚙ OFF Weekends'!$D$37="OFF","OFF","")</f>
        <v/>
      </c>
      <c r="AQ42" s="111" t="str">
        <f>IF('⚙ OFF Weekends'!$D$38="OFF","OFF","")</f>
        <v/>
      </c>
      <c r="AR42" s="111" t="str">
        <f>IF('⚙ OFF Weekends'!$D$39="OFF","OFF","")</f>
        <v/>
      </c>
      <c r="AS42" s="111" t="str">
        <f>IF('⚙ OFF Weekends'!$D$40="OFF","OFF","")</f>
        <v/>
      </c>
      <c r="AT42" s="111" t="str">
        <f>IF('⚙ OFF Weekends'!$D$41="OFF","OFF","")</f>
        <v/>
      </c>
      <c r="AU42" s="111" t="str">
        <f>IF('⚙ OFF Weekends'!$D$42="OFF","OFF","")</f>
        <v/>
      </c>
      <c r="AV42" s="111" t="str">
        <f>IF('⚙ OFF Weekends'!$D$43="OFF","OFF","")</f>
        <v/>
      </c>
      <c r="AW42" s="111" t="str">
        <f>IF('⚙ OFF Weekends'!$D$44="OFF","OFF","")</f>
        <v/>
      </c>
      <c r="AX42" s="111" t="str">
        <f>IF('⚙ OFF Weekends'!$D$45="OFF","OFF","")</f>
        <v/>
      </c>
      <c r="AY42" s="111" t="str">
        <f>IF('⚙ OFF Weekends'!$D$46="OFF","OFF","")</f>
        <v/>
      </c>
      <c r="AZ42" s="111" t="str">
        <f>IF('⚙ OFF Weekends'!$D$47="OFF","OFF","")</f>
        <v/>
      </c>
      <c r="BA42" s="111" t="str">
        <f>IF('⚙ OFF Weekends'!$D$48="OFF","OFF","")</f>
        <v/>
      </c>
      <c r="BB42" s="111" t="str">
        <f>IF('⚙ OFF Weekends'!$D$49="OFF","OFF","")</f>
        <v/>
      </c>
      <c r="BC42" s="111" t="str">
        <f>IF('⚙ OFF Weekends'!$D$50="OFF","OFF","")</f>
        <v/>
      </c>
      <c r="BD42" s="111" t="str">
        <f>IF('⚙ OFF Weekends'!$D$51="OFF","OFF","")</f>
        <v/>
      </c>
      <c r="BE42" s="111" t="str">
        <f>IF('⚙ OFF Weekends'!$D$52="OFF","OFF","")</f>
        <v/>
      </c>
      <c r="BF42" s="111" t="str">
        <f>IF('⚙ OFF Weekends'!$D$53="OFF","OFF","")</f>
        <v/>
      </c>
      <c r="BG42" s="111" t="str">
        <f>IF('⚙ OFF Weekends'!$D$54="OFF","OFF","")</f>
        <v/>
      </c>
      <c r="BH42" s="111" t="str">
        <f>IF('⚙ OFF Weekends'!$D$55="OFF","OFF","")</f>
        <v/>
      </c>
      <c r="BI42" s="111" t="str">
        <f>IF('⚙ OFF Weekends'!$D$56="OFF","OFF","")</f>
        <v/>
      </c>
      <c r="BJ42" s="111" t="str">
        <f>IF('⚙ OFF Weekends'!$D$57="OFF","OFF","")</f>
        <v/>
      </c>
      <c r="BK42" s="111" t="str">
        <f>IF('⚙ OFF Weekends'!$D$58="OFF","OFF","")</f>
        <v/>
      </c>
      <c r="BL42" s="111" t="str">
        <f>IF('⚙ OFF Weekends'!$D$59="OFF","OFF","")</f>
        <v/>
      </c>
      <c r="BM42" s="111" t="str">
        <f>IF('⚙ OFF Weekends'!$D$60="OFF","OFF","")</f>
        <v/>
      </c>
      <c r="BN42" s="111" t="str">
        <f>IF('⚙ OFF Weekends'!$D$61="OFF","OFF","")</f>
        <v/>
      </c>
      <c r="BO42" s="111" t="str">
        <f>IF('⚙ OFF Weekends'!$D$62="OFF","OFF","")</f>
        <v/>
      </c>
      <c r="BP42" s="111" t="str">
        <f>IF('⚙ OFF Weekends'!$D$63="OFF","OFF","")</f>
        <v/>
      </c>
      <c r="BQ42" s="111" t="str">
        <f>IF('⚙ OFF Weekends'!$D$64="OFF","OFF","")</f>
        <v/>
      </c>
      <c r="BR42" s="111" t="str">
        <f>IF('⚙ OFF Weekends'!$D$65="OFF","OFF","")</f>
        <v/>
      </c>
      <c r="BS42" s="111" t="str">
        <f>IF('⚙ OFF Weekends'!$D$66="OFF","OFF","")</f>
        <v/>
      </c>
      <c r="BT42" s="111" t="str">
        <f>IF('⚙ OFF Weekends'!$D$67="OFF","OFF","")</f>
        <v/>
      </c>
      <c r="BU42" s="111" t="str">
        <f>IF('⚙ OFF Weekends'!$D$68="OFF","OFF","")</f>
        <v/>
      </c>
      <c r="BV42" s="111" t="str">
        <f>IF('⚙ OFF Weekends'!$D$69="OFF","OFF","")</f>
        <v/>
      </c>
      <c r="BW42" s="111" t="str">
        <f>IF('⚙ OFF Weekends'!$D$70="OFF","OFF","")</f>
        <v/>
      </c>
      <c r="BX42" s="111" t="str">
        <f>IF('⚙ OFF Weekends'!$D$71="OFF","OFF","")</f>
        <v/>
      </c>
      <c r="BY42" s="111" t="str">
        <f>IF('⚙ OFF Weekends'!$D$72="OFF","OFF","")</f>
        <v/>
      </c>
      <c r="BZ42" s="111" t="str">
        <f>IF('⚙ OFF Weekends'!$D$73="OFF","OFF","")</f>
        <v/>
      </c>
      <c r="CA42" s="111" t="str">
        <f>IF('⚙ OFF Weekends'!$D$74="OFF","OFF","")</f>
        <v/>
      </c>
      <c r="CB42" s="111" t="str">
        <f>IF('⚙ OFF Weekends'!$D$75="OFF","OFF","")</f>
        <v/>
      </c>
      <c r="CC42" s="111" t="str">
        <f>IF('⚙ OFF Weekends'!$D$76="OFF","OFF","")</f>
        <v/>
      </c>
      <c r="CD42" s="111" t="str">
        <f>IF('⚙ OFF Weekends'!$D$77="OFF","OFF","")</f>
        <v/>
      </c>
      <c r="CE42" s="112">
        <f t="shared" si="9"/>
        <v>0</v>
      </c>
      <c r="CF42" s="112">
        <f t="shared" si="10"/>
        <v>0</v>
      </c>
      <c r="CG42" s="112">
        <f t="shared" si="11"/>
        <v>0</v>
      </c>
      <c r="CH42" s="112" t="str">
        <f t="shared" si="12"/>
        <v>0%</v>
      </c>
    </row>
    <row r="43" ht="18.0" customHeight="1">
      <c r="A43" s="107">
        <v>23.0</v>
      </c>
      <c r="B43" s="108"/>
      <c r="C43" s="108"/>
      <c r="D43" s="109" t="str">
        <f t="shared" si="7"/>
        <v/>
      </c>
      <c r="E43" s="110" t="str">
        <f t="shared" si="8"/>
        <v/>
      </c>
      <c r="F43" s="108"/>
      <c r="G43" s="108"/>
      <c r="H43" s="108"/>
      <c r="I43" s="111" t="str">
        <f>IF('⚙ OFF Weekends'!$D$4="OFF","OFF","")</f>
        <v/>
      </c>
      <c r="J43" s="111" t="str">
        <f>IF('⚙ OFF Weekends'!$D$5="OFF","OFF","")</f>
        <v/>
      </c>
      <c r="K43" s="111" t="str">
        <f>IF('⚙ OFF Weekends'!$D$6="OFF","OFF","")</f>
        <v/>
      </c>
      <c r="L43" s="111" t="str">
        <f>IF('⚙ OFF Weekends'!$D$7="OFF","OFF","")</f>
        <v/>
      </c>
      <c r="M43" s="111" t="str">
        <f>IF('⚙ OFF Weekends'!$D$8="OFF","OFF","")</f>
        <v/>
      </c>
      <c r="N43" s="111" t="str">
        <f>IF('⚙ OFF Weekends'!$D$9="OFF","OFF","")</f>
        <v/>
      </c>
      <c r="O43" s="111" t="str">
        <f>IF('⚙ OFF Weekends'!$D$10="OFF","OFF","")</f>
        <v/>
      </c>
      <c r="P43" s="111" t="str">
        <f>IF('⚙ OFF Weekends'!$D$11="OFF","OFF","")</f>
        <v/>
      </c>
      <c r="Q43" s="111" t="str">
        <f>IF('⚙ OFF Weekends'!$D$12="OFF","OFF","")</f>
        <v/>
      </c>
      <c r="R43" s="111" t="str">
        <f>IF('⚙ OFF Weekends'!$D$13="OFF","OFF","")</f>
        <v/>
      </c>
      <c r="S43" s="111" t="str">
        <f>IF('⚙ OFF Weekends'!$D$14="OFF","OFF","")</f>
        <v/>
      </c>
      <c r="T43" s="111" t="str">
        <f>IF('⚙ OFF Weekends'!$D$15="OFF","OFF","")</f>
        <v/>
      </c>
      <c r="U43" s="111" t="str">
        <f>IF('⚙ OFF Weekends'!$D$16="OFF","OFF","")</f>
        <v/>
      </c>
      <c r="V43" s="111" t="str">
        <f>IF('⚙ OFF Weekends'!$D$17="OFF","OFF","")</f>
        <v/>
      </c>
      <c r="W43" s="111" t="str">
        <f>IF('⚙ OFF Weekends'!$D$18="OFF","OFF","")</f>
        <v>OFF</v>
      </c>
      <c r="X43" s="111" t="str">
        <f>IF('⚙ OFF Weekends'!$D$19="OFF","OFF","")</f>
        <v/>
      </c>
      <c r="Y43" s="111" t="str">
        <f>IF('⚙ OFF Weekends'!$D$20="OFF","OFF","")</f>
        <v/>
      </c>
      <c r="Z43" s="111" t="str">
        <f>IF('⚙ OFF Weekends'!$D$21="OFF","OFF","")</f>
        <v/>
      </c>
      <c r="AA43" s="111" t="str">
        <f>IF('⚙ OFF Weekends'!$D$22="OFF","OFF","")</f>
        <v/>
      </c>
      <c r="AB43" s="111" t="str">
        <f>IF('⚙ OFF Weekends'!$D$23="OFF","OFF","")</f>
        <v/>
      </c>
      <c r="AC43" s="111" t="str">
        <f>IF('⚙ OFF Weekends'!$D$24="OFF","OFF","")</f>
        <v/>
      </c>
      <c r="AD43" s="111" t="str">
        <f>IF('⚙ OFF Weekends'!$D$25="OFF","OFF","")</f>
        <v/>
      </c>
      <c r="AE43" s="111" t="str">
        <f>IF('⚙ OFF Weekends'!$D$26="OFF","OFF","")</f>
        <v/>
      </c>
      <c r="AF43" s="111" t="str">
        <f>IF('⚙ OFF Weekends'!$D$27="OFF","OFF","")</f>
        <v/>
      </c>
      <c r="AG43" s="111" t="str">
        <f>IF('⚙ OFF Weekends'!$D$28="OFF","OFF","")</f>
        <v/>
      </c>
      <c r="AH43" s="111" t="str">
        <f>IF('⚙ OFF Weekends'!$D$29="OFF","OFF","")</f>
        <v/>
      </c>
      <c r="AI43" s="111" t="str">
        <f>IF('⚙ OFF Weekends'!$D$30="OFF","OFF","")</f>
        <v/>
      </c>
      <c r="AJ43" s="111" t="str">
        <f>IF('⚙ OFF Weekends'!$D$31="OFF","OFF","")</f>
        <v/>
      </c>
      <c r="AK43" s="111" t="str">
        <f>IF('⚙ OFF Weekends'!$D$32="OFF","OFF","")</f>
        <v/>
      </c>
      <c r="AL43" s="111" t="str">
        <f>IF('⚙ OFF Weekends'!$D$33="OFF","OFF","")</f>
        <v/>
      </c>
      <c r="AM43" s="111" t="str">
        <f>IF('⚙ OFF Weekends'!$D$34="OFF","OFF","")</f>
        <v/>
      </c>
      <c r="AN43" s="111" t="str">
        <f>IF('⚙ OFF Weekends'!$D$35="OFF","OFF","")</f>
        <v/>
      </c>
      <c r="AO43" s="111" t="str">
        <f>IF('⚙ OFF Weekends'!$D$36="OFF","OFF","")</f>
        <v/>
      </c>
      <c r="AP43" s="111" t="str">
        <f>IF('⚙ OFF Weekends'!$D$37="OFF","OFF","")</f>
        <v/>
      </c>
      <c r="AQ43" s="111" t="str">
        <f>IF('⚙ OFF Weekends'!$D$38="OFF","OFF","")</f>
        <v/>
      </c>
      <c r="AR43" s="111" t="str">
        <f>IF('⚙ OFF Weekends'!$D$39="OFF","OFF","")</f>
        <v/>
      </c>
      <c r="AS43" s="111" t="str">
        <f>IF('⚙ OFF Weekends'!$D$40="OFF","OFF","")</f>
        <v/>
      </c>
      <c r="AT43" s="111" t="str">
        <f>IF('⚙ OFF Weekends'!$D$41="OFF","OFF","")</f>
        <v/>
      </c>
      <c r="AU43" s="111" t="str">
        <f>IF('⚙ OFF Weekends'!$D$42="OFF","OFF","")</f>
        <v/>
      </c>
      <c r="AV43" s="111" t="str">
        <f>IF('⚙ OFF Weekends'!$D$43="OFF","OFF","")</f>
        <v/>
      </c>
      <c r="AW43" s="111" t="str">
        <f>IF('⚙ OFF Weekends'!$D$44="OFF","OFF","")</f>
        <v/>
      </c>
      <c r="AX43" s="111" t="str">
        <f>IF('⚙ OFF Weekends'!$D$45="OFF","OFF","")</f>
        <v/>
      </c>
      <c r="AY43" s="111" t="str">
        <f>IF('⚙ OFF Weekends'!$D$46="OFF","OFF","")</f>
        <v/>
      </c>
      <c r="AZ43" s="111" t="str">
        <f>IF('⚙ OFF Weekends'!$D$47="OFF","OFF","")</f>
        <v/>
      </c>
      <c r="BA43" s="111" t="str">
        <f>IF('⚙ OFF Weekends'!$D$48="OFF","OFF","")</f>
        <v/>
      </c>
      <c r="BB43" s="111" t="str">
        <f>IF('⚙ OFF Weekends'!$D$49="OFF","OFF","")</f>
        <v/>
      </c>
      <c r="BC43" s="111" t="str">
        <f>IF('⚙ OFF Weekends'!$D$50="OFF","OFF","")</f>
        <v/>
      </c>
      <c r="BD43" s="111" t="str">
        <f>IF('⚙ OFF Weekends'!$D$51="OFF","OFF","")</f>
        <v/>
      </c>
      <c r="BE43" s="111" t="str">
        <f>IF('⚙ OFF Weekends'!$D$52="OFF","OFF","")</f>
        <v/>
      </c>
      <c r="BF43" s="111" t="str">
        <f>IF('⚙ OFF Weekends'!$D$53="OFF","OFF","")</f>
        <v/>
      </c>
      <c r="BG43" s="111" t="str">
        <f>IF('⚙ OFF Weekends'!$D$54="OFF","OFF","")</f>
        <v/>
      </c>
      <c r="BH43" s="111" t="str">
        <f>IF('⚙ OFF Weekends'!$D$55="OFF","OFF","")</f>
        <v/>
      </c>
      <c r="BI43" s="111" t="str">
        <f>IF('⚙ OFF Weekends'!$D$56="OFF","OFF","")</f>
        <v/>
      </c>
      <c r="BJ43" s="111" t="str">
        <f>IF('⚙ OFF Weekends'!$D$57="OFF","OFF","")</f>
        <v/>
      </c>
      <c r="BK43" s="111" t="str">
        <f>IF('⚙ OFF Weekends'!$D$58="OFF","OFF","")</f>
        <v/>
      </c>
      <c r="BL43" s="111" t="str">
        <f>IF('⚙ OFF Weekends'!$D$59="OFF","OFF","")</f>
        <v/>
      </c>
      <c r="BM43" s="111" t="str">
        <f>IF('⚙ OFF Weekends'!$D$60="OFF","OFF","")</f>
        <v/>
      </c>
      <c r="BN43" s="111" t="str">
        <f>IF('⚙ OFF Weekends'!$D$61="OFF","OFF","")</f>
        <v/>
      </c>
      <c r="BO43" s="111" t="str">
        <f>IF('⚙ OFF Weekends'!$D$62="OFF","OFF","")</f>
        <v/>
      </c>
      <c r="BP43" s="111" t="str">
        <f>IF('⚙ OFF Weekends'!$D$63="OFF","OFF","")</f>
        <v/>
      </c>
      <c r="BQ43" s="111" t="str">
        <f>IF('⚙ OFF Weekends'!$D$64="OFF","OFF","")</f>
        <v/>
      </c>
      <c r="BR43" s="111" t="str">
        <f>IF('⚙ OFF Weekends'!$D$65="OFF","OFF","")</f>
        <v/>
      </c>
      <c r="BS43" s="111" t="str">
        <f>IF('⚙ OFF Weekends'!$D$66="OFF","OFF","")</f>
        <v/>
      </c>
      <c r="BT43" s="111" t="str">
        <f>IF('⚙ OFF Weekends'!$D$67="OFF","OFF","")</f>
        <v/>
      </c>
      <c r="BU43" s="111" t="str">
        <f>IF('⚙ OFF Weekends'!$D$68="OFF","OFF","")</f>
        <v/>
      </c>
      <c r="BV43" s="111" t="str">
        <f>IF('⚙ OFF Weekends'!$D$69="OFF","OFF","")</f>
        <v/>
      </c>
      <c r="BW43" s="111" t="str">
        <f>IF('⚙ OFF Weekends'!$D$70="OFF","OFF","")</f>
        <v/>
      </c>
      <c r="BX43" s="111" t="str">
        <f>IF('⚙ OFF Weekends'!$D$71="OFF","OFF","")</f>
        <v/>
      </c>
      <c r="BY43" s="111" t="str">
        <f>IF('⚙ OFF Weekends'!$D$72="OFF","OFF","")</f>
        <v/>
      </c>
      <c r="BZ43" s="111" t="str">
        <f>IF('⚙ OFF Weekends'!$D$73="OFF","OFF","")</f>
        <v/>
      </c>
      <c r="CA43" s="111" t="str">
        <f>IF('⚙ OFF Weekends'!$D$74="OFF","OFF","")</f>
        <v/>
      </c>
      <c r="CB43" s="111" t="str">
        <f>IF('⚙ OFF Weekends'!$D$75="OFF","OFF","")</f>
        <v/>
      </c>
      <c r="CC43" s="111" t="str">
        <f>IF('⚙ OFF Weekends'!$D$76="OFF","OFF","")</f>
        <v/>
      </c>
      <c r="CD43" s="111" t="str">
        <f>IF('⚙ OFF Weekends'!$D$77="OFF","OFF","")</f>
        <v/>
      </c>
      <c r="CE43" s="112">
        <f t="shared" si="9"/>
        <v>0</v>
      </c>
      <c r="CF43" s="112">
        <f t="shared" si="10"/>
        <v>0</v>
      </c>
      <c r="CG43" s="112">
        <f t="shared" si="11"/>
        <v>0</v>
      </c>
      <c r="CH43" s="112" t="str">
        <f t="shared" si="12"/>
        <v>0%</v>
      </c>
    </row>
    <row r="44" ht="15.0" customHeight="1">
      <c r="A44" s="134" t="str">
        <f>"Group Strength: "&amp;COUNTA(B21:B43)</f>
        <v>Group Strength: 18</v>
      </c>
      <c r="B44" s="135"/>
      <c r="C44" s="135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5"/>
      <c r="BC44" s="135"/>
      <c r="BD44" s="135"/>
      <c r="BE44" s="135"/>
      <c r="BF44" s="135"/>
      <c r="BG44" s="135"/>
      <c r="BH44" s="135"/>
      <c r="BI44" s="135"/>
      <c r="BJ44" s="135"/>
      <c r="BK44" s="135"/>
      <c r="BL44" s="135"/>
      <c r="BM44" s="135"/>
      <c r="BN44" s="135"/>
      <c r="BO44" s="135"/>
      <c r="BP44" s="135"/>
      <c r="BQ44" s="135"/>
      <c r="BR44" s="135"/>
      <c r="BS44" s="135"/>
      <c r="BT44" s="135"/>
      <c r="BU44" s="135"/>
      <c r="BV44" s="135"/>
      <c r="BW44" s="135"/>
      <c r="BX44" s="135"/>
      <c r="BY44" s="135"/>
      <c r="BZ44" s="135"/>
      <c r="CA44" s="135"/>
      <c r="CB44" s="135"/>
      <c r="CC44" s="135"/>
      <c r="CD44" s="135"/>
      <c r="CE44" s="135"/>
      <c r="CF44" s="135"/>
      <c r="CG44" s="135"/>
      <c r="CH44" s="136"/>
    </row>
    <row r="45">
      <c r="A45" s="137" t="s">
        <v>646</v>
      </c>
      <c r="B45" s="138"/>
      <c r="C45" s="138"/>
      <c r="D45" s="138"/>
      <c r="E45" s="138"/>
      <c r="F45" s="138"/>
      <c r="G45" s="138"/>
      <c r="H45" s="139"/>
      <c r="I45" s="140">
        <f t="shared" ref="I45:CD45" si="13">COUNTA(I21:I43)-(COUNTIF(I21:I43, "")+COUNTIF(I21:I43, "Dropout"))</f>
        <v>12</v>
      </c>
      <c r="J45" s="140">
        <f t="shared" si="13"/>
        <v>12</v>
      </c>
      <c r="K45" s="140">
        <f t="shared" si="13"/>
        <v>12</v>
      </c>
      <c r="L45" s="140">
        <f t="shared" si="13"/>
        <v>12</v>
      </c>
      <c r="M45" s="140">
        <f t="shared" si="13"/>
        <v>14</v>
      </c>
      <c r="N45" s="140">
        <f t="shared" si="13"/>
        <v>15</v>
      </c>
      <c r="O45" s="140">
        <f t="shared" si="13"/>
        <v>15</v>
      </c>
      <c r="P45" s="140">
        <f t="shared" si="13"/>
        <v>16</v>
      </c>
      <c r="Q45" s="140">
        <f t="shared" si="13"/>
        <v>16</v>
      </c>
      <c r="R45" s="140">
        <f t="shared" si="13"/>
        <v>17</v>
      </c>
      <c r="S45" s="140">
        <f t="shared" si="13"/>
        <v>17</v>
      </c>
      <c r="T45" s="140">
        <f t="shared" si="13"/>
        <v>17</v>
      </c>
      <c r="U45" s="140">
        <f t="shared" si="13"/>
        <v>17</v>
      </c>
      <c r="V45" s="140">
        <f t="shared" si="13"/>
        <v>17</v>
      </c>
      <c r="W45" s="140">
        <f t="shared" si="13"/>
        <v>22</v>
      </c>
      <c r="X45" s="140">
        <f t="shared" si="13"/>
        <v>17</v>
      </c>
      <c r="Y45" s="140">
        <f t="shared" si="13"/>
        <v>17</v>
      </c>
      <c r="Z45" s="140">
        <f t="shared" si="13"/>
        <v>17</v>
      </c>
      <c r="AA45" s="140">
        <f t="shared" si="13"/>
        <v>17</v>
      </c>
      <c r="AB45" s="140">
        <f t="shared" si="13"/>
        <v>17</v>
      </c>
      <c r="AC45" s="140">
        <f t="shared" si="13"/>
        <v>0</v>
      </c>
      <c r="AD45" s="140">
        <f t="shared" si="13"/>
        <v>0</v>
      </c>
      <c r="AE45" s="140">
        <f t="shared" si="13"/>
        <v>0</v>
      </c>
      <c r="AF45" s="140">
        <f t="shared" si="13"/>
        <v>0</v>
      </c>
      <c r="AG45" s="140">
        <f t="shared" si="13"/>
        <v>0</v>
      </c>
      <c r="AH45" s="140">
        <f t="shared" si="13"/>
        <v>0</v>
      </c>
      <c r="AI45" s="140">
        <f t="shared" si="13"/>
        <v>0</v>
      </c>
      <c r="AJ45" s="140">
        <f t="shared" si="13"/>
        <v>0</v>
      </c>
      <c r="AK45" s="140">
        <f t="shared" si="13"/>
        <v>0</v>
      </c>
      <c r="AL45" s="140">
        <f t="shared" si="13"/>
        <v>0</v>
      </c>
      <c r="AM45" s="140">
        <f t="shared" si="13"/>
        <v>0</v>
      </c>
      <c r="AN45" s="140">
        <f t="shared" si="13"/>
        <v>0</v>
      </c>
      <c r="AO45" s="140">
        <f t="shared" si="13"/>
        <v>0</v>
      </c>
      <c r="AP45" s="140">
        <f t="shared" si="13"/>
        <v>0</v>
      </c>
      <c r="AQ45" s="140">
        <f t="shared" si="13"/>
        <v>0</v>
      </c>
      <c r="AR45" s="140">
        <f t="shared" si="13"/>
        <v>0</v>
      </c>
      <c r="AS45" s="140">
        <f t="shared" si="13"/>
        <v>0</v>
      </c>
      <c r="AT45" s="140">
        <f t="shared" si="13"/>
        <v>0</v>
      </c>
      <c r="AU45" s="140">
        <f t="shared" si="13"/>
        <v>0</v>
      </c>
      <c r="AV45" s="140">
        <f t="shared" si="13"/>
        <v>0</v>
      </c>
      <c r="AW45" s="140">
        <f t="shared" si="13"/>
        <v>0</v>
      </c>
      <c r="AX45" s="140">
        <f t="shared" si="13"/>
        <v>0</v>
      </c>
      <c r="AY45" s="140">
        <f t="shared" si="13"/>
        <v>0</v>
      </c>
      <c r="AZ45" s="140">
        <f t="shared" si="13"/>
        <v>0</v>
      </c>
      <c r="BA45" s="140">
        <f t="shared" si="13"/>
        <v>0</v>
      </c>
      <c r="BB45" s="140">
        <f t="shared" si="13"/>
        <v>0</v>
      </c>
      <c r="BC45" s="140">
        <f t="shared" si="13"/>
        <v>0</v>
      </c>
      <c r="BD45" s="140">
        <f t="shared" si="13"/>
        <v>0</v>
      </c>
      <c r="BE45" s="140">
        <f t="shared" si="13"/>
        <v>0</v>
      </c>
      <c r="BF45" s="140">
        <f t="shared" si="13"/>
        <v>0</v>
      </c>
      <c r="BG45" s="140">
        <f t="shared" si="13"/>
        <v>0</v>
      </c>
      <c r="BH45" s="140">
        <f t="shared" si="13"/>
        <v>0</v>
      </c>
      <c r="BI45" s="140">
        <f t="shared" si="13"/>
        <v>0</v>
      </c>
      <c r="BJ45" s="140">
        <f t="shared" si="13"/>
        <v>0</v>
      </c>
      <c r="BK45" s="140">
        <f t="shared" si="13"/>
        <v>0</v>
      </c>
      <c r="BL45" s="140">
        <f t="shared" si="13"/>
        <v>0</v>
      </c>
      <c r="BM45" s="140">
        <f t="shared" si="13"/>
        <v>0</v>
      </c>
      <c r="BN45" s="140">
        <f t="shared" si="13"/>
        <v>0</v>
      </c>
      <c r="BO45" s="140">
        <f t="shared" si="13"/>
        <v>0</v>
      </c>
      <c r="BP45" s="140">
        <f t="shared" si="13"/>
        <v>0</v>
      </c>
      <c r="BQ45" s="140">
        <f t="shared" si="13"/>
        <v>0</v>
      </c>
      <c r="BR45" s="140">
        <f t="shared" si="13"/>
        <v>0</v>
      </c>
      <c r="BS45" s="140">
        <f t="shared" si="13"/>
        <v>0</v>
      </c>
      <c r="BT45" s="140">
        <f t="shared" si="13"/>
        <v>0</v>
      </c>
      <c r="BU45" s="140">
        <f t="shared" si="13"/>
        <v>0</v>
      </c>
      <c r="BV45" s="140">
        <f t="shared" si="13"/>
        <v>0</v>
      </c>
      <c r="BW45" s="140">
        <f t="shared" si="13"/>
        <v>0</v>
      </c>
      <c r="BX45" s="140">
        <f t="shared" si="13"/>
        <v>0</v>
      </c>
      <c r="BY45" s="140">
        <f t="shared" si="13"/>
        <v>0</v>
      </c>
      <c r="BZ45" s="140">
        <f t="shared" si="13"/>
        <v>0</v>
      </c>
      <c r="CA45" s="140">
        <f t="shared" si="13"/>
        <v>0</v>
      </c>
      <c r="CB45" s="140">
        <f t="shared" si="13"/>
        <v>0</v>
      </c>
      <c r="CC45" s="140">
        <f t="shared" si="13"/>
        <v>0</v>
      </c>
      <c r="CD45" s="140">
        <f t="shared" si="13"/>
        <v>0</v>
      </c>
      <c r="CE45" s="141"/>
      <c r="CF45" s="141"/>
      <c r="CG45" s="141"/>
      <c r="CH45" s="141"/>
    </row>
    <row r="46" ht="15.0" customHeight="1">
      <c r="A46" s="142" t="s">
        <v>223</v>
      </c>
      <c r="B46" s="138"/>
      <c r="C46" s="138"/>
      <c r="D46" s="138"/>
      <c r="E46" s="138"/>
      <c r="F46" s="138"/>
      <c r="G46" s="138"/>
      <c r="H46" s="139"/>
      <c r="I46" s="143">
        <f t="shared" ref="I46:CD46" si="14">COUNTIF(I21:I43,"Absent")</f>
        <v>8</v>
      </c>
      <c r="J46" s="143">
        <f t="shared" si="14"/>
        <v>4</v>
      </c>
      <c r="K46" s="143">
        <f t="shared" si="14"/>
        <v>0</v>
      </c>
      <c r="L46" s="143">
        <f t="shared" si="14"/>
        <v>8</v>
      </c>
      <c r="M46" s="143">
        <f t="shared" si="14"/>
        <v>2</v>
      </c>
      <c r="N46" s="143">
        <f t="shared" si="14"/>
        <v>1</v>
      </c>
      <c r="O46" s="143">
        <f t="shared" si="14"/>
        <v>4</v>
      </c>
      <c r="P46" s="143">
        <f t="shared" si="14"/>
        <v>4</v>
      </c>
      <c r="Q46" s="143">
        <f t="shared" si="14"/>
        <v>0</v>
      </c>
      <c r="R46" s="143">
        <f t="shared" si="14"/>
        <v>4</v>
      </c>
      <c r="S46" s="143">
        <f t="shared" si="14"/>
        <v>4</v>
      </c>
      <c r="T46" s="143">
        <f t="shared" si="14"/>
        <v>2</v>
      </c>
      <c r="U46" s="143">
        <f t="shared" si="14"/>
        <v>8</v>
      </c>
      <c r="V46" s="143">
        <f t="shared" si="14"/>
        <v>7</v>
      </c>
      <c r="W46" s="143">
        <f t="shared" si="14"/>
        <v>0</v>
      </c>
      <c r="X46" s="143">
        <f t="shared" si="14"/>
        <v>12</v>
      </c>
      <c r="Y46" s="143">
        <f t="shared" si="14"/>
        <v>6</v>
      </c>
      <c r="Z46" s="143">
        <f t="shared" si="14"/>
        <v>9</v>
      </c>
      <c r="AA46" s="143">
        <f t="shared" si="14"/>
        <v>10</v>
      </c>
      <c r="AB46" s="143">
        <f t="shared" si="14"/>
        <v>7</v>
      </c>
      <c r="AC46" s="143">
        <f t="shared" si="14"/>
        <v>0</v>
      </c>
      <c r="AD46" s="143">
        <f t="shared" si="14"/>
        <v>0</v>
      </c>
      <c r="AE46" s="143">
        <f t="shared" si="14"/>
        <v>0</v>
      </c>
      <c r="AF46" s="143">
        <f t="shared" si="14"/>
        <v>0</v>
      </c>
      <c r="AG46" s="143">
        <f t="shared" si="14"/>
        <v>0</v>
      </c>
      <c r="AH46" s="143">
        <f t="shared" si="14"/>
        <v>0</v>
      </c>
      <c r="AI46" s="143">
        <f t="shared" si="14"/>
        <v>0</v>
      </c>
      <c r="AJ46" s="143">
        <f t="shared" si="14"/>
        <v>0</v>
      </c>
      <c r="AK46" s="143">
        <f t="shared" si="14"/>
        <v>0</v>
      </c>
      <c r="AL46" s="143">
        <f t="shared" si="14"/>
        <v>0</v>
      </c>
      <c r="AM46" s="143">
        <f t="shared" si="14"/>
        <v>0</v>
      </c>
      <c r="AN46" s="143">
        <f t="shared" si="14"/>
        <v>0</v>
      </c>
      <c r="AO46" s="143">
        <f t="shared" si="14"/>
        <v>0</v>
      </c>
      <c r="AP46" s="143">
        <f t="shared" si="14"/>
        <v>0</v>
      </c>
      <c r="AQ46" s="143">
        <f t="shared" si="14"/>
        <v>0</v>
      </c>
      <c r="AR46" s="143">
        <f t="shared" si="14"/>
        <v>0</v>
      </c>
      <c r="AS46" s="143">
        <f t="shared" si="14"/>
        <v>0</v>
      </c>
      <c r="AT46" s="143">
        <f t="shared" si="14"/>
        <v>0</v>
      </c>
      <c r="AU46" s="143">
        <f t="shared" si="14"/>
        <v>0</v>
      </c>
      <c r="AV46" s="143">
        <f t="shared" si="14"/>
        <v>0</v>
      </c>
      <c r="AW46" s="143">
        <f t="shared" si="14"/>
        <v>0</v>
      </c>
      <c r="AX46" s="143">
        <f t="shared" si="14"/>
        <v>0</v>
      </c>
      <c r="AY46" s="143">
        <f t="shared" si="14"/>
        <v>0</v>
      </c>
      <c r="AZ46" s="143">
        <f t="shared" si="14"/>
        <v>0</v>
      </c>
      <c r="BA46" s="143">
        <f t="shared" si="14"/>
        <v>0</v>
      </c>
      <c r="BB46" s="143">
        <f t="shared" si="14"/>
        <v>0</v>
      </c>
      <c r="BC46" s="143">
        <f t="shared" si="14"/>
        <v>0</v>
      </c>
      <c r="BD46" s="143">
        <f t="shared" si="14"/>
        <v>0</v>
      </c>
      <c r="BE46" s="143">
        <f t="shared" si="14"/>
        <v>0</v>
      </c>
      <c r="BF46" s="143">
        <f t="shared" si="14"/>
        <v>0</v>
      </c>
      <c r="BG46" s="143">
        <f t="shared" si="14"/>
        <v>0</v>
      </c>
      <c r="BH46" s="143">
        <f t="shared" si="14"/>
        <v>0</v>
      </c>
      <c r="BI46" s="143">
        <f t="shared" si="14"/>
        <v>0</v>
      </c>
      <c r="BJ46" s="143">
        <f t="shared" si="14"/>
        <v>0</v>
      </c>
      <c r="BK46" s="143">
        <f t="shared" si="14"/>
        <v>0</v>
      </c>
      <c r="BL46" s="143">
        <f t="shared" si="14"/>
        <v>0</v>
      </c>
      <c r="BM46" s="143">
        <f t="shared" si="14"/>
        <v>0</v>
      </c>
      <c r="BN46" s="143">
        <f t="shared" si="14"/>
        <v>0</v>
      </c>
      <c r="BO46" s="143">
        <f t="shared" si="14"/>
        <v>0</v>
      </c>
      <c r="BP46" s="143">
        <f t="shared" si="14"/>
        <v>0</v>
      </c>
      <c r="BQ46" s="143">
        <f t="shared" si="14"/>
        <v>0</v>
      </c>
      <c r="BR46" s="143">
        <f t="shared" si="14"/>
        <v>0</v>
      </c>
      <c r="BS46" s="143">
        <f t="shared" si="14"/>
        <v>0</v>
      </c>
      <c r="BT46" s="143">
        <f t="shared" si="14"/>
        <v>0</v>
      </c>
      <c r="BU46" s="143">
        <f t="shared" si="14"/>
        <v>0</v>
      </c>
      <c r="BV46" s="143">
        <f t="shared" si="14"/>
        <v>0</v>
      </c>
      <c r="BW46" s="143">
        <f t="shared" si="14"/>
        <v>0</v>
      </c>
      <c r="BX46" s="143">
        <f t="shared" si="14"/>
        <v>0</v>
      </c>
      <c r="BY46" s="143">
        <f t="shared" si="14"/>
        <v>0</v>
      </c>
      <c r="BZ46" s="143">
        <f t="shared" si="14"/>
        <v>0</v>
      </c>
      <c r="CA46" s="143">
        <f t="shared" si="14"/>
        <v>0</v>
      </c>
      <c r="CB46" s="143">
        <f t="shared" si="14"/>
        <v>0</v>
      </c>
      <c r="CC46" s="143">
        <f t="shared" si="14"/>
        <v>0</v>
      </c>
      <c r="CD46" s="143">
        <f t="shared" si="14"/>
        <v>0</v>
      </c>
      <c r="CE46" s="141"/>
      <c r="CF46" s="141"/>
      <c r="CG46" s="141"/>
      <c r="CH46" s="141"/>
    </row>
    <row r="47" ht="15.0" customHeight="1">
      <c r="A47" s="145" t="s">
        <v>198</v>
      </c>
      <c r="B47" s="138"/>
      <c r="C47" s="138"/>
      <c r="D47" s="138"/>
      <c r="E47" s="138"/>
      <c r="F47" s="138"/>
      <c r="G47" s="138"/>
      <c r="H47" s="139"/>
      <c r="I47" s="146">
        <f t="shared" ref="I47:CD47" si="15">COUNTIF(I21:I43,"Leave")</f>
        <v>0</v>
      </c>
      <c r="J47" s="146">
        <f t="shared" si="15"/>
        <v>1</v>
      </c>
      <c r="K47" s="146">
        <f t="shared" si="15"/>
        <v>0</v>
      </c>
      <c r="L47" s="146">
        <f t="shared" si="15"/>
        <v>2</v>
      </c>
      <c r="M47" s="146">
        <f t="shared" si="15"/>
        <v>3</v>
      </c>
      <c r="N47" s="146">
        <f t="shared" si="15"/>
        <v>2</v>
      </c>
      <c r="O47" s="146">
        <f t="shared" si="15"/>
        <v>1</v>
      </c>
      <c r="P47" s="146">
        <f t="shared" si="15"/>
        <v>0</v>
      </c>
      <c r="Q47" s="146">
        <f t="shared" si="15"/>
        <v>2</v>
      </c>
      <c r="R47" s="146">
        <f t="shared" si="15"/>
        <v>2</v>
      </c>
      <c r="S47" s="146">
        <f t="shared" si="15"/>
        <v>1</v>
      </c>
      <c r="T47" s="146">
        <f t="shared" si="15"/>
        <v>1</v>
      </c>
      <c r="U47" s="146">
        <f t="shared" si="15"/>
        <v>2</v>
      </c>
      <c r="V47" s="146">
        <f t="shared" si="15"/>
        <v>4</v>
      </c>
      <c r="W47" s="146">
        <f t="shared" si="15"/>
        <v>0</v>
      </c>
      <c r="X47" s="146">
        <f t="shared" si="15"/>
        <v>2</v>
      </c>
      <c r="Y47" s="146">
        <f t="shared" si="15"/>
        <v>3</v>
      </c>
      <c r="Z47" s="146">
        <f t="shared" si="15"/>
        <v>3</v>
      </c>
      <c r="AA47" s="146">
        <f t="shared" si="15"/>
        <v>4</v>
      </c>
      <c r="AB47" s="146">
        <f t="shared" si="15"/>
        <v>3</v>
      </c>
      <c r="AC47" s="146">
        <f t="shared" si="15"/>
        <v>0</v>
      </c>
      <c r="AD47" s="146">
        <f t="shared" si="15"/>
        <v>0</v>
      </c>
      <c r="AE47" s="146">
        <f t="shared" si="15"/>
        <v>0</v>
      </c>
      <c r="AF47" s="146">
        <f t="shared" si="15"/>
        <v>0</v>
      </c>
      <c r="AG47" s="146">
        <f t="shared" si="15"/>
        <v>0</v>
      </c>
      <c r="AH47" s="146">
        <f t="shared" si="15"/>
        <v>0</v>
      </c>
      <c r="AI47" s="146">
        <f t="shared" si="15"/>
        <v>0</v>
      </c>
      <c r="AJ47" s="146">
        <f t="shared" si="15"/>
        <v>0</v>
      </c>
      <c r="AK47" s="146">
        <f t="shared" si="15"/>
        <v>0</v>
      </c>
      <c r="AL47" s="146">
        <f t="shared" si="15"/>
        <v>0</v>
      </c>
      <c r="AM47" s="146">
        <f t="shared" si="15"/>
        <v>0</v>
      </c>
      <c r="AN47" s="146">
        <f t="shared" si="15"/>
        <v>0</v>
      </c>
      <c r="AO47" s="146">
        <f t="shared" si="15"/>
        <v>0</v>
      </c>
      <c r="AP47" s="146">
        <f t="shared" si="15"/>
        <v>0</v>
      </c>
      <c r="AQ47" s="146">
        <f t="shared" si="15"/>
        <v>0</v>
      </c>
      <c r="AR47" s="146">
        <f t="shared" si="15"/>
        <v>0</v>
      </c>
      <c r="AS47" s="146">
        <f t="shared" si="15"/>
        <v>0</v>
      </c>
      <c r="AT47" s="146">
        <f t="shared" si="15"/>
        <v>0</v>
      </c>
      <c r="AU47" s="146">
        <f t="shared" si="15"/>
        <v>0</v>
      </c>
      <c r="AV47" s="146">
        <f t="shared" si="15"/>
        <v>0</v>
      </c>
      <c r="AW47" s="146">
        <f t="shared" si="15"/>
        <v>0</v>
      </c>
      <c r="AX47" s="146">
        <f t="shared" si="15"/>
        <v>0</v>
      </c>
      <c r="AY47" s="146">
        <f t="shared" si="15"/>
        <v>0</v>
      </c>
      <c r="AZ47" s="146">
        <f t="shared" si="15"/>
        <v>0</v>
      </c>
      <c r="BA47" s="146">
        <f t="shared" si="15"/>
        <v>0</v>
      </c>
      <c r="BB47" s="146">
        <f t="shared" si="15"/>
        <v>0</v>
      </c>
      <c r="BC47" s="146">
        <f t="shared" si="15"/>
        <v>0</v>
      </c>
      <c r="BD47" s="146">
        <f t="shared" si="15"/>
        <v>0</v>
      </c>
      <c r="BE47" s="146">
        <f t="shared" si="15"/>
        <v>0</v>
      </c>
      <c r="BF47" s="146">
        <f t="shared" si="15"/>
        <v>0</v>
      </c>
      <c r="BG47" s="146">
        <f t="shared" si="15"/>
        <v>0</v>
      </c>
      <c r="BH47" s="146">
        <f t="shared" si="15"/>
        <v>0</v>
      </c>
      <c r="BI47" s="146">
        <f t="shared" si="15"/>
        <v>0</v>
      </c>
      <c r="BJ47" s="146">
        <f t="shared" si="15"/>
        <v>0</v>
      </c>
      <c r="BK47" s="146">
        <f t="shared" si="15"/>
        <v>0</v>
      </c>
      <c r="BL47" s="146">
        <f t="shared" si="15"/>
        <v>0</v>
      </c>
      <c r="BM47" s="146">
        <f t="shared" si="15"/>
        <v>0</v>
      </c>
      <c r="BN47" s="146">
        <f t="shared" si="15"/>
        <v>0</v>
      </c>
      <c r="BO47" s="146">
        <f t="shared" si="15"/>
        <v>0</v>
      </c>
      <c r="BP47" s="146">
        <f t="shared" si="15"/>
        <v>0</v>
      </c>
      <c r="BQ47" s="146">
        <f t="shared" si="15"/>
        <v>0</v>
      </c>
      <c r="BR47" s="146">
        <f t="shared" si="15"/>
        <v>0</v>
      </c>
      <c r="BS47" s="146">
        <f t="shared" si="15"/>
        <v>0</v>
      </c>
      <c r="BT47" s="146">
        <f t="shared" si="15"/>
        <v>0</v>
      </c>
      <c r="BU47" s="146">
        <f t="shared" si="15"/>
        <v>0</v>
      </c>
      <c r="BV47" s="146">
        <f t="shared" si="15"/>
        <v>0</v>
      </c>
      <c r="BW47" s="146">
        <f t="shared" si="15"/>
        <v>0</v>
      </c>
      <c r="BX47" s="146">
        <f t="shared" si="15"/>
        <v>0</v>
      </c>
      <c r="BY47" s="146">
        <f t="shared" si="15"/>
        <v>0</v>
      </c>
      <c r="BZ47" s="146">
        <f t="shared" si="15"/>
        <v>0</v>
      </c>
      <c r="CA47" s="146">
        <f t="shared" si="15"/>
        <v>0</v>
      </c>
      <c r="CB47" s="146">
        <f t="shared" si="15"/>
        <v>0</v>
      </c>
      <c r="CC47" s="146">
        <f t="shared" si="15"/>
        <v>0</v>
      </c>
      <c r="CD47" s="146">
        <f t="shared" si="15"/>
        <v>0</v>
      </c>
      <c r="CE47" s="141"/>
      <c r="CF47" s="141"/>
      <c r="CG47" s="141"/>
      <c r="CH47" s="141"/>
    </row>
    <row r="48" ht="15.0" customHeight="1">
      <c r="A48" s="147" t="s">
        <v>196</v>
      </c>
      <c r="B48" s="138"/>
      <c r="C48" s="138"/>
      <c r="D48" s="138"/>
      <c r="E48" s="138"/>
      <c r="F48" s="138"/>
      <c r="G48" s="138"/>
      <c r="H48" s="139"/>
      <c r="I48" s="148">
        <f t="shared" ref="I48:CD48" si="16">COUNTIF(I21:I43,"Present")</f>
        <v>0</v>
      </c>
      <c r="J48" s="148">
        <f t="shared" si="16"/>
        <v>0</v>
      </c>
      <c r="K48" s="148">
        <f t="shared" si="16"/>
        <v>0</v>
      </c>
      <c r="L48" s="148">
        <f t="shared" si="16"/>
        <v>0</v>
      </c>
      <c r="M48" s="148">
        <f t="shared" si="16"/>
        <v>1</v>
      </c>
      <c r="N48" s="148">
        <f t="shared" si="16"/>
        <v>5</v>
      </c>
      <c r="O48" s="148">
        <f t="shared" si="16"/>
        <v>4</v>
      </c>
      <c r="P48" s="148">
        <f t="shared" si="16"/>
        <v>7</v>
      </c>
      <c r="Q48" s="148">
        <f t="shared" si="16"/>
        <v>8</v>
      </c>
      <c r="R48" s="148">
        <f t="shared" si="16"/>
        <v>6</v>
      </c>
      <c r="S48" s="148">
        <f t="shared" si="16"/>
        <v>5</v>
      </c>
      <c r="T48" s="148">
        <f t="shared" si="16"/>
        <v>14</v>
      </c>
      <c r="U48" s="148">
        <f t="shared" si="16"/>
        <v>2</v>
      </c>
      <c r="V48" s="148">
        <f t="shared" si="16"/>
        <v>5</v>
      </c>
      <c r="W48" s="148">
        <f t="shared" si="16"/>
        <v>0</v>
      </c>
      <c r="X48" s="148">
        <f t="shared" si="16"/>
        <v>2</v>
      </c>
      <c r="Y48" s="148">
        <f t="shared" si="16"/>
        <v>1</v>
      </c>
      <c r="Z48" s="148">
        <f t="shared" si="16"/>
        <v>3</v>
      </c>
      <c r="AA48" s="148">
        <f t="shared" si="16"/>
        <v>3</v>
      </c>
      <c r="AB48" s="148">
        <f t="shared" si="16"/>
        <v>4</v>
      </c>
      <c r="AC48" s="148">
        <f t="shared" si="16"/>
        <v>0</v>
      </c>
      <c r="AD48" s="148">
        <f t="shared" si="16"/>
        <v>0</v>
      </c>
      <c r="AE48" s="148">
        <f t="shared" si="16"/>
        <v>0</v>
      </c>
      <c r="AF48" s="148">
        <f t="shared" si="16"/>
        <v>0</v>
      </c>
      <c r="AG48" s="148">
        <f t="shared" si="16"/>
        <v>0</v>
      </c>
      <c r="AH48" s="148">
        <f t="shared" si="16"/>
        <v>0</v>
      </c>
      <c r="AI48" s="148">
        <f t="shared" si="16"/>
        <v>0</v>
      </c>
      <c r="AJ48" s="148">
        <f t="shared" si="16"/>
        <v>0</v>
      </c>
      <c r="AK48" s="148">
        <f t="shared" si="16"/>
        <v>0</v>
      </c>
      <c r="AL48" s="148">
        <f t="shared" si="16"/>
        <v>0</v>
      </c>
      <c r="AM48" s="148">
        <f t="shared" si="16"/>
        <v>0</v>
      </c>
      <c r="AN48" s="148">
        <f t="shared" si="16"/>
        <v>0</v>
      </c>
      <c r="AO48" s="148">
        <f t="shared" si="16"/>
        <v>0</v>
      </c>
      <c r="AP48" s="148">
        <f t="shared" si="16"/>
        <v>0</v>
      </c>
      <c r="AQ48" s="148">
        <f t="shared" si="16"/>
        <v>0</v>
      </c>
      <c r="AR48" s="148">
        <f t="shared" si="16"/>
        <v>0</v>
      </c>
      <c r="AS48" s="148">
        <f t="shared" si="16"/>
        <v>0</v>
      </c>
      <c r="AT48" s="148">
        <f t="shared" si="16"/>
        <v>0</v>
      </c>
      <c r="AU48" s="148">
        <f t="shared" si="16"/>
        <v>0</v>
      </c>
      <c r="AV48" s="148">
        <f t="shared" si="16"/>
        <v>0</v>
      </c>
      <c r="AW48" s="148">
        <f t="shared" si="16"/>
        <v>0</v>
      </c>
      <c r="AX48" s="148">
        <f t="shared" si="16"/>
        <v>0</v>
      </c>
      <c r="AY48" s="148">
        <f t="shared" si="16"/>
        <v>0</v>
      </c>
      <c r="AZ48" s="148">
        <f t="shared" si="16"/>
        <v>0</v>
      </c>
      <c r="BA48" s="148">
        <f t="shared" si="16"/>
        <v>0</v>
      </c>
      <c r="BB48" s="148">
        <f t="shared" si="16"/>
        <v>0</v>
      </c>
      <c r="BC48" s="148">
        <f t="shared" si="16"/>
        <v>0</v>
      </c>
      <c r="BD48" s="148">
        <f t="shared" si="16"/>
        <v>0</v>
      </c>
      <c r="BE48" s="148">
        <f t="shared" si="16"/>
        <v>0</v>
      </c>
      <c r="BF48" s="148">
        <f t="shared" si="16"/>
        <v>0</v>
      </c>
      <c r="BG48" s="148">
        <f t="shared" si="16"/>
        <v>0</v>
      </c>
      <c r="BH48" s="148">
        <f t="shared" si="16"/>
        <v>0</v>
      </c>
      <c r="BI48" s="148">
        <f t="shared" si="16"/>
        <v>0</v>
      </c>
      <c r="BJ48" s="148">
        <f t="shared" si="16"/>
        <v>0</v>
      </c>
      <c r="BK48" s="148">
        <f t="shared" si="16"/>
        <v>0</v>
      </c>
      <c r="BL48" s="148">
        <f t="shared" si="16"/>
        <v>0</v>
      </c>
      <c r="BM48" s="148">
        <f t="shared" si="16"/>
        <v>0</v>
      </c>
      <c r="BN48" s="148">
        <f t="shared" si="16"/>
        <v>0</v>
      </c>
      <c r="BO48" s="148">
        <f t="shared" si="16"/>
        <v>0</v>
      </c>
      <c r="BP48" s="148">
        <f t="shared" si="16"/>
        <v>0</v>
      </c>
      <c r="BQ48" s="148">
        <f t="shared" si="16"/>
        <v>0</v>
      </c>
      <c r="BR48" s="148">
        <f t="shared" si="16"/>
        <v>0</v>
      </c>
      <c r="BS48" s="148">
        <f t="shared" si="16"/>
        <v>0</v>
      </c>
      <c r="BT48" s="148">
        <f t="shared" si="16"/>
        <v>0</v>
      </c>
      <c r="BU48" s="148">
        <f t="shared" si="16"/>
        <v>0</v>
      </c>
      <c r="BV48" s="148">
        <f t="shared" si="16"/>
        <v>0</v>
      </c>
      <c r="BW48" s="148">
        <f t="shared" si="16"/>
        <v>0</v>
      </c>
      <c r="BX48" s="148">
        <f t="shared" si="16"/>
        <v>0</v>
      </c>
      <c r="BY48" s="148">
        <f t="shared" si="16"/>
        <v>0</v>
      </c>
      <c r="BZ48" s="148">
        <f t="shared" si="16"/>
        <v>0</v>
      </c>
      <c r="CA48" s="148">
        <f t="shared" si="16"/>
        <v>0</v>
      </c>
      <c r="CB48" s="148">
        <f t="shared" si="16"/>
        <v>0</v>
      </c>
      <c r="CC48" s="148">
        <f t="shared" si="16"/>
        <v>0</v>
      </c>
      <c r="CD48" s="148">
        <f t="shared" si="16"/>
        <v>0</v>
      </c>
      <c r="CE48" s="141"/>
      <c r="CF48" s="141"/>
      <c r="CG48" s="141"/>
      <c r="CH48" s="141"/>
    </row>
    <row r="49" ht="15.0" customHeight="1">
      <c r="A49" s="149" t="s">
        <v>37</v>
      </c>
      <c r="B49" s="138"/>
      <c r="C49" s="138"/>
      <c r="D49" s="138"/>
      <c r="E49" s="138"/>
      <c r="F49" s="138"/>
      <c r="G49" s="138"/>
      <c r="H49" s="139"/>
      <c r="I49" s="150">
        <f t="shared" ref="I49:CD49" si="17">COUNTIF(I21:I43,"Late")</f>
        <v>4</v>
      </c>
      <c r="J49" s="150">
        <f t="shared" si="17"/>
        <v>7</v>
      </c>
      <c r="K49" s="150">
        <f t="shared" si="17"/>
        <v>0</v>
      </c>
      <c r="L49" s="150">
        <f t="shared" si="17"/>
        <v>2</v>
      </c>
      <c r="M49" s="150">
        <f t="shared" si="17"/>
        <v>8</v>
      </c>
      <c r="N49" s="150">
        <f t="shared" si="17"/>
        <v>7</v>
      </c>
      <c r="O49" s="150">
        <f t="shared" si="17"/>
        <v>6</v>
      </c>
      <c r="P49" s="150">
        <f t="shared" si="17"/>
        <v>5</v>
      </c>
      <c r="Q49" s="150">
        <f t="shared" si="17"/>
        <v>6</v>
      </c>
      <c r="R49" s="150">
        <f t="shared" si="17"/>
        <v>5</v>
      </c>
      <c r="S49" s="150">
        <f t="shared" si="17"/>
        <v>7</v>
      </c>
      <c r="T49" s="150">
        <f t="shared" si="17"/>
        <v>0</v>
      </c>
      <c r="U49" s="150">
        <f t="shared" si="17"/>
        <v>5</v>
      </c>
      <c r="V49" s="150">
        <f t="shared" si="17"/>
        <v>1</v>
      </c>
      <c r="W49" s="150">
        <f t="shared" si="17"/>
        <v>0</v>
      </c>
      <c r="X49" s="150">
        <f t="shared" si="17"/>
        <v>1</v>
      </c>
      <c r="Y49" s="150">
        <f t="shared" si="17"/>
        <v>7</v>
      </c>
      <c r="Z49" s="150">
        <f t="shared" si="17"/>
        <v>2</v>
      </c>
      <c r="AA49" s="150">
        <f t="shared" si="17"/>
        <v>0</v>
      </c>
      <c r="AB49" s="150">
        <f t="shared" si="17"/>
        <v>3</v>
      </c>
      <c r="AC49" s="150">
        <f t="shared" si="17"/>
        <v>0</v>
      </c>
      <c r="AD49" s="150">
        <f t="shared" si="17"/>
        <v>0</v>
      </c>
      <c r="AE49" s="150">
        <f t="shared" si="17"/>
        <v>0</v>
      </c>
      <c r="AF49" s="150">
        <f t="shared" si="17"/>
        <v>0</v>
      </c>
      <c r="AG49" s="150">
        <f t="shared" si="17"/>
        <v>0</v>
      </c>
      <c r="AH49" s="150">
        <f t="shared" si="17"/>
        <v>0</v>
      </c>
      <c r="AI49" s="150">
        <f t="shared" si="17"/>
        <v>0</v>
      </c>
      <c r="AJ49" s="150">
        <f t="shared" si="17"/>
        <v>0</v>
      </c>
      <c r="AK49" s="150">
        <f t="shared" si="17"/>
        <v>0</v>
      </c>
      <c r="AL49" s="150">
        <f t="shared" si="17"/>
        <v>0</v>
      </c>
      <c r="AM49" s="150">
        <f t="shared" si="17"/>
        <v>0</v>
      </c>
      <c r="AN49" s="150">
        <f t="shared" si="17"/>
        <v>0</v>
      </c>
      <c r="AO49" s="150">
        <f t="shared" si="17"/>
        <v>0</v>
      </c>
      <c r="AP49" s="150">
        <f t="shared" si="17"/>
        <v>0</v>
      </c>
      <c r="AQ49" s="150">
        <f t="shared" si="17"/>
        <v>0</v>
      </c>
      <c r="AR49" s="150">
        <f t="shared" si="17"/>
        <v>0</v>
      </c>
      <c r="AS49" s="150">
        <f t="shared" si="17"/>
        <v>0</v>
      </c>
      <c r="AT49" s="150">
        <f t="shared" si="17"/>
        <v>0</v>
      </c>
      <c r="AU49" s="150">
        <f t="shared" si="17"/>
        <v>0</v>
      </c>
      <c r="AV49" s="150">
        <f t="shared" si="17"/>
        <v>0</v>
      </c>
      <c r="AW49" s="150">
        <f t="shared" si="17"/>
        <v>0</v>
      </c>
      <c r="AX49" s="150">
        <f t="shared" si="17"/>
        <v>0</v>
      </c>
      <c r="AY49" s="150">
        <f t="shared" si="17"/>
        <v>0</v>
      </c>
      <c r="AZ49" s="150">
        <f t="shared" si="17"/>
        <v>0</v>
      </c>
      <c r="BA49" s="150">
        <f t="shared" si="17"/>
        <v>0</v>
      </c>
      <c r="BB49" s="150">
        <f t="shared" si="17"/>
        <v>0</v>
      </c>
      <c r="BC49" s="150">
        <f t="shared" si="17"/>
        <v>0</v>
      </c>
      <c r="BD49" s="150">
        <f t="shared" si="17"/>
        <v>0</v>
      </c>
      <c r="BE49" s="150">
        <f t="shared" si="17"/>
        <v>0</v>
      </c>
      <c r="BF49" s="150">
        <f t="shared" si="17"/>
        <v>0</v>
      </c>
      <c r="BG49" s="150">
        <f t="shared" si="17"/>
        <v>0</v>
      </c>
      <c r="BH49" s="150">
        <f t="shared" si="17"/>
        <v>0</v>
      </c>
      <c r="BI49" s="150">
        <f t="shared" si="17"/>
        <v>0</v>
      </c>
      <c r="BJ49" s="150">
        <f t="shared" si="17"/>
        <v>0</v>
      </c>
      <c r="BK49" s="150">
        <f t="shared" si="17"/>
        <v>0</v>
      </c>
      <c r="BL49" s="150">
        <f t="shared" si="17"/>
        <v>0</v>
      </c>
      <c r="BM49" s="150">
        <f t="shared" si="17"/>
        <v>0</v>
      </c>
      <c r="BN49" s="150">
        <f t="shared" si="17"/>
        <v>0</v>
      </c>
      <c r="BO49" s="150">
        <f t="shared" si="17"/>
        <v>0</v>
      </c>
      <c r="BP49" s="150">
        <f t="shared" si="17"/>
        <v>0</v>
      </c>
      <c r="BQ49" s="150">
        <f t="shared" si="17"/>
        <v>0</v>
      </c>
      <c r="BR49" s="150">
        <f t="shared" si="17"/>
        <v>0</v>
      </c>
      <c r="BS49" s="150">
        <f t="shared" si="17"/>
        <v>0</v>
      </c>
      <c r="BT49" s="150">
        <f t="shared" si="17"/>
        <v>0</v>
      </c>
      <c r="BU49" s="150">
        <f t="shared" si="17"/>
        <v>0</v>
      </c>
      <c r="BV49" s="150">
        <f t="shared" si="17"/>
        <v>0</v>
      </c>
      <c r="BW49" s="150">
        <f t="shared" si="17"/>
        <v>0</v>
      </c>
      <c r="BX49" s="150">
        <f t="shared" si="17"/>
        <v>0</v>
      </c>
      <c r="BY49" s="150">
        <f t="shared" si="17"/>
        <v>0</v>
      </c>
      <c r="BZ49" s="150">
        <f t="shared" si="17"/>
        <v>0</v>
      </c>
      <c r="CA49" s="150">
        <f t="shared" si="17"/>
        <v>0</v>
      </c>
      <c r="CB49" s="150">
        <f t="shared" si="17"/>
        <v>0</v>
      </c>
      <c r="CC49" s="150">
        <f t="shared" si="17"/>
        <v>0</v>
      </c>
      <c r="CD49" s="150">
        <f t="shared" si="17"/>
        <v>0</v>
      </c>
      <c r="CE49" s="141"/>
      <c r="CF49" s="141"/>
      <c r="CG49" s="141"/>
      <c r="CH49" s="141"/>
    </row>
    <row r="50">
      <c r="A50" s="151" t="s">
        <v>650</v>
      </c>
      <c r="B50" s="138"/>
      <c r="C50" s="138"/>
      <c r="D50" s="138"/>
      <c r="E50" s="138"/>
      <c r="F50" s="138"/>
      <c r="G50" s="138"/>
      <c r="H50" s="139"/>
      <c r="I50" s="152">
        <f t="shared" ref="I50:CD50" si="18">COUNTIF(I21:I43,"Present")+COUNTIF(I21:I43,"Late")</f>
        <v>4</v>
      </c>
      <c r="J50" s="152">
        <f t="shared" si="18"/>
        <v>7</v>
      </c>
      <c r="K50" s="152">
        <f t="shared" si="18"/>
        <v>0</v>
      </c>
      <c r="L50" s="152">
        <f t="shared" si="18"/>
        <v>2</v>
      </c>
      <c r="M50" s="152">
        <f t="shared" si="18"/>
        <v>9</v>
      </c>
      <c r="N50" s="152">
        <f t="shared" si="18"/>
        <v>12</v>
      </c>
      <c r="O50" s="152">
        <f t="shared" si="18"/>
        <v>10</v>
      </c>
      <c r="P50" s="152">
        <f t="shared" si="18"/>
        <v>12</v>
      </c>
      <c r="Q50" s="152">
        <f t="shared" si="18"/>
        <v>14</v>
      </c>
      <c r="R50" s="152">
        <f t="shared" si="18"/>
        <v>11</v>
      </c>
      <c r="S50" s="152">
        <f t="shared" si="18"/>
        <v>12</v>
      </c>
      <c r="T50" s="152">
        <f t="shared" si="18"/>
        <v>14</v>
      </c>
      <c r="U50" s="152">
        <f t="shared" si="18"/>
        <v>7</v>
      </c>
      <c r="V50" s="152">
        <f t="shared" si="18"/>
        <v>6</v>
      </c>
      <c r="W50" s="152">
        <f t="shared" si="18"/>
        <v>0</v>
      </c>
      <c r="X50" s="152">
        <f t="shared" si="18"/>
        <v>3</v>
      </c>
      <c r="Y50" s="152">
        <f t="shared" si="18"/>
        <v>8</v>
      </c>
      <c r="Z50" s="152">
        <f t="shared" si="18"/>
        <v>5</v>
      </c>
      <c r="AA50" s="152">
        <f t="shared" si="18"/>
        <v>3</v>
      </c>
      <c r="AB50" s="152">
        <f t="shared" si="18"/>
        <v>7</v>
      </c>
      <c r="AC50" s="152">
        <f t="shared" si="18"/>
        <v>0</v>
      </c>
      <c r="AD50" s="152">
        <f t="shared" si="18"/>
        <v>0</v>
      </c>
      <c r="AE50" s="152">
        <f t="shared" si="18"/>
        <v>0</v>
      </c>
      <c r="AF50" s="152">
        <f t="shared" si="18"/>
        <v>0</v>
      </c>
      <c r="AG50" s="152">
        <f t="shared" si="18"/>
        <v>0</v>
      </c>
      <c r="AH50" s="152">
        <f t="shared" si="18"/>
        <v>0</v>
      </c>
      <c r="AI50" s="152">
        <f t="shared" si="18"/>
        <v>0</v>
      </c>
      <c r="AJ50" s="152">
        <f t="shared" si="18"/>
        <v>0</v>
      </c>
      <c r="AK50" s="152">
        <f t="shared" si="18"/>
        <v>0</v>
      </c>
      <c r="AL50" s="152">
        <f t="shared" si="18"/>
        <v>0</v>
      </c>
      <c r="AM50" s="152">
        <f t="shared" si="18"/>
        <v>0</v>
      </c>
      <c r="AN50" s="152">
        <f t="shared" si="18"/>
        <v>0</v>
      </c>
      <c r="AO50" s="152">
        <f t="shared" si="18"/>
        <v>0</v>
      </c>
      <c r="AP50" s="152">
        <f t="shared" si="18"/>
        <v>0</v>
      </c>
      <c r="AQ50" s="152">
        <f t="shared" si="18"/>
        <v>0</v>
      </c>
      <c r="AR50" s="152">
        <f t="shared" si="18"/>
        <v>0</v>
      </c>
      <c r="AS50" s="152">
        <f t="shared" si="18"/>
        <v>0</v>
      </c>
      <c r="AT50" s="152">
        <f t="shared" si="18"/>
        <v>0</v>
      </c>
      <c r="AU50" s="152">
        <f t="shared" si="18"/>
        <v>0</v>
      </c>
      <c r="AV50" s="152">
        <f t="shared" si="18"/>
        <v>0</v>
      </c>
      <c r="AW50" s="152">
        <f t="shared" si="18"/>
        <v>0</v>
      </c>
      <c r="AX50" s="152">
        <f t="shared" si="18"/>
        <v>0</v>
      </c>
      <c r="AY50" s="152">
        <f t="shared" si="18"/>
        <v>0</v>
      </c>
      <c r="AZ50" s="152">
        <f t="shared" si="18"/>
        <v>0</v>
      </c>
      <c r="BA50" s="152">
        <f t="shared" si="18"/>
        <v>0</v>
      </c>
      <c r="BB50" s="152">
        <f t="shared" si="18"/>
        <v>0</v>
      </c>
      <c r="BC50" s="152">
        <f t="shared" si="18"/>
        <v>0</v>
      </c>
      <c r="BD50" s="152">
        <f t="shared" si="18"/>
        <v>0</v>
      </c>
      <c r="BE50" s="152">
        <f t="shared" si="18"/>
        <v>0</v>
      </c>
      <c r="BF50" s="152">
        <f t="shared" si="18"/>
        <v>0</v>
      </c>
      <c r="BG50" s="152">
        <f t="shared" si="18"/>
        <v>0</v>
      </c>
      <c r="BH50" s="152">
        <f t="shared" si="18"/>
        <v>0</v>
      </c>
      <c r="BI50" s="152">
        <f t="shared" si="18"/>
        <v>0</v>
      </c>
      <c r="BJ50" s="152">
        <f t="shared" si="18"/>
        <v>0</v>
      </c>
      <c r="BK50" s="152">
        <f t="shared" si="18"/>
        <v>0</v>
      </c>
      <c r="BL50" s="152">
        <f t="shared" si="18"/>
        <v>0</v>
      </c>
      <c r="BM50" s="152">
        <f t="shared" si="18"/>
        <v>0</v>
      </c>
      <c r="BN50" s="152">
        <f t="shared" si="18"/>
        <v>0</v>
      </c>
      <c r="BO50" s="152">
        <f t="shared" si="18"/>
        <v>0</v>
      </c>
      <c r="BP50" s="152">
        <f t="shared" si="18"/>
        <v>0</v>
      </c>
      <c r="BQ50" s="152">
        <f t="shared" si="18"/>
        <v>0</v>
      </c>
      <c r="BR50" s="152">
        <f t="shared" si="18"/>
        <v>0</v>
      </c>
      <c r="BS50" s="152">
        <f t="shared" si="18"/>
        <v>0</v>
      </c>
      <c r="BT50" s="152">
        <f t="shared" si="18"/>
        <v>0</v>
      </c>
      <c r="BU50" s="152">
        <f t="shared" si="18"/>
        <v>0</v>
      </c>
      <c r="BV50" s="152">
        <f t="shared" si="18"/>
        <v>0</v>
      </c>
      <c r="BW50" s="152">
        <f t="shared" si="18"/>
        <v>0</v>
      </c>
      <c r="BX50" s="152">
        <f t="shared" si="18"/>
        <v>0</v>
      </c>
      <c r="BY50" s="152">
        <f t="shared" si="18"/>
        <v>0</v>
      </c>
      <c r="BZ50" s="152">
        <f t="shared" si="18"/>
        <v>0</v>
      </c>
      <c r="CA50" s="152">
        <f t="shared" si="18"/>
        <v>0</v>
      </c>
      <c r="CB50" s="152">
        <f t="shared" si="18"/>
        <v>0</v>
      </c>
      <c r="CC50" s="152">
        <f t="shared" si="18"/>
        <v>0</v>
      </c>
      <c r="CD50" s="152">
        <f t="shared" si="18"/>
        <v>0</v>
      </c>
      <c r="CE50" s="141"/>
      <c r="CF50" s="141"/>
      <c r="CG50" s="141"/>
      <c r="CH50" s="141"/>
    </row>
    <row r="51" ht="15.0" customHeight="1">
      <c r="A51" s="153" t="s">
        <v>651</v>
      </c>
      <c r="B51" s="138"/>
      <c r="C51" s="138"/>
      <c r="D51" s="138"/>
      <c r="E51" s="138"/>
      <c r="F51" s="138"/>
      <c r="G51" s="138"/>
      <c r="H51" s="139"/>
      <c r="I51" s="154" t="str">
        <f t="shared" ref="I51:CD51" si="19">CONCAT(TRUNC(MULTIPLY(DIVIDE(I50,I45), 100),0),"%")</f>
        <v>33%</v>
      </c>
      <c r="J51" s="154" t="str">
        <f t="shared" si="19"/>
        <v>58%</v>
      </c>
      <c r="K51" s="154" t="str">
        <f t="shared" si="19"/>
        <v>0%</v>
      </c>
      <c r="L51" s="154" t="str">
        <f t="shared" si="19"/>
        <v>16%</v>
      </c>
      <c r="M51" s="154" t="str">
        <f t="shared" si="19"/>
        <v>64%</v>
      </c>
      <c r="N51" s="154" t="str">
        <f t="shared" si="19"/>
        <v>80%</v>
      </c>
      <c r="O51" s="154" t="str">
        <f t="shared" si="19"/>
        <v>66%</v>
      </c>
      <c r="P51" s="154" t="str">
        <f t="shared" si="19"/>
        <v>75%</v>
      </c>
      <c r="Q51" s="154" t="str">
        <f t="shared" si="19"/>
        <v>87%</v>
      </c>
      <c r="R51" s="154" t="str">
        <f t="shared" si="19"/>
        <v>64%</v>
      </c>
      <c r="S51" s="154" t="str">
        <f t="shared" si="19"/>
        <v>70%</v>
      </c>
      <c r="T51" s="154" t="str">
        <f t="shared" si="19"/>
        <v>82%</v>
      </c>
      <c r="U51" s="154" t="str">
        <f t="shared" si="19"/>
        <v>41%</v>
      </c>
      <c r="V51" s="154" t="str">
        <f t="shared" si="19"/>
        <v>35%</v>
      </c>
      <c r="W51" s="154" t="str">
        <f t="shared" si="19"/>
        <v>0%</v>
      </c>
      <c r="X51" s="154" t="str">
        <f t="shared" si="19"/>
        <v>17%</v>
      </c>
      <c r="Y51" s="154" t="str">
        <f t="shared" si="19"/>
        <v>47%</v>
      </c>
      <c r="Z51" s="154" t="str">
        <f t="shared" si="19"/>
        <v>29%</v>
      </c>
      <c r="AA51" s="154" t="str">
        <f t="shared" si="19"/>
        <v>17%</v>
      </c>
      <c r="AB51" s="154" t="str">
        <f t="shared" si="19"/>
        <v>41%</v>
      </c>
      <c r="AC51" s="154" t="str">
        <f t="shared" si="19"/>
        <v>#DIV/0!</v>
      </c>
      <c r="AD51" s="154" t="str">
        <f t="shared" si="19"/>
        <v>#DIV/0!</v>
      </c>
      <c r="AE51" s="154" t="str">
        <f t="shared" si="19"/>
        <v>#DIV/0!</v>
      </c>
      <c r="AF51" s="154" t="str">
        <f t="shared" si="19"/>
        <v>#DIV/0!</v>
      </c>
      <c r="AG51" s="154" t="str">
        <f t="shared" si="19"/>
        <v>#DIV/0!</v>
      </c>
      <c r="AH51" s="154" t="str">
        <f t="shared" si="19"/>
        <v>#DIV/0!</v>
      </c>
      <c r="AI51" s="154" t="str">
        <f t="shared" si="19"/>
        <v>#DIV/0!</v>
      </c>
      <c r="AJ51" s="154" t="str">
        <f t="shared" si="19"/>
        <v>#DIV/0!</v>
      </c>
      <c r="AK51" s="154" t="str">
        <f t="shared" si="19"/>
        <v>#DIV/0!</v>
      </c>
      <c r="AL51" s="154" t="str">
        <f t="shared" si="19"/>
        <v>#DIV/0!</v>
      </c>
      <c r="AM51" s="154" t="str">
        <f t="shared" si="19"/>
        <v>#DIV/0!</v>
      </c>
      <c r="AN51" s="154" t="str">
        <f t="shared" si="19"/>
        <v>#DIV/0!</v>
      </c>
      <c r="AO51" s="154" t="str">
        <f t="shared" si="19"/>
        <v>#DIV/0!</v>
      </c>
      <c r="AP51" s="154" t="str">
        <f t="shared" si="19"/>
        <v>#DIV/0!</v>
      </c>
      <c r="AQ51" s="154" t="str">
        <f t="shared" si="19"/>
        <v>#DIV/0!</v>
      </c>
      <c r="AR51" s="154" t="str">
        <f t="shared" si="19"/>
        <v>#DIV/0!</v>
      </c>
      <c r="AS51" s="154" t="str">
        <f t="shared" si="19"/>
        <v>#DIV/0!</v>
      </c>
      <c r="AT51" s="154" t="str">
        <f t="shared" si="19"/>
        <v>#DIV/0!</v>
      </c>
      <c r="AU51" s="154" t="str">
        <f t="shared" si="19"/>
        <v>#DIV/0!</v>
      </c>
      <c r="AV51" s="154" t="str">
        <f t="shared" si="19"/>
        <v>#DIV/0!</v>
      </c>
      <c r="AW51" s="154" t="str">
        <f t="shared" si="19"/>
        <v>#DIV/0!</v>
      </c>
      <c r="AX51" s="154" t="str">
        <f t="shared" si="19"/>
        <v>#DIV/0!</v>
      </c>
      <c r="AY51" s="154" t="str">
        <f t="shared" si="19"/>
        <v>#DIV/0!</v>
      </c>
      <c r="AZ51" s="154" t="str">
        <f t="shared" si="19"/>
        <v>#DIV/0!</v>
      </c>
      <c r="BA51" s="154" t="str">
        <f t="shared" si="19"/>
        <v>#DIV/0!</v>
      </c>
      <c r="BB51" s="154" t="str">
        <f t="shared" si="19"/>
        <v>#DIV/0!</v>
      </c>
      <c r="BC51" s="154" t="str">
        <f t="shared" si="19"/>
        <v>#DIV/0!</v>
      </c>
      <c r="BD51" s="154" t="str">
        <f t="shared" si="19"/>
        <v>#DIV/0!</v>
      </c>
      <c r="BE51" s="154" t="str">
        <f t="shared" si="19"/>
        <v>#DIV/0!</v>
      </c>
      <c r="BF51" s="154" t="str">
        <f t="shared" si="19"/>
        <v>#DIV/0!</v>
      </c>
      <c r="BG51" s="154" t="str">
        <f t="shared" si="19"/>
        <v>#DIV/0!</v>
      </c>
      <c r="BH51" s="154" t="str">
        <f t="shared" si="19"/>
        <v>#DIV/0!</v>
      </c>
      <c r="BI51" s="154" t="str">
        <f t="shared" si="19"/>
        <v>#DIV/0!</v>
      </c>
      <c r="BJ51" s="154" t="str">
        <f t="shared" si="19"/>
        <v>#DIV/0!</v>
      </c>
      <c r="BK51" s="154" t="str">
        <f t="shared" si="19"/>
        <v>#DIV/0!</v>
      </c>
      <c r="BL51" s="154" t="str">
        <f t="shared" si="19"/>
        <v>#DIV/0!</v>
      </c>
      <c r="BM51" s="154" t="str">
        <f t="shared" si="19"/>
        <v>#DIV/0!</v>
      </c>
      <c r="BN51" s="154" t="str">
        <f t="shared" si="19"/>
        <v>#DIV/0!</v>
      </c>
      <c r="BO51" s="154" t="str">
        <f t="shared" si="19"/>
        <v>#DIV/0!</v>
      </c>
      <c r="BP51" s="154" t="str">
        <f t="shared" si="19"/>
        <v>#DIV/0!</v>
      </c>
      <c r="BQ51" s="154" t="str">
        <f t="shared" si="19"/>
        <v>#DIV/0!</v>
      </c>
      <c r="BR51" s="154" t="str">
        <f t="shared" si="19"/>
        <v>#DIV/0!</v>
      </c>
      <c r="BS51" s="154" t="str">
        <f t="shared" si="19"/>
        <v>#DIV/0!</v>
      </c>
      <c r="BT51" s="154" t="str">
        <f t="shared" si="19"/>
        <v>#DIV/0!</v>
      </c>
      <c r="BU51" s="154" t="str">
        <f t="shared" si="19"/>
        <v>#DIV/0!</v>
      </c>
      <c r="BV51" s="154" t="str">
        <f t="shared" si="19"/>
        <v>#DIV/0!</v>
      </c>
      <c r="BW51" s="154" t="str">
        <f t="shared" si="19"/>
        <v>#DIV/0!</v>
      </c>
      <c r="BX51" s="154" t="str">
        <f t="shared" si="19"/>
        <v>#DIV/0!</v>
      </c>
      <c r="BY51" s="154" t="str">
        <f t="shared" si="19"/>
        <v>#DIV/0!</v>
      </c>
      <c r="BZ51" s="154" t="str">
        <f t="shared" si="19"/>
        <v>#DIV/0!</v>
      </c>
      <c r="CA51" s="154" t="str">
        <f t="shared" si="19"/>
        <v>#DIV/0!</v>
      </c>
      <c r="CB51" s="154" t="str">
        <f t="shared" si="19"/>
        <v>#DIV/0!</v>
      </c>
      <c r="CC51" s="154" t="str">
        <f t="shared" si="19"/>
        <v>#DIV/0!</v>
      </c>
      <c r="CD51" s="154" t="str">
        <f t="shared" si="19"/>
        <v>#DIV/0!</v>
      </c>
      <c r="CE51" s="141"/>
      <c r="CF51" s="141"/>
      <c r="CG51" s="141"/>
      <c r="CH51" s="141"/>
    </row>
    <row r="52" ht="4.5" customHeigh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156"/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6"/>
      <c r="AJ52" s="156"/>
      <c r="AK52" s="156"/>
      <c r="AL52" s="156"/>
      <c r="AM52" s="156"/>
      <c r="AN52" s="156"/>
      <c r="AO52" s="156"/>
      <c r="AP52" s="156"/>
      <c r="AQ52" s="156"/>
      <c r="AR52" s="156"/>
      <c r="AS52" s="156"/>
      <c r="AT52" s="156"/>
      <c r="AU52" s="156"/>
      <c r="AV52" s="156"/>
      <c r="AW52" s="156"/>
      <c r="AX52" s="156"/>
      <c r="AY52" s="156"/>
      <c r="AZ52" s="156"/>
      <c r="BA52" s="156"/>
      <c r="BB52" s="156"/>
      <c r="BC52" s="156"/>
      <c r="BD52" s="156"/>
      <c r="BE52" s="156"/>
      <c r="BF52" s="156"/>
      <c r="BG52" s="156"/>
      <c r="BH52" s="156"/>
      <c r="BI52" s="156"/>
      <c r="BJ52" s="156"/>
      <c r="BK52" s="156"/>
      <c r="BL52" s="156"/>
      <c r="BM52" s="156"/>
      <c r="BN52" s="156"/>
      <c r="BO52" s="156"/>
      <c r="BP52" s="156"/>
      <c r="BQ52" s="156"/>
      <c r="BR52" s="156"/>
      <c r="BS52" s="156"/>
      <c r="BT52" s="156"/>
      <c r="BU52" s="156"/>
      <c r="BV52" s="156"/>
      <c r="BW52" s="156"/>
      <c r="BX52" s="156"/>
      <c r="BY52" s="156"/>
      <c r="BZ52" s="156"/>
      <c r="CA52" s="156"/>
      <c r="CB52" s="156"/>
      <c r="CC52" s="156"/>
      <c r="CD52" s="156"/>
      <c r="CE52" s="156"/>
      <c r="CF52" s="156"/>
      <c r="CG52" s="156"/>
      <c r="CH52" s="157"/>
    </row>
    <row r="53" ht="19.5" customHeight="1">
      <c r="A53" s="8" t="s">
        <v>652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3"/>
    </row>
    <row r="54" ht="18.0" customHeight="1">
      <c r="A54" s="95">
        <v>1.0</v>
      </c>
      <c r="B54" s="12" t="s">
        <v>450</v>
      </c>
      <c r="C54" s="14" t="s">
        <v>653</v>
      </c>
      <c r="D54" s="17" t="str">
        <f t="shared" ref="D54:D79" si="20">IF(C54&lt;&gt;"",HYPERLINK("tel:"&amp;SUBSTITUTE(SUBSTITUTE(C54," ",""),"+","+"),"📞 Call"),"")</f>
        <v>📞 Call</v>
      </c>
      <c r="E54" s="19" t="str">
        <f t="shared" ref="E54:E79" si="21">IF(C54&lt;&gt;"",HYPERLINK("https://wa.me/"&amp;SUBSTITUTE(SUBSTITUTE(C54,"+","")," ",""),"💬 WhatsApp"),"")</f>
        <v>💬 WhatsApp</v>
      </c>
      <c r="F54" s="10" t="s">
        <v>423</v>
      </c>
      <c r="G54" s="10" t="s">
        <v>654</v>
      </c>
      <c r="H54" s="10" t="s">
        <v>295</v>
      </c>
      <c r="I54" s="79" t="s">
        <v>223</v>
      </c>
      <c r="J54" s="79" t="s">
        <v>223</v>
      </c>
      <c r="K54" s="49" t="s">
        <v>197</v>
      </c>
      <c r="L54" s="79" t="s">
        <v>223</v>
      </c>
      <c r="M54" s="79" t="s">
        <v>223</v>
      </c>
      <c r="N54" s="79" t="s">
        <v>223</v>
      </c>
      <c r="O54" s="79" t="s">
        <v>223</v>
      </c>
      <c r="P54" s="79" t="s">
        <v>223</v>
      </c>
      <c r="Q54" s="79" t="s">
        <v>223</v>
      </c>
      <c r="R54" s="79" t="s">
        <v>223</v>
      </c>
      <c r="S54" s="52" t="s">
        <v>223</v>
      </c>
      <c r="T54" s="98" t="s">
        <v>223</v>
      </c>
      <c r="U54" s="52" t="s">
        <v>223</v>
      </c>
      <c r="V54" s="53" t="s">
        <v>223</v>
      </c>
      <c r="W54" s="54" t="str">
        <f>IF('⚙ OFF Weekends'!$D$18="OFF","OFF","")</f>
        <v>OFF</v>
      </c>
      <c r="X54" s="53" t="s">
        <v>223</v>
      </c>
      <c r="Y54" s="52" t="s">
        <v>223</v>
      </c>
      <c r="Z54" s="53" t="s">
        <v>223</v>
      </c>
      <c r="AA54" s="52" t="s">
        <v>223</v>
      </c>
      <c r="AB54" s="53" t="s">
        <v>223</v>
      </c>
      <c r="AC54" s="54" t="str">
        <f>IF('⚙ OFF Weekends'!$D$24="OFF","OFF","")</f>
        <v/>
      </c>
      <c r="AD54" s="56" t="str">
        <f>IF('⚙ OFF Weekends'!$D$25="OFF","OFF","")</f>
        <v/>
      </c>
      <c r="AE54" s="54" t="str">
        <f>IF('⚙ OFF Weekends'!$D$26="OFF","OFF","")</f>
        <v/>
      </c>
      <c r="AF54" s="56" t="str">
        <f>IF('⚙ OFF Weekends'!$D$27="OFF","OFF","")</f>
        <v/>
      </c>
      <c r="AG54" s="54" t="str">
        <f>IF('⚙ OFF Weekends'!$D$28="OFF","OFF","")</f>
        <v/>
      </c>
      <c r="AH54" s="56" t="str">
        <f>IF('⚙ OFF Weekends'!$D$29="OFF","OFF","")</f>
        <v/>
      </c>
      <c r="AI54" s="54" t="str">
        <f>IF('⚙ OFF Weekends'!$D$30="OFF","OFF","")</f>
        <v/>
      </c>
      <c r="AJ54" s="56" t="str">
        <f>IF('⚙ OFF Weekends'!$D$31="OFF","OFF","")</f>
        <v/>
      </c>
      <c r="AK54" s="54" t="str">
        <f>IF('⚙ OFF Weekends'!$D$32="OFF","OFF","")</f>
        <v/>
      </c>
      <c r="AL54" s="56" t="str">
        <f>IF('⚙ OFF Weekends'!$D$33="OFF","OFF","")</f>
        <v/>
      </c>
      <c r="AM54" s="54" t="str">
        <f>IF('⚙ OFF Weekends'!$D$34="OFF","OFF","")</f>
        <v/>
      </c>
      <c r="AN54" s="56" t="str">
        <f>IF('⚙ OFF Weekends'!$D$35="OFF","OFF","")</f>
        <v/>
      </c>
      <c r="AO54" s="54" t="str">
        <f>IF('⚙ OFF Weekends'!$D$36="OFF","OFF","")</f>
        <v/>
      </c>
      <c r="AP54" s="56" t="str">
        <f>IF('⚙ OFF Weekends'!$D$37="OFF","OFF","")</f>
        <v/>
      </c>
      <c r="AQ54" s="54" t="str">
        <f>IF('⚙ OFF Weekends'!$D$38="OFF","OFF","")</f>
        <v/>
      </c>
      <c r="AR54" s="56" t="str">
        <f>IF('⚙ OFF Weekends'!$D$39="OFF","OFF","")</f>
        <v/>
      </c>
      <c r="AS54" s="54" t="str">
        <f>IF('⚙ OFF Weekends'!$D$40="OFF","OFF","")</f>
        <v/>
      </c>
      <c r="AT54" s="56" t="str">
        <f>IF('⚙ OFF Weekends'!$D$41="OFF","OFF","")</f>
        <v/>
      </c>
      <c r="AU54" s="54" t="str">
        <f>IF('⚙ OFF Weekends'!$D$42="OFF","OFF","")</f>
        <v/>
      </c>
      <c r="AV54" s="56" t="str">
        <f>IF('⚙ OFF Weekends'!$D$43="OFF","OFF","")</f>
        <v/>
      </c>
      <c r="AW54" s="54" t="str">
        <f>IF('⚙ OFF Weekends'!$D$44="OFF","OFF","")</f>
        <v/>
      </c>
      <c r="AX54" s="56" t="str">
        <f>IF('⚙ OFF Weekends'!$D$45="OFF","OFF","")</f>
        <v/>
      </c>
      <c r="AY54" s="54" t="str">
        <f>IF('⚙ OFF Weekends'!$D$46="OFF","OFF","")</f>
        <v/>
      </c>
      <c r="AZ54" s="56" t="str">
        <f>IF('⚙ OFF Weekends'!$D$47="OFF","OFF","")</f>
        <v/>
      </c>
      <c r="BA54" s="54" t="str">
        <f>IF('⚙ OFF Weekends'!$D$48="OFF","OFF","")</f>
        <v/>
      </c>
      <c r="BB54" s="56" t="str">
        <f>IF('⚙ OFF Weekends'!$D$49="OFF","OFF","")</f>
        <v/>
      </c>
      <c r="BC54" s="54" t="str">
        <f>IF('⚙ OFF Weekends'!$D$50="OFF","OFF","")</f>
        <v/>
      </c>
      <c r="BD54" s="56" t="str">
        <f>IF('⚙ OFF Weekends'!$D$51="OFF","OFF","")</f>
        <v/>
      </c>
      <c r="BE54" s="54" t="str">
        <f>IF('⚙ OFF Weekends'!$D$52="OFF","OFF","")</f>
        <v/>
      </c>
      <c r="BF54" s="56" t="str">
        <f>IF('⚙ OFF Weekends'!$D$53="OFF","OFF","")</f>
        <v/>
      </c>
      <c r="BG54" s="54" t="str">
        <f>IF('⚙ OFF Weekends'!$D$54="OFF","OFF","")</f>
        <v/>
      </c>
      <c r="BH54" s="56" t="str">
        <f>IF('⚙ OFF Weekends'!$D$55="OFF","OFF","")</f>
        <v/>
      </c>
      <c r="BI54" s="54" t="str">
        <f>IF('⚙ OFF Weekends'!$D$56="OFF","OFF","")</f>
        <v/>
      </c>
      <c r="BJ54" s="56" t="str">
        <f>IF('⚙ OFF Weekends'!$D$57="OFF","OFF","")</f>
        <v/>
      </c>
      <c r="BK54" s="54" t="str">
        <f>IF('⚙ OFF Weekends'!$D$58="OFF","OFF","")</f>
        <v/>
      </c>
      <c r="BL54" s="56" t="str">
        <f>IF('⚙ OFF Weekends'!$D$59="OFF","OFF","")</f>
        <v/>
      </c>
      <c r="BM54" s="54" t="str">
        <f>IF('⚙ OFF Weekends'!$D$60="OFF","OFF","")</f>
        <v/>
      </c>
      <c r="BN54" s="56" t="str">
        <f>IF('⚙ OFF Weekends'!$D$61="OFF","OFF","")</f>
        <v/>
      </c>
      <c r="BO54" s="54" t="str">
        <f>IF('⚙ OFF Weekends'!$D$62="OFF","OFF","")</f>
        <v/>
      </c>
      <c r="BP54" s="56" t="str">
        <f>IF('⚙ OFF Weekends'!$D$63="OFF","OFF","")</f>
        <v/>
      </c>
      <c r="BQ54" s="54" t="str">
        <f>IF('⚙ OFF Weekends'!$D$64="OFF","OFF","")</f>
        <v/>
      </c>
      <c r="BR54" s="56" t="str">
        <f>IF('⚙ OFF Weekends'!$D$65="OFF","OFF","")</f>
        <v/>
      </c>
      <c r="BS54" s="54" t="str">
        <f>IF('⚙ OFF Weekends'!$D$66="OFF","OFF","")</f>
        <v/>
      </c>
      <c r="BT54" s="56" t="str">
        <f>IF('⚙ OFF Weekends'!$D$67="OFF","OFF","")</f>
        <v/>
      </c>
      <c r="BU54" s="54" t="str">
        <f>IF('⚙ OFF Weekends'!$D$68="OFF","OFF","")</f>
        <v/>
      </c>
      <c r="BV54" s="56" t="str">
        <f>IF('⚙ OFF Weekends'!$D$69="OFF","OFF","")</f>
        <v/>
      </c>
      <c r="BW54" s="54" t="str">
        <f>IF('⚙ OFF Weekends'!$D$70="OFF","OFF","")</f>
        <v/>
      </c>
      <c r="BX54" s="56" t="str">
        <f>IF('⚙ OFF Weekends'!$D$71="OFF","OFF","")</f>
        <v/>
      </c>
      <c r="BY54" s="54" t="str">
        <f>IF('⚙ OFF Weekends'!$D$72="OFF","OFF","")</f>
        <v/>
      </c>
      <c r="BZ54" s="56" t="str">
        <f>IF('⚙ OFF Weekends'!$D$73="OFF","OFF","")</f>
        <v/>
      </c>
      <c r="CA54" s="54" t="str">
        <f>IF('⚙ OFF Weekends'!$D$74="OFF","OFF","")</f>
        <v/>
      </c>
      <c r="CB54" s="56" t="str">
        <f>IF('⚙ OFF Weekends'!$D$75="OFF","OFF","")</f>
        <v/>
      </c>
      <c r="CC54" s="54" t="str">
        <f>IF('⚙ OFF Weekends'!$D$76="OFF","OFF","")</f>
        <v/>
      </c>
      <c r="CD54" s="56" t="str">
        <f>IF('⚙ OFF Weekends'!$D$77="OFF","OFF","")</f>
        <v/>
      </c>
      <c r="CE54" s="95">
        <f t="shared" ref="CE54:CE79" si="22">COUNTIF(I54:CD54,"Present")+COUNTIF(I54:CD54,"Late")</f>
        <v>0</v>
      </c>
      <c r="CF54" s="95">
        <f t="shared" ref="CF54:CF79" si="23">COUNTIF(I54:CD54,"Absent")</f>
        <v>18</v>
      </c>
      <c r="CG54" s="95">
        <f t="shared" ref="CG54:CG79" si="24">COUNTIF(I54:CD54,"Leave")</f>
        <v>0</v>
      </c>
      <c r="CH54" s="95" t="str">
        <f t="shared" ref="CH54:CH79" si="25">IF(CE54+CF54=0,"0%",TEXT(CE54/(CE54+CF54),"0%"))</f>
        <v>0%</v>
      </c>
    </row>
    <row r="55" ht="18.0" customHeight="1">
      <c r="A55" s="96">
        <v>2.0</v>
      </c>
      <c r="B55" s="22" t="s">
        <v>656</v>
      </c>
      <c r="C55" s="23" t="s">
        <v>657</v>
      </c>
      <c r="D55" s="24" t="str">
        <f t="shared" si="20"/>
        <v>📞 Call</v>
      </c>
      <c r="E55" s="41" t="str">
        <f t="shared" si="21"/>
        <v>💬 WhatsApp</v>
      </c>
      <c r="F55" s="20" t="s">
        <v>423</v>
      </c>
      <c r="G55" s="20" t="s">
        <v>654</v>
      </c>
      <c r="H55" s="20" t="s">
        <v>295</v>
      </c>
      <c r="I55" s="50" t="s">
        <v>37</v>
      </c>
      <c r="J55" s="79" t="s">
        <v>223</v>
      </c>
      <c r="K55" s="49" t="s">
        <v>197</v>
      </c>
      <c r="L55" s="50" t="s">
        <v>37</v>
      </c>
      <c r="M55" s="48" t="s">
        <v>196</v>
      </c>
      <c r="N55" s="50" t="s">
        <v>37</v>
      </c>
      <c r="O55" s="50" t="s">
        <v>37</v>
      </c>
      <c r="P55" s="79" t="s">
        <v>223</v>
      </c>
      <c r="Q55" s="50" t="s">
        <v>37</v>
      </c>
      <c r="R55" s="77" t="s">
        <v>198</v>
      </c>
      <c r="S55" s="52" t="s">
        <v>37</v>
      </c>
      <c r="T55" s="98" t="s">
        <v>196</v>
      </c>
      <c r="U55" s="52" t="s">
        <v>37</v>
      </c>
      <c r="V55" s="53" t="s">
        <v>223</v>
      </c>
      <c r="W55" s="54" t="str">
        <f>IF('⚙ OFF Weekends'!$D$18="OFF","OFF","")</f>
        <v>OFF</v>
      </c>
      <c r="X55" s="53" t="s">
        <v>223</v>
      </c>
      <c r="Y55" s="52" t="s">
        <v>198</v>
      </c>
      <c r="Z55" s="53" t="s">
        <v>223</v>
      </c>
      <c r="AA55" s="52" t="s">
        <v>196</v>
      </c>
      <c r="AB55" s="53" t="s">
        <v>37</v>
      </c>
      <c r="AC55" s="54" t="str">
        <f>IF('⚙ OFF Weekends'!$D$24="OFF","OFF","")</f>
        <v/>
      </c>
      <c r="AD55" s="56" t="str">
        <f>IF('⚙ OFF Weekends'!$D$25="OFF","OFF","")</f>
        <v/>
      </c>
      <c r="AE55" s="54" t="str">
        <f>IF('⚙ OFF Weekends'!$D$26="OFF","OFF","")</f>
        <v/>
      </c>
      <c r="AF55" s="56" t="str">
        <f>IF('⚙ OFF Weekends'!$D$27="OFF","OFF","")</f>
        <v/>
      </c>
      <c r="AG55" s="54" t="str">
        <f>IF('⚙ OFF Weekends'!$D$28="OFF","OFF","")</f>
        <v/>
      </c>
      <c r="AH55" s="56" t="str">
        <f>IF('⚙ OFF Weekends'!$D$29="OFF","OFF","")</f>
        <v/>
      </c>
      <c r="AI55" s="54" t="str">
        <f>IF('⚙ OFF Weekends'!$D$30="OFF","OFF","")</f>
        <v/>
      </c>
      <c r="AJ55" s="56" t="str">
        <f>IF('⚙ OFF Weekends'!$D$31="OFF","OFF","")</f>
        <v/>
      </c>
      <c r="AK55" s="54" t="str">
        <f>IF('⚙ OFF Weekends'!$D$32="OFF","OFF","")</f>
        <v/>
      </c>
      <c r="AL55" s="56" t="str">
        <f>IF('⚙ OFF Weekends'!$D$33="OFF","OFF","")</f>
        <v/>
      </c>
      <c r="AM55" s="54" t="str">
        <f>IF('⚙ OFF Weekends'!$D$34="OFF","OFF","")</f>
        <v/>
      </c>
      <c r="AN55" s="56" t="str">
        <f>IF('⚙ OFF Weekends'!$D$35="OFF","OFF","")</f>
        <v/>
      </c>
      <c r="AO55" s="54" t="str">
        <f>IF('⚙ OFF Weekends'!$D$36="OFF","OFF","")</f>
        <v/>
      </c>
      <c r="AP55" s="56" t="str">
        <f>IF('⚙ OFF Weekends'!$D$37="OFF","OFF","")</f>
        <v/>
      </c>
      <c r="AQ55" s="54" t="str">
        <f>IF('⚙ OFF Weekends'!$D$38="OFF","OFF","")</f>
        <v/>
      </c>
      <c r="AR55" s="56" t="str">
        <f>IF('⚙ OFF Weekends'!$D$39="OFF","OFF","")</f>
        <v/>
      </c>
      <c r="AS55" s="54" t="str">
        <f>IF('⚙ OFF Weekends'!$D$40="OFF","OFF","")</f>
        <v/>
      </c>
      <c r="AT55" s="56" t="str">
        <f>IF('⚙ OFF Weekends'!$D$41="OFF","OFF","")</f>
        <v/>
      </c>
      <c r="AU55" s="54" t="str">
        <f>IF('⚙ OFF Weekends'!$D$42="OFF","OFF","")</f>
        <v/>
      </c>
      <c r="AV55" s="56" t="str">
        <f>IF('⚙ OFF Weekends'!$D$43="OFF","OFF","")</f>
        <v/>
      </c>
      <c r="AW55" s="54" t="str">
        <f>IF('⚙ OFF Weekends'!$D$44="OFF","OFF","")</f>
        <v/>
      </c>
      <c r="AX55" s="56" t="str">
        <f>IF('⚙ OFF Weekends'!$D$45="OFF","OFF","")</f>
        <v/>
      </c>
      <c r="AY55" s="54" t="str">
        <f>IF('⚙ OFF Weekends'!$D$46="OFF","OFF","")</f>
        <v/>
      </c>
      <c r="AZ55" s="56" t="str">
        <f>IF('⚙ OFF Weekends'!$D$47="OFF","OFF","")</f>
        <v/>
      </c>
      <c r="BA55" s="54" t="str">
        <f>IF('⚙ OFF Weekends'!$D$48="OFF","OFF","")</f>
        <v/>
      </c>
      <c r="BB55" s="56" t="str">
        <f>IF('⚙ OFF Weekends'!$D$49="OFF","OFF","")</f>
        <v/>
      </c>
      <c r="BC55" s="54" t="str">
        <f>IF('⚙ OFF Weekends'!$D$50="OFF","OFF","")</f>
        <v/>
      </c>
      <c r="BD55" s="56" t="str">
        <f>IF('⚙ OFF Weekends'!$D$51="OFF","OFF","")</f>
        <v/>
      </c>
      <c r="BE55" s="54" t="str">
        <f>IF('⚙ OFF Weekends'!$D$52="OFF","OFF","")</f>
        <v/>
      </c>
      <c r="BF55" s="56" t="str">
        <f>IF('⚙ OFF Weekends'!$D$53="OFF","OFF","")</f>
        <v/>
      </c>
      <c r="BG55" s="54" t="str">
        <f>IF('⚙ OFF Weekends'!$D$54="OFF","OFF","")</f>
        <v/>
      </c>
      <c r="BH55" s="56" t="str">
        <f>IF('⚙ OFF Weekends'!$D$55="OFF","OFF","")</f>
        <v/>
      </c>
      <c r="BI55" s="54" t="str">
        <f>IF('⚙ OFF Weekends'!$D$56="OFF","OFF","")</f>
        <v/>
      </c>
      <c r="BJ55" s="56" t="str">
        <f>IF('⚙ OFF Weekends'!$D$57="OFF","OFF","")</f>
        <v/>
      </c>
      <c r="BK55" s="54" t="str">
        <f>IF('⚙ OFF Weekends'!$D$58="OFF","OFF","")</f>
        <v/>
      </c>
      <c r="BL55" s="56" t="str">
        <f>IF('⚙ OFF Weekends'!$D$59="OFF","OFF","")</f>
        <v/>
      </c>
      <c r="BM55" s="54" t="str">
        <f>IF('⚙ OFF Weekends'!$D$60="OFF","OFF","")</f>
        <v/>
      </c>
      <c r="BN55" s="56" t="str">
        <f>IF('⚙ OFF Weekends'!$D$61="OFF","OFF","")</f>
        <v/>
      </c>
      <c r="BO55" s="54" t="str">
        <f>IF('⚙ OFF Weekends'!$D$62="OFF","OFF","")</f>
        <v/>
      </c>
      <c r="BP55" s="56" t="str">
        <f>IF('⚙ OFF Weekends'!$D$63="OFF","OFF","")</f>
        <v/>
      </c>
      <c r="BQ55" s="54" t="str">
        <f>IF('⚙ OFF Weekends'!$D$64="OFF","OFF","")</f>
        <v/>
      </c>
      <c r="BR55" s="56" t="str">
        <f>IF('⚙ OFF Weekends'!$D$65="OFF","OFF","")</f>
        <v/>
      </c>
      <c r="BS55" s="54" t="str">
        <f>IF('⚙ OFF Weekends'!$D$66="OFF","OFF","")</f>
        <v/>
      </c>
      <c r="BT55" s="56" t="str">
        <f>IF('⚙ OFF Weekends'!$D$67="OFF","OFF","")</f>
        <v/>
      </c>
      <c r="BU55" s="54" t="str">
        <f>IF('⚙ OFF Weekends'!$D$68="OFF","OFF","")</f>
        <v/>
      </c>
      <c r="BV55" s="56" t="str">
        <f>IF('⚙ OFF Weekends'!$D$69="OFF","OFF","")</f>
        <v/>
      </c>
      <c r="BW55" s="54" t="str">
        <f>IF('⚙ OFF Weekends'!$D$70="OFF","OFF","")</f>
        <v/>
      </c>
      <c r="BX55" s="56" t="str">
        <f>IF('⚙ OFF Weekends'!$D$71="OFF","OFF","")</f>
        <v/>
      </c>
      <c r="BY55" s="54" t="str">
        <f>IF('⚙ OFF Weekends'!$D$72="OFF","OFF","")</f>
        <v/>
      </c>
      <c r="BZ55" s="56" t="str">
        <f>IF('⚙ OFF Weekends'!$D$73="OFF","OFF","")</f>
        <v/>
      </c>
      <c r="CA55" s="54" t="str">
        <f>IF('⚙ OFF Weekends'!$D$74="OFF","OFF","")</f>
        <v/>
      </c>
      <c r="CB55" s="56" t="str">
        <f>IF('⚙ OFF Weekends'!$D$75="OFF","OFF","")</f>
        <v/>
      </c>
      <c r="CC55" s="54" t="str">
        <f>IF('⚙ OFF Weekends'!$D$76="OFF","OFF","")</f>
        <v/>
      </c>
      <c r="CD55" s="56" t="str">
        <f>IF('⚙ OFF Weekends'!$D$77="OFF","OFF","")</f>
        <v/>
      </c>
      <c r="CE55" s="96">
        <f t="shared" si="22"/>
        <v>11</v>
      </c>
      <c r="CF55" s="96">
        <f t="shared" si="23"/>
        <v>5</v>
      </c>
      <c r="CG55" s="96">
        <f t="shared" si="24"/>
        <v>2</v>
      </c>
      <c r="CH55" s="96" t="str">
        <f t="shared" si="25"/>
        <v>69%</v>
      </c>
    </row>
    <row r="56" ht="18.0" customHeight="1">
      <c r="A56" s="95">
        <v>3.0</v>
      </c>
      <c r="B56" s="12" t="s">
        <v>659</v>
      </c>
      <c r="C56" s="14" t="s">
        <v>660</v>
      </c>
      <c r="D56" s="17" t="str">
        <f t="shared" si="20"/>
        <v>📞 Call</v>
      </c>
      <c r="E56" s="19" t="str">
        <f t="shared" si="21"/>
        <v>💬 WhatsApp</v>
      </c>
      <c r="F56" s="10" t="s">
        <v>423</v>
      </c>
      <c r="G56" s="10" t="s">
        <v>661</v>
      </c>
      <c r="H56" s="10"/>
      <c r="I56" s="50" t="s">
        <v>37</v>
      </c>
      <c r="J56" s="50" t="s">
        <v>37</v>
      </c>
      <c r="K56" s="49" t="s">
        <v>197</v>
      </c>
      <c r="L56" s="77" t="s">
        <v>198</v>
      </c>
      <c r="M56" s="77" t="s">
        <v>198</v>
      </c>
      <c r="N56" s="77" t="s">
        <v>198</v>
      </c>
      <c r="O56" s="50" t="s">
        <v>37</v>
      </c>
      <c r="P56" s="50" t="s">
        <v>37</v>
      </c>
      <c r="Q56" s="50" t="s">
        <v>37</v>
      </c>
      <c r="R56" s="50" t="s">
        <v>37</v>
      </c>
      <c r="S56" s="52" t="s">
        <v>37</v>
      </c>
      <c r="T56" s="98" t="s">
        <v>196</v>
      </c>
      <c r="U56" s="52" t="s">
        <v>223</v>
      </c>
      <c r="V56" s="53" t="s">
        <v>198</v>
      </c>
      <c r="W56" s="54" t="str">
        <f>IF('⚙ OFF Weekends'!$D$18="OFF","OFF","")</f>
        <v>OFF</v>
      </c>
      <c r="X56" s="53" t="s">
        <v>223</v>
      </c>
      <c r="Y56" s="52" t="s">
        <v>37</v>
      </c>
      <c r="Z56" s="53" t="s">
        <v>37</v>
      </c>
      <c r="AA56" s="52" t="s">
        <v>223</v>
      </c>
      <c r="AB56" s="53" t="s">
        <v>37</v>
      </c>
      <c r="AC56" s="54" t="str">
        <f>IF('⚙ OFF Weekends'!$D$24="OFF","OFF","")</f>
        <v/>
      </c>
      <c r="AD56" s="56" t="str">
        <f>IF('⚙ OFF Weekends'!$D$25="OFF","OFF","")</f>
        <v/>
      </c>
      <c r="AE56" s="54" t="str">
        <f>IF('⚙ OFF Weekends'!$D$26="OFF","OFF","")</f>
        <v/>
      </c>
      <c r="AF56" s="56" t="str">
        <f>IF('⚙ OFF Weekends'!$D$27="OFF","OFF","")</f>
        <v/>
      </c>
      <c r="AG56" s="54" t="str">
        <f>IF('⚙ OFF Weekends'!$D$28="OFF","OFF","")</f>
        <v/>
      </c>
      <c r="AH56" s="56" t="str">
        <f>IF('⚙ OFF Weekends'!$D$29="OFF","OFF","")</f>
        <v/>
      </c>
      <c r="AI56" s="54" t="str">
        <f>IF('⚙ OFF Weekends'!$D$30="OFF","OFF","")</f>
        <v/>
      </c>
      <c r="AJ56" s="56" t="str">
        <f>IF('⚙ OFF Weekends'!$D$31="OFF","OFF","")</f>
        <v/>
      </c>
      <c r="AK56" s="54" t="str">
        <f>IF('⚙ OFF Weekends'!$D$32="OFF","OFF","")</f>
        <v/>
      </c>
      <c r="AL56" s="56" t="str">
        <f>IF('⚙ OFF Weekends'!$D$33="OFF","OFF","")</f>
        <v/>
      </c>
      <c r="AM56" s="54" t="str">
        <f>IF('⚙ OFF Weekends'!$D$34="OFF","OFF","")</f>
        <v/>
      </c>
      <c r="AN56" s="56" t="str">
        <f>IF('⚙ OFF Weekends'!$D$35="OFF","OFF","")</f>
        <v/>
      </c>
      <c r="AO56" s="54" t="str">
        <f>IF('⚙ OFF Weekends'!$D$36="OFF","OFF","")</f>
        <v/>
      </c>
      <c r="AP56" s="56" t="str">
        <f>IF('⚙ OFF Weekends'!$D$37="OFF","OFF","")</f>
        <v/>
      </c>
      <c r="AQ56" s="54" t="str">
        <f>IF('⚙ OFF Weekends'!$D$38="OFF","OFF","")</f>
        <v/>
      </c>
      <c r="AR56" s="56" t="str">
        <f>IF('⚙ OFF Weekends'!$D$39="OFF","OFF","")</f>
        <v/>
      </c>
      <c r="AS56" s="54" t="str">
        <f>IF('⚙ OFF Weekends'!$D$40="OFF","OFF","")</f>
        <v/>
      </c>
      <c r="AT56" s="56" t="str">
        <f>IF('⚙ OFF Weekends'!$D$41="OFF","OFF","")</f>
        <v/>
      </c>
      <c r="AU56" s="54" t="str">
        <f>IF('⚙ OFF Weekends'!$D$42="OFF","OFF","")</f>
        <v/>
      </c>
      <c r="AV56" s="56" t="str">
        <f>IF('⚙ OFF Weekends'!$D$43="OFF","OFF","")</f>
        <v/>
      </c>
      <c r="AW56" s="54" t="str">
        <f>IF('⚙ OFF Weekends'!$D$44="OFF","OFF","")</f>
        <v/>
      </c>
      <c r="AX56" s="56" t="str">
        <f>IF('⚙ OFF Weekends'!$D$45="OFF","OFF","")</f>
        <v/>
      </c>
      <c r="AY56" s="54" t="str">
        <f>IF('⚙ OFF Weekends'!$D$46="OFF","OFF","")</f>
        <v/>
      </c>
      <c r="AZ56" s="56" t="str">
        <f>IF('⚙ OFF Weekends'!$D$47="OFF","OFF","")</f>
        <v/>
      </c>
      <c r="BA56" s="54" t="str">
        <f>IF('⚙ OFF Weekends'!$D$48="OFF","OFF","")</f>
        <v/>
      </c>
      <c r="BB56" s="56" t="str">
        <f>IF('⚙ OFF Weekends'!$D$49="OFF","OFF","")</f>
        <v/>
      </c>
      <c r="BC56" s="54" t="str">
        <f>IF('⚙ OFF Weekends'!$D$50="OFF","OFF","")</f>
        <v/>
      </c>
      <c r="BD56" s="56" t="str">
        <f>IF('⚙ OFF Weekends'!$D$51="OFF","OFF","")</f>
        <v/>
      </c>
      <c r="BE56" s="54" t="str">
        <f>IF('⚙ OFF Weekends'!$D$52="OFF","OFF","")</f>
        <v/>
      </c>
      <c r="BF56" s="56" t="str">
        <f>IF('⚙ OFF Weekends'!$D$53="OFF","OFF","")</f>
        <v/>
      </c>
      <c r="BG56" s="54" t="str">
        <f>IF('⚙ OFF Weekends'!$D$54="OFF","OFF","")</f>
        <v/>
      </c>
      <c r="BH56" s="56" t="str">
        <f>IF('⚙ OFF Weekends'!$D$55="OFF","OFF","")</f>
        <v/>
      </c>
      <c r="BI56" s="54" t="str">
        <f>IF('⚙ OFF Weekends'!$D$56="OFF","OFF","")</f>
        <v/>
      </c>
      <c r="BJ56" s="56" t="str">
        <f>IF('⚙ OFF Weekends'!$D$57="OFF","OFF","")</f>
        <v/>
      </c>
      <c r="BK56" s="54" t="str">
        <f>IF('⚙ OFF Weekends'!$D$58="OFF","OFF","")</f>
        <v/>
      </c>
      <c r="BL56" s="56" t="str">
        <f>IF('⚙ OFF Weekends'!$D$59="OFF","OFF","")</f>
        <v/>
      </c>
      <c r="BM56" s="54" t="str">
        <f>IF('⚙ OFF Weekends'!$D$60="OFF","OFF","")</f>
        <v/>
      </c>
      <c r="BN56" s="56" t="str">
        <f>IF('⚙ OFF Weekends'!$D$61="OFF","OFF","")</f>
        <v/>
      </c>
      <c r="BO56" s="54" t="str">
        <f>IF('⚙ OFF Weekends'!$D$62="OFF","OFF","")</f>
        <v/>
      </c>
      <c r="BP56" s="56" t="str">
        <f>IF('⚙ OFF Weekends'!$D$63="OFF","OFF","")</f>
        <v/>
      </c>
      <c r="BQ56" s="54" t="str">
        <f>IF('⚙ OFF Weekends'!$D$64="OFF","OFF","")</f>
        <v/>
      </c>
      <c r="BR56" s="56" t="str">
        <f>IF('⚙ OFF Weekends'!$D$65="OFF","OFF","")</f>
        <v/>
      </c>
      <c r="BS56" s="54" t="str">
        <f>IF('⚙ OFF Weekends'!$D$66="OFF","OFF","")</f>
        <v/>
      </c>
      <c r="BT56" s="56" t="str">
        <f>IF('⚙ OFF Weekends'!$D$67="OFF","OFF","")</f>
        <v/>
      </c>
      <c r="BU56" s="54" t="str">
        <f>IF('⚙ OFF Weekends'!$D$68="OFF","OFF","")</f>
        <v/>
      </c>
      <c r="BV56" s="56" t="str">
        <f>IF('⚙ OFF Weekends'!$D$69="OFF","OFF","")</f>
        <v/>
      </c>
      <c r="BW56" s="54" t="str">
        <f>IF('⚙ OFF Weekends'!$D$70="OFF","OFF","")</f>
        <v/>
      </c>
      <c r="BX56" s="56" t="str">
        <f>IF('⚙ OFF Weekends'!$D$71="OFF","OFF","")</f>
        <v/>
      </c>
      <c r="BY56" s="54" t="str">
        <f>IF('⚙ OFF Weekends'!$D$72="OFF","OFF","")</f>
        <v/>
      </c>
      <c r="BZ56" s="56" t="str">
        <f>IF('⚙ OFF Weekends'!$D$73="OFF","OFF","")</f>
        <v/>
      </c>
      <c r="CA56" s="54" t="str">
        <f>IF('⚙ OFF Weekends'!$D$74="OFF","OFF","")</f>
        <v/>
      </c>
      <c r="CB56" s="56" t="str">
        <f>IF('⚙ OFF Weekends'!$D$75="OFF","OFF","")</f>
        <v/>
      </c>
      <c r="CC56" s="54" t="str">
        <f>IF('⚙ OFF Weekends'!$D$76="OFF","OFF","")</f>
        <v/>
      </c>
      <c r="CD56" s="56" t="str">
        <f>IF('⚙ OFF Weekends'!$D$77="OFF","OFF","")</f>
        <v/>
      </c>
      <c r="CE56" s="95">
        <f t="shared" si="22"/>
        <v>11</v>
      </c>
      <c r="CF56" s="95">
        <f t="shared" si="23"/>
        <v>3</v>
      </c>
      <c r="CG56" s="95">
        <f t="shared" si="24"/>
        <v>4</v>
      </c>
      <c r="CH56" s="95" t="str">
        <f t="shared" si="25"/>
        <v>79%</v>
      </c>
    </row>
    <row r="57" ht="18.0" customHeight="1">
      <c r="A57" s="96">
        <v>4.0</v>
      </c>
      <c r="B57" s="22" t="s">
        <v>662</v>
      </c>
      <c r="C57" s="23" t="s">
        <v>663</v>
      </c>
      <c r="D57" s="24" t="str">
        <f t="shared" si="20"/>
        <v>📞 Call</v>
      </c>
      <c r="E57" s="41" t="str">
        <f t="shared" si="21"/>
        <v>💬 WhatsApp</v>
      </c>
      <c r="F57" s="20" t="s">
        <v>423</v>
      </c>
      <c r="G57" s="20" t="s">
        <v>661</v>
      </c>
      <c r="H57" s="20"/>
      <c r="I57" s="79" t="s">
        <v>223</v>
      </c>
      <c r="J57" s="79" t="s">
        <v>223</v>
      </c>
      <c r="K57" s="49" t="s">
        <v>197</v>
      </c>
      <c r="L57" s="79" t="s">
        <v>223</v>
      </c>
      <c r="M57" s="79" t="s">
        <v>223</v>
      </c>
      <c r="N57" s="79" t="s">
        <v>223</v>
      </c>
      <c r="O57" s="79" t="s">
        <v>223</v>
      </c>
      <c r="P57" s="79" t="s">
        <v>223</v>
      </c>
      <c r="Q57" s="48" t="s">
        <v>196</v>
      </c>
      <c r="R57" s="79" t="s">
        <v>223</v>
      </c>
      <c r="S57" s="52" t="s">
        <v>223</v>
      </c>
      <c r="T57" s="98" t="s">
        <v>196</v>
      </c>
      <c r="U57" s="52" t="s">
        <v>223</v>
      </c>
      <c r="V57" s="53" t="s">
        <v>223</v>
      </c>
      <c r="W57" s="54" t="str">
        <f>IF('⚙ OFF Weekends'!$D$18="OFF","OFF","")</f>
        <v>OFF</v>
      </c>
      <c r="X57" s="53" t="s">
        <v>37</v>
      </c>
      <c r="Y57" s="52" t="s">
        <v>223</v>
      </c>
      <c r="Z57" s="53" t="s">
        <v>223</v>
      </c>
      <c r="AA57" s="52" t="s">
        <v>223</v>
      </c>
      <c r="AB57" s="53" t="s">
        <v>223</v>
      </c>
      <c r="AC57" s="54" t="str">
        <f>IF('⚙ OFF Weekends'!$D$24="OFF","OFF","")</f>
        <v/>
      </c>
      <c r="AD57" s="56" t="str">
        <f>IF('⚙ OFF Weekends'!$D$25="OFF","OFF","")</f>
        <v/>
      </c>
      <c r="AE57" s="54" t="str">
        <f>IF('⚙ OFF Weekends'!$D$26="OFF","OFF","")</f>
        <v/>
      </c>
      <c r="AF57" s="56" t="str">
        <f>IF('⚙ OFF Weekends'!$D$27="OFF","OFF","")</f>
        <v/>
      </c>
      <c r="AG57" s="54" t="str">
        <f>IF('⚙ OFF Weekends'!$D$28="OFF","OFF","")</f>
        <v/>
      </c>
      <c r="AH57" s="56" t="str">
        <f>IF('⚙ OFF Weekends'!$D$29="OFF","OFF","")</f>
        <v/>
      </c>
      <c r="AI57" s="54" t="str">
        <f>IF('⚙ OFF Weekends'!$D$30="OFF","OFF","")</f>
        <v/>
      </c>
      <c r="AJ57" s="56" t="str">
        <f>IF('⚙ OFF Weekends'!$D$31="OFF","OFF","")</f>
        <v/>
      </c>
      <c r="AK57" s="54" t="str">
        <f>IF('⚙ OFF Weekends'!$D$32="OFF","OFF","")</f>
        <v/>
      </c>
      <c r="AL57" s="56" t="str">
        <f>IF('⚙ OFF Weekends'!$D$33="OFF","OFF","")</f>
        <v/>
      </c>
      <c r="AM57" s="54" t="str">
        <f>IF('⚙ OFF Weekends'!$D$34="OFF","OFF","")</f>
        <v/>
      </c>
      <c r="AN57" s="56" t="str">
        <f>IF('⚙ OFF Weekends'!$D$35="OFF","OFF","")</f>
        <v/>
      </c>
      <c r="AO57" s="54" t="str">
        <f>IF('⚙ OFF Weekends'!$D$36="OFF","OFF","")</f>
        <v/>
      </c>
      <c r="AP57" s="56" t="str">
        <f>IF('⚙ OFF Weekends'!$D$37="OFF","OFF","")</f>
        <v/>
      </c>
      <c r="AQ57" s="54" t="str">
        <f>IF('⚙ OFF Weekends'!$D$38="OFF","OFF","")</f>
        <v/>
      </c>
      <c r="AR57" s="56" t="str">
        <f>IF('⚙ OFF Weekends'!$D$39="OFF","OFF","")</f>
        <v/>
      </c>
      <c r="AS57" s="54" t="str">
        <f>IF('⚙ OFF Weekends'!$D$40="OFF","OFF","")</f>
        <v/>
      </c>
      <c r="AT57" s="56" t="str">
        <f>IF('⚙ OFF Weekends'!$D$41="OFF","OFF","")</f>
        <v/>
      </c>
      <c r="AU57" s="54" t="str">
        <f>IF('⚙ OFF Weekends'!$D$42="OFF","OFF","")</f>
        <v/>
      </c>
      <c r="AV57" s="56" t="str">
        <f>IF('⚙ OFF Weekends'!$D$43="OFF","OFF","")</f>
        <v/>
      </c>
      <c r="AW57" s="54" t="str">
        <f>IF('⚙ OFF Weekends'!$D$44="OFF","OFF","")</f>
        <v/>
      </c>
      <c r="AX57" s="56" t="str">
        <f>IF('⚙ OFF Weekends'!$D$45="OFF","OFF","")</f>
        <v/>
      </c>
      <c r="AY57" s="54" t="str">
        <f>IF('⚙ OFF Weekends'!$D$46="OFF","OFF","")</f>
        <v/>
      </c>
      <c r="AZ57" s="56" t="str">
        <f>IF('⚙ OFF Weekends'!$D$47="OFF","OFF","")</f>
        <v/>
      </c>
      <c r="BA57" s="54" t="str">
        <f>IF('⚙ OFF Weekends'!$D$48="OFF","OFF","")</f>
        <v/>
      </c>
      <c r="BB57" s="56" t="str">
        <f>IF('⚙ OFF Weekends'!$D$49="OFF","OFF","")</f>
        <v/>
      </c>
      <c r="BC57" s="54" t="str">
        <f>IF('⚙ OFF Weekends'!$D$50="OFF","OFF","")</f>
        <v/>
      </c>
      <c r="BD57" s="56" t="str">
        <f>IF('⚙ OFF Weekends'!$D$51="OFF","OFF","")</f>
        <v/>
      </c>
      <c r="BE57" s="54" t="str">
        <f>IF('⚙ OFF Weekends'!$D$52="OFF","OFF","")</f>
        <v/>
      </c>
      <c r="BF57" s="56" t="str">
        <f>IF('⚙ OFF Weekends'!$D$53="OFF","OFF","")</f>
        <v/>
      </c>
      <c r="BG57" s="54" t="str">
        <f>IF('⚙ OFF Weekends'!$D$54="OFF","OFF","")</f>
        <v/>
      </c>
      <c r="BH57" s="56" t="str">
        <f>IF('⚙ OFF Weekends'!$D$55="OFF","OFF","")</f>
        <v/>
      </c>
      <c r="BI57" s="54" t="str">
        <f>IF('⚙ OFF Weekends'!$D$56="OFF","OFF","")</f>
        <v/>
      </c>
      <c r="BJ57" s="56" t="str">
        <f>IF('⚙ OFF Weekends'!$D$57="OFF","OFF","")</f>
        <v/>
      </c>
      <c r="BK57" s="54" t="str">
        <f>IF('⚙ OFF Weekends'!$D$58="OFF","OFF","")</f>
        <v/>
      </c>
      <c r="BL57" s="56" t="str">
        <f>IF('⚙ OFF Weekends'!$D$59="OFF","OFF","")</f>
        <v/>
      </c>
      <c r="BM57" s="54" t="str">
        <f>IF('⚙ OFF Weekends'!$D$60="OFF","OFF","")</f>
        <v/>
      </c>
      <c r="BN57" s="56" t="str">
        <f>IF('⚙ OFF Weekends'!$D$61="OFF","OFF","")</f>
        <v/>
      </c>
      <c r="BO57" s="54" t="str">
        <f>IF('⚙ OFF Weekends'!$D$62="OFF","OFF","")</f>
        <v/>
      </c>
      <c r="BP57" s="56" t="str">
        <f>IF('⚙ OFF Weekends'!$D$63="OFF","OFF","")</f>
        <v/>
      </c>
      <c r="BQ57" s="54" t="str">
        <f>IF('⚙ OFF Weekends'!$D$64="OFF","OFF","")</f>
        <v/>
      </c>
      <c r="BR57" s="56" t="str">
        <f>IF('⚙ OFF Weekends'!$D$65="OFF","OFF","")</f>
        <v/>
      </c>
      <c r="BS57" s="54" t="str">
        <f>IF('⚙ OFF Weekends'!$D$66="OFF","OFF","")</f>
        <v/>
      </c>
      <c r="BT57" s="56" t="str">
        <f>IF('⚙ OFF Weekends'!$D$67="OFF","OFF","")</f>
        <v/>
      </c>
      <c r="BU57" s="54" t="str">
        <f>IF('⚙ OFF Weekends'!$D$68="OFF","OFF","")</f>
        <v/>
      </c>
      <c r="BV57" s="56" t="str">
        <f>IF('⚙ OFF Weekends'!$D$69="OFF","OFF","")</f>
        <v/>
      </c>
      <c r="BW57" s="54" t="str">
        <f>IF('⚙ OFF Weekends'!$D$70="OFF","OFF","")</f>
        <v/>
      </c>
      <c r="BX57" s="56" t="str">
        <f>IF('⚙ OFF Weekends'!$D$71="OFF","OFF","")</f>
        <v/>
      </c>
      <c r="BY57" s="54" t="str">
        <f>IF('⚙ OFF Weekends'!$D$72="OFF","OFF","")</f>
        <v/>
      </c>
      <c r="BZ57" s="56" t="str">
        <f>IF('⚙ OFF Weekends'!$D$73="OFF","OFF","")</f>
        <v/>
      </c>
      <c r="CA57" s="54" t="str">
        <f>IF('⚙ OFF Weekends'!$D$74="OFF","OFF","")</f>
        <v/>
      </c>
      <c r="CB57" s="56" t="str">
        <f>IF('⚙ OFF Weekends'!$D$75="OFF","OFF","")</f>
        <v/>
      </c>
      <c r="CC57" s="54" t="str">
        <f>IF('⚙ OFF Weekends'!$D$76="OFF","OFF","")</f>
        <v/>
      </c>
      <c r="CD57" s="56" t="str">
        <f>IF('⚙ OFF Weekends'!$D$77="OFF","OFF","")</f>
        <v/>
      </c>
      <c r="CE57" s="96">
        <f t="shared" si="22"/>
        <v>3</v>
      </c>
      <c r="CF57" s="96">
        <f t="shared" si="23"/>
        <v>15</v>
      </c>
      <c r="CG57" s="96">
        <f t="shared" si="24"/>
        <v>0</v>
      </c>
      <c r="CH57" s="96" t="str">
        <f t="shared" si="25"/>
        <v>17%</v>
      </c>
    </row>
    <row r="58" ht="18.0" customHeight="1">
      <c r="A58" s="95">
        <v>5.0</v>
      </c>
      <c r="B58" s="12" t="s">
        <v>665</v>
      </c>
      <c r="C58" s="14" t="s">
        <v>666</v>
      </c>
      <c r="D58" s="17" t="str">
        <f t="shared" si="20"/>
        <v>📞 Call</v>
      </c>
      <c r="E58" s="19" t="str">
        <f t="shared" si="21"/>
        <v>💬 WhatsApp</v>
      </c>
      <c r="F58" s="10" t="s">
        <v>459</v>
      </c>
      <c r="G58" s="10" t="s">
        <v>661</v>
      </c>
      <c r="H58" s="10"/>
      <c r="I58" s="79" t="s">
        <v>223</v>
      </c>
      <c r="J58" s="79" t="s">
        <v>223</v>
      </c>
      <c r="K58" s="49" t="s">
        <v>197</v>
      </c>
      <c r="L58" s="79" t="s">
        <v>223</v>
      </c>
      <c r="M58" s="79" t="s">
        <v>223</v>
      </c>
      <c r="N58" s="79" t="s">
        <v>223</v>
      </c>
      <c r="O58" s="79" t="s">
        <v>223</v>
      </c>
      <c r="P58" s="50" t="s">
        <v>37</v>
      </c>
      <c r="Q58" s="77" t="s">
        <v>198</v>
      </c>
      <c r="R58" s="77" t="s">
        <v>198</v>
      </c>
      <c r="S58" s="52" t="s">
        <v>223</v>
      </c>
      <c r="T58" s="98" t="s">
        <v>196</v>
      </c>
      <c r="U58" s="52" t="s">
        <v>198</v>
      </c>
      <c r="V58" s="53" t="s">
        <v>198</v>
      </c>
      <c r="W58" s="54" t="str">
        <f>IF('⚙ OFF Weekends'!$D$18="OFF","OFF","")</f>
        <v>OFF</v>
      </c>
      <c r="X58" s="53" t="s">
        <v>198</v>
      </c>
      <c r="Y58" s="52" t="s">
        <v>198</v>
      </c>
      <c r="Z58" s="53" t="s">
        <v>198</v>
      </c>
      <c r="AA58" s="52" t="s">
        <v>198</v>
      </c>
      <c r="AB58" s="53" t="s">
        <v>198</v>
      </c>
      <c r="AC58" s="54" t="str">
        <f>IF('⚙ OFF Weekends'!$D$24="OFF","OFF","")</f>
        <v/>
      </c>
      <c r="AD58" s="56" t="str">
        <f>IF('⚙ OFF Weekends'!$D$25="OFF","OFF","")</f>
        <v/>
      </c>
      <c r="AE58" s="54" t="str">
        <f>IF('⚙ OFF Weekends'!$D$26="OFF","OFF","")</f>
        <v/>
      </c>
      <c r="AF58" s="56" t="str">
        <f>IF('⚙ OFF Weekends'!$D$27="OFF","OFF","")</f>
        <v/>
      </c>
      <c r="AG58" s="54" t="str">
        <f>IF('⚙ OFF Weekends'!$D$28="OFF","OFF","")</f>
        <v/>
      </c>
      <c r="AH58" s="56" t="str">
        <f>IF('⚙ OFF Weekends'!$D$29="OFF","OFF","")</f>
        <v/>
      </c>
      <c r="AI58" s="54" t="str">
        <f>IF('⚙ OFF Weekends'!$D$30="OFF","OFF","")</f>
        <v/>
      </c>
      <c r="AJ58" s="56" t="str">
        <f>IF('⚙ OFF Weekends'!$D$31="OFF","OFF","")</f>
        <v/>
      </c>
      <c r="AK58" s="54" t="str">
        <f>IF('⚙ OFF Weekends'!$D$32="OFF","OFF","")</f>
        <v/>
      </c>
      <c r="AL58" s="56" t="str">
        <f>IF('⚙ OFF Weekends'!$D$33="OFF","OFF","")</f>
        <v/>
      </c>
      <c r="AM58" s="54" t="str">
        <f>IF('⚙ OFF Weekends'!$D$34="OFF","OFF","")</f>
        <v/>
      </c>
      <c r="AN58" s="56" t="str">
        <f>IF('⚙ OFF Weekends'!$D$35="OFF","OFF","")</f>
        <v/>
      </c>
      <c r="AO58" s="54" t="str">
        <f>IF('⚙ OFF Weekends'!$D$36="OFF","OFF","")</f>
        <v/>
      </c>
      <c r="AP58" s="56" t="str">
        <f>IF('⚙ OFF Weekends'!$D$37="OFF","OFF","")</f>
        <v/>
      </c>
      <c r="AQ58" s="54" t="str">
        <f>IF('⚙ OFF Weekends'!$D$38="OFF","OFF","")</f>
        <v/>
      </c>
      <c r="AR58" s="56" t="str">
        <f>IF('⚙ OFF Weekends'!$D$39="OFF","OFF","")</f>
        <v/>
      </c>
      <c r="AS58" s="54" t="str">
        <f>IF('⚙ OFF Weekends'!$D$40="OFF","OFF","")</f>
        <v/>
      </c>
      <c r="AT58" s="56" t="str">
        <f>IF('⚙ OFF Weekends'!$D$41="OFF","OFF","")</f>
        <v/>
      </c>
      <c r="AU58" s="54" t="str">
        <f>IF('⚙ OFF Weekends'!$D$42="OFF","OFF","")</f>
        <v/>
      </c>
      <c r="AV58" s="56" t="str">
        <f>IF('⚙ OFF Weekends'!$D$43="OFF","OFF","")</f>
        <v/>
      </c>
      <c r="AW58" s="54" t="str">
        <f>IF('⚙ OFF Weekends'!$D$44="OFF","OFF","")</f>
        <v/>
      </c>
      <c r="AX58" s="56" t="str">
        <f>IF('⚙ OFF Weekends'!$D$45="OFF","OFF","")</f>
        <v/>
      </c>
      <c r="AY58" s="54" t="str">
        <f>IF('⚙ OFF Weekends'!$D$46="OFF","OFF","")</f>
        <v/>
      </c>
      <c r="AZ58" s="56" t="str">
        <f>IF('⚙ OFF Weekends'!$D$47="OFF","OFF","")</f>
        <v/>
      </c>
      <c r="BA58" s="54" t="str">
        <f>IF('⚙ OFF Weekends'!$D$48="OFF","OFF","")</f>
        <v/>
      </c>
      <c r="BB58" s="56" t="str">
        <f>IF('⚙ OFF Weekends'!$D$49="OFF","OFF","")</f>
        <v/>
      </c>
      <c r="BC58" s="54" t="str">
        <f>IF('⚙ OFF Weekends'!$D$50="OFF","OFF","")</f>
        <v/>
      </c>
      <c r="BD58" s="56" t="str">
        <f>IF('⚙ OFF Weekends'!$D$51="OFF","OFF","")</f>
        <v/>
      </c>
      <c r="BE58" s="54" t="str">
        <f>IF('⚙ OFF Weekends'!$D$52="OFF","OFF","")</f>
        <v/>
      </c>
      <c r="BF58" s="56" t="str">
        <f>IF('⚙ OFF Weekends'!$D$53="OFF","OFF","")</f>
        <v/>
      </c>
      <c r="BG58" s="54" t="str">
        <f>IF('⚙ OFF Weekends'!$D$54="OFF","OFF","")</f>
        <v/>
      </c>
      <c r="BH58" s="56" t="str">
        <f>IF('⚙ OFF Weekends'!$D$55="OFF","OFF","")</f>
        <v/>
      </c>
      <c r="BI58" s="54" t="str">
        <f>IF('⚙ OFF Weekends'!$D$56="OFF","OFF","")</f>
        <v/>
      </c>
      <c r="BJ58" s="56" t="str">
        <f>IF('⚙ OFF Weekends'!$D$57="OFF","OFF","")</f>
        <v/>
      </c>
      <c r="BK58" s="54" t="str">
        <f>IF('⚙ OFF Weekends'!$D$58="OFF","OFF","")</f>
        <v/>
      </c>
      <c r="BL58" s="56" t="str">
        <f>IF('⚙ OFF Weekends'!$D$59="OFF","OFF","")</f>
        <v/>
      </c>
      <c r="BM58" s="54" t="str">
        <f>IF('⚙ OFF Weekends'!$D$60="OFF","OFF","")</f>
        <v/>
      </c>
      <c r="BN58" s="56" t="str">
        <f>IF('⚙ OFF Weekends'!$D$61="OFF","OFF","")</f>
        <v/>
      </c>
      <c r="BO58" s="54" t="str">
        <f>IF('⚙ OFF Weekends'!$D$62="OFF","OFF","")</f>
        <v/>
      </c>
      <c r="BP58" s="56" t="str">
        <f>IF('⚙ OFF Weekends'!$D$63="OFF","OFF","")</f>
        <v/>
      </c>
      <c r="BQ58" s="54" t="str">
        <f>IF('⚙ OFF Weekends'!$D$64="OFF","OFF","")</f>
        <v/>
      </c>
      <c r="BR58" s="56" t="str">
        <f>IF('⚙ OFF Weekends'!$D$65="OFF","OFF","")</f>
        <v/>
      </c>
      <c r="BS58" s="54" t="str">
        <f>IF('⚙ OFF Weekends'!$D$66="OFF","OFF","")</f>
        <v/>
      </c>
      <c r="BT58" s="56" t="str">
        <f>IF('⚙ OFF Weekends'!$D$67="OFF","OFF","")</f>
        <v/>
      </c>
      <c r="BU58" s="54" t="str">
        <f>IF('⚙ OFF Weekends'!$D$68="OFF","OFF","")</f>
        <v/>
      </c>
      <c r="BV58" s="56" t="str">
        <f>IF('⚙ OFF Weekends'!$D$69="OFF","OFF","")</f>
        <v/>
      </c>
      <c r="BW58" s="54" t="str">
        <f>IF('⚙ OFF Weekends'!$D$70="OFF","OFF","")</f>
        <v/>
      </c>
      <c r="BX58" s="56" t="str">
        <f>IF('⚙ OFF Weekends'!$D$71="OFF","OFF","")</f>
        <v/>
      </c>
      <c r="BY58" s="54" t="str">
        <f>IF('⚙ OFF Weekends'!$D$72="OFF","OFF","")</f>
        <v/>
      </c>
      <c r="BZ58" s="56" t="str">
        <f>IF('⚙ OFF Weekends'!$D$73="OFF","OFF","")</f>
        <v/>
      </c>
      <c r="CA58" s="54" t="str">
        <f>IF('⚙ OFF Weekends'!$D$74="OFF","OFF","")</f>
        <v/>
      </c>
      <c r="CB58" s="56" t="str">
        <f>IF('⚙ OFF Weekends'!$D$75="OFF","OFF","")</f>
        <v/>
      </c>
      <c r="CC58" s="54" t="str">
        <f>IF('⚙ OFF Weekends'!$D$76="OFF","OFF","")</f>
        <v/>
      </c>
      <c r="CD58" s="56" t="str">
        <f>IF('⚙ OFF Weekends'!$D$77="OFF","OFF","")</f>
        <v/>
      </c>
      <c r="CE58" s="95">
        <f t="shared" si="22"/>
        <v>2</v>
      </c>
      <c r="CF58" s="95">
        <f t="shared" si="23"/>
        <v>7</v>
      </c>
      <c r="CG58" s="95">
        <f t="shared" si="24"/>
        <v>9</v>
      </c>
      <c r="CH58" s="95" t="str">
        <f t="shared" si="25"/>
        <v>22%</v>
      </c>
    </row>
    <row r="59" ht="18.0" customHeight="1">
      <c r="A59" s="96">
        <v>6.0</v>
      </c>
      <c r="B59" s="22" t="s">
        <v>669</v>
      </c>
      <c r="C59" s="23" t="s">
        <v>670</v>
      </c>
      <c r="D59" s="24" t="str">
        <f t="shared" si="20"/>
        <v>📞 Call</v>
      </c>
      <c r="E59" s="41" t="str">
        <f t="shared" si="21"/>
        <v>💬 WhatsApp</v>
      </c>
      <c r="F59" s="20" t="s">
        <v>423</v>
      </c>
      <c r="G59" s="20" t="s">
        <v>661</v>
      </c>
      <c r="H59" s="20"/>
      <c r="I59" s="79" t="s">
        <v>223</v>
      </c>
      <c r="J59" s="79" t="s">
        <v>223</v>
      </c>
      <c r="K59" s="49" t="s">
        <v>197</v>
      </c>
      <c r="L59" s="130" t="s">
        <v>223</v>
      </c>
      <c r="M59" s="130" t="s">
        <v>223</v>
      </c>
      <c r="N59" s="130" t="s">
        <v>223</v>
      </c>
      <c r="O59" s="130" t="s">
        <v>296</v>
      </c>
      <c r="P59" s="130" t="s">
        <v>296</v>
      </c>
      <c r="Q59" s="130" t="s">
        <v>296</v>
      </c>
      <c r="R59" s="130" t="s">
        <v>296</v>
      </c>
      <c r="S59" s="130" t="s">
        <v>296</v>
      </c>
      <c r="T59" s="130" t="s">
        <v>296</v>
      </c>
      <c r="U59" s="130" t="s">
        <v>296</v>
      </c>
      <c r="V59" s="130" t="s">
        <v>296</v>
      </c>
      <c r="W59" s="130" t="s">
        <v>296</v>
      </c>
      <c r="X59" s="130" t="s">
        <v>296</v>
      </c>
      <c r="Y59" s="130" t="s">
        <v>296</v>
      </c>
      <c r="Z59" s="130" t="s">
        <v>296</v>
      </c>
      <c r="AA59" s="130" t="s">
        <v>296</v>
      </c>
      <c r="AB59" s="130" t="s">
        <v>296</v>
      </c>
      <c r="AC59" s="130" t="s">
        <v>296</v>
      </c>
      <c r="AD59" s="130" t="s">
        <v>296</v>
      </c>
      <c r="AE59" s="130" t="s">
        <v>296</v>
      </c>
      <c r="AF59" s="130" t="s">
        <v>296</v>
      </c>
      <c r="AG59" s="130" t="s">
        <v>296</v>
      </c>
      <c r="AH59" s="130" t="s">
        <v>296</v>
      </c>
      <c r="AI59" s="130" t="s">
        <v>296</v>
      </c>
      <c r="AJ59" s="130" t="s">
        <v>296</v>
      </c>
      <c r="AK59" s="130" t="s">
        <v>296</v>
      </c>
      <c r="AL59" s="130" t="s">
        <v>296</v>
      </c>
      <c r="AM59" s="130" t="s">
        <v>296</v>
      </c>
      <c r="AN59" s="130" t="s">
        <v>296</v>
      </c>
      <c r="AO59" s="130" t="s">
        <v>296</v>
      </c>
      <c r="AP59" s="130" t="s">
        <v>296</v>
      </c>
      <c r="AQ59" s="130" t="s">
        <v>296</v>
      </c>
      <c r="AR59" s="130" t="s">
        <v>296</v>
      </c>
      <c r="AS59" s="130" t="s">
        <v>296</v>
      </c>
      <c r="AT59" s="130" t="s">
        <v>296</v>
      </c>
      <c r="AU59" s="130" t="s">
        <v>296</v>
      </c>
      <c r="AV59" s="130" t="s">
        <v>296</v>
      </c>
      <c r="AW59" s="130" t="s">
        <v>296</v>
      </c>
      <c r="AX59" s="130" t="s">
        <v>296</v>
      </c>
      <c r="AY59" s="130" t="s">
        <v>296</v>
      </c>
      <c r="AZ59" s="130" t="s">
        <v>296</v>
      </c>
      <c r="BA59" s="130" t="s">
        <v>296</v>
      </c>
      <c r="BB59" s="130" t="s">
        <v>296</v>
      </c>
      <c r="BC59" s="130" t="s">
        <v>296</v>
      </c>
      <c r="BD59" s="130" t="s">
        <v>296</v>
      </c>
      <c r="BE59" s="130" t="s">
        <v>296</v>
      </c>
      <c r="BF59" s="130" t="s">
        <v>296</v>
      </c>
      <c r="BG59" s="130" t="s">
        <v>296</v>
      </c>
      <c r="BH59" s="130" t="s">
        <v>296</v>
      </c>
      <c r="BI59" s="130" t="s">
        <v>296</v>
      </c>
      <c r="BJ59" s="130" t="s">
        <v>296</v>
      </c>
      <c r="BK59" s="130" t="s">
        <v>296</v>
      </c>
      <c r="BL59" s="130" t="s">
        <v>296</v>
      </c>
      <c r="BM59" s="130" t="s">
        <v>296</v>
      </c>
      <c r="BN59" s="130" t="s">
        <v>296</v>
      </c>
      <c r="BO59" s="130" t="s">
        <v>296</v>
      </c>
      <c r="BP59" s="130" t="s">
        <v>296</v>
      </c>
      <c r="BQ59" s="130" t="s">
        <v>296</v>
      </c>
      <c r="BR59" s="130" t="s">
        <v>296</v>
      </c>
      <c r="BS59" s="130" t="s">
        <v>296</v>
      </c>
      <c r="BT59" s="130" t="s">
        <v>296</v>
      </c>
      <c r="BU59" s="130" t="s">
        <v>296</v>
      </c>
      <c r="BV59" s="130" t="s">
        <v>296</v>
      </c>
      <c r="BW59" s="130" t="s">
        <v>296</v>
      </c>
      <c r="BX59" s="130" t="s">
        <v>296</v>
      </c>
      <c r="BY59" s="130" t="s">
        <v>296</v>
      </c>
      <c r="BZ59" s="130" t="s">
        <v>296</v>
      </c>
      <c r="CA59" s="130" t="s">
        <v>296</v>
      </c>
      <c r="CB59" s="130" t="s">
        <v>296</v>
      </c>
      <c r="CC59" s="130" t="s">
        <v>296</v>
      </c>
      <c r="CD59" s="130" t="s">
        <v>296</v>
      </c>
      <c r="CE59" s="96">
        <f t="shared" si="22"/>
        <v>0</v>
      </c>
      <c r="CF59" s="96">
        <f t="shared" si="23"/>
        <v>5</v>
      </c>
      <c r="CG59" s="96">
        <f t="shared" si="24"/>
        <v>0</v>
      </c>
      <c r="CH59" s="96" t="str">
        <f t="shared" si="25"/>
        <v>0%</v>
      </c>
    </row>
    <row r="60" ht="18.0" customHeight="1">
      <c r="A60" s="95">
        <v>7.0</v>
      </c>
      <c r="B60" s="12" t="s">
        <v>671</v>
      </c>
      <c r="C60" s="14" t="s">
        <v>672</v>
      </c>
      <c r="D60" s="17" t="str">
        <f t="shared" si="20"/>
        <v>📞 Call</v>
      </c>
      <c r="E60" s="19" t="str">
        <f t="shared" si="21"/>
        <v>💬 WhatsApp</v>
      </c>
      <c r="F60" s="10" t="s">
        <v>423</v>
      </c>
      <c r="G60" s="10" t="s">
        <v>661</v>
      </c>
      <c r="H60" s="10" t="s">
        <v>299</v>
      </c>
      <c r="I60" s="50" t="s">
        <v>37</v>
      </c>
      <c r="J60" s="50" t="s">
        <v>37</v>
      </c>
      <c r="K60" s="49" t="s">
        <v>197</v>
      </c>
      <c r="L60" s="48" t="s">
        <v>196</v>
      </c>
      <c r="M60" s="48" t="s">
        <v>196</v>
      </c>
      <c r="N60" s="50" t="s">
        <v>37</v>
      </c>
      <c r="O60" s="79" t="s">
        <v>223</v>
      </c>
      <c r="P60" s="48" t="s">
        <v>196</v>
      </c>
      <c r="Q60" s="48" t="s">
        <v>196</v>
      </c>
      <c r="R60" s="50" t="s">
        <v>37</v>
      </c>
      <c r="S60" s="52" t="s">
        <v>37</v>
      </c>
      <c r="T60" s="98" t="s">
        <v>196</v>
      </c>
      <c r="U60" s="52" t="s">
        <v>196</v>
      </c>
      <c r="V60" s="53" t="s">
        <v>196</v>
      </c>
      <c r="W60" s="54" t="str">
        <f>IF('⚙ OFF Weekends'!$D$18="OFF","OFF","")</f>
        <v>OFF</v>
      </c>
      <c r="X60" s="53" t="s">
        <v>196</v>
      </c>
      <c r="Y60" s="52" t="s">
        <v>223</v>
      </c>
      <c r="Z60" s="53" t="s">
        <v>223</v>
      </c>
      <c r="AA60" s="52" t="s">
        <v>196</v>
      </c>
      <c r="AB60" s="53" t="s">
        <v>223</v>
      </c>
      <c r="AC60" s="54" t="str">
        <f>IF('⚙ OFF Weekends'!$D$24="OFF","OFF","")</f>
        <v/>
      </c>
      <c r="AD60" s="56" t="str">
        <f>IF('⚙ OFF Weekends'!$D$25="OFF","OFF","")</f>
        <v/>
      </c>
      <c r="AE60" s="54" t="str">
        <f>IF('⚙ OFF Weekends'!$D$26="OFF","OFF","")</f>
        <v/>
      </c>
      <c r="AF60" s="56" t="str">
        <f>IF('⚙ OFF Weekends'!$D$27="OFF","OFF","")</f>
        <v/>
      </c>
      <c r="AG60" s="54" t="str">
        <f>IF('⚙ OFF Weekends'!$D$28="OFF","OFF","")</f>
        <v/>
      </c>
      <c r="AH60" s="56" t="str">
        <f>IF('⚙ OFF Weekends'!$D$29="OFF","OFF","")</f>
        <v/>
      </c>
      <c r="AI60" s="54" t="str">
        <f>IF('⚙ OFF Weekends'!$D$30="OFF","OFF","")</f>
        <v/>
      </c>
      <c r="AJ60" s="56" t="str">
        <f>IF('⚙ OFF Weekends'!$D$31="OFF","OFF","")</f>
        <v/>
      </c>
      <c r="AK60" s="54" t="str">
        <f>IF('⚙ OFF Weekends'!$D$32="OFF","OFF","")</f>
        <v/>
      </c>
      <c r="AL60" s="56" t="str">
        <f>IF('⚙ OFF Weekends'!$D$33="OFF","OFF","")</f>
        <v/>
      </c>
      <c r="AM60" s="54" t="str">
        <f>IF('⚙ OFF Weekends'!$D$34="OFF","OFF","")</f>
        <v/>
      </c>
      <c r="AN60" s="56" t="str">
        <f>IF('⚙ OFF Weekends'!$D$35="OFF","OFF","")</f>
        <v/>
      </c>
      <c r="AO60" s="54" t="str">
        <f>IF('⚙ OFF Weekends'!$D$36="OFF","OFF","")</f>
        <v/>
      </c>
      <c r="AP60" s="56" t="str">
        <f>IF('⚙ OFF Weekends'!$D$37="OFF","OFF","")</f>
        <v/>
      </c>
      <c r="AQ60" s="54" t="str">
        <f>IF('⚙ OFF Weekends'!$D$38="OFF","OFF","")</f>
        <v/>
      </c>
      <c r="AR60" s="56" t="str">
        <f>IF('⚙ OFF Weekends'!$D$39="OFF","OFF","")</f>
        <v/>
      </c>
      <c r="AS60" s="54" t="str">
        <f>IF('⚙ OFF Weekends'!$D$40="OFF","OFF","")</f>
        <v/>
      </c>
      <c r="AT60" s="56" t="str">
        <f>IF('⚙ OFF Weekends'!$D$41="OFF","OFF","")</f>
        <v/>
      </c>
      <c r="AU60" s="54" t="str">
        <f>IF('⚙ OFF Weekends'!$D$42="OFF","OFF","")</f>
        <v/>
      </c>
      <c r="AV60" s="56" t="str">
        <f>IF('⚙ OFF Weekends'!$D$43="OFF","OFF","")</f>
        <v/>
      </c>
      <c r="AW60" s="54" t="str">
        <f>IF('⚙ OFF Weekends'!$D$44="OFF","OFF","")</f>
        <v/>
      </c>
      <c r="AX60" s="56" t="str">
        <f>IF('⚙ OFF Weekends'!$D$45="OFF","OFF","")</f>
        <v/>
      </c>
      <c r="AY60" s="54" t="str">
        <f>IF('⚙ OFF Weekends'!$D$46="OFF","OFF","")</f>
        <v/>
      </c>
      <c r="AZ60" s="56" t="str">
        <f>IF('⚙ OFF Weekends'!$D$47="OFF","OFF","")</f>
        <v/>
      </c>
      <c r="BA60" s="54" t="str">
        <f>IF('⚙ OFF Weekends'!$D$48="OFF","OFF","")</f>
        <v/>
      </c>
      <c r="BB60" s="56" t="str">
        <f>IF('⚙ OFF Weekends'!$D$49="OFF","OFF","")</f>
        <v/>
      </c>
      <c r="BC60" s="54" t="str">
        <f>IF('⚙ OFF Weekends'!$D$50="OFF","OFF","")</f>
        <v/>
      </c>
      <c r="BD60" s="56" t="str">
        <f>IF('⚙ OFF Weekends'!$D$51="OFF","OFF","")</f>
        <v/>
      </c>
      <c r="BE60" s="54" t="str">
        <f>IF('⚙ OFF Weekends'!$D$52="OFF","OFF","")</f>
        <v/>
      </c>
      <c r="BF60" s="56" t="str">
        <f>IF('⚙ OFF Weekends'!$D$53="OFF","OFF","")</f>
        <v/>
      </c>
      <c r="BG60" s="54" t="str">
        <f>IF('⚙ OFF Weekends'!$D$54="OFF","OFF","")</f>
        <v/>
      </c>
      <c r="BH60" s="56" t="str">
        <f>IF('⚙ OFF Weekends'!$D$55="OFF","OFF","")</f>
        <v/>
      </c>
      <c r="BI60" s="54" t="str">
        <f>IF('⚙ OFF Weekends'!$D$56="OFF","OFF","")</f>
        <v/>
      </c>
      <c r="BJ60" s="56" t="str">
        <f>IF('⚙ OFF Weekends'!$D$57="OFF","OFF","")</f>
        <v/>
      </c>
      <c r="BK60" s="54" t="str">
        <f>IF('⚙ OFF Weekends'!$D$58="OFF","OFF","")</f>
        <v/>
      </c>
      <c r="BL60" s="56" t="str">
        <f>IF('⚙ OFF Weekends'!$D$59="OFF","OFF","")</f>
        <v/>
      </c>
      <c r="BM60" s="54" t="str">
        <f>IF('⚙ OFF Weekends'!$D$60="OFF","OFF","")</f>
        <v/>
      </c>
      <c r="BN60" s="56" t="str">
        <f>IF('⚙ OFF Weekends'!$D$61="OFF","OFF","")</f>
        <v/>
      </c>
      <c r="BO60" s="54" t="str">
        <f>IF('⚙ OFF Weekends'!$D$62="OFF","OFF","")</f>
        <v/>
      </c>
      <c r="BP60" s="56" t="str">
        <f>IF('⚙ OFF Weekends'!$D$63="OFF","OFF","")</f>
        <v/>
      </c>
      <c r="BQ60" s="54" t="str">
        <f>IF('⚙ OFF Weekends'!$D$64="OFF","OFF","")</f>
        <v/>
      </c>
      <c r="BR60" s="56" t="str">
        <f>IF('⚙ OFF Weekends'!$D$65="OFF","OFF","")</f>
        <v/>
      </c>
      <c r="BS60" s="54" t="str">
        <f>IF('⚙ OFF Weekends'!$D$66="OFF","OFF","")</f>
        <v/>
      </c>
      <c r="BT60" s="56" t="str">
        <f>IF('⚙ OFF Weekends'!$D$67="OFF","OFF","")</f>
        <v/>
      </c>
      <c r="BU60" s="54" t="str">
        <f>IF('⚙ OFF Weekends'!$D$68="OFF","OFF","")</f>
        <v/>
      </c>
      <c r="BV60" s="56" t="str">
        <f>IF('⚙ OFF Weekends'!$D$69="OFF","OFF","")</f>
        <v/>
      </c>
      <c r="BW60" s="54" t="str">
        <f>IF('⚙ OFF Weekends'!$D$70="OFF","OFF","")</f>
        <v/>
      </c>
      <c r="BX60" s="56" t="str">
        <f>IF('⚙ OFF Weekends'!$D$71="OFF","OFF","")</f>
        <v/>
      </c>
      <c r="BY60" s="54" t="str">
        <f>IF('⚙ OFF Weekends'!$D$72="OFF","OFF","")</f>
        <v/>
      </c>
      <c r="BZ60" s="56" t="str">
        <f>IF('⚙ OFF Weekends'!$D$73="OFF","OFF","")</f>
        <v/>
      </c>
      <c r="CA60" s="54" t="str">
        <f>IF('⚙ OFF Weekends'!$D$74="OFF","OFF","")</f>
        <v/>
      </c>
      <c r="CB60" s="56" t="str">
        <f>IF('⚙ OFF Weekends'!$D$75="OFF","OFF","")</f>
        <v/>
      </c>
      <c r="CC60" s="54" t="str">
        <f>IF('⚙ OFF Weekends'!$D$76="OFF","OFF","")</f>
        <v/>
      </c>
      <c r="CD60" s="56" t="str">
        <f>IF('⚙ OFF Weekends'!$D$77="OFF","OFF","")</f>
        <v/>
      </c>
      <c r="CE60" s="95">
        <f t="shared" si="22"/>
        <v>14</v>
      </c>
      <c r="CF60" s="95">
        <f t="shared" si="23"/>
        <v>4</v>
      </c>
      <c r="CG60" s="95">
        <f t="shared" si="24"/>
        <v>0</v>
      </c>
      <c r="CH60" s="95" t="str">
        <f t="shared" si="25"/>
        <v>78%</v>
      </c>
    </row>
    <row r="61" ht="18.0" customHeight="1">
      <c r="A61" s="96">
        <v>8.0</v>
      </c>
      <c r="B61" s="22" t="s">
        <v>673</v>
      </c>
      <c r="C61" s="23" t="s">
        <v>674</v>
      </c>
      <c r="D61" s="24" t="str">
        <f t="shared" si="20"/>
        <v>📞 Call</v>
      </c>
      <c r="E61" s="41" t="str">
        <f t="shared" si="21"/>
        <v>💬 WhatsApp</v>
      </c>
      <c r="F61" s="20" t="s">
        <v>423</v>
      </c>
      <c r="G61" s="20" t="s">
        <v>661</v>
      </c>
      <c r="H61" s="20" t="s">
        <v>409</v>
      </c>
      <c r="I61" s="50" t="s">
        <v>37</v>
      </c>
      <c r="J61" s="50" t="s">
        <v>37</v>
      </c>
      <c r="K61" s="49" t="s">
        <v>197</v>
      </c>
      <c r="L61" s="50" t="s">
        <v>37</v>
      </c>
      <c r="M61" s="50" t="s">
        <v>37</v>
      </c>
      <c r="N61" s="50" t="s">
        <v>37</v>
      </c>
      <c r="O61" s="48" t="s">
        <v>196</v>
      </c>
      <c r="P61" s="48" t="s">
        <v>196</v>
      </c>
      <c r="Q61" s="48" t="s">
        <v>196</v>
      </c>
      <c r="R61" s="48" t="s">
        <v>196</v>
      </c>
      <c r="S61" s="52" t="s">
        <v>196</v>
      </c>
      <c r="T61" s="98" t="s">
        <v>196</v>
      </c>
      <c r="U61" s="52" t="s">
        <v>198</v>
      </c>
      <c r="V61" s="53" t="s">
        <v>37</v>
      </c>
      <c r="W61" s="54" t="str">
        <f>IF('⚙ OFF Weekends'!$D$18="OFF","OFF","")</f>
        <v>OFF</v>
      </c>
      <c r="X61" s="53" t="s">
        <v>196</v>
      </c>
      <c r="Y61" s="52" t="s">
        <v>37</v>
      </c>
      <c r="Z61" s="53" t="s">
        <v>37</v>
      </c>
      <c r="AA61" s="52" t="s">
        <v>196</v>
      </c>
      <c r="AB61" s="53" t="s">
        <v>196</v>
      </c>
      <c r="AC61" s="54" t="str">
        <f>IF('⚙ OFF Weekends'!$D$24="OFF","OFF","")</f>
        <v/>
      </c>
      <c r="AD61" s="56" t="str">
        <f>IF('⚙ OFF Weekends'!$D$25="OFF","OFF","")</f>
        <v/>
      </c>
      <c r="AE61" s="54" t="str">
        <f>IF('⚙ OFF Weekends'!$D$26="OFF","OFF","")</f>
        <v/>
      </c>
      <c r="AF61" s="56" t="str">
        <f>IF('⚙ OFF Weekends'!$D$27="OFF","OFF","")</f>
        <v/>
      </c>
      <c r="AG61" s="54" t="str">
        <f>IF('⚙ OFF Weekends'!$D$28="OFF","OFF","")</f>
        <v/>
      </c>
      <c r="AH61" s="56" t="str">
        <f>IF('⚙ OFF Weekends'!$D$29="OFF","OFF","")</f>
        <v/>
      </c>
      <c r="AI61" s="54" t="str">
        <f>IF('⚙ OFF Weekends'!$D$30="OFF","OFF","")</f>
        <v/>
      </c>
      <c r="AJ61" s="56" t="str">
        <f>IF('⚙ OFF Weekends'!$D$31="OFF","OFF","")</f>
        <v/>
      </c>
      <c r="AK61" s="54" t="str">
        <f>IF('⚙ OFF Weekends'!$D$32="OFF","OFF","")</f>
        <v/>
      </c>
      <c r="AL61" s="56" t="str">
        <f>IF('⚙ OFF Weekends'!$D$33="OFF","OFF","")</f>
        <v/>
      </c>
      <c r="AM61" s="54" t="str">
        <f>IF('⚙ OFF Weekends'!$D$34="OFF","OFF","")</f>
        <v/>
      </c>
      <c r="AN61" s="56" t="str">
        <f>IF('⚙ OFF Weekends'!$D$35="OFF","OFF","")</f>
        <v/>
      </c>
      <c r="AO61" s="54" t="str">
        <f>IF('⚙ OFF Weekends'!$D$36="OFF","OFF","")</f>
        <v/>
      </c>
      <c r="AP61" s="56" t="str">
        <f>IF('⚙ OFF Weekends'!$D$37="OFF","OFF","")</f>
        <v/>
      </c>
      <c r="AQ61" s="54" t="str">
        <f>IF('⚙ OFF Weekends'!$D$38="OFF","OFF","")</f>
        <v/>
      </c>
      <c r="AR61" s="56" t="str">
        <f>IF('⚙ OFF Weekends'!$D$39="OFF","OFF","")</f>
        <v/>
      </c>
      <c r="AS61" s="54" t="str">
        <f>IF('⚙ OFF Weekends'!$D$40="OFF","OFF","")</f>
        <v/>
      </c>
      <c r="AT61" s="56" t="str">
        <f>IF('⚙ OFF Weekends'!$D$41="OFF","OFF","")</f>
        <v/>
      </c>
      <c r="AU61" s="54" t="str">
        <f>IF('⚙ OFF Weekends'!$D$42="OFF","OFF","")</f>
        <v/>
      </c>
      <c r="AV61" s="56" t="str">
        <f>IF('⚙ OFF Weekends'!$D$43="OFF","OFF","")</f>
        <v/>
      </c>
      <c r="AW61" s="54" t="str">
        <f>IF('⚙ OFF Weekends'!$D$44="OFF","OFF","")</f>
        <v/>
      </c>
      <c r="AX61" s="56" t="str">
        <f>IF('⚙ OFF Weekends'!$D$45="OFF","OFF","")</f>
        <v/>
      </c>
      <c r="AY61" s="54" t="str">
        <f>IF('⚙ OFF Weekends'!$D$46="OFF","OFF","")</f>
        <v/>
      </c>
      <c r="AZ61" s="56" t="str">
        <f>IF('⚙ OFF Weekends'!$D$47="OFF","OFF","")</f>
        <v/>
      </c>
      <c r="BA61" s="54" t="str">
        <f>IF('⚙ OFF Weekends'!$D$48="OFF","OFF","")</f>
        <v/>
      </c>
      <c r="BB61" s="56" t="str">
        <f>IF('⚙ OFF Weekends'!$D$49="OFF","OFF","")</f>
        <v/>
      </c>
      <c r="BC61" s="54" t="str">
        <f>IF('⚙ OFF Weekends'!$D$50="OFF","OFF","")</f>
        <v/>
      </c>
      <c r="BD61" s="56" t="str">
        <f>IF('⚙ OFF Weekends'!$D$51="OFF","OFF","")</f>
        <v/>
      </c>
      <c r="BE61" s="54" t="str">
        <f>IF('⚙ OFF Weekends'!$D$52="OFF","OFF","")</f>
        <v/>
      </c>
      <c r="BF61" s="56" t="str">
        <f>IF('⚙ OFF Weekends'!$D$53="OFF","OFF","")</f>
        <v/>
      </c>
      <c r="BG61" s="54" t="str">
        <f>IF('⚙ OFF Weekends'!$D$54="OFF","OFF","")</f>
        <v/>
      </c>
      <c r="BH61" s="56" t="str">
        <f>IF('⚙ OFF Weekends'!$D$55="OFF","OFF","")</f>
        <v/>
      </c>
      <c r="BI61" s="54" t="str">
        <f>IF('⚙ OFF Weekends'!$D$56="OFF","OFF","")</f>
        <v/>
      </c>
      <c r="BJ61" s="56" t="str">
        <f>IF('⚙ OFF Weekends'!$D$57="OFF","OFF","")</f>
        <v/>
      </c>
      <c r="BK61" s="54" t="str">
        <f>IF('⚙ OFF Weekends'!$D$58="OFF","OFF","")</f>
        <v/>
      </c>
      <c r="BL61" s="56" t="str">
        <f>IF('⚙ OFF Weekends'!$D$59="OFF","OFF","")</f>
        <v/>
      </c>
      <c r="BM61" s="54" t="str">
        <f>IF('⚙ OFF Weekends'!$D$60="OFF","OFF","")</f>
        <v/>
      </c>
      <c r="BN61" s="56" t="str">
        <f>IF('⚙ OFF Weekends'!$D$61="OFF","OFF","")</f>
        <v/>
      </c>
      <c r="BO61" s="54" t="str">
        <f>IF('⚙ OFF Weekends'!$D$62="OFF","OFF","")</f>
        <v/>
      </c>
      <c r="BP61" s="56" t="str">
        <f>IF('⚙ OFF Weekends'!$D$63="OFF","OFF","")</f>
        <v/>
      </c>
      <c r="BQ61" s="54" t="str">
        <f>IF('⚙ OFF Weekends'!$D$64="OFF","OFF","")</f>
        <v/>
      </c>
      <c r="BR61" s="56" t="str">
        <f>IF('⚙ OFF Weekends'!$D$65="OFF","OFF","")</f>
        <v/>
      </c>
      <c r="BS61" s="54" t="str">
        <f>IF('⚙ OFF Weekends'!$D$66="OFF","OFF","")</f>
        <v/>
      </c>
      <c r="BT61" s="56" t="str">
        <f>IF('⚙ OFF Weekends'!$D$67="OFF","OFF","")</f>
        <v/>
      </c>
      <c r="BU61" s="54" t="str">
        <f>IF('⚙ OFF Weekends'!$D$68="OFF","OFF","")</f>
        <v/>
      </c>
      <c r="BV61" s="56" t="str">
        <f>IF('⚙ OFF Weekends'!$D$69="OFF","OFF","")</f>
        <v/>
      </c>
      <c r="BW61" s="54" t="str">
        <f>IF('⚙ OFF Weekends'!$D$70="OFF","OFF","")</f>
        <v/>
      </c>
      <c r="BX61" s="56" t="str">
        <f>IF('⚙ OFF Weekends'!$D$71="OFF","OFF","")</f>
        <v/>
      </c>
      <c r="BY61" s="54" t="str">
        <f>IF('⚙ OFF Weekends'!$D$72="OFF","OFF","")</f>
        <v/>
      </c>
      <c r="BZ61" s="56" t="str">
        <f>IF('⚙ OFF Weekends'!$D$73="OFF","OFF","")</f>
        <v/>
      </c>
      <c r="CA61" s="54" t="str">
        <f>IF('⚙ OFF Weekends'!$D$74="OFF","OFF","")</f>
        <v/>
      </c>
      <c r="CB61" s="56" t="str">
        <f>IF('⚙ OFF Weekends'!$D$75="OFF","OFF","")</f>
        <v/>
      </c>
      <c r="CC61" s="54" t="str">
        <f>IF('⚙ OFF Weekends'!$D$76="OFF","OFF","")</f>
        <v/>
      </c>
      <c r="CD61" s="56" t="str">
        <f>IF('⚙ OFF Weekends'!$D$77="OFF","OFF","")</f>
        <v/>
      </c>
      <c r="CE61" s="96">
        <f t="shared" si="22"/>
        <v>17</v>
      </c>
      <c r="CF61" s="96">
        <f t="shared" si="23"/>
        <v>0</v>
      </c>
      <c r="CG61" s="96">
        <f t="shared" si="24"/>
        <v>1</v>
      </c>
      <c r="CH61" s="96" t="str">
        <f t="shared" si="25"/>
        <v>100%</v>
      </c>
    </row>
    <row r="62" ht="18.0" customHeight="1">
      <c r="A62" s="95">
        <v>9.0</v>
      </c>
      <c r="B62" s="12" t="s">
        <v>675</v>
      </c>
      <c r="C62" s="14" t="s">
        <v>676</v>
      </c>
      <c r="D62" s="17" t="str">
        <f t="shared" si="20"/>
        <v>📞 Call</v>
      </c>
      <c r="E62" s="19" t="str">
        <f t="shared" si="21"/>
        <v>💬 WhatsApp</v>
      </c>
      <c r="F62" s="10" t="s">
        <v>423</v>
      </c>
      <c r="G62" s="10" t="s">
        <v>677</v>
      </c>
      <c r="H62" s="10" t="s">
        <v>295</v>
      </c>
      <c r="I62" s="50" t="s">
        <v>37</v>
      </c>
      <c r="J62" s="50" t="s">
        <v>37</v>
      </c>
      <c r="K62" s="49" t="s">
        <v>197</v>
      </c>
      <c r="L62" s="50" t="s">
        <v>37</v>
      </c>
      <c r="M62" s="48" t="s">
        <v>196</v>
      </c>
      <c r="N62" s="50" t="s">
        <v>37</v>
      </c>
      <c r="O62" s="79" t="s">
        <v>223</v>
      </c>
      <c r="P62" s="50" t="s">
        <v>37</v>
      </c>
      <c r="Q62" s="50" t="s">
        <v>37</v>
      </c>
      <c r="R62" s="50" t="s">
        <v>37</v>
      </c>
      <c r="S62" s="52" t="s">
        <v>37</v>
      </c>
      <c r="T62" s="98" t="s">
        <v>196</v>
      </c>
      <c r="U62" s="52" t="s">
        <v>223</v>
      </c>
      <c r="V62" s="53" t="s">
        <v>37</v>
      </c>
      <c r="W62" s="54" t="str">
        <f>IF('⚙ OFF Weekends'!$D$18="OFF","OFF","")</f>
        <v>OFF</v>
      </c>
      <c r="X62" s="53" t="s">
        <v>37</v>
      </c>
      <c r="Y62" s="52" t="s">
        <v>37</v>
      </c>
      <c r="Z62" s="53" t="s">
        <v>37</v>
      </c>
      <c r="AA62" s="52" t="s">
        <v>37</v>
      </c>
      <c r="AB62" s="53" t="s">
        <v>37</v>
      </c>
      <c r="AC62" s="54" t="str">
        <f>IF('⚙ OFF Weekends'!$D$24="OFF","OFF","")</f>
        <v/>
      </c>
      <c r="AD62" s="56" t="str">
        <f>IF('⚙ OFF Weekends'!$D$25="OFF","OFF","")</f>
        <v/>
      </c>
      <c r="AE62" s="54" t="str">
        <f>IF('⚙ OFF Weekends'!$D$26="OFF","OFF","")</f>
        <v/>
      </c>
      <c r="AF62" s="56" t="str">
        <f>IF('⚙ OFF Weekends'!$D$27="OFF","OFF","")</f>
        <v/>
      </c>
      <c r="AG62" s="54" t="str">
        <f>IF('⚙ OFF Weekends'!$D$28="OFF","OFF","")</f>
        <v/>
      </c>
      <c r="AH62" s="56" t="str">
        <f>IF('⚙ OFF Weekends'!$D$29="OFF","OFF","")</f>
        <v/>
      </c>
      <c r="AI62" s="54" t="str">
        <f>IF('⚙ OFF Weekends'!$D$30="OFF","OFF","")</f>
        <v/>
      </c>
      <c r="AJ62" s="56" t="str">
        <f>IF('⚙ OFF Weekends'!$D$31="OFF","OFF","")</f>
        <v/>
      </c>
      <c r="AK62" s="54" t="str">
        <f>IF('⚙ OFF Weekends'!$D$32="OFF","OFF","")</f>
        <v/>
      </c>
      <c r="AL62" s="56" t="str">
        <f>IF('⚙ OFF Weekends'!$D$33="OFF","OFF","")</f>
        <v/>
      </c>
      <c r="AM62" s="54" t="str">
        <f>IF('⚙ OFF Weekends'!$D$34="OFF","OFF","")</f>
        <v/>
      </c>
      <c r="AN62" s="56" t="str">
        <f>IF('⚙ OFF Weekends'!$D$35="OFF","OFF","")</f>
        <v/>
      </c>
      <c r="AO62" s="54" t="str">
        <f>IF('⚙ OFF Weekends'!$D$36="OFF","OFF","")</f>
        <v/>
      </c>
      <c r="AP62" s="56" t="str">
        <f>IF('⚙ OFF Weekends'!$D$37="OFF","OFF","")</f>
        <v/>
      </c>
      <c r="AQ62" s="54" t="str">
        <f>IF('⚙ OFF Weekends'!$D$38="OFF","OFF","")</f>
        <v/>
      </c>
      <c r="AR62" s="56" t="str">
        <f>IF('⚙ OFF Weekends'!$D$39="OFF","OFF","")</f>
        <v/>
      </c>
      <c r="AS62" s="54" t="str">
        <f>IF('⚙ OFF Weekends'!$D$40="OFF","OFF","")</f>
        <v/>
      </c>
      <c r="AT62" s="56" t="str">
        <f>IF('⚙ OFF Weekends'!$D$41="OFF","OFF","")</f>
        <v/>
      </c>
      <c r="AU62" s="54" t="str">
        <f>IF('⚙ OFF Weekends'!$D$42="OFF","OFF","")</f>
        <v/>
      </c>
      <c r="AV62" s="56" t="str">
        <f>IF('⚙ OFF Weekends'!$D$43="OFF","OFF","")</f>
        <v/>
      </c>
      <c r="AW62" s="54" t="str">
        <f>IF('⚙ OFF Weekends'!$D$44="OFF","OFF","")</f>
        <v/>
      </c>
      <c r="AX62" s="56" t="str">
        <f>IF('⚙ OFF Weekends'!$D$45="OFF","OFF","")</f>
        <v/>
      </c>
      <c r="AY62" s="54" t="str">
        <f>IF('⚙ OFF Weekends'!$D$46="OFF","OFF","")</f>
        <v/>
      </c>
      <c r="AZ62" s="56" t="str">
        <f>IF('⚙ OFF Weekends'!$D$47="OFF","OFF","")</f>
        <v/>
      </c>
      <c r="BA62" s="54" t="str">
        <f>IF('⚙ OFF Weekends'!$D$48="OFF","OFF","")</f>
        <v/>
      </c>
      <c r="BB62" s="56" t="str">
        <f>IF('⚙ OFF Weekends'!$D$49="OFF","OFF","")</f>
        <v/>
      </c>
      <c r="BC62" s="54" t="str">
        <f>IF('⚙ OFF Weekends'!$D$50="OFF","OFF","")</f>
        <v/>
      </c>
      <c r="BD62" s="56" t="str">
        <f>IF('⚙ OFF Weekends'!$D$51="OFF","OFF","")</f>
        <v/>
      </c>
      <c r="BE62" s="54" t="str">
        <f>IF('⚙ OFF Weekends'!$D$52="OFF","OFF","")</f>
        <v/>
      </c>
      <c r="BF62" s="56" t="str">
        <f>IF('⚙ OFF Weekends'!$D$53="OFF","OFF","")</f>
        <v/>
      </c>
      <c r="BG62" s="54" t="str">
        <f>IF('⚙ OFF Weekends'!$D$54="OFF","OFF","")</f>
        <v/>
      </c>
      <c r="BH62" s="56" t="str">
        <f>IF('⚙ OFF Weekends'!$D$55="OFF","OFF","")</f>
        <v/>
      </c>
      <c r="BI62" s="54" t="str">
        <f>IF('⚙ OFF Weekends'!$D$56="OFF","OFF","")</f>
        <v/>
      </c>
      <c r="BJ62" s="56" t="str">
        <f>IF('⚙ OFF Weekends'!$D$57="OFF","OFF","")</f>
        <v/>
      </c>
      <c r="BK62" s="54" t="str">
        <f>IF('⚙ OFF Weekends'!$D$58="OFF","OFF","")</f>
        <v/>
      </c>
      <c r="BL62" s="56" t="str">
        <f>IF('⚙ OFF Weekends'!$D$59="OFF","OFF","")</f>
        <v/>
      </c>
      <c r="BM62" s="54" t="str">
        <f>IF('⚙ OFF Weekends'!$D$60="OFF","OFF","")</f>
        <v/>
      </c>
      <c r="BN62" s="56" t="str">
        <f>IF('⚙ OFF Weekends'!$D$61="OFF","OFF","")</f>
        <v/>
      </c>
      <c r="BO62" s="54" t="str">
        <f>IF('⚙ OFF Weekends'!$D$62="OFF","OFF","")</f>
        <v/>
      </c>
      <c r="BP62" s="56" t="str">
        <f>IF('⚙ OFF Weekends'!$D$63="OFF","OFF","")</f>
        <v/>
      </c>
      <c r="BQ62" s="54" t="str">
        <f>IF('⚙ OFF Weekends'!$D$64="OFF","OFF","")</f>
        <v/>
      </c>
      <c r="BR62" s="56" t="str">
        <f>IF('⚙ OFF Weekends'!$D$65="OFF","OFF","")</f>
        <v/>
      </c>
      <c r="BS62" s="54" t="str">
        <f>IF('⚙ OFF Weekends'!$D$66="OFF","OFF","")</f>
        <v/>
      </c>
      <c r="BT62" s="56" t="str">
        <f>IF('⚙ OFF Weekends'!$D$67="OFF","OFF","")</f>
        <v/>
      </c>
      <c r="BU62" s="54" t="str">
        <f>IF('⚙ OFF Weekends'!$D$68="OFF","OFF","")</f>
        <v/>
      </c>
      <c r="BV62" s="56" t="str">
        <f>IF('⚙ OFF Weekends'!$D$69="OFF","OFF","")</f>
        <v/>
      </c>
      <c r="BW62" s="54" t="str">
        <f>IF('⚙ OFF Weekends'!$D$70="OFF","OFF","")</f>
        <v/>
      </c>
      <c r="BX62" s="56" t="str">
        <f>IF('⚙ OFF Weekends'!$D$71="OFF","OFF","")</f>
        <v/>
      </c>
      <c r="BY62" s="54" t="str">
        <f>IF('⚙ OFF Weekends'!$D$72="OFF","OFF","")</f>
        <v/>
      </c>
      <c r="BZ62" s="56" t="str">
        <f>IF('⚙ OFF Weekends'!$D$73="OFF","OFF","")</f>
        <v/>
      </c>
      <c r="CA62" s="54" t="str">
        <f>IF('⚙ OFF Weekends'!$D$74="OFF","OFF","")</f>
        <v/>
      </c>
      <c r="CB62" s="56" t="str">
        <f>IF('⚙ OFF Weekends'!$D$75="OFF","OFF","")</f>
        <v/>
      </c>
      <c r="CC62" s="54" t="str">
        <f>IF('⚙ OFF Weekends'!$D$76="OFF","OFF","")</f>
        <v/>
      </c>
      <c r="CD62" s="56" t="str">
        <f>IF('⚙ OFF Weekends'!$D$77="OFF","OFF","")</f>
        <v/>
      </c>
      <c r="CE62" s="95">
        <f t="shared" si="22"/>
        <v>16</v>
      </c>
      <c r="CF62" s="95">
        <f t="shared" si="23"/>
        <v>2</v>
      </c>
      <c r="CG62" s="95">
        <f t="shared" si="24"/>
        <v>0</v>
      </c>
      <c r="CH62" s="95" t="str">
        <f t="shared" si="25"/>
        <v>89%</v>
      </c>
    </row>
    <row r="63" ht="18.0" customHeight="1">
      <c r="A63" s="96">
        <v>10.0</v>
      </c>
      <c r="B63" s="22" t="s">
        <v>681</v>
      </c>
      <c r="C63" s="23" t="s">
        <v>682</v>
      </c>
      <c r="D63" s="24" t="str">
        <f t="shared" si="20"/>
        <v>📞 Call</v>
      </c>
      <c r="E63" s="41" t="str">
        <f t="shared" si="21"/>
        <v>💬 WhatsApp</v>
      </c>
      <c r="F63" s="20" t="s">
        <v>423</v>
      </c>
      <c r="G63" s="20" t="s">
        <v>677</v>
      </c>
      <c r="H63" s="20" t="s">
        <v>409</v>
      </c>
      <c r="I63" s="50" t="s">
        <v>37</v>
      </c>
      <c r="J63" s="50" t="s">
        <v>37</v>
      </c>
      <c r="K63" s="49" t="s">
        <v>197</v>
      </c>
      <c r="L63" s="79" t="s">
        <v>223</v>
      </c>
      <c r="M63" s="79" t="s">
        <v>223</v>
      </c>
      <c r="N63" s="50" t="s">
        <v>37</v>
      </c>
      <c r="O63" s="77" t="s">
        <v>198</v>
      </c>
      <c r="P63" s="50" t="s">
        <v>37</v>
      </c>
      <c r="Q63" s="77" t="s">
        <v>198</v>
      </c>
      <c r="R63" s="77" t="s">
        <v>198</v>
      </c>
      <c r="S63" s="52" t="s">
        <v>37</v>
      </c>
      <c r="T63" s="98" t="s">
        <v>196</v>
      </c>
      <c r="U63" s="52" t="s">
        <v>223</v>
      </c>
      <c r="V63" s="53" t="s">
        <v>37</v>
      </c>
      <c r="W63" s="54" t="str">
        <f>IF('⚙ OFF Weekends'!$D$18="OFF","OFF","")</f>
        <v>OFF</v>
      </c>
      <c r="X63" s="53" t="s">
        <v>223</v>
      </c>
      <c r="Y63" s="52" t="s">
        <v>37</v>
      </c>
      <c r="Z63" s="53" t="s">
        <v>223</v>
      </c>
      <c r="AA63" s="52" t="s">
        <v>223</v>
      </c>
      <c r="AB63" s="53" t="s">
        <v>37</v>
      </c>
      <c r="AC63" s="54" t="str">
        <f>IF('⚙ OFF Weekends'!$D$24="OFF","OFF","")</f>
        <v/>
      </c>
      <c r="AD63" s="56" t="str">
        <f>IF('⚙ OFF Weekends'!$D$25="OFF","OFF","")</f>
        <v/>
      </c>
      <c r="AE63" s="54" t="str">
        <f>IF('⚙ OFF Weekends'!$D$26="OFF","OFF","")</f>
        <v/>
      </c>
      <c r="AF63" s="56" t="str">
        <f>IF('⚙ OFF Weekends'!$D$27="OFF","OFF","")</f>
        <v/>
      </c>
      <c r="AG63" s="54" t="str">
        <f>IF('⚙ OFF Weekends'!$D$28="OFF","OFF","")</f>
        <v/>
      </c>
      <c r="AH63" s="56" t="str">
        <f>IF('⚙ OFF Weekends'!$D$29="OFF","OFF","")</f>
        <v/>
      </c>
      <c r="AI63" s="54" t="str">
        <f>IF('⚙ OFF Weekends'!$D$30="OFF","OFF","")</f>
        <v/>
      </c>
      <c r="AJ63" s="56" t="str">
        <f>IF('⚙ OFF Weekends'!$D$31="OFF","OFF","")</f>
        <v/>
      </c>
      <c r="AK63" s="54" t="str">
        <f>IF('⚙ OFF Weekends'!$D$32="OFF","OFF","")</f>
        <v/>
      </c>
      <c r="AL63" s="56" t="str">
        <f>IF('⚙ OFF Weekends'!$D$33="OFF","OFF","")</f>
        <v/>
      </c>
      <c r="AM63" s="54" t="str">
        <f>IF('⚙ OFF Weekends'!$D$34="OFF","OFF","")</f>
        <v/>
      </c>
      <c r="AN63" s="56" t="str">
        <f>IF('⚙ OFF Weekends'!$D$35="OFF","OFF","")</f>
        <v/>
      </c>
      <c r="AO63" s="54" t="str">
        <f>IF('⚙ OFF Weekends'!$D$36="OFF","OFF","")</f>
        <v/>
      </c>
      <c r="AP63" s="56" t="str">
        <f>IF('⚙ OFF Weekends'!$D$37="OFF","OFF","")</f>
        <v/>
      </c>
      <c r="AQ63" s="54" t="str">
        <f>IF('⚙ OFF Weekends'!$D$38="OFF","OFF","")</f>
        <v/>
      </c>
      <c r="AR63" s="56" t="str">
        <f>IF('⚙ OFF Weekends'!$D$39="OFF","OFF","")</f>
        <v/>
      </c>
      <c r="AS63" s="54" t="str">
        <f>IF('⚙ OFF Weekends'!$D$40="OFF","OFF","")</f>
        <v/>
      </c>
      <c r="AT63" s="56" t="str">
        <f>IF('⚙ OFF Weekends'!$D$41="OFF","OFF","")</f>
        <v/>
      </c>
      <c r="AU63" s="54" t="str">
        <f>IF('⚙ OFF Weekends'!$D$42="OFF","OFF","")</f>
        <v/>
      </c>
      <c r="AV63" s="56" t="str">
        <f>IF('⚙ OFF Weekends'!$D$43="OFF","OFF","")</f>
        <v/>
      </c>
      <c r="AW63" s="54" t="str">
        <f>IF('⚙ OFF Weekends'!$D$44="OFF","OFF","")</f>
        <v/>
      </c>
      <c r="AX63" s="56" t="str">
        <f>IF('⚙ OFF Weekends'!$D$45="OFF","OFF","")</f>
        <v/>
      </c>
      <c r="AY63" s="54" t="str">
        <f>IF('⚙ OFF Weekends'!$D$46="OFF","OFF","")</f>
        <v/>
      </c>
      <c r="AZ63" s="56" t="str">
        <f>IF('⚙ OFF Weekends'!$D$47="OFF","OFF","")</f>
        <v/>
      </c>
      <c r="BA63" s="54" t="str">
        <f>IF('⚙ OFF Weekends'!$D$48="OFF","OFF","")</f>
        <v/>
      </c>
      <c r="BB63" s="56" t="str">
        <f>IF('⚙ OFF Weekends'!$D$49="OFF","OFF","")</f>
        <v/>
      </c>
      <c r="BC63" s="54" t="str">
        <f>IF('⚙ OFF Weekends'!$D$50="OFF","OFF","")</f>
        <v/>
      </c>
      <c r="BD63" s="56" t="str">
        <f>IF('⚙ OFF Weekends'!$D$51="OFF","OFF","")</f>
        <v/>
      </c>
      <c r="BE63" s="54" t="str">
        <f>IF('⚙ OFF Weekends'!$D$52="OFF","OFF","")</f>
        <v/>
      </c>
      <c r="BF63" s="56" t="str">
        <f>IF('⚙ OFF Weekends'!$D$53="OFF","OFF","")</f>
        <v/>
      </c>
      <c r="BG63" s="54" t="str">
        <f>IF('⚙ OFF Weekends'!$D$54="OFF","OFF","")</f>
        <v/>
      </c>
      <c r="BH63" s="56" t="str">
        <f>IF('⚙ OFF Weekends'!$D$55="OFF","OFF","")</f>
        <v/>
      </c>
      <c r="BI63" s="54" t="str">
        <f>IF('⚙ OFF Weekends'!$D$56="OFF","OFF","")</f>
        <v/>
      </c>
      <c r="BJ63" s="56" t="str">
        <f>IF('⚙ OFF Weekends'!$D$57="OFF","OFF","")</f>
        <v/>
      </c>
      <c r="BK63" s="54" t="str">
        <f>IF('⚙ OFF Weekends'!$D$58="OFF","OFF","")</f>
        <v/>
      </c>
      <c r="BL63" s="56" t="str">
        <f>IF('⚙ OFF Weekends'!$D$59="OFF","OFF","")</f>
        <v/>
      </c>
      <c r="BM63" s="54" t="str">
        <f>IF('⚙ OFF Weekends'!$D$60="OFF","OFF","")</f>
        <v/>
      </c>
      <c r="BN63" s="56" t="str">
        <f>IF('⚙ OFF Weekends'!$D$61="OFF","OFF","")</f>
        <v/>
      </c>
      <c r="BO63" s="54" t="str">
        <f>IF('⚙ OFF Weekends'!$D$62="OFF","OFF","")</f>
        <v/>
      </c>
      <c r="BP63" s="56" t="str">
        <f>IF('⚙ OFF Weekends'!$D$63="OFF","OFF","")</f>
        <v/>
      </c>
      <c r="BQ63" s="54" t="str">
        <f>IF('⚙ OFF Weekends'!$D$64="OFF","OFF","")</f>
        <v/>
      </c>
      <c r="BR63" s="56" t="str">
        <f>IF('⚙ OFF Weekends'!$D$65="OFF","OFF","")</f>
        <v/>
      </c>
      <c r="BS63" s="54" t="str">
        <f>IF('⚙ OFF Weekends'!$D$66="OFF","OFF","")</f>
        <v/>
      </c>
      <c r="BT63" s="56" t="str">
        <f>IF('⚙ OFF Weekends'!$D$67="OFF","OFF","")</f>
        <v/>
      </c>
      <c r="BU63" s="54" t="str">
        <f>IF('⚙ OFF Weekends'!$D$68="OFF","OFF","")</f>
        <v/>
      </c>
      <c r="BV63" s="56" t="str">
        <f>IF('⚙ OFF Weekends'!$D$69="OFF","OFF","")</f>
        <v/>
      </c>
      <c r="BW63" s="54" t="str">
        <f>IF('⚙ OFF Weekends'!$D$70="OFF","OFF","")</f>
        <v/>
      </c>
      <c r="BX63" s="56" t="str">
        <f>IF('⚙ OFF Weekends'!$D$71="OFF","OFF","")</f>
        <v/>
      </c>
      <c r="BY63" s="54" t="str">
        <f>IF('⚙ OFF Weekends'!$D$72="OFF","OFF","")</f>
        <v/>
      </c>
      <c r="BZ63" s="56" t="str">
        <f>IF('⚙ OFF Weekends'!$D$73="OFF","OFF","")</f>
        <v/>
      </c>
      <c r="CA63" s="54" t="str">
        <f>IF('⚙ OFF Weekends'!$D$74="OFF","OFF","")</f>
        <v/>
      </c>
      <c r="CB63" s="56" t="str">
        <f>IF('⚙ OFF Weekends'!$D$75="OFF","OFF","")</f>
        <v/>
      </c>
      <c r="CC63" s="54" t="str">
        <f>IF('⚙ OFF Weekends'!$D$76="OFF","OFF","")</f>
        <v/>
      </c>
      <c r="CD63" s="56" t="str">
        <f>IF('⚙ OFF Weekends'!$D$77="OFF","OFF","")</f>
        <v/>
      </c>
      <c r="CE63" s="96">
        <f t="shared" si="22"/>
        <v>9</v>
      </c>
      <c r="CF63" s="96">
        <f t="shared" si="23"/>
        <v>6</v>
      </c>
      <c r="CG63" s="96">
        <f t="shared" si="24"/>
        <v>3</v>
      </c>
      <c r="CH63" s="96" t="str">
        <f t="shared" si="25"/>
        <v>60%</v>
      </c>
    </row>
    <row r="64" ht="18.0" customHeight="1">
      <c r="A64" s="95">
        <v>11.0</v>
      </c>
      <c r="B64" s="12" t="s">
        <v>683</v>
      </c>
      <c r="C64" s="14" t="s">
        <v>684</v>
      </c>
      <c r="D64" s="17" t="str">
        <f t="shared" si="20"/>
        <v>📞 Call</v>
      </c>
      <c r="E64" s="19" t="str">
        <f t="shared" si="21"/>
        <v>💬 WhatsApp</v>
      </c>
      <c r="F64" s="10" t="s">
        <v>423</v>
      </c>
      <c r="G64" s="10" t="s">
        <v>677</v>
      </c>
      <c r="H64" s="10" t="s">
        <v>299</v>
      </c>
      <c r="I64" s="77" t="s">
        <v>198</v>
      </c>
      <c r="J64" s="77" t="s">
        <v>198</v>
      </c>
      <c r="K64" s="49" t="s">
        <v>197</v>
      </c>
      <c r="L64" s="77" t="s">
        <v>198</v>
      </c>
      <c r="M64" s="77" t="s">
        <v>198</v>
      </c>
      <c r="N64" s="130" t="s">
        <v>296</v>
      </c>
      <c r="O64" s="130" t="s">
        <v>296</v>
      </c>
      <c r="P64" s="130" t="s">
        <v>296</v>
      </c>
      <c r="Q64" s="130" t="s">
        <v>296</v>
      </c>
      <c r="R64" s="130" t="s">
        <v>296</v>
      </c>
      <c r="S64" s="130" t="s">
        <v>296</v>
      </c>
      <c r="T64" s="130" t="s">
        <v>296</v>
      </c>
      <c r="U64" s="130" t="s">
        <v>296</v>
      </c>
      <c r="V64" s="130" t="s">
        <v>296</v>
      </c>
      <c r="W64" s="130" t="s">
        <v>296</v>
      </c>
      <c r="X64" s="130" t="s">
        <v>296</v>
      </c>
      <c r="Y64" s="130" t="s">
        <v>296</v>
      </c>
      <c r="Z64" s="130" t="s">
        <v>296</v>
      </c>
      <c r="AA64" s="130" t="s">
        <v>296</v>
      </c>
      <c r="AB64" s="130" t="s">
        <v>296</v>
      </c>
      <c r="AC64" s="130" t="s">
        <v>296</v>
      </c>
      <c r="AD64" s="130" t="s">
        <v>296</v>
      </c>
      <c r="AE64" s="130" t="s">
        <v>296</v>
      </c>
      <c r="AF64" s="130" t="s">
        <v>296</v>
      </c>
      <c r="AG64" s="130" t="s">
        <v>296</v>
      </c>
      <c r="AH64" s="130" t="s">
        <v>296</v>
      </c>
      <c r="AI64" s="130" t="s">
        <v>296</v>
      </c>
      <c r="AJ64" s="130" t="s">
        <v>296</v>
      </c>
      <c r="AK64" s="130" t="s">
        <v>296</v>
      </c>
      <c r="AL64" s="130" t="s">
        <v>296</v>
      </c>
      <c r="AM64" s="130" t="s">
        <v>296</v>
      </c>
      <c r="AN64" s="130" t="s">
        <v>296</v>
      </c>
      <c r="AO64" s="130" t="s">
        <v>296</v>
      </c>
      <c r="AP64" s="130" t="s">
        <v>296</v>
      </c>
      <c r="AQ64" s="130" t="s">
        <v>296</v>
      </c>
      <c r="AR64" s="130" t="s">
        <v>296</v>
      </c>
      <c r="AS64" s="130" t="s">
        <v>296</v>
      </c>
      <c r="AT64" s="130" t="s">
        <v>296</v>
      </c>
      <c r="AU64" s="130" t="s">
        <v>296</v>
      </c>
      <c r="AV64" s="130" t="s">
        <v>296</v>
      </c>
      <c r="AW64" s="130" t="s">
        <v>296</v>
      </c>
      <c r="AX64" s="130" t="s">
        <v>296</v>
      </c>
      <c r="AY64" s="130" t="s">
        <v>296</v>
      </c>
      <c r="AZ64" s="130" t="s">
        <v>296</v>
      </c>
      <c r="BA64" s="130" t="s">
        <v>296</v>
      </c>
      <c r="BB64" s="130" t="s">
        <v>296</v>
      </c>
      <c r="BC64" s="130" t="s">
        <v>296</v>
      </c>
      <c r="BD64" s="130" t="s">
        <v>296</v>
      </c>
      <c r="BE64" s="130" t="s">
        <v>296</v>
      </c>
      <c r="BF64" s="130" t="s">
        <v>296</v>
      </c>
      <c r="BG64" s="130" t="s">
        <v>296</v>
      </c>
      <c r="BH64" s="130" t="s">
        <v>296</v>
      </c>
      <c r="BI64" s="130" t="s">
        <v>296</v>
      </c>
      <c r="BJ64" s="130" t="s">
        <v>296</v>
      </c>
      <c r="BK64" s="130" t="s">
        <v>296</v>
      </c>
      <c r="BL64" s="130" t="s">
        <v>296</v>
      </c>
      <c r="BM64" s="130" t="s">
        <v>296</v>
      </c>
      <c r="BN64" s="130" t="s">
        <v>296</v>
      </c>
      <c r="BO64" s="130" t="s">
        <v>296</v>
      </c>
      <c r="BP64" s="130" t="s">
        <v>296</v>
      </c>
      <c r="BQ64" s="130" t="s">
        <v>296</v>
      </c>
      <c r="BR64" s="130" t="s">
        <v>296</v>
      </c>
      <c r="BS64" s="130" t="s">
        <v>296</v>
      </c>
      <c r="BT64" s="130" t="s">
        <v>296</v>
      </c>
      <c r="BU64" s="130" t="s">
        <v>296</v>
      </c>
      <c r="BV64" s="130" t="s">
        <v>296</v>
      </c>
      <c r="BW64" s="130" t="s">
        <v>296</v>
      </c>
      <c r="BX64" s="130" t="s">
        <v>296</v>
      </c>
      <c r="BY64" s="130" t="s">
        <v>296</v>
      </c>
      <c r="BZ64" s="130" t="s">
        <v>296</v>
      </c>
      <c r="CA64" s="130" t="s">
        <v>296</v>
      </c>
      <c r="CB64" s="130" t="s">
        <v>296</v>
      </c>
      <c r="CC64" s="130" t="s">
        <v>296</v>
      </c>
      <c r="CD64" s="130" t="s">
        <v>296</v>
      </c>
      <c r="CE64" s="95">
        <f t="shared" si="22"/>
        <v>0</v>
      </c>
      <c r="CF64" s="95">
        <f t="shared" si="23"/>
        <v>0</v>
      </c>
      <c r="CG64" s="95">
        <f t="shared" si="24"/>
        <v>4</v>
      </c>
      <c r="CH64" s="95" t="str">
        <f t="shared" si="25"/>
        <v>0%</v>
      </c>
    </row>
    <row r="65" ht="18.0" customHeight="1">
      <c r="A65" s="96">
        <v>12.0</v>
      </c>
      <c r="B65" s="22" t="s">
        <v>685</v>
      </c>
      <c r="C65" s="23" t="s">
        <v>686</v>
      </c>
      <c r="D65" s="24" t="str">
        <f t="shared" si="20"/>
        <v>📞 Call</v>
      </c>
      <c r="E65" s="41" t="str">
        <f t="shared" si="21"/>
        <v>💬 WhatsApp</v>
      </c>
      <c r="F65" s="20" t="s">
        <v>423</v>
      </c>
      <c r="G65" s="20" t="s">
        <v>549</v>
      </c>
      <c r="H65" s="20" t="s">
        <v>299</v>
      </c>
      <c r="I65" s="50" t="s">
        <v>37</v>
      </c>
      <c r="J65" s="50" t="s">
        <v>37</v>
      </c>
      <c r="K65" s="49" t="s">
        <v>197</v>
      </c>
      <c r="L65" s="50" t="s">
        <v>37</v>
      </c>
      <c r="M65" s="50" t="s">
        <v>37</v>
      </c>
      <c r="N65" s="79" t="s">
        <v>223</v>
      </c>
      <c r="O65" s="79" t="s">
        <v>223</v>
      </c>
      <c r="P65" s="50" t="s">
        <v>37</v>
      </c>
      <c r="Q65" s="79" t="s">
        <v>223</v>
      </c>
      <c r="R65" s="50" t="s">
        <v>37</v>
      </c>
      <c r="S65" s="52" t="s">
        <v>37</v>
      </c>
      <c r="T65" s="98" t="s">
        <v>223</v>
      </c>
      <c r="U65" s="52" t="s">
        <v>223</v>
      </c>
      <c r="V65" s="53" t="s">
        <v>37</v>
      </c>
      <c r="W65" s="54" t="str">
        <f>IF('⚙ OFF Weekends'!$D$18="OFF","OFF","")</f>
        <v>OFF</v>
      </c>
      <c r="X65" s="53" t="s">
        <v>223</v>
      </c>
      <c r="Y65" s="52" t="s">
        <v>223</v>
      </c>
      <c r="Z65" s="53" t="s">
        <v>37</v>
      </c>
      <c r="AA65" s="52" t="s">
        <v>223</v>
      </c>
      <c r="AB65" s="53" t="s">
        <v>223</v>
      </c>
      <c r="AC65" s="54" t="str">
        <f>IF('⚙ OFF Weekends'!$D$24="OFF","OFF","")</f>
        <v/>
      </c>
      <c r="AD65" s="56" t="str">
        <f>IF('⚙ OFF Weekends'!$D$25="OFF","OFF","")</f>
        <v/>
      </c>
      <c r="AE65" s="54" t="str">
        <f>IF('⚙ OFF Weekends'!$D$26="OFF","OFF","")</f>
        <v/>
      </c>
      <c r="AF65" s="56" t="str">
        <f>IF('⚙ OFF Weekends'!$D$27="OFF","OFF","")</f>
        <v/>
      </c>
      <c r="AG65" s="54" t="str">
        <f>IF('⚙ OFF Weekends'!$D$28="OFF","OFF","")</f>
        <v/>
      </c>
      <c r="AH65" s="56" t="str">
        <f>IF('⚙ OFF Weekends'!$D$29="OFF","OFF","")</f>
        <v/>
      </c>
      <c r="AI65" s="54" t="str">
        <f>IF('⚙ OFF Weekends'!$D$30="OFF","OFF","")</f>
        <v/>
      </c>
      <c r="AJ65" s="56" t="str">
        <f>IF('⚙ OFF Weekends'!$D$31="OFF","OFF","")</f>
        <v/>
      </c>
      <c r="AK65" s="54" t="str">
        <f>IF('⚙ OFF Weekends'!$D$32="OFF","OFF","")</f>
        <v/>
      </c>
      <c r="AL65" s="56" t="str">
        <f>IF('⚙ OFF Weekends'!$D$33="OFF","OFF","")</f>
        <v/>
      </c>
      <c r="AM65" s="54" t="str">
        <f>IF('⚙ OFF Weekends'!$D$34="OFF","OFF","")</f>
        <v/>
      </c>
      <c r="AN65" s="56" t="str">
        <f>IF('⚙ OFF Weekends'!$D$35="OFF","OFF","")</f>
        <v/>
      </c>
      <c r="AO65" s="54" t="str">
        <f>IF('⚙ OFF Weekends'!$D$36="OFF","OFF","")</f>
        <v/>
      </c>
      <c r="AP65" s="56" t="str">
        <f>IF('⚙ OFF Weekends'!$D$37="OFF","OFF","")</f>
        <v/>
      </c>
      <c r="AQ65" s="54" t="str">
        <f>IF('⚙ OFF Weekends'!$D$38="OFF","OFF","")</f>
        <v/>
      </c>
      <c r="AR65" s="56" t="str">
        <f>IF('⚙ OFF Weekends'!$D$39="OFF","OFF","")</f>
        <v/>
      </c>
      <c r="AS65" s="54" t="str">
        <f>IF('⚙ OFF Weekends'!$D$40="OFF","OFF","")</f>
        <v/>
      </c>
      <c r="AT65" s="56" t="str">
        <f>IF('⚙ OFF Weekends'!$D$41="OFF","OFF","")</f>
        <v/>
      </c>
      <c r="AU65" s="54" t="str">
        <f>IF('⚙ OFF Weekends'!$D$42="OFF","OFF","")</f>
        <v/>
      </c>
      <c r="AV65" s="56" t="str">
        <f>IF('⚙ OFF Weekends'!$D$43="OFF","OFF","")</f>
        <v/>
      </c>
      <c r="AW65" s="54" t="str">
        <f>IF('⚙ OFF Weekends'!$D$44="OFF","OFF","")</f>
        <v/>
      </c>
      <c r="AX65" s="56" t="str">
        <f>IF('⚙ OFF Weekends'!$D$45="OFF","OFF","")</f>
        <v/>
      </c>
      <c r="AY65" s="54" t="str">
        <f>IF('⚙ OFF Weekends'!$D$46="OFF","OFF","")</f>
        <v/>
      </c>
      <c r="AZ65" s="56" t="str">
        <f>IF('⚙ OFF Weekends'!$D$47="OFF","OFF","")</f>
        <v/>
      </c>
      <c r="BA65" s="54" t="str">
        <f>IF('⚙ OFF Weekends'!$D$48="OFF","OFF","")</f>
        <v/>
      </c>
      <c r="BB65" s="56" t="str">
        <f>IF('⚙ OFF Weekends'!$D$49="OFF","OFF","")</f>
        <v/>
      </c>
      <c r="BC65" s="54" t="str">
        <f>IF('⚙ OFF Weekends'!$D$50="OFF","OFF","")</f>
        <v/>
      </c>
      <c r="BD65" s="56" t="str">
        <f>IF('⚙ OFF Weekends'!$D$51="OFF","OFF","")</f>
        <v/>
      </c>
      <c r="BE65" s="54" t="str">
        <f>IF('⚙ OFF Weekends'!$D$52="OFF","OFF","")</f>
        <v/>
      </c>
      <c r="BF65" s="56" t="str">
        <f>IF('⚙ OFF Weekends'!$D$53="OFF","OFF","")</f>
        <v/>
      </c>
      <c r="BG65" s="54" t="str">
        <f>IF('⚙ OFF Weekends'!$D$54="OFF","OFF","")</f>
        <v/>
      </c>
      <c r="BH65" s="56" t="str">
        <f>IF('⚙ OFF Weekends'!$D$55="OFF","OFF","")</f>
        <v/>
      </c>
      <c r="BI65" s="54" t="str">
        <f>IF('⚙ OFF Weekends'!$D$56="OFF","OFF","")</f>
        <v/>
      </c>
      <c r="BJ65" s="56" t="str">
        <f>IF('⚙ OFF Weekends'!$D$57="OFF","OFF","")</f>
        <v/>
      </c>
      <c r="BK65" s="54" t="str">
        <f>IF('⚙ OFF Weekends'!$D$58="OFF","OFF","")</f>
        <v/>
      </c>
      <c r="BL65" s="56" t="str">
        <f>IF('⚙ OFF Weekends'!$D$59="OFF","OFF","")</f>
        <v/>
      </c>
      <c r="BM65" s="54" t="str">
        <f>IF('⚙ OFF Weekends'!$D$60="OFF","OFF","")</f>
        <v/>
      </c>
      <c r="BN65" s="56" t="str">
        <f>IF('⚙ OFF Weekends'!$D$61="OFF","OFF","")</f>
        <v/>
      </c>
      <c r="BO65" s="54" t="str">
        <f>IF('⚙ OFF Weekends'!$D$62="OFF","OFF","")</f>
        <v/>
      </c>
      <c r="BP65" s="56" t="str">
        <f>IF('⚙ OFF Weekends'!$D$63="OFF","OFF","")</f>
        <v/>
      </c>
      <c r="BQ65" s="54" t="str">
        <f>IF('⚙ OFF Weekends'!$D$64="OFF","OFF","")</f>
        <v/>
      </c>
      <c r="BR65" s="56" t="str">
        <f>IF('⚙ OFF Weekends'!$D$65="OFF","OFF","")</f>
        <v/>
      </c>
      <c r="BS65" s="54" t="str">
        <f>IF('⚙ OFF Weekends'!$D$66="OFF","OFF","")</f>
        <v/>
      </c>
      <c r="BT65" s="56" t="str">
        <f>IF('⚙ OFF Weekends'!$D$67="OFF","OFF","")</f>
        <v/>
      </c>
      <c r="BU65" s="54" t="str">
        <f>IF('⚙ OFF Weekends'!$D$68="OFF","OFF","")</f>
        <v/>
      </c>
      <c r="BV65" s="56" t="str">
        <f>IF('⚙ OFF Weekends'!$D$69="OFF","OFF","")</f>
        <v/>
      </c>
      <c r="BW65" s="54" t="str">
        <f>IF('⚙ OFF Weekends'!$D$70="OFF","OFF","")</f>
        <v/>
      </c>
      <c r="BX65" s="56" t="str">
        <f>IF('⚙ OFF Weekends'!$D$71="OFF","OFF","")</f>
        <v/>
      </c>
      <c r="BY65" s="54" t="str">
        <f>IF('⚙ OFF Weekends'!$D$72="OFF","OFF","")</f>
        <v/>
      </c>
      <c r="BZ65" s="56" t="str">
        <f>IF('⚙ OFF Weekends'!$D$73="OFF","OFF","")</f>
        <v/>
      </c>
      <c r="CA65" s="54" t="str">
        <f>IF('⚙ OFF Weekends'!$D$74="OFF","OFF","")</f>
        <v/>
      </c>
      <c r="CB65" s="56" t="str">
        <f>IF('⚙ OFF Weekends'!$D$75="OFF","OFF","")</f>
        <v/>
      </c>
      <c r="CC65" s="54" t="str">
        <f>IF('⚙ OFF Weekends'!$D$76="OFF","OFF","")</f>
        <v/>
      </c>
      <c r="CD65" s="56" t="str">
        <f>IF('⚙ OFF Weekends'!$D$77="OFF","OFF","")</f>
        <v/>
      </c>
      <c r="CE65" s="96">
        <f t="shared" si="22"/>
        <v>9</v>
      </c>
      <c r="CF65" s="96">
        <f t="shared" si="23"/>
        <v>9</v>
      </c>
      <c r="CG65" s="96">
        <f t="shared" si="24"/>
        <v>0</v>
      </c>
      <c r="CH65" s="96" t="str">
        <f t="shared" si="25"/>
        <v>50%</v>
      </c>
    </row>
    <row r="66" ht="18.0" customHeight="1">
      <c r="A66" s="95">
        <v>13.0</v>
      </c>
      <c r="B66" s="12" t="s">
        <v>689</v>
      </c>
      <c r="C66" s="14" t="s">
        <v>690</v>
      </c>
      <c r="D66" s="17" t="str">
        <f t="shared" si="20"/>
        <v>📞 Call</v>
      </c>
      <c r="E66" s="19" t="str">
        <f t="shared" si="21"/>
        <v>💬 WhatsApp</v>
      </c>
      <c r="F66" s="10" t="s">
        <v>423</v>
      </c>
      <c r="G66" s="10" t="s">
        <v>549</v>
      </c>
      <c r="H66" s="10" t="s">
        <v>409</v>
      </c>
      <c r="I66" s="79" t="s">
        <v>223</v>
      </c>
      <c r="J66" s="79" t="s">
        <v>223</v>
      </c>
      <c r="K66" s="49" t="s">
        <v>197</v>
      </c>
      <c r="L66" s="79" t="s">
        <v>223</v>
      </c>
      <c r="M66" s="50" t="s">
        <v>37</v>
      </c>
      <c r="N66" s="48" t="s">
        <v>196</v>
      </c>
      <c r="O66" s="79" t="s">
        <v>223</v>
      </c>
      <c r="P66" s="48" t="s">
        <v>196</v>
      </c>
      <c r="Q66" s="50" t="s">
        <v>37</v>
      </c>
      <c r="R66" s="79" t="s">
        <v>223</v>
      </c>
      <c r="S66" s="52" t="s">
        <v>196</v>
      </c>
      <c r="T66" s="98" t="s">
        <v>196</v>
      </c>
      <c r="U66" s="52" t="s">
        <v>37</v>
      </c>
      <c r="V66" s="53" t="s">
        <v>223</v>
      </c>
      <c r="W66" s="54" t="str">
        <f>IF('⚙ OFF Weekends'!$D$18="OFF","OFF","")</f>
        <v>OFF</v>
      </c>
      <c r="X66" s="53" t="s">
        <v>198</v>
      </c>
      <c r="Y66" s="52" t="s">
        <v>198</v>
      </c>
      <c r="Z66" s="53" t="s">
        <v>198</v>
      </c>
      <c r="AA66" s="52" t="s">
        <v>198</v>
      </c>
      <c r="AB66" s="53" t="s">
        <v>37</v>
      </c>
      <c r="AC66" s="54" t="str">
        <f>IF('⚙ OFF Weekends'!$D$24="OFF","OFF","")</f>
        <v/>
      </c>
      <c r="AD66" s="56" t="str">
        <f>IF('⚙ OFF Weekends'!$D$25="OFF","OFF","")</f>
        <v/>
      </c>
      <c r="AE66" s="54" t="str">
        <f>IF('⚙ OFF Weekends'!$D$26="OFF","OFF","")</f>
        <v/>
      </c>
      <c r="AF66" s="56" t="str">
        <f>IF('⚙ OFF Weekends'!$D$27="OFF","OFF","")</f>
        <v/>
      </c>
      <c r="AG66" s="54" t="str">
        <f>IF('⚙ OFF Weekends'!$D$28="OFF","OFF","")</f>
        <v/>
      </c>
      <c r="AH66" s="56" t="str">
        <f>IF('⚙ OFF Weekends'!$D$29="OFF","OFF","")</f>
        <v/>
      </c>
      <c r="AI66" s="54" t="str">
        <f>IF('⚙ OFF Weekends'!$D$30="OFF","OFF","")</f>
        <v/>
      </c>
      <c r="AJ66" s="56" t="str">
        <f>IF('⚙ OFF Weekends'!$D$31="OFF","OFF","")</f>
        <v/>
      </c>
      <c r="AK66" s="54" t="str">
        <f>IF('⚙ OFF Weekends'!$D$32="OFF","OFF","")</f>
        <v/>
      </c>
      <c r="AL66" s="56" t="str">
        <f>IF('⚙ OFF Weekends'!$D$33="OFF","OFF","")</f>
        <v/>
      </c>
      <c r="AM66" s="54" t="str">
        <f>IF('⚙ OFF Weekends'!$D$34="OFF","OFF","")</f>
        <v/>
      </c>
      <c r="AN66" s="56" t="str">
        <f>IF('⚙ OFF Weekends'!$D$35="OFF","OFF","")</f>
        <v/>
      </c>
      <c r="AO66" s="54" t="str">
        <f>IF('⚙ OFF Weekends'!$D$36="OFF","OFF","")</f>
        <v/>
      </c>
      <c r="AP66" s="56" t="str">
        <f>IF('⚙ OFF Weekends'!$D$37="OFF","OFF","")</f>
        <v/>
      </c>
      <c r="AQ66" s="54" t="str">
        <f>IF('⚙ OFF Weekends'!$D$38="OFF","OFF","")</f>
        <v/>
      </c>
      <c r="AR66" s="56" t="str">
        <f>IF('⚙ OFF Weekends'!$D$39="OFF","OFF","")</f>
        <v/>
      </c>
      <c r="AS66" s="54" t="str">
        <f>IF('⚙ OFF Weekends'!$D$40="OFF","OFF","")</f>
        <v/>
      </c>
      <c r="AT66" s="56" t="str">
        <f>IF('⚙ OFF Weekends'!$D$41="OFF","OFF","")</f>
        <v/>
      </c>
      <c r="AU66" s="54" t="str">
        <f>IF('⚙ OFF Weekends'!$D$42="OFF","OFF","")</f>
        <v/>
      </c>
      <c r="AV66" s="56" t="str">
        <f>IF('⚙ OFF Weekends'!$D$43="OFF","OFF","")</f>
        <v/>
      </c>
      <c r="AW66" s="54" t="str">
        <f>IF('⚙ OFF Weekends'!$D$44="OFF","OFF","")</f>
        <v/>
      </c>
      <c r="AX66" s="56" t="str">
        <f>IF('⚙ OFF Weekends'!$D$45="OFF","OFF","")</f>
        <v/>
      </c>
      <c r="AY66" s="54" t="str">
        <f>IF('⚙ OFF Weekends'!$D$46="OFF","OFF","")</f>
        <v/>
      </c>
      <c r="AZ66" s="56" t="str">
        <f>IF('⚙ OFF Weekends'!$D$47="OFF","OFF","")</f>
        <v/>
      </c>
      <c r="BA66" s="54" t="str">
        <f>IF('⚙ OFF Weekends'!$D$48="OFF","OFF","")</f>
        <v/>
      </c>
      <c r="BB66" s="56" t="str">
        <f>IF('⚙ OFF Weekends'!$D$49="OFF","OFF","")</f>
        <v/>
      </c>
      <c r="BC66" s="54" t="str">
        <f>IF('⚙ OFF Weekends'!$D$50="OFF","OFF","")</f>
        <v/>
      </c>
      <c r="BD66" s="56" t="str">
        <f>IF('⚙ OFF Weekends'!$D$51="OFF","OFF","")</f>
        <v/>
      </c>
      <c r="BE66" s="54" t="str">
        <f>IF('⚙ OFF Weekends'!$D$52="OFF","OFF","")</f>
        <v/>
      </c>
      <c r="BF66" s="56" t="str">
        <f>IF('⚙ OFF Weekends'!$D$53="OFF","OFF","")</f>
        <v/>
      </c>
      <c r="BG66" s="54" t="str">
        <f>IF('⚙ OFF Weekends'!$D$54="OFF","OFF","")</f>
        <v/>
      </c>
      <c r="BH66" s="56" t="str">
        <f>IF('⚙ OFF Weekends'!$D$55="OFF","OFF","")</f>
        <v/>
      </c>
      <c r="BI66" s="54" t="str">
        <f>IF('⚙ OFF Weekends'!$D$56="OFF","OFF","")</f>
        <v/>
      </c>
      <c r="BJ66" s="56" t="str">
        <f>IF('⚙ OFF Weekends'!$D$57="OFF","OFF","")</f>
        <v/>
      </c>
      <c r="BK66" s="54" t="str">
        <f>IF('⚙ OFF Weekends'!$D$58="OFF","OFF","")</f>
        <v/>
      </c>
      <c r="BL66" s="56" t="str">
        <f>IF('⚙ OFF Weekends'!$D$59="OFF","OFF","")</f>
        <v/>
      </c>
      <c r="BM66" s="54" t="str">
        <f>IF('⚙ OFF Weekends'!$D$60="OFF","OFF","")</f>
        <v/>
      </c>
      <c r="BN66" s="56" t="str">
        <f>IF('⚙ OFF Weekends'!$D$61="OFF","OFF","")</f>
        <v/>
      </c>
      <c r="BO66" s="54" t="str">
        <f>IF('⚙ OFF Weekends'!$D$62="OFF","OFF","")</f>
        <v/>
      </c>
      <c r="BP66" s="56" t="str">
        <f>IF('⚙ OFF Weekends'!$D$63="OFF","OFF","")</f>
        <v/>
      </c>
      <c r="BQ66" s="54" t="str">
        <f>IF('⚙ OFF Weekends'!$D$64="OFF","OFF","")</f>
        <v/>
      </c>
      <c r="BR66" s="56" t="str">
        <f>IF('⚙ OFF Weekends'!$D$65="OFF","OFF","")</f>
        <v/>
      </c>
      <c r="BS66" s="54" t="str">
        <f>IF('⚙ OFF Weekends'!$D$66="OFF","OFF","")</f>
        <v/>
      </c>
      <c r="BT66" s="56" t="str">
        <f>IF('⚙ OFF Weekends'!$D$67="OFF","OFF","")</f>
        <v/>
      </c>
      <c r="BU66" s="54" t="str">
        <f>IF('⚙ OFF Weekends'!$D$68="OFF","OFF","")</f>
        <v/>
      </c>
      <c r="BV66" s="56" t="str">
        <f>IF('⚙ OFF Weekends'!$D$69="OFF","OFF","")</f>
        <v/>
      </c>
      <c r="BW66" s="54" t="str">
        <f>IF('⚙ OFF Weekends'!$D$70="OFF","OFF","")</f>
        <v/>
      </c>
      <c r="BX66" s="56" t="str">
        <f>IF('⚙ OFF Weekends'!$D$71="OFF","OFF","")</f>
        <v/>
      </c>
      <c r="BY66" s="54" t="str">
        <f>IF('⚙ OFF Weekends'!$D$72="OFF","OFF","")</f>
        <v/>
      </c>
      <c r="BZ66" s="56" t="str">
        <f>IF('⚙ OFF Weekends'!$D$73="OFF","OFF","")</f>
        <v/>
      </c>
      <c r="CA66" s="54" t="str">
        <f>IF('⚙ OFF Weekends'!$D$74="OFF","OFF","")</f>
        <v/>
      </c>
      <c r="CB66" s="56" t="str">
        <f>IF('⚙ OFF Weekends'!$D$75="OFF","OFF","")</f>
        <v/>
      </c>
      <c r="CC66" s="54" t="str">
        <f>IF('⚙ OFF Weekends'!$D$76="OFF","OFF","")</f>
        <v/>
      </c>
      <c r="CD66" s="56" t="str">
        <f>IF('⚙ OFF Weekends'!$D$77="OFF","OFF","")</f>
        <v/>
      </c>
      <c r="CE66" s="95">
        <f t="shared" si="22"/>
        <v>8</v>
      </c>
      <c r="CF66" s="95">
        <f t="shared" si="23"/>
        <v>6</v>
      </c>
      <c r="CG66" s="95">
        <f t="shared" si="24"/>
        <v>4</v>
      </c>
      <c r="CH66" s="95" t="str">
        <f t="shared" si="25"/>
        <v>57%</v>
      </c>
    </row>
    <row r="67" ht="18.0" customHeight="1">
      <c r="A67" s="96">
        <v>14.0</v>
      </c>
      <c r="B67" s="22" t="s">
        <v>693</v>
      </c>
      <c r="C67" s="23" t="s">
        <v>694</v>
      </c>
      <c r="D67" s="24" t="str">
        <f t="shared" si="20"/>
        <v>📞 Call</v>
      </c>
      <c r="E67" s="41" t="str">
        <f t="shared" si="21"/>
        <v>💬 WhatsApp</v>
      </c>
      <c r="F67" s="20" t="s">
        <v>423</v>
      </c>
      <c r="G67" s="20" t="s">
        <v>695</v>
      </c>
      <c r="H67" s="20" t="s">
        <v>320</v>
      </c>
      <c r="I67" s="50" t="s">
        <v>37</v>
      </c>
      <c r="J67" s="50" t="s">
        <v>37</v>
      </c>
      <c r="K67" s="49" t="s">
        <v>197</v>
      </c>
      <c r="L67" s="79" t="s">
        <v>223</v>
      </c>
      <c r="M67" s="50" t="s">
        <v>37</v>
      </c>
      <c r="N67" s="50" t="s">
        <v>37</v>
      </c>
      <c r="O67" s="50" t="s">
        <v>37</v>
      </c>
      <c r="P67" s="50" t="s">
        <v>37</v>
      </c>
      <c r="Q67" s="48" t="s">
        <v>196</v>
      </c>
      <c r="R67" s="77" t="s">
        <v>198</v>
      </c>
      <c r="S67" s="52" t="s">
        <v>37</v>
      </c>
      <c r="T67" s="98" t="s">
        <v>196</v>
      </c>
      <c r="U67" s="52" t="s">
        <v>37</v>
      </c>
      <c r="V67" s="53" t="s">
        <v>196</v>
      </c>
      <c r="W67" s="54" t="str">
        <f>IF('⚙ OFF Weekends'!$D$18="OFF","OFF","")</f>
        <v>OFF</v>
      </c>
      <c r="X67" s="53" t="s">
        <v>37</v>
      </c>
      <c r="Y67" s="52" t="s">
        <v>198</v>
      </c>
      <c r="Z67" s="53" t="s">
        <v>198</v>
      </c>
      <c r="AA67" s="52" t="s">
        <v>223</v>
      </c>
      <c r="AB67" s="53" t="s">
        <v>223</v>
      </c>
      <c r="AC67" s="54" t="str">
        <f>IF('⚙ OFF Weekends'!$D$24="OFF","OFF","")</f>
        <v/>
      </c>
      <c r="AD67" s="56" t="str">
        <f>IF('⚙ OFF Weekends'!$D$25="OFF","OFF","")</f>
        <v/>
      </c>
      <c r="AE67" s="54" t="str">
        <f>IF('⚙ OFF Weekends'!$D$26="OFF","OFF","")</f>
        <v/>
      </c>
      <c r="AF67" s="56" t="str">
        <f>IF('⚙ OFF Weekends'!$D$27="OFF","OFF","")</f>
        <v/>
      </c>
      <c r="AG67" s="54" t="str">
        <f>IF('⚙ OFF Weekends'!$D$28="OFF","OFF","")</f>
        <v/>
      </c>
      <c r="AH67" s="56" t="str">
        <f>IF('⚙ OFF Weekends'!$D$29="OFF","OFF","")</f>
        <v/>
      </c>
      <c r="AI67" s="54" t="str">
        <f>IF('⚙ OFF Weekends'!$D$30="OFF","OFF","")</f>
        <v/>
      </c>
      <c r="AJ67" s="56" t="str">
        <f>IF('⚙ OFF Weekends'!$D$31="OFF","OFF","")</f>
        <v/>
      </c>
      <c r="AK67" s="54" t="str">
        <f>IF('⚙ OFF Weekends'!$D$32="OFF","OFF","")</f>
        <v/>
      </c>
      <c r="AL67" s="56" t="str">
        <f>IF('⚙ OFF Weekends'!$D$33="OFF","OFF","")</f>
        <v/>
      </c>
      <c r="AM67" s="54" t="str">
        <f>IF('⚙ OFF Weekends'!$D$34="OFF","OFF","")</f>
        <v/>
      </c>
      <c r="AN67" s="56" t="str">
        <f>IF('⚙ OFF Weekends'!$D$35="OFF","OFF","")</f>
        <v/>
      </c>
      <c r="AO67" s="54" t="str">
        <f>IF('⚙ OFF Weekends'!$D$36="OFF","OFF","")</f>
        <v/>
      </c>
      <c r="AP67" s="56" t="str">
        <f>IF('⚙ OFF Weekends'!$D$37="OFF","OFF","")</f>
        <v/>
      </c>
      <c r="AQ67" s="54" t="str">
        <f>IF('⚙ OFF Weekends'!$D$38="OFF","OFF","")</f>
        <v/>
      </c>
      <c r="AR67" s="56" t="str">
        <f>IF('⚙ OFF Weekends'!$D$39="OFF","OFF","")</f>
        <v/>
      </c>
      <c r="AS67" s="54" t="str">
        <f>IF('⚙ OFF Weekends'!$D$40="OFF","OFF","")</f>
        <v/>
      </c>
      <c r="AT67" s="56" t="str">
        <f>IF('⚙ OFF Weekends'!$D$41="OFF","OFF","")</f>
        <v/>
      </c>
      <c r="AU67" s="54" t="str">
        <f>IF('⚙ OFF Weekends'!$D$42="OFF","OFF","")</f>
        <v/>
      </c>
      <c r="AV67" s="56" t="str">
        <f>IF('⚙ OFF Weekends'!$D$43="OFF","OFF","")</f>
        <v/>
      </c>
      <c r="AW67" s="54" t="str">
        <f>IF('⚙ OFF Weekends'!$D$44="OFF","OFF","")</f>
        <v/>
      </c>
      <c r="AX67" s="56" t="str">
        <f>IF('⚙ OFF Weekends'!$D$45="OFF","OFF","")</f>
        <v/>
      </c>
      <c r="AY67" s="54" t="str">
        <f>IF('⚙ OFF Weekends'!$D$46="OFF","OFF","")</f>
        <v/>
      </c>
      <c r="AZ67" s="56" t="str">
        <f>IF('⚙ OFF Weekends'!$D$47="OFF","OFF","")</f>
        <v/>
      </c>
      <c r="BA67" s="54" t="str">
        <f>IF('⚙ OFF Weekends'!$D$48="OFF","OFF","")</f>
        <v/>
      </c>
      <c r="BB67" s="56" t="str">
        <f>IF('⚙ OFF Weekends'!$D$49="OFF","OFF","")</f>
        <v/>
      </c>
      <c r="BC67" s="54" t="str">
        <f>IF('⚙ OFF Weekends'!$D$50="OFF","OFF","")</f>
        <v/>
      </c>
      <c r="BD67" s="56" t="str">
        <f>IF('⚙ OFF Weekends'!$D$51="OFF","OFF","")</f>
        <v/>
      </c>
      <c r="BE67" s="54" t="str">
        <f>IF('⚙ OFF Weekends'!$D$52="OFF","OFF","")</f>
        <v/>
      </c>
      <c r="BF67" s="56" t="str">
        <f>IF('⚙ OFF Weekends'!$D$53="OFF","OFF","")</f>
        <v/>
      </c>
      <c r="BG67" s="54" t="str">
        <f>IF('⚙ OFF Weekends'!$D$54="OFF","OFF","")</f>
        <v/>
      </c>
      <c r="BH67" s="56" t="str">
        <f>IF('⚙ OFF Weekends'!$D$55="OFF","OFF","")</f>
        <v/>
      </c>
      <c r="BI67" s="54" t="str">
        <f>IF('⚙ OFF Weekends'!$D$56="OFF","OFF","")</f>
        <v/>
      </c>
      <c r="BJ67" s="56" t="str">
        <f>IF('⚙ OFF Weekends'!$D$57="OFF","OFF","")</f>
        <v/>
      </c>
      <c r="BK67" s="54" t="str">
        <f>IF('⚙ OFF Weekends'!$D$58="OFF","OFF","")</f>
        <v/>
      </c>
      <c r="BL67" s="56" t="str">
        <f>IF('⚙ OFF Weekends'!$D$59="OFF","OFF","")</f>
        <v/>
      </c>
      <c r="BM67" s="54" t="str">
        <f>IF('⚙ OFF Weekends'!$D$60="OFF","OFF","")</f>
        <v/>
      </c>
      <c r="BN67" s="56" t="str">
        <f>IF('⚙ OFF Weekends'!$D$61="OFF","OFF","")</f>
        <v/>
      </c>
      <c r="BO67" s="54" t="str">
        <f>IF('⚙ OFF Weekends'!$D$62="OFF","OFF","")</f>
        <v/>
      </c>
      <c r="BP67" s="56" t="str">
        <f>IF('⚙ OFF Weekends'!$D$63="OFF","OFF","")</f>
        <v/>
      </c>
      <c r="BQ67" s="54" t="str">
        <f>IF('⚙ OFF Weekends'!$D$64="OFF","OFF","")</f>
        <v/>
      </c>
      <c r="BR67" s="56" t="str">
        <f>IF('⚙ OFF Weekends'!$D$65="OFF","OFF","")</f>
        <v/>
      </c>
      <c r="BS67" s="54" t="str">
        <f>IF('⚙ OFF Weekends'!$D$66="OFF","OFF","")</f>
        <v/>
      </c>
      <c r="BT67" s="56" t="str">
        <f>IF('⚙ OFF Weekends'!$D$67="OFF","OFF","")</f>
        <v/>
      </c>
      <c r="BU67" s="54" t="str">
        <f>IF('⚙ OFF Weekends'!$D$68="OFF","OFF","")</f>
        <v/>
      </c>
      <c r="BV67" s="56" t="str">
        <f>IF('⚙ OFF Weekends'!$D$69="OFF","OFF","")</f>
        <v/>
      </c>
      <c r="BW67" s="54" t="str">
        <f>IF('⚙ OFF Weekends'!$D$70="OFF","OFF","")</f>
        <v/>
      </c>
      <c r="BX67" s="56" t="str">
        <f>IF('⚙ OFF Weekends'!$D$71="OFF","OFF","")</f>
        <v/>
      </c>
      <c r="BY67" s="54" t="str">
        <f>IF('⚙ OFF Weekends'!$D$72="OFF","OFF","")</f>
        <v/>
      </c>
      <c r="BZ67" s="56" t="str">
        <f>IF('⚙ OFF Weekends'!$D$73="OFF","OFF","")</f>
        <v/>
      </c>
      <c r="CA67" s="54" t="str">
        <f>IF('⚙ OFF Weekends'!$D$74="OFF","OFF","")</f>
        <v/>
      </c>
      <c r="CB67" s="56" t="str">
        <f>IF('⚙ OFF Weekends'!$D$75="OFF","OFF","")</f>
        <v/>
      </c>
      <c r="CC67" s="54" t="str">
        <f>IF('⚙ OFF Weekends'!$D$76="OFF","OFF","")</f>
        <v/>
      </c>
      <c r="CD67" s="56" t="str">
        <f>IF('⚙ OFF Weekends'!$D$77="OFF","OFF","")</f>
        <v/>
      </c>
      <c r="CE67" s="96">
        <f t="shared" si="22"/>
        <v>12</v>
      </c>
      <c r="CF67" s="96">
        <f t="shared" si="23"/>
        <v>3</v>
      </c>
      <c r="CG67" s="96">
        <f t="shared" si="24"/>
        <v>3</v>
      </c>
      <c r="CH67" s="96" t="str">
        <f t="shared" si="25"/>
        <v>80%</v>
      </c>
    </row>
    <row r="68" ht="18.0" customHeight="1">
      <c r="A68" s="95">
        <v>15.0</v>
      </c>
      <c r="B68" s="12" t="s">
        <v>696</v>
      </c>
      <c r="C68" s="14" t="s">
        <v>697</v>
      </c>
      <c r="D68" s="17" t="str">
        <f t="shared" si="20"/>
        <v>📞 Call</v>
      </c>
      <c r="E68" s="19" t="str">
        <f t="shared" si="21"/>
        <v>💬 WhatsApp</v>
      </c>
      <c r="F68" s="10" t="s">
        <v>423</v>
      </c>
      <c r="G68" s="10" t="s">
        <v>294</v>
      </c>
      <c r="H68" s="10" t="s">
        <v>330</v>
      </c>
      <c r="I68" s="50" t="s">
        <v>37</v>
      </c>
      <c r="J68" s="50" t="s">
        <v>37</v>
      </c>
      <c r="K68" s="49" t="s">
        <v>197</v>
      </c>
      <c r="L68" s="48" t="s">
        <v>196</v>
      </c>
      <c r="M68" s="48" t="s">
        <v>196</v>
      </c>
      <c r="N68" s="50" t="s">
        <v>37</v>
      </c>
      <c r="O68" s="79" t="s">
        <v>223</v>
      </c>
      <c r="P68" s="50" t="s">
        <v>37</v>
      </c>
      <c r="Q68" s="48" t="s">
        <v>196</v>
      </c>
      <c r="R68" s="50" t="s">
        <v>37</v>
      </c>
      <c r="S68" s="52" t="s">
        <v>37</v>
      </c>
      <c r="T68" s="98" t="s">
        <v>196</v>
      </c>
      <c r="U68" s="52" t="s">
        <v>196</v>
      </c>
      <c r="V68" s="53" t="s">
        <v>196</v>
      </c>
      <c r="W68" s="54" t="str">
        <f>IF('⚙ OFF Weekends'!$D$18="OFF","OFF","")</f>
        <v>OFF</v>
      </c>
      <c r="X68" s="53" t="s">
        <v>196</v>
      </c>
      <c r="Y68" s="52" t="s">
        <v>196</v>
      </c>
      <c r="Z68" s="53" t="s">
        <v>223</v>
      </c>
      <c r="AA68" s="52" t="s">
        <v>196</v>
      </c>
      <c r="AB68" s="53" t="s">
        <v>223</v>
      </c>
      <c r="AC68" s="54" t="str">
        <f>IF('⚙ OFF Weekends'!$D$24="OFF","OFF","")</f>
        <v/>
      </c>
      <c r="AD68" s="56" t="str">
        <f>IF('⚙ OFF Weekends'!$D$25="OFF","OFF","")</f>
        <v/>
      </c>
      <c r="AE68" s="54" t="str">
        <f>IF('⚙ OFF Weekends'!$D$26="OFF","OFF","")</f>
        <v/>
      </c>
      <c r="AF68" s="56" t="str">
        <f>IF('⚙ OFF Weekends'!$D$27="OFF","OFF","")</f>
        <v/>
      </c>
      <c r="AG68" s="54" t="str">
        <f>IF('⚙ OFF Weekends'!$D$28="OFF","OFF","")</f>
        <v/>
      </c>
      <c r="AH68" s="56" t="str">
        <f>IF('⚙ OFF Weekends'!$D$29="OFF","OFF","")</f>
        <v/>
      </c>
      <c r="AI68" s="54" t="str">
        <f>IF('⚙ OFF Weekends'!$D$30="OFF","OFF","")</f>
        <v/>
      </c>
      <c r="AJ68" s="56" t="str">
        <f>IF('⚙ OFF Weekends'!$D$31="OFF","OFF","")</f>
        <v/>
      </c>
      <c r="AK68" s="54" t="str">
        <f>IF('⚙ OFF Weekends'!$D$32="OFF","OFF","")</f>
        <v/>
      </c>
      <c r="AL68" s="56" t="str">
        <f>IF('⚙ OFF Weekends'!$D$33="OFF","OFF","")</f>
        <v/>
      </c>
      <c r="AM68" s="54" t="str">
        <f>IF('⚙ OFF Weekends'!$D$34="OFF","OFF","")</f>
        <v/>
      </c>
      <c r="AN68" s="56" t="str">
        <f>IF('⚙ OFF Weekends'!$D$35="OFF","OFF","")</f>
        <v/>
      </c>
      <c r="AO68" s="54" t="str">
        <f>IF('⚙ OFF Weekends'!$D$36="OFF","OFF","")</f>
        <v/>
      </c>
      <c r="AP68" s="56" t="str">
        <f>IF('⚙ OFF Weekends'!$D$37="OFF","OFF","")</f>
        <v/>
      </c>
      <c r="AQ68" s="54" t="str">
        <f>IF('⚙ OFF Weekends'!$D$38="OFF","OFF","")</f>
        <v/>
      </c>
      <c r="AR68" s="56" t="str">
        <f>IF('⚙ OFF Weekends'!$D$39="OFF","OFF","")</f>
        <v/>
      </c>
      <c r="AS68" s="54" t="str">
        <f>IF('⚙ OFF Weekends'!$D$40="OFF","OFF","")</f>
        <v/>
      </c>
      <c r="AT68" s="56" t="str">
        <f>IF('⚙ OFF Weekends'!$D$41="OFF","OFF","")</f>
        <v/>
      </c>
      <c r="AU68" s="54" t="str">
        <f>IF('⚙ OFF Weekends'!$D$42="OFF","OFF","")</f>
        <v/>
      </c>
      <c r="AV68" s="56" t="str">
        <f>IF('⚙ OFF Weekends'!$D$43="OFF","OFF","")</f>
        <v/>
      </c>
      <c r="AW68" s="54" t="str">
        <f>IF('⚙ OFF Weekends'!$D$44="OFF","OFF","")</f>
        <v/>
      </c>
      <c r="AX68" s="56" t="str">
        <f>IF('⚙ OFF Weekends'!$D$45="OFF","OFF","")</f>
        <v/>
      </c>
      <c r="AY68" s="54" t="str">
        <f>IF('⚙ OFF Weekends'!$D$46="OFF","OFF","")</f>
        <v/>
      </c>
      <c r="AZ68" s="56" t="str">
        <f>IF('⚙ OFF Weekends'!$D$47="OFF","OFF","")</f>
        <v/>
      </c>
      <c r="BA68" s="54" t="str">
        <f>IF('⚙ OFF Weekends'!$D$48="OFF","OFF","")</f>
        <v/>
      </c>
      <c r="BB68" s="56" t="str">
        <f>IF('⚙ OFF Weekends'!$D$49="OFF","OFF","")</f>
        <v/>
      </c>
      <c r="BC68" s="54" t="str">
        <f>IF('⚙ OFF Weekends'!$D$50="OFF","OFF","")</f>
        <v/>
      </c>
      <c r="BD68" s="56" t="str">
        <f>IF('⚙ OFF Weekends'!$D$51="OFF","OFF","")</f>
        <v/>
      </c>
      <c r="BE68" s="54" t="str">
        <f>IF('⚙ OFF Weekends'!$D$52="OFF","OFF","")</f>
        <v/>
      </c>
      <c r="BF68" s="56" t="str">
        <f>IF('⚙ OFF Weekends'!$D$53="OFF","OFF","")</f>
        <v/>
      </c>
      <c r="BG68" s="54" t="str">
        <f>IF('⚙ OFF Weekends'!$D$54="OFF","OFF","")</f>
        <v/>
      </c>
      <c r="BH68" s="56" t="str">
        <f>IF('⚙ OFF Weekends'!$D$55="OFF","OFF","")</f>
        <v/>
      </c>
      <c r="BI68" s="54" t="str">
        <f>IF('⚙ OFF Weekends'!$D$56="OFF","OFF","")</f>
        <v/>
      </c>
      <c r="BJ68" s="56" t="str">
        <f>IF('⚙ OFF Weekends'!$D$57="OFF","OFF","")</f>
        <v/>
      </c>
      <c r="BK68" s="54" t="str">
        <f>IF('⚙ OFF Weekends'!$D$58="OFF","OFF","")</f>
        <v/>
      </c>
      <c r="BL68" s="56" t="str">
        <f>IF('⚙ OFF Weekends'!$D$59="OFF","OFF","")</f>
        <v/>
      </c>
      <c r="BM68" s="54" t="str">
        <f>IF('⚙ OFF Weekends'!$D$60="OFF","OFF","")</f>
        <v/>
      </c>
      <c r="BN68" s="56" t="str">
        <f>IF('⚙ OFF Weekends'!$D$61="OFF","OFF","")</f>
        <v/>
      </c>
      <c r="BO68" s="54" t="str">
        <f>IF('⚙ OFF Weekends'!$D$62="OFF","OFF","")</f>
        <v/>
      </c>
      <c r="BP68" s="56" t="str">
        <f>IF('⚙ OFF Weekends'!$D$63="OFF","OFF","")</f>
        <v/>
      </c>
      <c r="BQ68" s="54" t="str">
        <f>IF('⚙ OFF Weekends'!$D$64="OFF","OFF","")</f>
        <v/>
      </c>
      <c r="BR68" s="56" t="str">
        <f>IF('⚙ OFF Weekends'!$D$65="OFF","OFF","")</f>
        <v/>
      </c>
      <c r="BS68" s="54" t="str">
        <f>IF('⚙ OFF Weekends'!$D$66="OFF","OFF","")</f>
        <v/>
      </c>
      <c r="BT68" s="56" t="str">
        <f>IF('⚙ OFF Weekends'!$D$67="OFF","OFF","")</f>
        <v/>
      </c>
      <c r="BU68" s="54" t="str">
        <f>IF('⚙ OFF Weekends'!$D$68="OFF","OFF","")</f>
        <v/>
      </c>
      <c r="BV68" s="56" t="str">
        <f>IF('⚙ OFF Weekends'!$D$69="OFF","OFF","")</f>
        <v/>
      </c>
      <c r="BW68" s="54" t="str">
        <f>IF('⚙ OFF Weekends'!$D$70="OFF","OFF","")</f>
        <v/>
      </c>
      <c r="BX68" s="56" t="str">
        <f>IF('⚙ OFF Weekends'!$D$71="OFF","OFF","")</f>
        <v/>
      </c>
      <c r="BY68" s="54" t="str">
        <f>IF('⚙ OFF Weekends'!$D$72="OFF","OFF","")</f>
        <v/>
      </c>
      <c r="BZ68" s="56" t="str">
        <f>IF('⚙ OFF Weekends'!$D$73="OFF","OFF","")</f>
        <v/>
      </c>
      <c r="CA68" s="54" t="str">
        <f>IF('⚙ OFF Weekends'!$D$74="OFF","OFF","")</f>
        <v/>
      </c>
      <c r="CB68" s="56" t="str">
        <f>IF('⚙ OFF Weekends'!$D$75="OFF","OFF","")</f>
        <v/>
      </c>
      <c r="CC68" s="54" t="str">
        <f>IF('⚙ OFF Weekends'!$D$76="OFF","OFF","")</f>
        <v/>
      </c>
      <c r="CD68" s="56" t="str">
        <f>IF('⚙ OFF Weekends'!$D$77="OFF","OFF","")</f>
        <v/>
      </c>
      <c r="CE68" s="95">
        <f t="shared" si="22"/>
        <v>15</v>
      </c>
      <c r="CF68" s="95">
        <f t="shared" si="23"/>
        <v>3</v>
      </c>
      <c r="CG68" s="95">
        <f t="shared" si="24"/>
        <v>0</v>
      </c>
      <c r="CH68" s="95" t="str">
        <f t="shared" si="25"/>
        <v>83%</v>
      </c>
    </row>
    <row r="69" ht="18.0" customHeight="1">
      <c r="A69" s="96">
        <v>16.0</v>
      </c>
      <c r="B69" s="22" t="s">
        <v>667</v>
      </c>
      <c r="C69" s="23" t="s">
        <v>490</v>
      </c>
      <c r="D69" s="24" t="str">
        <f t="shared" si="20"/>
        <v>📞 Call</v>
      </c>
      <c r="E69" s="41" t="str">
        <f t="shared" si="21"/>
        <v>💬 WhatsApp</v>
      </c>
      <c r="F69" s="20" t="s">
        <v>423</v>
      </c>
      <c r="G69" s="20" t="s">
        <v>339</v>
      </c>
      <c r="H69" s="20" t="s">
        <v>299</v>
      </c>
      <c r="I69" s="50" t="s">
        <v>37</v>
      </c>
      <c r="J69" s="50" t="s">
        <v>37</v>
      </c>
      <c r="K69" s="49" t="s">
        <v>197</v>
      </c>
      <c r="L69" s="50" t="s">
        <v>37</v>
      </c>
      <c r="M69" s="50" t="s">
        <v>37</v>
      </c>
      <c r="N69" s="50" t="s">
        <v>37</v>
      </c>
      <c r="O69" s="50" t="s">
        <v>37</v>
      </c>
      <c r="P69" s="50" t="s">
        <v>37</v>
      </c>
      <c r="Q69" s="50" t="s">
        <v>37</v>
      </c>
      <c r="R69" s="50" t="s">
        <v>37</v>
      </c>
      <c r="S69" s="52" t="s">
        <v>37</v>
      </c>
      <c r="T69" s="98" t="s">
        <v>196</v>
      </c>
      <c r="U69" s="52" t="s">
        <v>37</v>
      </c>
      <c r="V69" s="53" t="s">
        <v>37</v>
      </c>
      <c r="W69" s="54" t="str">
        <f>IF('⚙ OFF Weekends'!$D$18="OFF","OFF","")</f>
        <v>OFF</v>
      </c>
      <c r="X69" s="53" t="s">
        <v>198</v>
      </c>
      <c r="Y69" s="52" t="s">
        <v>196</v>
      </c>
      <c r="Z69" s="53" t="s">
        <v>37</v>
      </c>
      <c r="AA69" s="52" t="s">
        <v>37</v>
      </c>
      <c r="AB69" s="53" t="s">
        <v>37</v>
      </c>
      <c r="AC69" s="54" t="str">
        <f>IF('⚙ OFF Weekends'!$D$24="OFF","OFF","")</f>
        <v/>
      </c>
      <c r="AD69" s="56" t="str">
        <f>IF('⚙ OFF Weekends'!$D$25="OFF","OFF","")</f>
        <v/>
      </c>
      <c r="AE69" s="54" t="str">
        <f>IF('⚙ OFF Weekends'!$D$26="OFF","OFF","")</f>
        <v/>
      </c>
      <c r="AF69" s="56" t="str">
        <f>IF('⚙ OFF Weekends'!$D$27="OFF","OFF","")</f>
        <v/>
      </c>
      <c r="AG69" s="54" t="str">
        <f>IF('⚙ OFF Weekends'!$D$28="OFF","OFF","")</f>
        <v/>
      </c>
      <c r="AH69" s="56" t="str">
        <f>IF('⚙ OFF Weekends'!$D$29="OFF","OFF","")</f>
        <v/>
      </c>
      <c r="AI69" s="54" t="str">
        <f>IF('⚙ OFF Weekends'!$D$30="OFF","OFF","")</f>
        <v/>
      </c>
      <c r="AJ69" s="56" t="str">
        <f>IF('⚙ OFF Weekends'!$D$31="OFF","OFF","")</f>
        <v/>
      </c>
      <c r="AK69" s="54" t="str">
        <f>IF('⚙ OFF Weekends'!$D$32="OFF","OFF","")</f>
        <v/>
      </c>
      <c r="AL69" s="56" t="str">
        <f>IF('⚙ OFF Weekends'!$D$33="OFF","OFF","")</f>
        <v/>
      </c>
      <c r="AM69" s="54" t="str">
        <f>IF('⚙ OFF Weekends'!$D$34="OFF","OFF","")</f>
        <v/>
      </c>
      <c r="AN69" s="56" t="str">
        <f>IF('⚙ OFF Weekends'!$D$35="OFF","OFF","")</f>
        <v/>
      </c>
      <c r="AO69" s="54" t="str">
        <f>IF('⚙ OFF Weekends'!$D$36="OFF","OFF","")</f>
        <v/>
      </c>
      <c r="AP69" s="56" t="str">
        <f>IF('⚙ OFF Weekends'!$D$37="OFF","OFF","")</f>
        <v/>
      </c>
      <c r="AQ69" s="54" t="str">
        <f>IF('⚙ OFF Weekends'!$D$38="OFF","OFF","")</f>
        <v/>
      </c>
      <c r="AR69" s="56" t="str">
        <f>IF('⚙ OFF Weekends'!$D$39="OFF","OFF","")</f>
        <v/>
      </c>
      <c r="AS69" s="54" t="str">
        <f>IF('⚙ OFF Weekends'!$D$40="OFF","OFF","")</f>
        <v/>
      </c>
      <c r="AT69" s="56" t="str">
        <f>IF('⚙ OFF Weekends'!$D$41="OFF","OFF","")</f>
        <v/>
      </c>
      <c r="AU69" s="54" t="str">
        <f>IF('⚙ OFF Weekends'!$D$42="OFF","OFF","")</f>
        <v/>
      </c>
      <c r="AV69" s="56" t="str">
        <f>IF('⚙ OFF Weekends'!$D$43="OFF","OFF","")</f>
        <v/>
      </c>
      <c r="AW69" s="54" t="str">
        <f>IF('⚙ OFF Weekends'!$D$44="OFF","OFF","")</f>
        <v/>
      </c>
      <c r="AX69" s="56" t="str">
        <f>IF('⚙ OFF Weekends'!$D$45="OFF","OFF","")</f>
        <v/>
      </c>
      <c r="AY69" s="54" t="str">
        <f>IF('⚙ OFF Weekends'!$D$46="OFF","OFF","")</f>
        <v/>
      </c>
      <c r="AZ69" s="56" t="str">
        <f>IF('⚙ OFF Weekends'!$D$47="OFF","OFF","")</f>
        <v/>
      </c>
      <c r="BA69" s="54" t="str">
        <f>IF('⚙ OFF Weekends'!$D$48="OFF","OFF","")</f>
        <v/>
      </c>
      <c r="BB69" s="56" t="str">
        <f>IF('⚙ OFF Weekends'!$D$49="OFF","OFF","")</f>
        <v/>
      </c>
      <c r="BC69" s="54" t="str">
        <f>IF('⚙ OFF Weekends'!$D$50="OFF","OFF","")</f>
        <v/>
      </c>
      <c r="BD69" s="56" t="str">
        <f>IF('⚙ OFF Weekends'!$D$51="OFF","OFF","")</f>
        <v/>
      </c>
      <c r="BE69" s="54" t="str">
        <f>IF('⚙ OFF Weekends'!$D$52="OFF","OFF","")</f>
        <v/>
      </c>
      <c r="BF69" s="56" t="str">
        <f>IF('⚙ OFF Weekends'!$D$53="OFF","OFF","")</f>
        <v/>
      </c>
      <c r="BG69" s="54" t="str">
        <f>IF('⚙ OFF Weekends'!$D$54="OFF","OFF","")</f>
        <v/>
      </c>
      <c r="BH69" s="56" t="str">
        <f>IF('⚙ OFF Weekends'!$D$55="OFF","OFF","")</f>
        <v/>
      </c>
      <c r="BI69" s="54" t="str">
        <f>IF('⚙ OFF Weekends'!$D$56="OFF","OFF","")</f>
        <v/>
      </c>
      <c r="BJ69" s="56" t="str">
        <f>IF('⚙ OFF Weekends'!$D$57="OFF","OFF","")</f>
        <v/>
      </c>
      <c r="BK69" s="54" t="str">
        <f>IF('⚙ OFF Weekends'!$D$58="OFF","OFF","")</f>
        <v/>
      </c>
      <c r="BL69" s="56" t="str">
        <f>IF('⚙ OFF Weekends'!$D$59="OFF","OFF","")</f>
        <v/>
      </c>
      <c r="BM69" s="54" t="str">
        <f>IF('⚙ OFF Weekends'!$D$60="OFF","OFF","")</f>
        <v/>
      </c>
      <c r="BN69" s="56" t="str">
        <f>IF('⚙ OFF Weekends'!$D$61="OFF","OFF","")</f>
        <v/>
      </c>
      <c r="BO69" s="54" t="str">
        <f>IF('⚙ OFF Weekends'!$D$62="OFF","OFF","")</f>
        <v/>
      </c>
      <c r="BP69" s="56" t="str">
        <f>IF('⚙ OFF Weekends'!$D$63="OFF","OFF","")</f>
        <v/>
      </c>
      <c r="BQ69" s="54" t="str">
        <f>IF('⚙ OFF Weekends'!$D$64="OFF","OFF","")</f>
        <v/>
      </c>
      <c r="BR69" s="56" t="str">
        <f>IF('⚙ OFF Weekends'!$D$65="OFF","OFF","")</f>
        <v/>
      </c>
      <c r="BS69" s="54" t="str">
        <f>IF('⚙ OFF Weekends'!$D$66="OFF","OFF","")</f>
        <v/>
      </c>
      <c r="BT69" s="56" t="str">
        <f>IF('⚙ OFF Weekends'!$D$67="OFF","OFF","")</f>
        <v/>
      </c>
      <c r="BU69" s="54" t="str">
        <f>IF('⚙ OFF Weekends'!$D$68="OFF","OFF","")</f>
        <v/>
      </c>
      <c r="BV69" s="56" t="str">
        <f>IF('⚙ OFF Weekends'!$D$69="OFF","OFF","")</f>
        <v/>
      </c>
      <c r="BW69" s="54" t="str">
        <f>IF('⚙ OFF Weekends'!$D$70="OFF","OFF","")</f>
        <v/>
      </c>
      <c r="BX69" s="56" t="str">
        <f>IF('⚙ OFF Weekends'!$D$71="OFF","OFF","")</f>
        <v/>
      </c>
      <c r="BY69" s="54" t="str">
        <f>IF('⚙ OFF Weekends'!$D$72="OFF","OFF","")</f>
        <v/>
      </c>
      <c r="BZ69" s="56" t="str">
        <f>IF('⚙ OFF Weekends'!$D$73="OFF","OFF","")</f>
        <v/>
      </c>
      <c r="CA69" s="54" t="str">
        <f>IF('⚙ OFF Weekends'!$D$74="OFF","OFF","")</f>
        <v/>
      </c>
      <c r="CB69" s="56" t="str">
        <f>IF('⚙ OFF Weekends'!$D$75="OFF","OFF","")</f>
        <v/>
      </c>
      <c r="CC69" s="54" t="str">
        <f>IF('⚙ OFF Weekends'!$D$76="OFF","OFF","")</f>
        <v/>
      </c>
      <c r="CD69" s="56" t="str">
        <f>IF('⚙ OFF Weekends'!$D$77="OFF","OFF","")</f>
        <v/>
      </c>
      <c r="CE69" s="96">
        <f t="shared" si="22"/>
        <v>17</v>
      </c>
      <c r="CF69" s="96">
        <f t="shared" si="23"/>
        <v>0</v>
      </c>
      <c r="CG69" s="96">
        <f t="shared" si="24"/>
        <v>1</v>
      </c>
      <c r="CH69" s="96" t="str">
        <f t="shared" si="25"/>
        <v>100%</v>
      </c>
    </row>
    <row r="70" ht="18.0" customHeight="1">
      <c r="A70" s="95">
        <v>17.0</v>
      </c>
      <c r="B70" s="12" t="s">
        <v>702</v>
      </c>
      <c r="C70" s="14" t="s">
        <v>703</v>
      </c>
      <c r="D70" s="17" t="str">
        <f t="shared" si="20"/>
        <v>📞 Call</v>
      </c>
      <c r="E70" s="19" t="str">
        <f t="shared" si="21"/>
        <v>💬 WhatsApp</v>
      </c>
      <c r="F70" s="10" t="s">
        <v>423</v>
      </c>
      <c r="G70" s="10" t="s">
        <v>339</v>
      </c>
      <c r="H70" s="10" t="s">
        <v>299</v>
      </c>
      <c r="I70" s="54" t="str">
        <f>IF('⚙ OFF Weekends'!$D$4="OFF","OFF","")</f>
        <v/>
      </c>
      <c r="J70" s="50" t="s">
        <v>37</v>
      </c>
      <c r="K70" s="49" t="s">
        <v>197</v>
      </c>
      <c r="L70" s="79" t="s">
        <v>223</v>
      </c>
      <c r="M70" s="77" t="s">
        <v>198</v>
      </c>
      <c r="N70" s="79" t="s">
        <v>223</v>
      </c>
      <c r="O70" s="79" t="s">
        <v>223</v>
      </c>
      <c r="P70" s="79" t="s">
        <v>223</v>
      </c>
      <c r="Q70" s="79" t="s">
        <v>223</v>
      </c>
      <c r="R70" s="79" t="s">
        <v>223</v>
      </c>
      <c r="S70" s="52" t="s">
        <v>223</v>
      </c>
      <c r="T70" s="98" t="s">
        <v>223</v>
      </c>
      <c r="U70" s="52" t="s">
        <v>223</v>
      </c>
      <c r="V70" s="53" t="s">
        <v>223</v>
      </c>
      <c r="W70" s="54" t="str">
        <f>IF('⚙ OFF Weekends'!$D$18="OFF","OFF","")</f>
        <v>OFF</v>
      </c>
      <c r="X70" s="53" t="s">
        <v>223</v>
      </c>
      <c r="Y70" s="52" t="s">
        <v>223</v>
      </c>
      <c r="Z70" s="53" t="s">
        <v>223</v>
      </c>
      <c r="AA70" s="52" t="s">
        <v>223</v>
      </c>
      <c r="AB70" s="53" t="s">
        <v>223</v>
      </c>
      <c r="AC70" s="54" t="str">
        <f>IF('⚙ OFF Weekends'!$D$24="OFF","OFF","")</f>
        <v/>
      </c>
      <c r="AD70" s="56" t="str">
        <f>IF('⚙ OFF Weekends'!$D$25="OFF","OFF","")</f>
        <v/>
      </c>
      <c r="AE70" s="54" t="str">
        <f>IF('⚙ OFF Weekends'!$D$26="OFF","OFF","")</f>
        <v/>
      </c>
      <c r="AF70" s="56" t="str">
        <f>IF('⚙ OFF Weekends'!$D$27="OFF","OFF","")</f>
        <v/>
      </c>
      <c r="AG70" s="54" t="str">
        <f>IF('⚙ OFF Weekends'!$D$28="OFF","OFF","")</f>
        <v/>
      </c>
      <c r="AH70" s="56" t="str">
        <f>IF('⚙ OFF Weekends'!$D$29="OFF","OFF","")</f>
        <v/>
      </c>
      <c r="AI70" s="54" t="str">
        <f>IF('⚙ OFF Weekends'!$D$30="OFF","OFF","")</f>
        <v/>
      </c>
      <c r="AJ70" s="56" t="str">
        <f>IF('⚙ OFF Weekends'!$D$31="OFF","OFF","")</f>
        <v/>
      </c>
      <c r="AK70" s="54" t="str">
        <f>IF('⚙ OFF Weekends'!$D$32="OFF","OFF","")</f>
        <v/>
      </c>
      <c r="AL70" s="56" t="str">
        <f>IF('⚙ OFF Weekends'!$D$33="OFF","OFF","")</f>
        <v/>
      </c>
      <c r="AM70" s="54" t="str">
        <f>IF('⚙ OFF Weekends'!$D$34="OFF","OFF","")</f>
        <v/>
      </c>
      <c r="AN70" s="56" t="str">
        <f>IF('⚙ OFF Weekends'!$D$35="OFF","OFF","")</f>
        <v/>
      </c>
      <c r="AO70" s="54" t="str">
        <f>IF('⚙ OFF Weekends'!$D$36="OFF","OFF","")</f>
        <v/>
      </c>
      <c r="AP70" s="56" t="str">
        <f>IF('⚙ OFF Weekends'!$D$37="OFF","OFF","")</f>
        <v/>
      </c>
      <c r="AQ70" s="54" t="str">
        <f>IF('⚙ OFF Weekends'!$D$38="OFF","OFF","")</f>
        <v/>
      </c>
      <c r="AR70" s="56" t="str">
        <f>IF('⚙ OFF Weekends'!$D$39="OFF","OFF","")</f>
        <v/>
      </c>
      <c r="AS70" s="54" t="str">
        <f>IF('⚙ OFF Weekends'!$D$40="OFF","OFF","")</f>
        <v/>
      </c>
      <c r="AT70" s="56" t="str">
        <f>IF('⚙ OFF Weekends'!$D$41="OFF","OFF","")</f>
        <v/>
      </c>
      <c r="AU70" s="54" t="str">
        <f>IF('⚙ OFF Weekends'!$D$42="OFF","OFF","")</f>
        <v/>
      </c>
      <c r="AV70" s="56" t="str">
        <f>IF('⚙ OFF Weekends'!$D$43="OFF","OFF","")</f>
        <v/>
      </c>
      <c r="AW70" s="54" t="str">
        <f>IF('⚙ OFF Weekends'!$D$44="OFF","OFF","")</f>
        <v/>
      </c>
      <c r="AX70" s="56" t="str">
        <f>IF('⚙ OFF Weekends'!$D$45="OFF","OFF","")</f>
        <v/>
      </c>
      <c r="AY70" s="54" t="str">
        <f>IF('⚙ OFF Weekends'!$D$46="OFF","OFF","")</f>
        <v/>
      </c>
      <c r="AZ70" s="56" t="str">
        <f>IF('⚙ OFF Weekends'!$D$47="OFF","OFF","")</f>
        <v/>
      </c>
      <c r="BA70" s="54" t="str">
        <f>IF('⚙ OFF Weekends'!$D$48="OFF","OFF","")</f>
        <v/>
      </c>
      <c r="BB70" s="56" t="str">
        <f>IF('⚙ OFF Weekends'!$D$49="OFF","OFF","")</f>
        <v/>
      </c>
      <c r="BC70" s="54" t="str">
        <f>IF('⚙ OFF Weekends'!$D$50="OFF","OFF","")</f>
        <v/>
      </c>
      <c r="BD70" s="56" t="str">
        <f>IF('⚙ OFF Weekends'!$D$51="OFF","OFF","")</f>
        <v/>
      </c>
      <c r="BE70" s="54" t="str">
        <f>IF('⚙ OFF Weekends'!$D$52="OFF","OFF","")</f>
        <v/>
      </c>
      <c r="BF70" s="56" t="str">
        <f>IF('⚙ OFF Weekends'!$D$53="OFF","OFF","")</f>
        <v/>
      </c>
      <c r="BG70" s="54" t="str">
        <f>IF('⚙ OFF Weekends'!$D$54="OFF","OFF","")</f>
        <v/>
      </c>
      <c r="BH70" s="56" t="str">
        <f>IF('⚙ OFF Weekends'!$D$55="OFF","OFF","")</f>
        <v/>
      </c>
      <c r="BI70" s="54" t="str">
        <f>IF('⚙ OFF Weekends'!$D$56="OFF","OFF","")</f>
        <v/>
      </c>
      <c r="BJ70" s="56" t="str">
        <f>IF('⚙ OFF Weekends'!$D$57="OFF","OFF","")</f>
        <v/>
      </c>
      <c r="BK70" s="54" t="str">
        <f>IF('⚙ OFF Weekends'!$D$58="OFF","OFF","")</f>
        <v/>
      </c>
      <c r="BL70" s="56" t="str">
        <f>IF('⚙ OFF Weekends'!$D$59="OFF","OFF","")</f>
        <v/>
      </c>
      <c r="BM70" s="54" t="str">
        <f>IF('⚙ OFF Weekends'!$D$60="OFF","OFF","")</f>
        <v/>
      </c>
      <c r="BN70" s="56" t="str">
        <f>IF('⚙ OFF Weekends'!$D$61="OFF","OFF","")</f>
        <v/>
      </c>
      <c r="BO70" s="54" t="str">
        <f>IF('⚙ OFF Weekends'!$D$62="OFF","OFF","")</f>
        <v/>
      </c>
      <c r="BP70" s="56" t="str">
        <f>IF('⚙ OFF Weekends'!$D$63="OFF","OFF","")</f>
        <v/>
      </c>
      <c r="BQ70" s="54" t="str">
        <f>IF('⚙ OFF Weekends'!$D$64="OFF","OFF","")</f>
        <v/>
      </c>
      <c r="BR70" s="56" t="str">
        <f>IF('⚙ OFF Weekends'!$D$65="OFF","OFF","")</f>
        <v/>
      </c>
      <c r="BS70" s="54" t="str">
        <f>IF('⚙ OFF Weekends'!$D$66="OFF","OFF","")</f>
        <v/>
      </c>
      <c r="BT70" s="56" t="str">
        <f>IF('⚙ OFF Weekends'!$D$67="OFF","OFF","")</f>
        <v/>
      </c>
      <c r="BU70" s="54" t="str">
        <f>IF('⚙ OFF Weekends'!$D$68="OFF","OFF","")</f>
        <v/>
      </c>
      <c r="BV70" s="56" t="str">
        <f>IF('⚙ OFF Weekends'!$D$69="OFF","OFF","")</f>
        <v/>
      </c>
      <c r="BW70" s="54" t="str">
        <f>IF('⚙ OFF Weekends'!$D$70="OFF","OFF","")</f>
        <v/>
      </c>
      <c r="BX70" s="56" t="str">
        <f>IF('⚙ OFF Weekends'!$D$71="OFF","OFF","")</f>
        <v/>
      </c>
      <c r="BY70" s="54" t="str">
        <f>IF('⚙ OFF Weekends'!$D$72="OFF","OFF","")</f>
        <v/>
      </c>
      <c r="BZ70" s="56" t="str">
        <f>IF('⚙ OFF Weekends'!$D$73="OFF","OFF","")</f>
        <v/>
      </c>
      <c r="CA70" s="54" t="str">
        <f>IF('⚙ OFF Weekends'!$D$74="OFF","OFF","")</f>
        <v/>
      </c>
      <c r="CB70" s="56" t="str">
        <f>IF('⚙ OFF Weekends'!$D$75="OFF","OFF","")</f>
        <v/>
      </c>
      <c r="CC70" s="54" t="str">
        <f>IF('⚙ OFF Weekends'!$D$76="OFF","OFF","")</f>
        <v/>
      </c>
      <c r="CD70" s="56" t="str">
        <f>IF('⚙ OFF Weekends'!$D$77="OFF","OFF","")</f>
        <v/>
      </c>
      <c r="CE70" s="95">
        <f t="shared" si="22"/>
        <v>1</v>
      </c>
      <c r="CF70" s="95">
        <f t="shared" si="23"/>
        <v>15</v>
      </c>
      <c r="CG70" s="95">
        <f t="shared" si="24"/>
        <v>1</v>
      </c>
      <c r="CH70" s="95" t="str">
        <f t="shared" si="25"/>
        <v>6%</v>
      </c>
    </row>
    <row r="71" ht="18.0" customHeight="1">
      <c r="A71" s="96">
        <v>18.0</v>
      </c>
      <c r="B71" s="22" t="s">
        <v>707</v>
      </c>
      <c r="C71" s="23" t="s">
        <v>708</v>
      </c>
      <c r="D71" s="24" t="str">
        <f t="shared" si="20"/>
        <v>📞 Call</v>
      </c>
      <c r="E71" s="41" t="str">
        <f t="shared" si="21"/>
        <v>💬 WhatsApp</v>
      </c>
      <c r="F71" s="20" t="s">
        <v>423</v>
      </c>
      <c r="G71" s="20" t="s">
        <v>525</v>
      </c>
      <c r="H71" s="20" t="s">
        <v>299</v>
      </c>
      <c r="I71" s="54" t="str">
        <f>IF('⚙ OFF Weekends'!$D$4="OFF","OFF","")</f>
        <v/>
      </c>
      <c r="J71" s="50" t="s">
        <v>37</v>
      </c>
      <c r="K71" s="49" t="s">
        <v>197</v>
      </c>
      <c r="L71" s="77" t="s">
        <v>198</v>
      </c>
      <c r="M71" s="77" t="s">
        <v>198</v>
      </c>
      <c r="N71" s="79" t="s">
        <v>223</v>
      </c>
      <c r="O71" s="79" t="s">
        <v>223</v>
      </c>
      <c r="P71" s="79" t="s">
        <v>223</v>
      </c>
      <c r="Q71" s="79" t="s">
        <v>223</v>
      </c>
      <c r="R71" s="50" t="s">
        <v>37</v>
      </c>
      <c r="S71" s="52" t="s">
        <v>223</v>
      </c>
      <c r="T71" s="98" t="s">
        <v>223</v>
      </c>
      <c r="U71" s="52" t="s">
        <v>223</v>
      </c>
      <c r="V71" s="53" t="s">
        <v>223</v>
      </c>
      <c r="W71" s="54" t="str">
        <f>IF('⚙ OFF Weekends'!$D$18="OFF","OFF","")</f>
        <v>OFF</v>
      </c>
      <c r="X71" s="53" t="s">
        <v>223</v>
      </c>
      <c r="Y71" s="52" t="s">
        <v>223</v>
      </c>
      <c r="Z71" s="53" t="s">
        <v>223</v>
      </c>
      <c r="AA71" s="52" t="s">
        <v>37</v>
      </c>
      <c r="AB71" s="53" t="s">
        <v>223</v>
      </c>
      <c r="AC71" s="54" t="str">
        <f>IF('⚙ OFF Weekends'!$D$24="OFF","OFF","")</f>
        <v/>
      </c>
      <c r="AD71" s="56" t="str">
        <f>IF('⚙ OFF Weekends'!$D$25="OFF","OFF","")</f>
        <v/>
      </c>
      <c r="AE71" s="54" t="str">
        <f>IF('⚙ OFF Weekends'!$D$26="OFF","OFF","")</f>
        <v/>
      </c>
      <c r="AF71" s="56" t="str">
        <f>IF('⚙ OFF Weekends'!$D$27="OFF","OFF","")</f>
        <v/>
      </c>
      <c r="AG71" s="54" t="str">
        <f>IF('⚙ OFF Weekends'!$D$28="OFF","OFF","")</f>
        <v/>
      </c>
      <c r="AH71" s="56" t="str">
        <f>IF('⚙ OFF Weekends'!$D$29="OFF","OFF","")</f>
        <v/>
      </c>
      <c r="AI71" s="54" t="str">
        <f>IF('⚙ OFF Weekends'!$D$30="OFF","OFF","")</f>
        <v/>
      </c>
      <c r="AJ71" s="56" t="str">
        <f>IF('⚙ OFF Weekends'!$D$31="OFF","OFF","")</f>
        <v/>
      </c>
      <c r="AK71" s="54" t="str">
        <f>IF('⚙ OFF Weekends'!$D$32="OFF","OFF","")</f>
        <v/>
      </c>
      <c r="AL71" s="56" t="str">
        <f>IF('⚙ OFF Weekends'!$D$33="OFF","OFF","")</f>
        <v/>
      </c>
      <c r="AM71" s="54" t="str">
        <f>IF('⚙ OFF Weekends'!$D$34="OFF","OFF","")</f>
        <v/>
      </c>
      <c r="AN71" s="56" t="str">
        <f>IF('⚙ OFF Weekends'!$D$35="OFF","OFF","")</f>
        <v/>
      </c>
      <c r="AO71" s="54" t="str">
        <f>IF('⚙ OFF Weekends'!$D$36="OFF","OFF","")</f>
        <v/>
      </c>
      <c r="AP71" s="56" t="str">
        <f>IF('⚙ OFF Weekends'!$D$37="OFF","OFF","")</f>
        <v/>
      </c>
      <c r="AQ71" s="54" t="str">
        <f>IF('⚙ OFF Weekends'!$D$38="OFF","OFF","")</f>
        <v/>
      </c>
      <c r="AR71" s="56" t="str">
        <f>IF('⚙ OFF Weekends'!$D$39="OFF","OFF","")</f>
        <v/>
      </c>
      <c r="AS71" s="54" t="str">
        <f>IF('⚙ OFF Weekends'!$D$40="OFF","OFF","")</f>
        <v/>
      </c>
      <c r="AT71" s="56" t="str">
        <f>IF('⚙ OFF Weekends'!$D$41="OFF","OFF","")</f>
        <v/>
      </c>
      <c r="AU71" s="54" t="str">
        <f>IF('⚙ OFF Weekends'!$D$42="OFF","OFF","")</f>
        <v/>
      </c>
      <c r="AV71" s="56" t="str">
        <f>IF('⚙ OFF Weekends'!$D$43="OFF","OFF","")</f>
        <v/>
      </c>
      <c r="AW71" s="54" t="str">
        <f>IF('⚙ OFF Weekends'!$D$44="OFF","OFF","")</f>
        <v/>
      </c>
      <c r="AX71" s="56" t="str">
        <f>IF('⚙ OFF Weekends'!$D$45="OFF","OFF","")</f>
        <v/>
      </c>
      <c r="AY71" s="54" t="str">
        <f>IF('⚙ OFF Weekends'!$D$46="OFF","OFF","")</f>
        <v/>
      </c>
      <c r="AZ71" s="56" t="str">
        <f>IF('⚙ OFF Weekends'!$D$47="OFF","OFF","")</f>
        <v/>
      </c>
      <c r="BA71" s="54" t="str">
        <f>IF('⚙ OFF Weekends'!$D$48="OFF","OFF","")</f>
        <v/>
      </c>
      <c r="BB71" s="56" t="str">
        <f>IF('⚙ OFF Weekends'!$D$49="OFF","OFF","")</f>
        <v/>
      </c>
      <c r="BC71" s="54" t="str">
        <f>IF('⚙ OFF Weekends'!$D$50="OFF","OFF","")</f>
        <v/>
      </c>
      <c r="BD71" s="56" t="str">
        <f>IF('⚙ OFF Weekends'!$D$51="OFF","OFF","")</f>
        <v/>
      </c>
      <c r="BE71" s="54" t="str">
        <f>IF('⚙ OFF Weekends'!$D$52="OFF","OFF","")</f>
        <v/>
      </c>
      <c r="BF71" s="56" t="str">
        <f>IF('⚙ OFF Weekends'!$D$53="OFF","OFF","")</f>
        <v/>
      </c>
      <c r="BG71" s="54" t="str">
        <f>IF('⚙ OFF Weekends'!$D$54="OFF","OFF","")</f>
        <v/>
      </c>
      <c r="BH71" s="56" t="str">
        <f>IF('⚙ OFF Weekends'!$D$55="OFF","OFF","")</f>
        <v/>
      </c>
      <c r="BI71" s="54" t="str">
        <f>IF('⚙ OFF Weekends'!$D$56="OFF","OFF","")</f>
        <v/>
      </c>
      <c r="BJ71" s="56" t="str">
        <f>IF('⚙ OFF Weekends'!$D$57="OFF","OFF","")</f>
        <v/>
      </c>
      <c r="BK71" s="54" t="str">
        <f>IF('⚙ OFF Weekends'!$D$58="OFF","OFF","")</f>
        <v/>
      </c>
      <c r="BL71" s="56" t="str">
        <f>IF('⚙ OFF Weekends'!$D$59="OFF","OFF","")</f>
        <v/>
      </c>
      <c r="BM71" s="54" t="str">
        <f>IF('⚙ OFF Weekends'!$D$60="OFF","OFF","")</f>
        <v/>
      </c>
      <c r="BN71" s="56" t="str">
        <f>IF('⚙ OFF Weekends'!$D$61="OFF","OFF","")</f>
        <v/>
      </c>
      <c r="BO71" s="54" t="str">
        <f>IF('⚙ OFF Weekends'!$D$62="OFF","OFF","")</f>
        <v/>
      </c>
      <c r="BP71" s="56" t="str">
        <f>IF('⚙ OFF Weekends'!$D$63="OFF","OFF","")</f>
        <v/>
      </c>
      <c r="BQ71" s="54" t="str">
        <f>IF('⚙ OFF Weekends'!$D$64="OFF","OFF","")</f>
        <v/>
      </c>
      <c r="BR71" s="56" t="str">
        <f>IF('⚙ OFF Weekends'!$D$65="OFF","OFF","")</f>
        <v/>
      </c>
      <c r="BS71" s="54" t="str">
        <f>IF('⚙ OFF Weekends'!$D$66="OFF","OFF","")</f>
        <v/>
      </c>
      <c r="BT71" s="56" t="str">
        <f>IF('⚙ OFF Weekends'!$D$67="OFF","OFF","")</f>
        <v/>
      </c>
      <c r="BU71" s="54" t="str">
        <f>IF('⚙ OFF Weekends'!$D$68="OFF","OFF","")</f>
        <v/>
      </c>
      <c r="BV71" s="56" t="str">
        <f>IF('⚙ OFF Weekends'!$D$69="OFF","OFF","")</f>
        <v/>
      </c>
      <c r="BW71" s="54" t="str">
        <f>IF('⚙ OFF Weekends'!$D$70="OFF","OFF","")</f>
        <v/>
      </c>
      <c r="BX71" s="56" t="str">
        <f>IF('⚙ OFF Weekends'!$D$71="OFF","OFF","")</f>
        <v/>
      </c>
      <c r="BY71" s="54" t="str">
        <f>IF('⚙ OFF Weekends'!$D$72="OFF","OFF","")</f>
        <v/>
      </c>
      <c r="BZ71" s="56" t="str">
        <f>IF('⚙ OFF Weekends'!$D$73="OFF","OFF","")</f>
        <v/>
      </c>
      <c r="CA71" s="54" t="str">
        <f>IF('⚙ OFF Weekends'!$D$74="OFF","OFF","")</f>
        <v/>
      </c>
      <c r="CB71" s="56" t="str">
        <f>IF('⚙ OFF Weekends'!$D$75="OFF","OFF","")</f>
        <v/>
      </c>
      <c r="CC71" s="54" t="str">
        <f>IF('⚙ OFF Weekends'!$D$76="OFF","OFF","")</f>
        <v/>
      </c>
      <c r="CD71" s="56" t="str">
        <f>IF('⚙ OFF Weekends'!$D$77="OFF","OFF","")</f>
        <v/>
      </c>
      <c r="CE71" s="96">
        <f t="shared" si="22"/>
        <v>3</v>
      </c>
      <c r="CF71" s="96">
        <f t="shared" si="23"/>
        <v>12</v>
      </c>
      <c r="CG71" s="96">
        <f t="shared" si="24"/>
        <v>2</v>
      </c>
      <c r="CH71" s="96" t="str">
        <f t="shared" si="25"/>
        <v>20%</v>
      </c>
    </row>
    <row r="72" ht="18.0" customHeight="1">
      <c r="A72" s="95">
        <v>19.0</v>
      </c>
      <c r="B72" s="12" t="s">
        <v>710</v>
      </c>
      <c r="C72" s="14" t="s">
        <v>711</v>
      </c>
      <c r="D72" s="17" t="str">
        <f t="shared" si="20"/>
        <v>📞 Call</v>
      </c>
      <c r="E72" s="19" t="str">
        <f t="shared" si="21"/>
        <v>💬 WhatsApp</v>
      </c>
      <c r="F72" s="10" t="s">
        <v>459</v>
      </c>
      <c r="G72" s="10" t="s">
        <v>339</v>
      </c>
      <c r="H72" s="119" t="s">
        <v>299</v>
      </c>
      <c r="I72" s="54" t="str">
        <f>IF('⚙ OFF Weekends'!$D$4="OFF","OFF","")</f>
        <v/>
      </c>
      <c r="J72" s="56" t="str">
        <f>IF('⚙ OFF Weekends'!$D$5="OFF","OFF","")</f>
        <v/>
      </c>
      <c r="K72" s="54" t="str">
        <f>IF('⚙ OFF Weekends'!$D$4="OFF","OFF","")</f>
        <v/>
      </c>
      <c r="L72" s="56" t="str">
        <f>IF('⚙ OFF Weekends'!$D$7="OFF","OFF","")</f>
        <v/>
      </c>
      <c r="M72" s="54" t="str">
        <f>IF('⚙ OFF Weekends'!$D$8="OFF","OFF","")</f>
        <v/>
      </c>
      <c r="N72" s="50" t="s">
        <v>37</v>
      </c>
      <c r="O72" s="48" t="s">
        <v>196</v>
      </c>
      <c r="P72" s="48" t="s">
        <v>196</v>
      </c>
      <c r="Q72" s="50" t="s">
        <v>37</v>
      </c>
      <c r="R72" s="48" t="s">
        <v>196</v>
      </c>
      <c r="S72" s="52" t="s">
        <v>196</v>
      </c>
      <c r="T72" s="98" t="s">
        <v>196</v>
      </c>
      <c r="U72" s="52" t="s">
        <v>223</v>
      </c>
      <c r="V72" s="53" t="s">
        <v>196</v>
      </c>
      <c r="W72" s="54" t="str">
        <f>IF('⚙ OFF Weekends'!$D$18="OFF","OFF","")</f>
        <v>OFF</v>
      </c>
      <c r="X72" s="53" t="s">
        <v>196</v>
      </c>
      <c r="Y72" s="52" t="s">
        <v>37</v>
      </c>
      <c r="Z72" s="53" t="s">
        <v>196</v>
      </c>
      <c r="AA72" s="52" t="s">
        <v>223</v>
      </c>
      <c r="AB72" s="53" t="s">
        <v>223</v>
      </c>
      <c r="AC72" s="54" t="str">
        <f>IF('⚙ OFF Weekends'!$D$24="OFF","OFF","")</f>
        <v/>
      </c>
      <c r="AD72" s="56" t="str">
        <f>IF('⚙ OFF Weekends'!$D$25="OFF","OFF","")</f>
        <v/>
      </c>
      <c r="AE72" s="54" t="str">
        <f>IF('⚙ OFF Weekends'!$D$26="OFF","OFF","")</f>
        <v/>
      </c>
      <c r="AF72" s="56" t="str">
        <f>IF('⚙ OFF Weekends'!$D$27="OFF","OFF","")</f>
        <v/>
      </c>
      <c r="AG72" s="54" t="str">
        <f>IF('⚙ OFF Weekends'!$D$28="OFF","OFF","")</f>
        <v/>
      </c>
      <c r="AH72" s="56" t="str">
        <f>IF('⚙ OFF Weekends'!$D$29="OFF","OFF","")</f>
        <v/>
      </c>
      <c r="AI72" s="54" t="str">
        <f>IF('⚙ OFF Weekends'!$D$30="OFF","OFF","")</f>
        <v/>
      </c>
      <c r="AJ72" s="56" t="str">
        <f>IF('⚙ OFF Weekends'!$D$31="OFF","OFF","")</f>
        <v/>
      </c>
      <c r="AK72" s="54" t="str">
        <f>IF('⚙ OFF Weekends'!$D$32="OFF","OFF","")</f>
        <v/>
      </c>
      <c r="AL72" s="56" t="str">
        <f>IF('⚙ OFF Weekends'!$D$33="OFF","OFF","")</f>
        <v/>
      </c>
      <c r="AM72" s="54" t="str">
        <f>IF('⚙ OFF Weekends'!$D$34="OFF","OFF","")</f>
        <v/>
      </c>
      <c r="AN72" s="56" t="str">
        <f>IF('⚙ OFF Weekends'!$D$35="OFF","OFF","")</f>
        <v/>
      </c>
      <c r="AO72" s="54" t="str">
        <f>IF('⚙ OFF Weekends'!$D$36="OFF","OFF","")</f>
        <v/>
      </c>
      <c r="AP72" s="56" t="str">
        <f>IF('⚙ OFF Weekends'!$D$37="OFF","OFF","")</f>
        <v/>
      </c>
      <c r="AQ72" s="54" t="str">
        <f>IF('⚙ OFF Weekends'!$D$38="OFF","OFF","")</f>
        <v/>
      </c>
      <c r="AR72" s="56" t="str">
        <f>IF('⚙ OFF Weekends'!$D$39="OFF","OFF","")</f>
        <v/>
      </c>
      <c r="AS72" s="54" t="str">
        <f>IF('⚙ OFF Weekends'!$D$40="OFF","OFF","")</f>
        <v/>
      </c>
      <c r="AT72" s="56" t="str">
        <f>IF('⚙ OFF Weekends'!$D$41="OFF","OFF","")</f>
        <v/>
      </c>
      <c r="AU72" s="54" t="str">
        <f>IF('⚙ OFF Weekends'!$D$42="OFF","OFF","")</f>
        <v/>
      </c>
      <c r="AV72" s="56" t="str">
        <f>IF('⚙ OFF Weekends'!$D$43="OFF","OFF","")</f>
        <v/>
      </c>
      <c r="AW72" s="54" t="str">
        <f>IF('⚙ OFF Weekends'!$D$44="OFF","OFF","")</f>
        <v/>
      </c>
      <c r="AX72" s="56" t="str">
        <f>IF('⚙ OFF Weekends'!$D$45="OFF","OFF","")</f>
        <v/>
      </c>
      <c r="AY72" s="54" t="str">
        <f>IF('⚙ OFF Weekends'!$D$46="OFF","OFF","")</f>
        <v/>
      </c>
      <c r="AZ72" s="56" t="str">
        <f>IF('⚙ OFF Weekends'!$D$47="OFF","OFF","")</f>
        <v/>
      </c>
      <c r="BA72" s="54" t="str">
        <f>IF('⚙ OFF Weekends'!$D$48="OFF","OFF","")</f>
        <v/>
      </c>
      <c r="BB72" s="56" t="str">
        <f>IF('⚙ OFF Weekends'!$D$49="OFF","OFF","")</f>
        <v/>
      </c>
      <c r="BC72" s="54" t="str">
        <f>IF('⚙ OFF Weekends'!$D$50="OFF","OFF","")</f>
        <v/>
      </c>
      <c r="BD72" s="56" t="str">
        <f>IF('⚙ OFF Weekends'!$D$51="OFF","OFF","")</f>
        <v/>
      </c>
      <c r="BE72" s="54" t="str">
        <f>IF('⚙ OFF Weekends'!$D$52="OFF","OFF","")</f>
        <v/>
      </c>
      <c r="BF72" s="56" t="str">
        <f>IF('⚙ OFF Weekends'!$D$53="OFF","OFF","")</f>
        <v/>
      </c>
      <c r="BG72" s="54" t="str">
        <f>IF('⚙ OFF Weekends'!$D$54="OFF","OFF","")</f>
        <v/>
      </c>
      <c r="BH72" s="56" t="str">
        <f>IF('⚙ OFF Weekends'!$D$55="OFF","OFF","")</f>
        <v/>
      </c>
      <c r="BI72" s="54" t="str">
        <f>IF('⚙ OFF Weekends'!$D$56="OFF","OFF","")</f>
        <v/>
      </c>
      <c r="BJ72" s="56" t="str">
        <f>IF('⚙ OFF Weekends'!$D$57="OFF","OFF","")</f>
        <v/>
      </c>
      <c r="BK72" s="54" t="str">
        <f>IF('⚙ OFF Weekends'!$D$58="OFF","OFF","")</f>
        <v/>
      </c>
      <c r="BL72" s="56" t="str">
        <f>IF('⚙ OFF Weekends'!$D$59="OFF","OFF","")</f>
        <v/>
      </c>
      <c r="BM72" s="54" t="str">
        <f>IF('⚙ OFF Weekends'!$D$60="OFF","OFF","")</f>
        <v/>
      </c>
      <c r="BN72" s="56" t="str">
        <f>IF('⚙ OFF Weekends'!$D$61="OFF","OFF","")</f>
        <v/>
      </c>
      <c r="BO72" s="54" t="str">
        <f>IF('⚙ OFF Weekends'!$D$62="OFF","OFF","")</f>
        <v/>
      </c>
      <c r="BP72" s="56" t="str">
        <f>IF('⚙ OFF Weekends'!$D$63="OFF","OFF","")</f>
        <v/>
      </c>
      <c r="BQ72" s="54" t="str">
        <f>IF('⚙ OFF Weekends'!$D$64="OFF","OFF","")</f>
        <v/>
      </c>
      <c r="BR72" s="56" t="str">
        <f>IF('⚙ OFF Weekends'!$D$65="OFF","OFF","")</f>
        <v/>
      </c>
      <c r="BS72" s="54" t="str">
        <f>IF('⚙ OFF Weekends'!$D$66="OFF","OFF","")</f>
        <v/>
      </c>
      <c r="BT72" s="56" t="str">
        <f>IF('⚙ OFF Weekends'!$D$67="OFF","OFF","")</f>
        <v/>
      </c>
      <c r="BU72" s="54" t="str">
        <f>IF('⚙ OFF Weekends'!$D$68="OFF","OFF","")</f>
        <v/>
      </c>
      <c r="BV72" s="56" t="str">
        <f>IF('⚙ OFF Weekends'!$D$69="OFF","OFF","")</f>
        <v/>
      </c>
      <c r="BW72" s="54" t="str">
        <f>IF('⚙ OFF Weekends'!$D$70="OFF","OFF","")</f>
        <v/>
      </c>
      <c r="BX72" s="56" t="str">
        <f>IF('⚙ OFF Weekends'!$D$71="OFF","OFF","")</f>
        <v/>
      </c>
      <c r="BY72" s="54" t="str">
        <f>IF('⚙ OFF Weekends'!$D$72="OFF","OFF","")</f>
        <v/>
      </c>
      <c r="BZ72" s="56" t="str">
        <f>IF('⚙ OFF Weekends'!$D$73="OFF","OFF","")</f>
        <v/>
      </c>
      <c r="CA72" s="54" t="str">
        <f>IF('⚙ OFF Weekends'!$D$74="OFF","OFF","")</f>
        <v/>
      </c>
      <c r="CB72" s="56" t="str">
        <f>IF('⚙ OFF Weekends'!$D$75="OFF","OFF","")</f>
        <v/>
      </c>
      <c r="CC72" s="54" t="str">
        <f>IF('⚙ OFF Weekends'!$D$76="OFF","OFF","")</f>
        <v/>
      </c>
      <c r="CD72" s="56" t="str">
        <f>IF('⚙ OFF Weekends'!$D$77="OFF","OFF","")</f>
        <v/>
      </c>
      <c r="CE72" s="95">
        <f t="shared" si="22"/>
        <v>11</v>
      </c>
      <c r="CF72" s="95">
        <f t="shared" si="23"/>
        <v>3</v>
      </c>
      <c r="CG72" s="95">
        <f t="shared" si="24"/>
        <v>0</v>
      </c>
      <c r="CH72" s="95" t="str">
        <f t="shared" si="25"/>
        <v>79%</v>
      </c>
    </row>
    <row r="73" ht="18.0" customHeight="1">
      <c r="A73" s="96">
        <v>20.0</v>
      </c>
      <c r="B73" s="22" t="s">
        <v>410</v>
      </c>
      <c r="C73" s="23" t="s">
        <v>714</v>
      </c>
      <c r="D73" s="24" t="str">
        <f t="shared" si="20"/>
        <v>📞 Call</v>
      </c>
      <c r="E73" s="41" t="str">
        <f t="shared" si="21"/>
        <v>💬 WhatsApp</v>
      </c>
      <c r="F73" s="20" t="s">
        <v>459</v>
      </c>
      <c r="G73" s="20" t="s">
        <v>339</v>
      </c>
      <c r="H73" s="20" t="s">
        <v>299</v>
      </c>
      <c r="I73" s="54" t="str">
        <f>IF('⚙ OFF Weekends'!$D$4="OFF","OFF","")</f>
        <v/>
      </c>
      <c r="J73" s="56" t="str">
        <f>IF('⚙ OFF Weekends'!$D$5="OFF","OFF","")</f>
        <v/>
      </c>
      <c r="K73" s="54" t="str">
        <f>IF('⚙ OFF Weekends'!$D$4="OFF","OFF","")</f>
        <v/>
      </c>
      <c r="L73" s="56" t="str">
        <f>IF('⚙ OFF Weekends'!$D$7="OFF","OFF","")</f>
        <v/>
      </c>
      <c r="M73" s="54" t="str">
        <f>IF('⚙ OFF Weekends'!$D$8="OFF","OFF","")</f>
        <v/>
      </c>
      <c r="N73" s="56" t="str">
        <f>IF('⚙ OFF Weekends'!$D$9="OFF","OFF","")</f>
        <v/>
      </c>
      <c r="O73" s="54" t="str">
        <f>IF('⚙ OFF Weekends'!$D$10="OFF","OFF","")</f>
        <v/>
      </c>
      <c r="P73" s="50" t="s">
        <v>37</v>
      </c>
      <c r="Q73" s="79" t="s">
        <v>223</v>
      </c>
      <c r="R73" s="50" t="s">
        <v>37</v>
      </c>
      <c r="S73" s="52" t="s">
        <v>198</v>
      </c>
      <c r="T73" s="98" t="s">
        <v>198</v>
      </c>
      <c r="U73" s="52" t="s">
        <v>37</v>
      </c>
      <c r="V73" s="53" t="s">
        <v>37</v>
      </c>
      <c r="W73" s="54" t="str">
        <f>IF('⚙ OFF Weekends'!$D$18="OFF","OFF","")</f>
        <v>OFF</v>
      </c>
      <c r="X73" s="53" t="s">
        <v>223</v>
      </c>
      <c r="Y73" s="52" t="s">
        <v>37</v>
      </c>
      <c r="Z73" s="53" t="s">
        <v>37</v>
      </c>
      <c r="AA73" s="52" t="s">
        <v>223</v>
      </c>
      <c r="AB73" s="53" t="s">
        <v>196</v>
      </c>
      <c r="AC73" s="54" t="str">
        <f>IF('⚙ OFF Weekends'!$D$24="OFF","OFF","")</f>
        <v/>
      </c>
      <c r="AD73" s="56" t="str">
        <f>IF('⚙ OFF Weekends'!$D$25="OFF","OFF","")</f>
        <v/>
      </c>
      <c r="AE73" s="54" t="str">
        <f>IF('⚙ OFF Weekends'!$D$26="OFF","OFF","")</f>
        <v/>
      </c>
      <c r="AF73" s="56" t="str">
        <f>IF('⚙ OFF Weekends'!$D$27="OFF","OFF","")</f>
        <v/>
      </c>
      <c r="AG73" s="54" t="str">
        <f>IF('⚙ OFF Weekends'!$D$28="OFF","OFF","")</f>
        <v/>
      </c>
      <c r="AH73" s="56" t="str">
        <f>IF('⚙ OFF Weekends'!$D$29="OFF","OFF","")</f>
        <v/>
      </c>
      <c r="AI73" s="54" t="str">
        <f>IF('⚙ OFF Weekends'!$D$30="OFF","OFF","")</f>
        <v/>
      </c>
      <c r="AJ73" s="56" t="str">
        <f>IF('⚙ OFF Weekends'!$D$31="OFF","OFF","")</f>
        <v/>
      </c>
      <c r="AK73" s="54" t="str">
        <f>IF('⚙ OFF Weekends'!$D$32="OFF","OFF","")</f>
        <v/>
      </c>
      <c r="AL73" s="56" t="str">
        <f>IF('⚙ OFF Weekends'!$D$33="OFF","OFF","")</f>
        <v/>
      </c>
      <c r="AM73" s="54" t="str">
        <f>IF('⚙ OFF Weekends'!$D$34="OFF","OFF","")</f>
        <v/>
      </c>
      <c r="AN73" s="56" t="str">
        <f>IF('⚙ OFF Weekends'!$D$35="OFF","OFF","")</f>
        <v/>
      </c>
      <c r="AO73" s="54" t="str">
        <f>IF('⚙ OFF Weekends'!$D$36="OFF","OFF","")</f>
        <v/>
      </c>
      <c r="AP73" s="56" t="str">
        <f>IF('⚙ OFF Weekends'!$D$37="OFF","OFF","")</f>
        <v/>
      </c>
      <c r="AQ73" s="54" t="str">
        <f>IF('⚙ OFF Weekends'!$D$38="OFF","OFF","")</f>
        <v/>
      </c>
      <c r="AR73" s="56" t="str">
        <f>IF('⚙ OFF Weekends'!$D$39="OFF","OFF","")</f>
        <v/>
      </c>
      <c r="AS73" s="54" t="str">
        <f>IF('⚙ OFF Weekends'!$D$40="OFF","OFF","")</f>
        <v/>
      </c>
      <c r="AT73" s="56" t="str">
        <f>IF('⚙ OFF Weekends'!$D$41="OFF","OFF","")</f>
        <v/>
      </c>
      <c r="AU73" s="54" t="str">
        <f>IF('⚙ OFF Weekends'!$D$42="OFF","OFF","")</f>
        <v/>
      </c>
      <c r="AV73" s="56" t="str">
        <f>IF('⚙ OFF Weekends'!$D$43="OFF","OFF","")</f>
        <v/>
      </c>
      <c r="AW73" s="54" t="str">
        <f>IF('⚙ OFF Weekends'!$D$44="OFF","OFF","")</f>
        <v/>
      </c>
      <c r="AX73" s="56" t="str">
        <f>IF('⚙ OFF Weekends'!$D$45="OFF","OFF","")</f>
        <v/>
      </c>
      <c r="AY73" s="54" t="str">
        <f>IF('⚙ OFF Weekends'!$D$46="OFF","OFF","")</f>
        <v/>
      </c>
      <c r="AZ73" s="56" t="str">
        <f>IF('⚙ OFF Weekends'!$D$47="OFF","OFF","")</f>
        <v/>
      </c>
      <c r="BA73" s="54" t="str">
        <f>IF('⚙ OFF Weekends'!$D$48="OFF","OFF","")</f>
        <v/>
      </c>
      <c r="BB73" s="56" t="str">
        <f>IF('⚙ OFF Weekends'!$D$49="OFF","OFF","")</f>
        <v/>
      </c>
      <c r="BC73" s="54" t="str">
        <f>IF('⚙ OFF Weekends'!$D$50="OFF","OFF","")</f>
        <v/>
      </c>
      <c r="BD73" s="56" t="str">
        <f>IF('⚙ OFF Weekends'!$D$51="OFF","OFF","")</f>
        <v/>
      </c>
      <c r="BE73" s="54" t="str">
        <f>IF('⚙ OFF Weekends'!$D$52="OFF","OFF","")</f>
        <v/>
      </c>
      <c r="BF73" s="56" t="str">
        <f>IF('⚙ OFF Weekends'!$D$53="OFF","OFF","")</f>
        <v/>
      </c>
      <c r="BG73" s="54" t="str">
        <f>IF('⚙ OFF Weekends'!$D$54="OFF","OFF","")</f>
        <v/>
      </c>
      <c r="BH73" s="56" t="str">
        <f>IF('⚙ OFF Weekends'!$D$55="OFF","OFF","")</f>
        <v/>
      </c>
      <c r="BI73" s="54" t="str">
        <f>IF('⚙ OFF Weekends'!$D$56="OFF","OFF","")</f>
        <v/>
      </c>
      <c r="BJ73" s="56" t="str">
        <f>IF('⚙ OFF Weekends'!$D$57="OFF","OFF","")</f>
        <v/>
      </c>
      <c r="BK73" s="54" t="str">
        <f>IF('⚙ OFF Weekends'!$D$58="OFF","OFF","")</f>
        <v/>
      </c>
      <c r="BL73" s="56" t="str">
        <f>IF('⚙ OFF Weekends'!$D$59="OFF","OFF","")</f>
        <v/>
      </c>
      <c r="BM73" s="54" t="str">
        <f>IF('⚙ OFF Weekends'!$D$60="OFF","OFF","")</f>
        <v/>
      </c>
      <c r="BN73" s="56" t="str">
        <f>IF('⚙ OFF Weekends'!$D$61="OFF","OFF","")</f>
        <v/>
      </c>
      <c r="BO73" s="54" t="str">
        <f>IF('⚙ OFF Weekends'!$D$62="OFF","OFF","")</f>
        <v/>
      </c>
      <c r="BP73" s="56" t="str">
        <f>IF('⚙ OFF Weekends'!$D$63="OFF","OFF","")</f>
        <v/>
      </c>
      <c r="BQ73" s="54" t="str">
        <f>IF('⚙ OFF Weekends'!$D$64="OFF","OFF","")</f>
        <v/>
      </c>
      <c r="BR73" s="56" t="str">
        <f>IF('⚙ OFF Weekends'!$D$65="OFF","OFF","")</f>
        <v/>
      </c>
      <c r="BS73" s="54" t="str">
        <f>IF('⚙ OFF Weekends'!$D$66="OFF","OFF","")</f>
        <v/>
      </c>
      <c r="BT73" s="56" t="str">
        <f>IF('⚙ OFF Weekends'!$D$67="OFF","OFF","")</f>
        <v/>
      </c>
      <c r="BU73" s="54" t="str">
        <f>IF('⚙ OFF Weekends'!$D$68="OFF","OFF","")</f>
        <v/>
      </c>
      <c r="BV73" s="56" t="str">
        <f>IF('⚙ OFF Weekends'!$D$69="OFF","OFF","")</f>
        <v/>
      </c>
      <c r="BW73" s="54" t="str">
        <f>IF('⚙ OFF Weekends'!$D$70="OFF","OFF","")</f>
        <v/>
      </c>
      <c r="BX73" s="56" t="str">
        <f>IF('⚙ OFF Weekends'!$D$71="OFF","OFF","")</f>
        <v/>
      </c>
      <c r="BY73" s="54" t="str">
        <f>IF('⚙ OFF Weekends'!$D$72="OFF","OFF","")</f>
        <v/>
      </c>
      <c r="BZ73" s="56" t="str">
        <f>IF('⚙ OFF Weekends'!$D$73="OFF","OFF","")</f>
        <v/>
      </c>
      <c r="CA73" s="54" t="str">
        <f>IF('⚙ OFF Weekends'!$D$74="OFF","OFF","")</f>
        <v/>
      </c>
      <c r="CB73" s="56" t="str">
        <f>IF('⚙ OFF Weekends'!$D$75="OFF","OFF","")</f>
        <v/>
      </c>
      <c r="CC73" s="54" t="str">
        <f>IF('⚙ OFF Weekends'!$D$76="OFF","OFF","")</f>
        <v/>
      </c>
      <c r="CD73" s="56" t="str">
        <f>IF('⚙ OFF Weekends'!$D$77="OFF","OFF","")</f>
        <v/>
      </c>
      <c r="CE73" s="96">
        <f t="shared" si="22"/>
        <v>7</v>
      </c>
      <c r="CF73" s="96">
        <f t="shared" si="23"/>
        <v>3</v>
      </c>
      <c r="CG73" s="96">
        <f t="shared" si="24"/>
        <v>2</v>
      </c>
      <c r="CH73" s="96" t="str">
        <f t="shared" si="25"/>
        <v>70%</v>
      </c>
    </row>
    <row r="74" ht="18.0" customHeight="1">
      <c r="A74" s="95">
        <v>21.0</v>
      </c>
      <c r="B74" s="12" t="s">
        <v>717</v>
      </c>
      <c r="C74" s="118" t="s">
        <v>718</v>
      </c>
      <c r="D74" s="17" t="str">
        <f t="shared" si="20"/>
        <v>📞 Call</v>
      </c>
      <c r="E74" s="19" t="str">
        <f t="shared" si="21"/>
        <v>💬 WhatsApp</v>
      </c>
      <c r="F74" s="119" t="s">
        <v>459</v>
      </c>
      <c r="G74" s="119">
        <v>16.0</v>
      </c>
      <c r="H74" s="119" t="s">
        <v>409</v>
      </c>
      <c r="I74" s="54" t="str">
        <f>IF('⚙ OFF Weekends'!$D$4="OFF","OFF","")</f>
        <v/>
      </c>
      <c r="J74" s="56" t="str">
        <f>IF('⚙ OFF Weekends'!$D$5="OFF","OFF","")</f>
        <v/>
      </c>
      <c r="K74" s="54" t="str">
        <f>IF('⚙ OFF Weekends'!$D$4="OFF","OFF","")</f>
        <v/>
      </c>
      <c r="L74" s="56" t="str">
        <f>IF('⚙ OFF Weekends'!$D$7="OFF","OFF","")</f>
        <v/>
      </c>
      <c r="M74" s="54" t="str">
        <f>IF('⚙ OFF Weekends'!$D$8="OFF","OFF","")</f>
        <v/>
      </c>
      <c r="N74" s="56" t="str">
        <f>IF('⚙ OFF Weekends'!$D$9="OFF","OFF","")</f>
        <v/>
      </c>
      <c r="O74" s="54" t="str">
        <f>IF('⚙ OFF Weekends'!$D$10="OFF","OFF","")</f>
        <v/>
      </c>
      <c r="P74" s="56" t="str">
        <f>IF('⚙ OFF Weekends'!$D$11="OFF","OFF","")</f>
        <v/>
      </c>
      <c r="Q74" s="50" t="s">
        <v>37</v>
      </c>
      <c r="R74" s="48" t="s">
        <v>196</v>
      </c>
      <c r="S74" s="52" t="s">
        <v>198</v>
      </c>
      <c r="T74" s="98" t="s">
        <v>198</v>
      </c>
      <c r="U74" s="52" t="s">
        <v>223</v>
      </c>
      <c r="V74" s="53" t="s">
        <v>223</v>
      </c>
      <c r="W74" s="54" t="str">
        <f>IF('⚙ OFF Weekends'!$D$18="OFF","OFF","")</f>
        <v>OFF</v>
      </c>
      <c r="X74" s="53" t="s">
        <v>223</v>
      </c>
      <c r="Y74" s="52" t="s">
        <v>223</v>
      </c>
      <c r="Z74" s="53" t="s">
        <v>223</v>
      </c>
      <c r="AA74" s="105" t="s">
        <v>296</v>
      </c>
      <c r="AB74" s="105" t="s">
        <v>296</v>
      </c>
      <c r="AC74" s="105" t="s">
        <v>296</v>
      </c>
      <c r="AD74" s="105" t="s">
        <v>296</v>
      </c>
      <c r="AE74" s="105" t="s">
        <v>296</v>
      </c>
      <c r="AF74" s="105" t="s">
        <v>296</v>
      </c>
      <c r="AG74" s="105" t="s">
        <v>296</v>
      </c>
      <c r="AH74" s="105" t="s">
        <v>296</v>
      </c>
      <c r="AI74" s="105" t="s">
        <v>296</v>
      </c>
      <c r="AJ74" s="105" t="s">
        <v>296</v>
      </c>
      <c r="AK74" s="105" t="s">
        <v>296</v>
      </c>
      <c r="AL74" s="105" t="s">
        <v>296</v>
      </c>
      <c r="AM74" s="105" t="s">
        <v>296</v>
      </c>
      <c r="AN74" s="105" t="s">
        <v>296</v>
      </c>
      <c r="AO74" s="105" t="s">
        <v>296</v>
      </c>
      <c r="AP74" s="105" t="s">
        <v>296</v>
      </c>
      <c r="AQ74" s="105" t="s">
        <v>296</v>
      </c>
      <c r="AR74" s="105" t="s">
        <v>296</v>
      </c>
      <c r="AS74" s="105" t="s">
        <v>296</v>
      </c>
      <c r="AT74" s="105" t="s">
        <v>296</v>
      </c>
      <c r="AU74" s="105" t="s">
        <v>296</v>
      </c>
      <c r="AV74" s="105" t="s">
        <v>296</v>
      </c>
      <c r="AW74" s="105" t="s">
        <v>296</v>
      </c>
      <c r="AX74" s="105" t="s">
        <v>296</v>
      </c>
      <c r="AY74" s="105" t="s">
        <v>296</v>
      </c>
      <c r="AZ74" s="105" t="s">
        <v>296</v>
      </c>
      <c r="BA74" s="105" t="s">
        <v>296</v>
      </c>
      <c r="BB74" s="105" t="s">
        <v>296</v>
      </c>
      <c r="BC74" s="105" t="s">
        <v>296</v>
      </c>
      <c r="BD74" s="105" t="s">
        <v>296</v>
      </c>
      <c r="BE74" s="105" t="s">
        <v>296</v>
      </c>
      <c r="BF74" s="105" t="s">
        <v>296</v>
      </c>
      <c r="BG74" s="105" t="s">
        <v>296</v>
      </c>
      <c r="BH74" s="105" t="s">
        <v>296</v>
      </c>
      <c r="BI74" s="105" t="s">
        <v>296</v>
      </c>
      <c r="BJ74" s="105" t="s">
        <v>296</v>
      </c>
      <c r="BK74" s="105" t="s">
        <v>296</v>
      </c>
      <c r="BL74" s="105" t="s">
        <v>296</v>
      </c>
      <c r="BM74" s="105" t="s">
        <v>296</v>
      </c>
      <c r="BN74" s="105" t="s">
        <v>296</v>
      </c>
      <c r="BO74" s="105" t="s">
        <v>296</v>
      </c>
      <c r="BP74" s="105" t="s">
        <v>296</v>
      </c>
      <c r="BQ74" s="105" t="s">
        <v>296</v>
      </c>
      <c r="BR74" s="105" t="s">
        <v>296</v>
      </c>
      <c r="BS74" s="105" t="s">
        <v>296</v>
      </c>
      <c r="BT74" s="105" t="s">
        <v>296</v>
      </c>
      <c r="BU74" s="105" t="s">
        <v>296</v>
      </c>
      <c r="BV74" s="105" t="s">
        <v>296</v>
      </c>
      <c r="BW74" s="105" t="s">
        <v>296</v>
      </c>
      <c r="BX74" s="105" t="s">
        <v>296</v>
      </c>
      <c r="BY74" s="105" t="s">
        <v>296</v>
      </c>
      <c r="BZ74" s="105" t="s">
        <v>296</v>
      </c>
      <c r="CA74" s="105" t="s">
        <v>296</v>
      </c>
      <c r="CB74" s="105" t="s">
        <v>296</v>
      </c>
      <c r="CC74" s="105" t="s">
        <v>296</v>
      </c>
      <c r="CD74" s="105" t="s">
        <v>296</v>
      </c>
      <c r="CE74" s="95">
        <f t="shared" si="22"/>
        <v>2</v>
      </c>
      <c r="CF74" s="95">
        <f t="shared" si="23"/>
        <v>5</v>
      </c>
      <c r="CG74" s="95">
        <f t="shared" si="24"/>
        <v>2</v>
      </c>
      <c r="CH74" s="95" t="str">
        <f t="shared" si="25"/>
        <v>29%</v>
      </c>
    </row>
    <row r="75" ht="18.0" customHeight="1">
      <c r="A75" s="107">
        <v>22.0</v>
      </c>
      <c r="B75" s="108"/>
      <c r="C75" s="108"/>
      <c r="D75" s="109" t="str">
        <f t="shared" si="20"/>
        <v/>
      </c>
      <c r="E75" s="110" t="str">
        <f t="shared" si="21"/>
        <v/>
      </c>
      <c r="F75" s="108"/>
      <c r="G75" s="108"/>
      <c r="H75" s="108"/>
      <c r="I75" s="111" t="str">
        <f>IF('⚙ OFF Weekends'!$D$4="OFF","OFF","")</f>
        <v/>
      </c>
      <c r="J75" s="111" t="str">
        <f>IF('⚙ OFF Weekends'!$D$5="OFF","OFF","")</f>
        <v/>
      </c>
      <c r="K75" s="111" t="str">
        <f>IF('⚙ OFF Weekends'!$D$6="OFF","OFF","")</f>
        <v/>
      </c>
      <c r="L75" s="111" t="str">
        <f>IF('⚙ OFF Weekends'!$D$7="OFF","OFF","")</f>
        <v/>
      </c>
      <c r="M75" s="111" t="str">
        <f>IF('⚙ OFF Weekends'!$D$8="OFF","OFF","")</f>
        <v/>
      </c>
      <c r="N75" s="111" t="str">
        <f>IF('⚙ OFF Weekends'!$D$9="OFF","OFF","")</f>
        <v/>
      </c>
      <c r="O75" s="111" t="str">
        <f>IF('⚙ OFF Weekends'!$D$10="OFF","OFF","")</f>
        <v/>
      </c>
      <c r="P75" s="111" t="str">
        <f>IF('⚙ OFF Weekends'!$D$11="OFF","OFF","")</f>
        <v/>
      </c>
      <c r="Q75" s="111" t="str">
        <f>IF('⚙ OFF Weekends'!$D$12="OFF","OFF","")</f>
        <v/>
      </c>
      <c r="R75" s="111" t="str">
        <f>IF('⚙ OFF Weekends'!$D$13="OFF","OFF","")</f>
        <v/>
      </c>
      <c r="S75" s="111" t="str">
        <f>IF('⚙ OFF Weekends'!$D$14="OFF","OFF","")</f>
        <v/>
      </c>
      <c r="T75" s="111" t="str">
        <f>IF('⚙ OFF Weekends'!$D$15="OFF","OFF","")</f>
        <v/>
      </c>
      <c r="U75" s="111" t="str">
        <f>IF('⚙ OFF Weekends'!$D$16="OFF","OFF","")</f>
        <v/>
      </c>
      <c r="V75" s="111" t="str">
        <f>IF('⚙ OFF Weekends'!$D$17="OFF","OFF","")</f>
        <v/>
      </c>
      <c r="W75" s="111" t="str">
        <f>IF('⚙ OFF Weekends'!$D$18="OFF","OFF","")</f>
        <v>OFF</v>
      </c>
      <c r="X75" s="111" t="str">
        <f>IF('⚙ OFF Weekends'!$D$19="OFF","OFF","")</f>
        <v/>
      </c>
      <c r="Y75" s="111" t="str">
        <f>IF('⚙ OFF Weekends'!$D$20="OFF","OFF","")</f>
        <v/>
      </c>
      <c r="Z75" s="111" t="str">
        <f>IF('⚙ OFF Weekends'!$D$21="OFF","OFF","")</f>
        <v/>
      </c>
      <c r="AA75" s="111" t="str">
        <f>IF('⚙ OFF Weekends'!$D$22="OFF","OFF","")</f>
        <v/>
      </c>
      <c r="AB75" s="111" t="str">
        <f>IF('⚙ OFF Weekends'!$D$23="OFF","OFF","")</f>
        <v/>
      </c>
      <c r="AC75" s="111" t="str">
        <f>IF('⚙ OFF Weekends'!$D$24="OFF","OFF","")</f>
        <v/>
      </c>
      <c r="AD75" s="111" t="str">
        <f>IF('⚙ OFF Weekends'!$D$25="OFF","OFF","")</f>
        <v/>
      </c>
      <c r="AE75" s="111" t="str">
        <f>IF('⚙ OFF Weekends'!$D$26="OFF","OFF","")</f>
        <v/>
      </c>
      <c r="AF75" s="111" t="str">
        <f>IF('⚙ OFF Weekends'!$D$27="OFF","OFF","")</f>
        <v/>
      </c>
      <c r="AG75" s="111" t="str">
        <f>IF('⚙ OFF Weekends'!$D$28="OFF","OFF","")</f>
        <v/>
      </c>
      <c r="AH75" s="111" t="str">
        <f>IF('⚙ OFF Weekends'!$D$29="OFF","OFF","")</f>
        <v/>
      </c>
      <c r="AI75" s="111" t="str">
        <f>IF('⚙ OFF Weekends'!$D$30="OFF","OFF","")</f>
        <v/>
      </c>
      <c r="AJ75" s="111" t="str">
        <f>IF('⚙ OFF Weekends'!$D$31="OFF","OFF","")</f>
        <v/>
      </c>
      <c r="AK75" s="111" t="str">
        <f>IF('⚙ OFF Weekends'!$D$32="OFF","OFF","")</f>
        <v/>
      </c>
      <c r="AL75" s="111" t="str">
        <f>IF('⚙ OFF Weekends'!$D$33="OFF","OFF","")</f>
        <v/>
      </c>
      <c r="AM75" s="111" t="str">
        <f>IF('⚙ OFF Weekends'!$D$34="OFF","OFF","")</f>
        <v/>
      </c>
      <c r="AN75" s="111" t="str">
        <f>IF('⚙ OFF Weekends'!$D$35="OFF","OFF","")</f>
        <v/>
      </c>
      <c r="AO75" s="111" t="str">
        <f>IF('⚙ OFF Weekends'!$D$36="OFF","OFF","")</f>
        <v/>
      </c>
      <c r="AP75" s="111" t="str">
        <f>IF('⚙ OFF Weekends'!$D$37="OFF","OFF","")</f>
        <v/>
      </c>
      <c r="AQ75" s="111" t="str">
        <f>IF('⚙ OFF Weekends'!$D$38="OFF","OFF","")</f>
        <v/>
      </c>
      <c r="AR75" s="111" t="str">
        <f>IF('⚙ OFF Weekends'!$D$39="OFF","OFF","")</f>
        <v/>
      </c>
      <c r="AS75" s="111" t="str">
        <f>IF('⚙ OFF Weekends'!$D$40="OFF","OFF","")</f>
        <v/>
      </c>
      <c r="AT75" s="111" t="str">
        <f>IF('⚙ OFF Weekends'!$D$41="OFF","OFF","")</f>
        <v/>
      </c>
      <c r="AU75" s="111" t="str">
        <f>IF('⚙ OFF Weekends'!$D$42="OFF","OFF","")</f>
        <v/>
      </c>
      <c r="AV75" s="111" t="str">
        <f>IF('⚙ OFF Weekends'!$D$43="OFF","OFF","")</f>
        <v/>
      </c>
      <c r="AW75" s="111" t="str">
        <f>IF('⚙ OFF Weekends'!$D$44="OFF","OFF","")</f>
        <v/>
      </c>
      <c r="AX75" s="111" t="str">
        <f>IF('⚙ OFF Weekends'!$D$45="OFF","OFF","")</f>
        <v/>
      </c>
      <c r="AY75" s="111" t="str">
        <f>IF('⚙ OFF Weekends'!$D$46="OFF","OFF","")</f>
        <v/>
      </c>
      <c r="AZ75" s="111" t="str">
        <f>IF('⚙ OFF Weekends'!$D$47="OFF","OFF","")</f>
        <v/>
      </c>
      <c r="BA75" s="111" t="str">
        <f>IF('⚙ OFF Weekends'!$D$48="OFF","OFF","")</f>
        <v/>
      </c>
      <c r="BB75" s="111" t="str">
        <f>IF('⚙ OFF Weekends'!$D$49="OFF","OFF","")</f>
        <v/>
      </c>
      <c r="BC75" s="111" t="str">
        <f>IF('⚙ OFF Weekends'!$D$50="OFF","OFF","")</f>
        <v/>
      </c>
      <c r="BD75" s="111" t="str">
        <f>IF('⚙ OFF Weekends'!$D$51="OFF","OFF","")</f>
        <v/>
      </c>
      <c r="BE75" s="111" t="str">
        <f>IF('⚙ OFF Weekends'!$D$52="OFF","OFF","")</f>
        <v/>
      </c>
      <c r="BF75" s="111" t="str">
        <f>IF('⚙ OFF Weekends'!$D$53="OFF","OFF","")</f>
        <v/>
      </c>
      <c r="BG75" s="111" t="str">
        <f>IF('⚙ OFF Weekends'!$D$54="OFF","OFF","")</f>
        <v/>
      </c>
      <c r="BH75" s="111" t="str">
        <f>IF('⚙ OFF Weekends'!$D$55="OFF","OFF","")</f>
        <v/>
      </c>
      <c r="BI75" s="111" t="str">
        <f>IF('⚙ OFF Weekends'!$D$56="OFF","OFF","")</f>
        <v/>
      </c>
      <c r="BJ75" s="111" t="str">
        <f>IF('⚙ OFF Weekends'!$D$57="OFF","OFF","")</f>
        <v/>
      </c>
      <c r="BK75" s="111" t="str">
        <f>IF('⚙ OFF Weekends'!$D$58="OFF","OFF","")</f>
        <v/>
      </c>
      <c r="BL75" s="111" t="str">
        <f>IF('⚙ OFF Weekends'!$D$59="OFF","OFF","")</f>
        <v/>
      </c>
      <c r="BM75" s="111" t="str">
        <f>IF('⚙ OFF Weekends'!$D$60="OFF","OFF","")</f>
        <v/>
      </c>
      <c r="BN75" s="111" t="str">
        <f>IF('⚙ OFF Weekends'!$D$61="OFF","OFF","")</f>
        <v/>
      </c>
      <c r="BO75" s="111" t="str">
        <f>IF('⚙ OFF Weekends'!$D$62="OFF","OFF","")</f>
        <v/>
      </c>
      <c r="BP75" s="111" t="str">
        <f>IF('⚙ OFF Weekends'!$D$63="OFF","OFF","")</f>
        <v/>
      </c>
      <c r="BQ75" s="111" t="str">
        <f>IF('⚙ OFF Weekends'!$D$64="OFF","OFF","")</f>
        <v/>
      </c>
      <c r="BR75" s="111" t="str">
        <f>IF('⚙ OFF Weekends'!$D$65="OFF","OFF","")</f>
        <v/>
      </c>
      <c r="BS75" s="111" t="str">
        <f>IF('⚙ OFF Weekends'!$D$66="OFF","OFF","")</f>
        <v/>
      </c>
      <c r="BT75" s="111" t="str">
        <f>IF('⚙ OFF Weekends'!$D$67="OFF","OFF","")</f>
        <v/>
      </c>
      <c r="BU75" s="111" t="str">
        <f>IF('⚙ OFF Weekends'!$D$68="OFF","OFF","")</f>
        <v/>
      </c>
      <c r="BV75" s="111" t="str">
        <f>IF('⚙ OFF Weekends'!$D$69="OFF","OFF","")</f>
        <v/>
      </c>
      <c r="BW75" s="111" t="str">
        <f>IF('⚙ OFF Weekends'!$D$70="OFF","OFF","")</f>
        <v/>
      </c>
      <c r="BX75" s="111" t="str">
        <f>IF('⚙ OFF Weekends'!$D$71="OFF","OFF","")</f>
        <v/>
      </c>
      <c r="BY75" s="111" t="str">
        <f>IF('⚙ OFF Weekends'!$D$72="OFF","OFF","")</f>
        <v/>
      </c>
      <c r="BZ75" s="111" t="str">
        <f>IF('⚙ OFF Weekends'!$D$73="OFF","OFF","")</f>
        <v/>
      </c>
      <c r="CA75" s="111" t="str">
        <f>IF('⚙ OFF Weekends'!$D$74="OFF","OFF","")</f>
        <v/>
      </c>
      <c r="CB75" s="111" t="str">
        <f>IF('⚙ OFF Weekends'!$D$75="OFF","OFF","")</f>
        <v/>
      </c>
      <c r="CC75" s="111" t="str">
        <f>IF('⚙ OFF Weekends'!$D$76="OFF","OFF","")</f>
        <v/>
      </c>
      <c r="CD75" s="111" t="str">
        <f>IF('⚙ OFF Weekends'!$D$77="OFF","OFF","")</f>
        <v/>
      </c>
      <c r="CE75" s="112">
        <f t="shared" si="22"/>
        <v>0</v>
      </c>
      <c r="CF75" s="112">
        <f t="shared" si="23"/>
        <v>0</v>
      </c>
      <c r="CG75" s="112">
        <f t="shared" si="24"/>
        <v>0</v>
      </c>
      <c r="CH75" s="112" t="str">
        <f t="shared" si="25"/>
        <v>0%</v>
      </c>
    </row>
    <row r="76" ht="18.0" customHeight="1">
      <c r="A76" s="107">
        <v>23.0</v>
      </c>
      <c r="B76" s="108"/>
      <c r="C76" s="108"/>
      <c r="D76" s="109" t="str">
        <f t="shared" si="20"/>
        <v/>
      </c>
      <c r="E76" s="110" t="str">
        <f t="shared" si="21"/>
        <v/>
      </c>
      <c r="F76" s="108"/>
      <c r="G76" s="108"/>
      <c r="H76" s="108"/>
      <c r="I76" s="111" t="str">
        <f>IF('⚙ OFF Weekends'!$D$4="OFF","OFF","")</f>
        <v/>
      </c>
      <c r="J76" s="111" t="str">
        <f>IF('⚙ OFF Weekends'!$D$5="OFF","OFF","")</f>
        <v/>
      </c>
      <c r="K76" s="111" t="str">
        <f>IF('⚙ OFF Weekends'!$D$6="OFF","OFF","")</f>
        <v/>
      </c>
      <c r="L76" s="111" t="str">
        <f>IF('⚙ OFF Weekends'!$D$7="OFF","OFF","")</f>
        <v/>
      </c>
      <c r="M76" s="111" t="str">
        <f>IF('⚙ OFF Weekends'!$D$8="OFF","OFF","")</f>
        <v/>
      </c>
      <c r="N76" s="111" t="str">
        <f>IF('⚙ OFF Weekends'!$D$9="OFF","OFF","")</f>
        <v/>
      </c>
      <c r="O76" s="111" t="str">
        <f>IF('⚙ OFF Weekends'!$D$10="OFF","OFF","")</f>
        <v/>
      </c>
      <c r="P76" s="111" t="str">
        <f>IF('⚙ OFF Weekends'!$D$11="OFF","OFF","")</f>
        <v/>
      </c>
      <c r="Q76" s="111" t="str">
        <f>IF('⚙ OFF Weekends'!$D$12="OFF","OFF","")</f>
        <v/>
      </c>
      <c r="R76" s="111" t="str">
        <f>IF('⚙ OFF Weekends'!$D$13="OFF","OFF","")</f>
        <v/>
      </c>
      <c r="S76" s="111" t="str">
        <f>IF('⚙ OFF Weekends'!$D$14="OFF","OFF","")</f>
        <v/>
      </c>
      <c r="T76" s="111" t="str">
        <f>IF('⚙ OFF Weekends'!$D$15="OFF","OFF","")</f>
        <v/>
      </c>
      <c r="U76" s="111" t="str">
        <f>IF('⚙ OFF Weekends'!$D$16="OFF","OFF","")</f>
        <v/>
      </c>
      <c r="V76" s="111" t="str">
        <f>IF('⚙ OFF Weekends'!$D$17="OFF","OFF","")</f>
        <v/>
      </c>
      <c r="W76" s="111" t="str">
        <f>IF('⚙ OFF Weekends'!$D$18="OFF","OFF","")</f>
        <v>OFF</v>
      </c>
      <c r="X76" s="111" t="str">
        <f>IF('⚙ OFF Weekends'!$D$19="OFF","OFF","")</f>
        <v/>
      </c>
      <c r="Y76" s="111" t="str">
        <f>IF('⚙ OFF Weekends'!$D$20="OFF","OFF","")</f>
        <v/>
      </c>
      <c r="Z76" s="111" t="str">
        <f>IF('⚙ OFF Weekends'!$D$21="OFF","OFF","")</f>
        <v/>
      </c>
      <c r="AA76" s="111" t="str">
        <f>IF('⚙ OFF Weekends'!$D$22="OFF","OFF","")</f>
        <v/>
      </c>
      <c r="AB76" s="111" t="str">
        <f>IF('⚙ OFF Weekends'!$D$23="OFF","OFF","")</f>
        <v/>
      </c>
      <c r="AC76" s="111" t="str">
        <f>IF('⚙ OFF Weekends'!$D$24="OFF","OFF","")</f>
        <v/>
      </c>
      <c r="AD76" s="111" t="str">
        <f>IF('⚙ OFF Weekends'!$D$25="OFF","OFF","")</f>
        <v/>
      </c>
      <c r="AE76" s="111" t="str">
        <f>IF('⚙ OFF Weekends'!$D$26="OFF","OFF","")</f>
        <v/>
      </c>
      <c r="AF76" s="111" t="str">
        <f>IF('⚙ OFF Weekends'!$D$27="OFF","OFF","")</f>
        <v/>
      </c>
      <c r="AG76" s="111" t="str">
        <f>IF('⚙ OFF Weekends'!$D$28="OFF","OFF","")</f>
        <v/>
      </c>
      <c r="AH76" s="111" t="str">
        <f>IF('⚙ OFF Weekends'!$D$29="OFF","OFF","")</f>
        <v/>
      </c>
      <c r="AI76" s="111" t="str">
        <f>IF('⚙ OFF Weekends'!$D$30="OFF","OFF","")</f>
        <v/>
      </c>
      <c r="AJ76" s="111" t="str">
        <f>IF('⚙ OFF Weekends'!$D$31="OFF","OFF","")</f>
        <v/>
      </c>
      <c r="AK76" s="111" t="str">
        <f>IF('⚙ OFF Weekends'!$D$32="OFF","OFF","")</f>
        <v/>
      </c>
      <c r="AL76" s="111" t="str">
        <f>IF('⚙ OFF Weekends'!$D$33="OFF","OFF","")</f>
        <v/>
      </c>
      <c r="AM76" s="111" t="str">
        <f>IF('⚙ OFF Weekends'!$D$34="OFF","OFF","")</f>
        <v/>
      </c>
      <c r="AN76" s="111" t="str">
        <f>IF('⚙ OFF Weekends'!$D$35="OFF","OFF","")</f>
        <v/>
      </c>
      <c r="AO76" s="111" t="str">
        <f>IF('⚙ OFF Weekends'!$D$36="OFF","OFF","")</f>
        <v/>
      </c>
      <c r="AP76" s="111" t="str">
        <f>IF('⚙ OFF Weekends'!$D$37="OFF","OFF","")</f>
        <v/>
      </c>
      <c r="AQ76" s="111" t="str">
        <f>IF('⚙ OFF Weekends'!$D$38="OFF","OFF","")</f>
        <v/>
      </c>
      <c r="AR76" s="111" t="str">
        <f>IF('⚙ OFF Weekends'!$D$39="OFF","OFF","")</f>
        <v/>
      </c>
      <c r="AS76" s="111" t="str">
        <f>IF('⚙ OFF Weekends'!$D$40="OFF","OFF","")</f>
        <v/>
      </c>
      <c r="AT76" s="111" t="str">
        <f>IF('⚙ OFF Weekends'!$D$41="OFF","OFF","")</f>
        <v/>
      </c>
      <c r="AU76" s="111" t="str">
        <f>IF('⚙ OFF Weekends'!$D$42="OFF","OFF","")</f>
        <v/>
      </c>
      <c r="AV76" s="111" t="str">
        <f>IF('⚙ OFF Weekends'!$D$43="OFF","OFF","")</f>
        <v/>
      </c>
      <c r="AW76" s="111" t="str">
        <f>IF('⚙ OFF Weekends'!$D$44="OFF","OFF","")</f>
        <v/>
      </c>
      <c r="AX76" s="111" t="str">
        <f>IF('⚙ OFF Weekends'!$D$45="OFF","OFF","")</f>
        <v/>
      </c>
      <c r="AY76" s="111" t="str">
        <f>IF('⚙ OFF Weekends'!$D$46="OFF","OFF","")</f>
        <v/>
      </c>
      <c r="AZ76" s="111" t="str">
        <f>IF('⚙ OFF Weekends'!$D$47="OFF","OFF","")</f>
        <v/>
      </c>
      <c r="BA76" s="111" t="str">
        <f>IF('⚙ OFF Weekends'!$D$48="OFF","OFF","")</f>
        <v/>
      </c>
      <c r="BB76" s="111" t="str">
        <f>IF('⚙ OFF Weekends'!$D$49="OFF","OFF","")</f>
        <v/>
      </c>
      <c r="BC76" s="111" t="str">
        <f>IF('⚙ OFF Weekends'!$D$50="OFF","OFF","")</f>
        <v/>
      </c>
      <c r="BD76" s="111" t="str">
        <f>IF('⚙ OFF Weekends'!$D$51="OFF","OFF","")</f>
        <v/>
      </c>
      <c r="BE76" s="111" t="str">
        <f>IF('⚙ OFF Weekends'!$D$52="OFF","OFF","")</f>
        <v/>
      </c>
      <c r="BF76" s="111" t="str">
        <f>IF('⚙ OFF Weekends'!$D$53="OFF","OFF","")</f>
        <v/>
      </c>
      <c r="BG76" s="111" t="str">
        <f>IF('⚙ OFF Weekends'!$D$54="OFF","OFF","")</f>
        <v/>
      </c>
      <c r="BH76" s="111" t="str">
        <f>IF('⚙ OFF Weekends'!$D$55="OFF","OFF","")</f>
        <v/>
      </c>
      <c r="BI76" s="111" t="str">
        <f>IF('⚙ OFF Weekends'!$D$56="OFF","OFF","")</f>
        <v/>
      </c>
      <c r="BJ76" s="111" t="str">
        <f>IF('⚙ OFF Weekends'!$D$57="OFF","OFF","")</f>
        <v/>
      </c>
      <c r="BK76" s="111" t="str">
        <f>IF('⚙ OFF Weekends'!$D$58="OFF","OFF","")</f>
        <v/>
      </c>
      <c r="BL76" s="111" t="str">
        <f>IF('⚙ OFF Weekends'!$D$59="OFF","OFF","")</f>
        <v/>
      </c>
      <c r="BM76" s="111" t="str">
        <f>IF('⚙ OFF Weekends'!$D$60="OFF","OFF","")</f>
        <v/>
      </c>
      <c r="BN76" s="111" t="str">
        <f>IF('⚙ OFF Weekends'!$D$61="OFF","OFF","")</f>
        <v/>
      </c>
      <c r="BO76" s="111" t="str">
        <f>IF('⚙ OFF Weekends'!$D$62="OFF","OFF","")</f>
        <v/>
      </c>
      <c r="BP76" s="111" t="str">
        <f>IF('⚙ OFF Weekends'!$D$63="OFF","OFF","")</f>
        <v/>
      </c>
      <c r="BQ76" s="111" t="str">
        <f>IF('⚙ OFF Weekends'!$D$64="OFF","OFF","")</f>
        <v/>
      </c>
      <c r="BR76" s="111" t="str">
        <f>IF('⚙ OFF Weekends'!$D$65="OFF","OFF","")</f>
        <v/>
      </c>
      <c r="BS76" s="111" t="str">
        <f>IF('⚙ OFF Weekends'!$D$66="OFF","OFF","")</f>
        <v/>
      </c>
      <c r="BT76" s="111" t="str">
        <f>IF('⚙ OFF Weekends'!$D$67="OFF","OFF","")</f>
        <v/>
      </c>
      <c r="BU76" s="111" t="str">
        <f>IF('⚙ OFF Weekends'!$D$68="OFF","OFF","")</f>
        <v/>
      </c>
      <c r="BV76" s="111" t="str">
        <f>IF('⚙ OFF Weekends'!$D$69="OFF","OFF","")</f>
        <v/>
      </c>
      <c r="BW76" s="111" t="str">
        <f>IF('⚙ OFF Weekends'!$D$70="OFF","OFF","")</f>
        <v/>
      </c>
      <c r="BX76" s="111" t="str">
        <f>IF('⚙ OFF Weekends'!$D$71="OFF","OFF","")</f>
        <v/>
      </c>
      <c r="BY76" s="111" t="str">
        <f>IF('⚙ OFF Weekends'!$D$72="OFF","OFF","")</f>
        <v/>
      </c>
      <c r="BZ76" s="111" t="str">
        <f>IF('⚙ OFF Weekends'!$D$73="OFF","OFF","")</f>
        <v/>
      </c>
      <c r="CA76" s="111" t="str">
        <f>IF('⚙ OFF Weekends'!$D$74="OFF","OFF","")</f>
        <v/>
      </c>
      <c r="CB76" s="111" t="str">
        <f>IF('⚙ OFF Weekends'!$D$75="OFF","OFF","")</f>
        <v/>
      </c>
      <c r="CC76" s="111" t="str">
        <f>IF('⚙ OFF Weekends'!$D$76="OFF","OFF","")</f>
        <v/>
      </c>
      <c r="CD76" s="111" t="str">
        <f>IF('⚙ OFF Weekends'!$D$77="OFF","OFF","")</f>
        <v/>
      </c>
      <c r="CE76" s="112">
        <f t="shared" si="22"/>
        <v>0</v>
      </c>
      <c r="CF76" s="112">
        <f t="shared" si="23"/>
        <v>0</v>
      </c>
      <c r="CG76" s="112">
        <f t="shared" si="24"/>
        <v>0</v>
      </c>
      <c r="CH76" s="112" t="str">
        <f t="shared" si="25"/>
        <v>0%</v>
      </c>
    </row>
    <row r="77" ht="18.0" customHeight="1">
      <c r="A77" s="107">
        <v>24.0</v>
      </c>
      <c r="B77" s="108"/>
      <c r="C77" s="108"/>
      <c r="D77" s="109" t="str">
        <f t="shared" si="20"/>
        <v/>
      </c>
      <c r="E77" s="110" t="str">
        <f t="shared" si="21"/>
        <v/>
      </c>
      <c r="F77" s="108"/>
      <c r="G77" s="108"/>
      <c r="H77" s="108"/>
      <c r="I77" s="111" t="str">
        <f>IF('⚙ OFF Weekends'!$D$4="OFF","OFF","")</f>
        <v/>
      </c>
      <c r="J77" s="111" t="str">
        <f>IF('⚙ OFF Weekends'!$D$5="OFF","OFF","")</f>
        <v/>
      </c>
      <c r="K77" s="111" t="str">
        <f>IF('⚙ OFF Weekends'!$D$6="OFF","OFF","")</f>
        <v/>
      </c>
      <c r="L77" s="111" t="str">
        <f>IF('⚙ OFF Weekends'!$D$7="OFF","OFF","")</f>
        <v/>
      </c>
      <c r="M77" s="111" t="str">
        <f>IF('⚙ OFF Weekends'!$D$8="OFF","OFF","")</f>
        <v/>
      </c>
      <c r="N77" s="111" t="str">
        <f>IF('⚙ OFF Weekends'!$D$9="OFF","OFF","")</f>
        <v/>
      </c>
      <c r="O77" s="111" t="str">
        <f>IF('⚙ OFF Weekends'!$D$10="OFF","OFF","")</f>
        <v/>
      </c>
      <c r="P77" s="111" t="str">
        <f>IF('⚙ OFF Weekends'!$D$11="OFF","OFF","")</f>
        <v/>
      </c>
      <c r="Q77" s="111" t="str">
        <f>IF('⚙ OFF Weekends'!$D$12="OFF","OFF","")</f>
        <v/>
      </c>
      <c r="R77" s="111" t="str">
        <f>IF('⚙ OFF Weekends'!$D$13="OFF","OFF","")</f>
        <v/>
      </c>
      <c r="S77" s="111" t="str">
        <f>IF('⚙ OFF Weekends'!$D$14="OFF","OFF","")</f>
        <v/>
      </c>
      <c r="T77" s="111" t="str">
        <f>IF('⚙ OFF Weekends'!$D$15="OFF","OFF","")</f>
        <v/>
      </c>
      <c r="U77" s="111" t="str">
        <f>IF('⚙ OFF Weekends'!$D$16="OFF","OFF","")</f>
        <v/>
      </c>
      <c r="V77" s="111" t="str">
        <f>IF('⚙ OFF Weekends'!$D$17="OFF","OFF","")</f>
        <v/>
      </c>
      <c r="W77" s="111" t="str">
        <f>IF('⚙ OFF Weekends'!$D$18="OFF","OFF","")</f>
        <v>OFF</v>
      </c>
      <c r="X77" s="111" t="str">
        <f>IF('⚙ OFF Weekends'!$D$19="OFF","OFF","")</f>
        <v/>
      </c>
      <c r="Y77" s="111" t="str">
        <f>IF('⚙ OFF Weekends'!$D$20="OFF","OFF","")</f>
        <v/>
      </c>
      <c r="Z77" s="111" t="str">
        <f>IF('⚙ OFF Weekends'!$D$21="OFF","OFF","")</f>
        <v/>
      </c>
      <c r="AA77" s="111" t="str">
        <f>IF('⚙ OFF Weekends'!$D$22="OFF","OFF","")</f>
        <v/>
      </c>
      <c r="AB77" s="111" t="str">
        <f>IF('⚙ OFF Weekends'!$D$23="OFF","OFF","")</f>
        <v/>
      </c>
      <c r="AC77" s="111" t="str">
        <f>IF('⚙ OFF Weekends'!$D$24="OFF","OFF","")</f>
        <v/>
      </c>
      <c r="AD77" s="111" t="str">
        <f>IF('⚙ OFF Weekends'!$D$25="OFF","OFF","")</f>
        <v/>
      </c>
      <c r="AE77" s="111" t="str">
        <f>IF('⚙ OFF Weekends'!$D$26="OFF","OFF","")</f>
        <v/>
      </c>
      <c r="AF77" s="111" t="str">
        <f>IF('⚙ OFF Weekends'!$D$27="OFF","OFF","")</f>
        <v/>
      </c>
      <c r="AG77" s="111" t="str">
        <f>IF('⚙ OFF Weekends'!$D$28="OFF","OFF","")</f>
        <v/>
      </c>
      <c r="AH77" s="111" t="str">
        <f>IF('⚙ OFF Weekends'!$D$29="OFF","OFF","")</f>
        <v/>
      </c>
      <c r="AI77" s="111" t="str">
        <f>IF('⚙ OFF Weekends'!$D$30="OFF","OFF","")</f>
        <v/>
      </c>
      <c r="AJ77" s="111" t="str">
        <f>IF('⚙ OFF Weekends'!$D$31="OFF","OFF","")</f>
        <v/>
      </c>
      <c r="AK77" s="111" t="str">
        <f>IF('⚙ OFF Weekends'!$D$32="OFF","OFF","")</f>
        <v/>
      </c>
      <c r="AL77" s="111" t="str">
        <f>IF('⚙ OFF Weekends'!$D$33="OFF","OFF","")</f>
        <v/>
      </c>
      <c r="AM77" s="111" t="str">
        <f>IF('⚙ OFF Weekends'!$D$34="OFF","OFF","")</f>
        <v/>
      </c>
      <c r="AN77" s="111" t="str">
        <f>IF('⚙ OFF Weekends'!$D$35="OFF","OFF","")</f>
        <v/>
      </c>
      <c r="AO77" s="111" t="str">
        <f>IF('⚙ OFF Weekends'!$D$36="OFF","OFF","")</f>
        <v/>
      </c>
      <c r="AP77" s="111" t="str">
        <f>IF('⚙ OFF Weekends'!$D$37="OFF","OFF","")</f>
        <v/>
      </c>
      <c r="AQ77" s="111" t="str">
        <f>IF('⚙ OFF Weekends'!$D$38="OFF","OFF","")</f>
        <v/>
      </c>
      <c r="AR77" s="111" t="str">
        <f>IF('⚙ OFF Weekends'!$D$39="OFF","OFF","")</f>
        <v/>
      </c>
      <c r="AS77" s="111" t="str">
        <f>IF('⚙ OFF Weekends'!$D$40="OFF","OFF","")</f>
        <v/>
      </c>
      <c r="AT77" s="111" t="str">
        <f>IF('⚙ OFF Weekends'!$D$41="OFF","OFF","")</f>
        <v/>
      </c>
      <c r="AU77" s="111" t="str">
        <f>IF('⚙ OFF Weekends'!$D$42="OFF","OFF","")</f>
        <v/>
      </c>
      <c r="AV77" s="111" t="str">
        <f>IF('⚙ OFF Weekends'!$D$43="OFF","OFF","")</f>
        <v/>
      </c>
      <c r="AW77" s="111" t="str">
        <f>IF('⚙ OFF Weekends'!$D$44="OFF","OFF","")</f>
        <v/>
      </c>
      <c r="AX77" s="111" t="str">
        <f>IF('⚙ OFF Weekends'!$D$45="OFF","OFF","")</f>
        <v/>
      </c>
      <c r="AY77" s="111" t="str">
        <f>IF('⚙ OFF Weekends'!$D$46="OFF","OFF","")</f>
        <v/>
      </c>
      <c r="AZ77" s="111" t="str">
        <f>IF('⚙ OFF Weekends'!$D$47="OFF","OFF","")</f>
        <v/>
      </c>
      <c r="BA77" s="111" t="str">
        <f>IF('⚙ OFF Weekends'!$D$48="OFF","OFF","")</f>
        <v/>
      </c>
      <c r="BB77" s="111" t="str">
        <f>IF('⚙ OFF Weekends'!$D$49="OFF","OFF","")</f>
        <v/>
      </c>
      <c r="BC77" s="111" t="str">
        <f>IF('⚙ OFF Weekends'!$D$50="OFF","OFF","")</f>
        <v/>
      </c>
      <c r="BD77" s="111" t="str">
        <f>IF('⚙ OFF Weekends'!$D$51="OFF","OFF","")</f>
        <v/>
      </c>
      <c r="BE77" s="111" t="str">
        <f>IF('⚙ OFF Weekends'!$D$52="OFF","OFF","")</f>
        <v/>
      </c>
      <c r="BF77" s="111" t="str">
        <f>IF('⚙ OFF Weekends'!$D$53="OFF","OFF","")</f>
        <v/>
      </c>
      <c r="BG77" s="111" t="str">
        <f>IF('⚙ OFF Weekends'!$D$54="OFF","OFF","")</f>
        <v/>
      </c>
      <c r="BH77" s="111" t="str">
        <f>IF('⚙ OFF Weekends'!$D$55="OFF","OFF","")</f>
        <v/>
      </c>
      <c r="BI77" s="111" t="str">
        <f>IF('⚙ OFF Weekends'!$D$56="OFF","OFF","")</f>
        <v/>
      </c>
      <c r="BJ77" s="111" t="str">
        <f>IF('⚙ OFF Weekends'!$D$57="OFF","OFF","")</f>
        <v/>
      </c>
      <c r="BK77" s="111" t="str">
        <f>IF('⚙ OFF Weekends'!$D$58="OFF","OFF","")</f>
        <v/>
      </c>
      <c r="BL77" s="111" t="str">
        <f>IF('⚙ OFF Weekends'!$D$59="OFF","OFF","")</f>
        <v/>
      </c>
      <c r="BM77" s="111" t="str">
        <f>IF('⚙ OFF Weekends'!$D$60="OFF","OFF","")</f>
        <v/>
      </c>
      <c r="BN77" s="111" t="str">
        <f>IF('⚙ OFF Weekends'!$D$61="OFF","OFF","")</f>
        <v/>
      </c>
      <c r="BO77" s="111" t="str">
        <f>IF('⚙ OFF Weekends'!$D$62="OFF","OFF","")</f>
        <v/>
      </c>
      <c r="BP77" s="111" t="str">
        <f>IF('⚙ OFF Weekends'!$D$63="OFF","OFF","")</f>
        <v/>
      </c>
      <c r="BQ77" s="111" t="str">
        <f>IF('⚙ OFF Weekends'!$D$64="OFF","OFF","")</f>
        <v/>
      </c>
      <c r="BR77" s="111" t="str">
        <f>IF('⚙ OFF Weekends'!$D$65="OFF","OFF","")</f>
        <v/>
      </c>
      <c r="BS77" s="111" t="str">
        <f>IF('⚙ OFF Weekends'!$D$66="OFF","OFF","")</f>
        <v/>
      </c>
      <c r="BT77" s="111" t="str">
        <f>IF('⚙ OFF Weekends'!$D$67="OFF","OFF","")</f>
        <v/>
      </c>
      <c r="BU77" s="111" t="str">
        <f>IF('⚙ OFF Weekends'!$D$68="OFF","OFF","")</f>
        <v/>
      </c>
      <c r="BV77" s="111" t="str">
        <f>IF('⚙ OFF Weekends'!$D$69="OFF","OFF","")</f>
        <v/>
      </c>
      <c r="BW77" s="111" t="str">
        <f>IF('⚙ OFF Weekends'!$D$70="OFF","OFF","")</f>
        <v/>
      </c>
      <c r="BX77" s="111" t="str">
        <f>IF('⚙ OFF Weekends'!$D$71="OFF","OFF","")</f>
        <v/>
      </c>
      <c r="BY77" s="111" t="str">
        <f>IF('⚙ OFF Weekends'!$D$72="OFF","OFF","")</f>
        <v/>
      </c>
      <c r="BZ77" s="111" t="str">
        <f>IF('⚙ OFF Weekends'!$D$73="OFF","OFF","")</f>
        <v/>
      </c>
      <c r="CA77" s="111" t="str">
        <f>IF('⚙ OFF Weekends'!$D$74="OFF","OFF","")</f>
        <v/>
      </c>
      <c r="CB77" s="111" t="str">
        <f>IF('⚙ OFF Weekends'!$D$75="OFF","OFF","")</f>
        <v/>
      </c>
      <c r="CC77" s="111" t="str">
        <f>IF('⚙ OFF Weekends'!$D$76="OFF","OFF","")</f>
        <v/>
      </c>
      <c r="CD77" s="111" t="str">
        <f>IF('⚙ OFF Weekends'!$D$77="OFF","OFF","")</f>
        <v/>
      </c>
      <c r="CE77" s="112">
        <f t="shared" si="22"/>
        <v>0</v>
      </c>
      <c r="CF77" s="112">
        <f t="shared" si="23"/>
        <v>0</v>
      </c>
      <c r="CG77" s="112">
        <f t="shared" si="24"/>
        <v>0</v>
      </c>
      <c r="CH77" s="112" t="str">
        <f t="shared" si="25"/>
        <v>0%</v>
      </c>
    </row>
    <row r="78" ht="18.0" customHeight="1">
      <c r="A78" s="107">
        <v>25.0</v>
      </c>
      <c r="B78" s="108"/>
      <c r="C78" s="108"/>
      <c r="D78" s="109" t="str">
        <f t="shared" si="20"/>
        <v/>
      </c>
      <c r="E78" s="110" t="str">
        <f t="shared" si="21"/>
        <v/>
      </c>
      <c r="F78" s="108"/>
      <c r="G78" s="108"/>
      <c r="H78" s="108"/>
      <c r="I78" s="111" t="str">
        <f>IF('⚙ OFF Weekends'!$D$4="OFF","OFF","")</f>
        <v/>
      </c>
      <c r="J78" s="111" t="str">
        <f>IF('⚙ OFF Weekends'!$D$5="OFF","OFF","")</f>
        <v/>
      </c>
      <c r="K78" s="111" t="str">
        <f>IF('⚙ OFF Weekends'!$D$6="OFF","OFF","")</f>
        <v/>
      </c>
      <c r="L78" s="111" t="str">
        <f>IF('⚙ OFF Weekends'!$D$7="OFF","OFF","")</f>
        <v/>
      </c>
      <c r="M78" s="111" t="str">
        <f>IF('⚙ OFF Weekends'!$D$8="OFF","OFF","")</f>
        <v/>
      </c>
      <c r="N78" s="111" t="str">
        <f>IF('⚙ OFF Weekends'!$D$9="OFF","OFF","")</f>
        <v/>
      </c>
      <c r="O78" s="111" t="str">
        <f>IF('⚙ OFF Weekends'!$D$10="OFF","OFF","")</f>
        <v/>
      </c>
      <c r="P78" s="111" t="str">
        <f>IF('⚙ OFF Weekends'!$D$11="OFF","OFF","")</f>
        <v/>
      </c>
      <c r="Q78" s="111" t="str">
        <f>IF('⚙ OFF Weekends'!$D$12="OFF","OFF","")</f>
        <v/>
      </c>
      <c r="R78" s="111" t="str">
        <f>IF('⚙ OFF Weekends'!$D$13="OFF","OFF","")</f>
        <v/>
      </c>
      <c r="S78" s="111" t="str">
        <f>IF('⚙ OFF Weekends'!$D$14="OFF","OFF","")</f>
        <v/>
      </c>
      <c r="T78" s="111" t="str">
        <f>IF('⚙ OFF Weekends'!$D$15="OFF","OFF","")</f>
        <v/>
      </c>
      <c r="U78" s="111" t="str">
        <f>IF('⚙ OFF Weekends'!$D$16="OFF","OFF","")</f>
        <v/>
      </c>
      <c r="V78" s="111" t="str">
        <f>IF('⚙ OFF Weekends'!$D$17="OFF","OFF","")</f>
        <v/>
      </c>
      <c r="W78" s="111" t="str">
        <f>IF('⚙ OFF Weekends'!$D$18="OFF","OFF","")</f>
        <v>OFF</v>
      </c>
      <c r="X78" s="111" t="str">
        <f>IF('⚙ OFF Weekends'!$D$19="OFF","OFF","")</f>
        <v/>
      </c>
      <c r="Y78" s="111" t="str">
        <f>IF('⚙ OFF Weekends'!$D$20="OFF","OFF","")</f>
        <v/>
      </c>
      <c r="Z78" s="111" t="str">
        <f>IF('⚙ OFF Weekends'!$D$21="OFF","OFF","")</f>
        <v/>
      </c>
      <c r="AA78" s="111" t="str">
        <f>IF('⚙ OFF Weekends'!$D$22="OFF","OFF","")</f>
        <v/>
      </c>
      <c r="AB78" s="111" t="str">
        <f>IF('⚙ OFF Weekends'!$D$23="OFF","OFF","")</f>
        <v/>
      </c>
      <c r="AC78" s="111" t="str">
        <f>IF('⚙ OFF Weekends'!$D$24="OFF","OFF","")</f>
        <v/>
      </c>
      <c r="AD78" s="111" t="str">
        <f>IF('⚙ OFF Weekends'!$D$25="OFF","OFF","")</f>
        <v/>
      </c>
      <c r="AE78" s="111" t="str">
        <f>IF('⚙ OFF Weekends'!$D$26="OFF","OFF","")</f>
        <v/>
      </c>
      <c r="AF78" s="111" t="str">
        <f>IF('⚙ OFF Weekends'!$D$27="OFF","OFF","")</f>
        <v/>
      </c>
      <c r="AG78" s="111" t="str">
        <f>IF('⚙ OFF Weekends'!$D$28="OFF","OFF","")</f>
        <v/>
      </c>
      <c r="AH78" s="111" t="str">
        <f>IF('⚙ OFF Weekends'!$D$29="OFF","OFF","")</f>
        <v/>
      </c>
      <c r="AI78" s="111" t="str">
        <f>IF('⚙ OFF Weekends'!$D$30="OFF","OFF","")</f>
        <v/>
      </c>
      <c r="AJ78" s="111" t="str">
        <f>IF('⚙ OFF Weekends'!$D$31="OFF","OFF","")</f>
        <v/>
      </c>
      <c r="AK78" s="111" t="str">
        <f>IF('⚙ OFF Weekends'!$D$32="OFF","OFF","")</f>
        <v/>
      </c>
      <c r="AL78" s="111" t="str">
        <f>IF('⚙ OFF Weekends'!$D$33="OFF","OFF","")</f>
        <v/>
      </c>
      <c r="AM78" s="111" t="str">
        <f>IF('⚙ OFF Weekends'!$D$34="OFF","OFF","")</f>
        <v/>
      </c>
      <c r="AN78" s="111" t="str">
        <f>IF('⚙ OFF Weekends'!$D$35="OFF","OFF","")</f>
        <v/>
      </c>
      <c r="AO78" s="111" t="str">
        <f>IF('⚙ OFF Weekends'!$D$36="OFF","OFF","")</f>
        <v/>
      </c>
      <c r="AP78" s="111" t="str">
        <f>IF('⚙ OFF Weekends'!$D$37="OFF","OFF","")</f>
        <v/>
      </c>
      <c r="AQ78" s="111" t="str">
        <f>IF('⚙ OFF Weekends'!$D$38="OFF","OFF","")</f>
        <v/>
      </c>
      <c r="AR78" s="111" t="str">
        <f>IF('⚙ OFF Weekends'!$D$39="OFF","OFF","")</f>
        <v/>
      </c>
      <c r="AS78" s="111" t="str">
        <f>IF('⚙ OFF Weekends'!$D$40="OFF","OFF","")</f>
        <v/>
      </c>
      <c r="AT78" s="111" t="str">
        <f>IF('⚙ OFF Weekends'!$D$41="OFF","OFF","")</f>
        <v/>
      </c>
      <c r="AU78" s="111" t="str">
        <f>IF('⚙ OFF Weekends'!$D$42="OFF","OFF","")</f>
        <v/>
      </c>
      <c r="AV78" s="111" t="str">
        <f>IF('⚙ OFF Weekends'!$D$43="OFF","OFF","")</f>
        <v/>
      </c>
      <c r="AW78" s="111" t="str">
        <f>IF('⚙ OFF Weekends'!$D$44="OFF","OFF","")</f>
        <v/>
      </c>
      <c r="AX78" s="111" t="str">
        <f>IF('⚙ OFF Weekends'!$D$45="OFF","OFF","")</f>
        <v/>
      </c>
      <c r="AY78" s="111" t="str">
        <f>IF('⚙ OFF Weekends'!$D$46="OFF","OFF","")</f>
        <v/>
      </c>
      <c r="AZ78" s="111" t="str">
        <f>IF('⚙ OFF Weekends'!$D$47="OFF","OFF","")</f>
        <v/>
      </c>
      <c r="BA78" s="111" t="str">
        <f>IF('⚙ OFF Weekends'!$D$48="OFF","OFF","")</f>
        <v/>
      </c>
      <c r="BB78" s="111" t="str">
        <f>IF('⚙ OFF Weekends'!$D$49="OFF","OFF","")</f>
        <v/>
      </c>
      <c r="BC78" s="111" t="str">
        <f>IF('⚙ OFF Weekends'!$D$50="OFF","OFF","")</f>
        <v/>
      </c>
      <c r="BD78" s="111" t="str">
        <f>IF('⚙ OFF Weekends'!$D$51="OFF","OFF","")</f>
        <v/>
      </c>
      <c r="BE78" s="111" t="str">
        <f>IF('⚙ OFF Weekends'!$D$52="OFF","OFF","")</f>
        <v/>
      </c>
      <c r="BF78" s="111" t="str">
        <f>IF('⚙ OFF Weekends'!$D$53="OFF","OFF","")</f>
        <v/>
      </c>
      <c r="BG78" s="111" t="str">
        <f>IF('⚙ OFF Weekends'!$D$54="OFF","OFF","")</f>
        <v/>
      </c>
      <c r="BH78" s="111" t="str">
        <f>IF('⚙ OFF Weekends'!$D$55="OFF","OFF","")</f>
        <v/>
      </c>
      <c r="BI78" s="111" t="str">
        <f>IF('⚙ OFF Weekends'!$D$56="OFF","OFF","")</f>
        <v/>
      </c>
      <c r="BJ78" s="111" t="str">
        <f>IF('⚙ OFF Weekends'!$D$57="OFF","OFF","")</f>
        <v/>
      </c>
      <c r="BK78" s="111" t="str">
        <f>IF('⚙ OFF Weekends'!$D$58="OFF","OFF","")</f>
        <v/>
      </c>
      <c r="BL78" s="111" t="str">
        <f>IF('⚙ OFF Weekends'!$D$59="OFF","OFF","")</f>
        <v/>
      </c>
      <c r="BM78" s="111" t="str">
        <f>IF('⚙ OFF Weekends'!$D$60="OFF","OFF","")</f>
        <v/>
      </c>
      <c r="BN78" s="111" t="str">
        <f>IF('⚙ OFF Weekends'!$D$61="OFF","OFF","")</f>
        <v/>
      </c>
      <c r="BO78" s="111" t="str">
        <f>IF('⚙ OFF Weekends'!$D$62="OFF","OFF","")</f>
        <v/>
      </c>
      <c r="BP78" s="111" t="str">
        <f>IF('⚙ OFF Weekends'!$D$63="OFF","OFF","")</f>
        <v/>
      </c>
      <c r="BQ78" s="111" t="str">
        <f>IF('⚙ OFF Weekends'!$D$64="OFF","OFF","")</f>
        <v/>
      </c>
      <c r="BR78" s="111" t="str">
        <f>IF('⚙ OFF Weekends'!$D$65="OFF","OFF","")</f>
        <v/>
      </c>
      <c r="BS78" s="111" t="str">
        <f>IF('⚙ OFF Weekends'!$D$66="OFF","OFF","")</f>
        <v/>
      </c>
      <c r="BT78" s="111" t="str">
        <f>IF('⚙ OFF Weekends'!$D$67="OFF","OFF","")</f>
        <v/>
      </c>
      <c r="BU78" s="111" t="str">
        <f>IF('⚙ OFF Weekends'!$D$68="OFF","OFF","")</f>
        <v/>
      </c>
      <c r="BV78" s="111" t="str">
        <f>IF('⚙ OFF Weekends'!$D$69="OFF","OFF","")</f>
        <v/>
      </c>
      <c r="BW78" s="111" t="str">
        <f>IF('⚙ OFF Weekends'!$D$70="OFF","OFF","")</f>
        <v/>
      </c>
      <c r="BX78" s="111" t="str">
        <f>IF('⚙ OFF Weekends'!$D$71="OFF","OFF","")</f>
        <v/>
      </c>
      <c r="BY78" s="111" t="str">
        <f>IF('⚙ OFF Weekends'!$D$72="OFF","OFF","")</f>
        <v/>
      </c>
      <c r="BZ78" s="111" t="str">
        <f>IF('⚙ OFF Weekends'!$D$73="OFF","OFF","")</f>
        <v/>
      </c>
      <c r="CA78" s="111" t="str">
        <f>IF('⚙ OFF Weekends'!$D$74="OFF","OFF","")</f>
        <v/>
      </c>
      <c r="CB78" s="111" t="str">
        <f>IF('⚙ OFF Weekends'!$D$75="OFF","OFF","")</f>
        <v/>
      </c>
      <c r="CC78" s="111" t="str">
        <f>IF('⚙ OFF Weekends'!$D$76="OFF","OFF","")</f>
        <v/>
      </c>
      <c r="CD78" s="111" t="str">
        <f>IF('⚙ OFF Weekends'!$D$77="OFF","OFF","")</f>
        <v/>
      </c>
      <c r="CE78" s="112">
        <f t="shared" si="22"/>
        <v>0</v>
      </c>
      <c r="CF78" s="112">
        <f t="shared" si="23"/>
        <v>0</v>
      </c>
      <c r="CG78" s="112">
        <f t="shared" si="24"/>
        <v>0</v>
      </c>
      <c r="CH78" s="112" t="str">
        <f t="shared" si="25"/>
        <v>0%</v>
      </c>
    </row>
    <row r="79" ht="18.0" customHeight="1">
      <c r="A79" s="107">
        <v>26.0</v>
      </c>
      <c r="B79" s="108"/>
      <c r="C79" s="108"/>
      <c r="D79" s="109" t="str">
        <f t="shared" si="20"/>
        <v/>
      </c>
      <c r="E79" s="110" t="str">
        <f t="shared" si="21"/>
        <v/>
      </c>
      <c r="F79" s="108"/>
      <c r="G79" s="108"/>
      <c r="H79" s="108"/>
      <c r="I79" s="111" t="str">
        <f>IF('⚙ OFF Weekends'!$D$4="OFF","OFF","")</f>
        <v/>
      </c>
      <c r="J79" s="111" t="str">
        <f>IF('⚙ OFF Weekends'!$D$5="OFF","OFF","")</f>
        <v/>
      </c>
      <c r="K79" s="111" t="str">
        <f>IF('⚙ OFF Weekends'!$D$6="OFF","OFF","")</f>
        <v/>
      </c>
      <c r="L79" s="111" t="str">
        <f>IF('⚙ OFF Weekends'!$D$7="OFF","OFF","")</f>
        <v/>
      </c>
      <c r="M79" s="111" t="str">
        <f>IF('⚙ OFF Weekends'!$D$8="OFF","OFF","")</f>
        <v/>
      </c>
      <c r="N79" s="111" t="str">
        <f>IF('⚙ OFF Weekends'!$D$9="OFF","OFF","")</f>
        <v/>
      </c>
      <c r="O79" s="111" t="str">
        <f>IF('⚙ OFF Weekends'!$D$10="OFF","OFF","")</f>
        <v/>
      </c>
      <c r="P79" s="111" t="str">
        <f>IF('⚙ OFF Weekends'!$D$11="OFF","OFF","")</f>
        <v/>
      </c>
      <c r="Q79" s="111" t="str">
        <f>IF('⚙ OFF Weekends'!$D$12="OFF","OFF","")</f>
        <v/>
      </c>
      <c r="R79" s="111" t="str">
        <f>IF('⚙ OFF Weekends'!$D$13="OFF","OFF","")</f>
        <v/>
      </c>
      <c r="S79" s="111" t="str">
        <f>IF('⚙ OFF Weekends'!$D$14="OFF","OFF","")</f>
        <v/>
      </c>
      <c r="T79" s="111" t="str">
        <f>IF('⚙ OFF Weekends'!$D$15="OFF","OFF","")</f>
        <v/>
      </c>
      <c r="U79" s="111" t="str">
        <f>IF('⚙ OFF Weekends'!$D$16="OFF","OFF","")</f>
        <v/>
      </c>
      <c r="V79" s="111" t="str">
        <f>IF('⚙ OFF Weekends'!$D$17="OFF","OFF","")</f>
        <v/>
      </c>
      <c r="W79" s="111" t="str">
        <f>IF('⚙ OFF Weekends'!$D$18="OFF","OFF","")</f>
        <v>OFF</v>
      </c>
      <c r="X79" s="111" t="str">
        <f>IF('⚙ OFF Weekends'!$D$19="OFF","OFF","")</f>
        <v/>
      </c>
      <c r="Y79" s="111" t="str">
        <f>IF('⚙ OFF Weekends'!$D$20="OFF","OFF","")</f>
        <v/>
      </c>
      <c r="Z79" s="111" t="str">
        <f>IF('⚙ OFF Weekends'!$D$21="OFF","OFF","")</f>
        <v/>
      </c>
      <c r="AA79" s="111" t="str">
        <f>IF('⚙ OFF Weekends'!$D$22="OFF","OFF","")</f>
        <v/>
      </c>
      <c r="AB79" s="111" t="str">
        <f>IF('⚙ OFF Weekends'!$D$23="OFF","OFF","")</f>
        <v/>
      </c>
      <c r="AC79" s="111" t="str">
        <f>IF('⚙ OFF Weekends'!$D$24="OFF","OFF","")</f>
        <v/>
      </c>
      <c r="AD79" s="111" t="str">
        <f>IF('⚙ OFF Weekends'!$D$25="OFF","OFF","")</f>
        <v/>
      </c>
      <c r="AE79" s="111" t="str">
        <f>IF('⚙ OFF Weekends'!$D$26="OFF","OFF","")</f>
        <v/>
      </c>
      <c r="AF79" s="111" t="str">
        <f>IF('⚙ OFF Weekends'!$D$27="OFF","OFF","")</f>
        <v/>
      </c>
      <c r="AG79" s="111" t="str">
        <f>IF('⚙ OFF Weekends'!$D$28="OFF","OFF","")</f>
        <v/>
      </c>
      <c r="AH79" s="111" t="str">
        <f>IF('⚙ OFF Weekends'!$D$29="OFF","OFF","")</f>
        <v/>
      </c>
      <c r="AI79" s="111" t="str">
        <f>IF('⚙ OFF Weekends'!$D$30="OFF","OFF","")</f>
        <v/>
      </c>
      <c r="AJ79" s="111" t="str">
        <f>IF('⚙ OFF Weekends'!$D$31="OFF","OFF","")</f>
        <v/>
      </c>
      <c r="AK79" s="111" t="str">
        <f>IF('⚙ OFF Weekends'!$D$32="OFF","OFF","")</f>
        <v/>
      </c>
      <c r="AL79" s="111" t="str">
        <f>IF('⚙ OFF Weekends'!$D$33="OFF","OFF","")</f>
        <v/>
      </c>
      <c r="AM79" s="111" t="str">
        <f>IF('⚙ OFF Weekends'!$D$34="OFF","OFF","")</f>
        <v/>
      </c>
      <c r="AN79" s="111" t="str">
        <f>IF('⚙ OFF Weekends'!$D$35="OFF","OFF","")</f>
        <v/>
      </c>
      <c r="AO79" s="111" t="str">
        <f>IF('⚙ OFF Weekends'!$D$36="OFF","OFF","")</f>
        <v/>
      </c>
      <c r="AP79" s="111" t="str">
        <f>IF('⚙ OFF Weekends'!$D$37="OFF","OFF","")</f>
        <v/>
      </c>
      <c r="AQ79" s="111" t="str">
        <f>IF('⚙ OFF Weekends'!$D$38="OFF","OFF","")</f>
        <v/>
      </c>
      <c r="AR79" s="111" t="str">
        <f>IF('⚙ OFF Weekends'!$D$39="OFF","OFF","")</f>
        <v/>
      </c>
      <c r="AS79" s="111" t="str">
        <f>IF('⚙ OFF Weekends'!$D$40="OFF","OFF","")</f>
        <v/>
      </c>
      <c r="AT79" s="111" t="str">
        <f>IF('⚙ OFF Weekends'!$D$41="OFF","OFF","")</f>
        <v/>
      </c>
      <c r="AU79" s="111" t="str">
        <f>IF('⚙ OFF Weekends'!$D$42="OFF","OFF","")</f>
        <v/>
      </c>
      <c r="AV79" s="111" t="str">
        <f>IF('⚙ OFF Weekends'!$D$43="OFF","OFF","")</f>
        <v/>
      </c>
      <c r="AW79" s="111" t="str">
        <f>IF('⚙ OFF Weekends'!$D$44="OFF","OFF","")</f>
        <v/>
      </c>
      <c r="AX79" s="111" t="str">
        <f>IF('⚙ OFF Weekends'!$D$45="OFF","OFF","")</f>
        <v/>
      </c>
      <c r="AY79" s="111" t="str">
        <f>IF('⚙ OFF Weekends'!$D$46="OFF","OFF","")</f>
        <v/>
      </c>
      <c r="AZ79" s="111" t="str">
        <f>IF('⚙ OFF Weekends'!$D$47="OFF","OFF","")</f>
        <v/>
      </c>
      <c r="BA79" s="111" t="str">
        <f>IF('⚙ OFF Weekends'!$D$48="OFF","OFF","")</f>
        <v/>
      </c>
      <c r="BB79" s="111" t="str">
        <f>IF('⚙ OFF Weekends'!$D$49="OFF","OFF","")</f>
        <v/>
      </c>
      <c r="BC79" s="111" t="str">
        <f>IF('⚙ OFF Weekends'!$D$50="OFF","OFF","")</f>
        <v/>
      </c>
      <c r="BD79" s="111" t="str">
        <f>IF('⚙ OFF Weekends'!$D$51="OFF","OFF","")</f>
        <v/>
      </c>
      <c r="BE79" s="111" t="str">
        <f>IF('⚙ OFF Weekends'!$D$52="OFF","OFF","")</f>
        <v/>
      </c>
      <c r="BF79" s="111" t="str">
        <f>IF('⚙ OFF Weekends'!$D$53="OFF","OFF","")</f>
        <v/>
      </c>
      <c r="BG79" s="111" t="str">
        <f>IF('⚙ OFF Weekends'!$D$54="OFF","OFF","")</f>
        <v/>
      </c>
      <c r="BH79" s="111" t="str">
        <f>IF('⚙ OFF Weekends'!$D$55="OFF","OFF","")</f>
        <v/>
      </c>
      <c r="BI79" s="111" t="str">
        <f>IF('⚙ OFF Weekends'!$D$56="OFF","OFF","")</f>
        <v/>
      </c>
      <c r="BJ79" s="111" t="str">
        <f>IF('⚙ OFF Weekends'!$D$57="OFF","OFF","")</f>
        <v/>
      </c>
      <c r="BK79" s="111" t="str">
        <f>IF('⚙ OFF Weekends'!$D$58="OFF","OFF","")</f>
        <v/>
      </c>
      <c r="BL79" s="111" t="str">
        <f>IF('⚙ OFF Weekends'!$D$59="OFF","OFF","")</f>
        <v/>
      </c>
      <c r="BM79" s="111" t="str">
        <f>IF('⚙ OFF Weekends'!$D$60="OFF","OFF","")</f>
        <v/>
      </c>
      <c r="BN79" s="111" t="str">
        <f>IF('⚙ OFF Weekends'!$D$61="OFF","OFF","")</f>
        <v/>
      </c>
      <c r="BO79" s="111" t="str">
        <f>IF('⚙ OFF Weekends'!$D$62="OFF","OFF","")</f>
        <v/>
      </c>
      <c r="BP79" s="111" t="str">
        <f>IF('⚙ OFF Weekends'!$D$63="OFF","OFF","")</f>
        <v/>
      </c>
      <c r="BQ79" s="111" t="str">
        <f>IF('⚙ OFF Weekends'!$D$64="OFF","OFF","")</f>
        <v/>
      </c>
      <c r="BR79" s="111" t="str">
        <f>IF('⚙ OFF Weekends'!$D$65="OFF","OFF","")</f>
        <v/>
      </c>
      <c r="BS79" s="111" t="str">
        <f>IF('⚙ OFF Weekends'!$D$66="OFF","OFF","")</f>
        <v/>
      </c>
      <c r="BT79" s="111" t="str">
        <f>IF('⚙ OFF Weekends'!$D$67="OFF","OFF","")</f>
        <v/>
      </c>
      <c r="BU79" s="111" t="str">
        <f>IF('⚙ OFF Weekends'!$D$68="OFF","OFF","")</f>
        <v/>
      </c>
      <c r="BV79" s="111" t="str">
        <f>IF('⚙ OFF Weekends'!$D$69="OFF","OFF","")</f>
        <v/>
      </c>
      <c r="BW79" s="111" t="str">
        <f>IF('⚙ OFF Weekends'!$D$70="OFF","OFF","")</f>
        <v/>
      </c>
      <c r="BX79" s="111" t="str">
        <f>IF('⚙ OFF Weekends'!$D$71="OFF","OFF","")</f>
        <v/>
      </c>
      <c r="BY79" s="111" t="str">
        <f>IF('⚙ OFF Weekends'!$D$72="OFF","OFF","")</f>
        <v/>
      </c>
      <c r="BZ79" s="111" t="str">
        <f>IF('⚙ OFF Weekends'!$D$73="OFF","OFF","")</f>
        <v/>
      </c>
      <c r="CA79" s="111" t="str">
        <f>IF('⚙ OFF Weekends'!$D$74="OFF","OFF","")</f>
        <v/>
      </c>
      <c r="CB79" s="111" t="str">
        <f>IF('⚙ OFF Weekends'!$D$75="OFF","OFF","")</f>
        <v/>
      </c>
      <c r="CC79" s="111" t="str">
        <f>IF('⚙ OFF Weekends'!$D$76="OFF","OFF","")</f>
        <v/>
      </c>
      <c r="CD79" s="111" t="str">
        <f>IF('⚙ OFF Weekends'!$D$77="OFF","OFF","")</f>
        <v/>
      </c>
      <c r="CE79" s="112">
        <f t="shared" si="22"/>
        <v>0</v>
      </c>
      <c r="CF79" s="112">
        <f t="shared" si="23"/>
        <v>0</v>
      </c>
      <c r="CG79" s="112">
        <f t="shared" si="24"/>
        <v>0</v>
      </c>
      <c r="CH79" s="112" t="str">
        <f t="shared" si="25"/>
        <v>0%</v>
      </c>
    </row>
    <row r="80" ht="15.0" customHeight="1">
      <c r="A80" s="134" t="str">
        <f>"Group Strength: "&amp;COUNTA(B54:B79)</f>
        <v>Group Strength: 21</v>
      </c>
      <c r="B80" s="135"/>
      <c r="C80" s="135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  <c r="Y80" s="135"/>
      <c r="Z80" s="135"/>
      <c r="AA80" s="135"/>
      <c r="AB80" s="135"/>
      <c r="AC80" s="135"/>
      <c r="AD80" s="135"/>
      <c r="AE80" s="135"/>
      <c r="AF80" s="135"/>
      <c r="AG80" s="135"/>
      <c r="AH80" s="135"/>
      <c r="AI80" s="135"/>
      <c r="AJ80" s="135"/>
      <c r="AK80" s="135"/>
      <c r="AL80" s="135"/>
      <c r="AM80" s="135"/>
      <c r="AN80" s="135"/>
      <c r="AO80" s="135"/>
      <c r="AP80" s="135"/>
      <c r="AQ80" s="135"/>
      <c r="AR80" s="135"/>
      <c r="AS80" s="135"/>
      <c r="AT80" s="135"/>
      <c r="AU80" s="135"/>
      <c r="AV80" s="135"/>
      <c r="AW80" s="135"/>
      <c r="AX80" s="135"/>
      <c r="AY80" s="135"/>
      <c r="AZ80" s="135"/>
      <c r="BA80" s="135"/>
      <c r="BB80" s="135"/>
      <c r="BC80" s="135"/>
      <c r="BD80" s="135"/>
      <c r="BE80" s="135"/>
      <c r="BF80" s="135"/>
      <c r="BG80" s="135"/>
      <c r="BH80" s="135"/>
      <c r="BI80" s="135"/>
      <c r="BJ80" s="135"/>
      <c r="BK80" s="135"/>
      <c r="BL80" s="135"/>
      <c r="BM80" s="135"/>
      <c r="BN80" s="135"/>
      <c r="BO80" s="135"/>
      <c r="BP80" s="135"/>
      <c r="BQ80" s="135"/>
      <c r="BR80" s="135"/>
      <c r="BS80" s="135"/>
      <c r="BT80" s="135"/>
      <c r="BU80" s="135"/>
      <c r="BV80" s="135"/>
      <c r="BW80" s="135"/>
      <c r="BX80" s="135"/>
      <c r="BY80" s="135"/>
      <c r="BZ80" s="135"/>
      <c r="CA80" s="135"/>
      <c r="CB80" s="135"/>
      <c r="CC80" s="135"/>
      <c r="CD80" s="135"/>
      <c r="CE80" s="135"/>
      <c r="CF80" s="135"/>
      <c r="CG80" s="135"/>
      <c r="CH80" s="136"/>
    </row>
    <row r="81" ht="15.0" customHeight="1">
      <c r="A81" s="137" t="s">
        <v>646</v>
      </c>
      <c r="B81" s="138"/>
      <c r="C81" s="138"/>
      <c r="D81" s="138"/>
      <c r="E81" s="138"/>
      <c r="F81" s="138"/>
      <c r="G81" s="138"/>
      <c r="H81" s="139"/>
      <c r="I81" s="140">
        <f t="shared" ref="I81:CD81" si="26">COUNTA(I54:I79)-(COUNTIF(I54:I79, "")+COUNTIF(I54:I79, "Dropout"))</f>
        <v>16</v>
      </c>
      <c r="J81" s="140">
        <f t="shared" si="26"/>
        <v>18</v>
      </c>
      <c r="K81" s="140">
        <f t="shared" si="26"/>
        <v>18</v>
      </c>
      <c r="L81" s="140">
        <f t="shared" si="26"/>
        <v>18</v>
      </c>
      <c r="M81" s="140">
        <f t="shared" si="26"/>
        <v>18</v>
      </c>
      <c r="N81" s="140">
        <f t="shared" si="26"/>
        <v>18</v>
      </c>
      <c r="O81" s="140">
        <f t="shared" si="26"/>
        <v>17</v>
      </c>
      <c r="P81" s="140">
        <f t="shared" si="26"/>
        <v>18</v>
      </c>
      <c r="Q81" s="140">
        <f t="shared" si="26"/>
        <v>19</v>
      </c>
      <c r="R81" s="140">
        <f t="shared" si="26"/>
        <v>19</v>
      </c>
      <c r="S81" s="140">
        <f t="shared" si="26"/>
        <v>19</v>
      </c>
      <c r="T81" s="140">
        <f t="shared" si="26"/>
        <v>19</v>
      </c>
      <c r="U81" s="140">
        <f t="shared" si="26"/>
        <v>19</v>
      </c>
      <c r="V81" s="140">
        <f t="shared" si="26"/>
        <v>19</v>
      </c>
      <c r="W81" s="140">
        <f t="shared" si="26"/>
        <v>24</v>
      </c>
      <c r="X81" s="140">
        <f t="shared" si="26"/>
        <v>19</v>
      </c>
      <c r="Y81" s="140">
        <f t="shared" si="26"/>
        <v>19</v>
      </c>
      <c r="Z81" s="140">
        <f t="shared" si="26"/>
        <v>19</v>
      </c>
      <c r="AA81" s="140">
        <f t="shared" si="26"/>
        <v>18</v>
      </c>
      <c r="AB81" s="140">
        <f t="shared" si="26"/>
        <v>18</v>
      </c>
      <c r="AC81" s="140">
        <f t="shared" si="26"/>
        <v>0</v>
      </c>
      <c r="AD81" s="140">
        <f t="shared" si="26"/>
        <v>0</v>
      </c>
      <c r="AE81" s="140">
        <f t="shared" si="26"/>
        <v>0</v>
      </c>
      <c r="AF81" s="140">
        <f t="shared" si="26"/>
        <v>0</v>
      </c>
      <c r="AG81" s="140">
        <f t="shared" si="26"/>
        <v>0</v>
      </c>
      <c r="AH81" s="140">
        <f t="shared" si="26"/>
        <v>0</v>
      </c>
      <c r="AI81" s="140">
        <f t="shared" si="26"/>
        <v>0</v>
      </c>
      <c r="AJ81" s="140">
        <f t="shared" si="26"/>
        <v>0</v>
      </c>
      <c r="AK81" s="140">
        <f t="shared" si="26"/>
        <v>0</v>
      </c>
      <c r="AL81" s="140">
        <f t="shared" si="26"/>
        <v>0</v>
      </c>
      <c r="AM81" s="140">
        <f t="shared" si="26"/>
        <v>0</v>
      </c>
      <c r="AN81" s="140">
        <f t="shared" si="26"/>
        <v>0</v>
      </c>
      <c r="AO81" s="140">
        <f t="shared" si="26"/>
        <v>0</v>
      </c>
      <c r="AP81" s="140">
        <f t="shared" si="26"/>
        <v>0</v>
      </c>
      <c r="AQ81" s="140">
        <f t="shared" si="26"/>
        <v>0</v>
      </c>
      <c r="AR81" s="140">
        <f t="shared" si="26"/>
        <v>0</v>
      </c>
      <c r="AS81" s="140">
        <f t="shared" si="26"/>
        <v>0</v>
      </c>
      <c r="AT81" s="140">
        <f t="shared" si="26"/>
        <v>0</v>
      </c>
      <c r="AU81" s="140">
        <f t="shared" si="26"/>
        <v>0</v>
      </c>
      <c r="AV81" s="140">
        <f t="shared" si="26"/>
        <v>0</v>
      </c>
      <c r="AW81" s="140">
        <f t="shared" si="26"/>
        <v>0</v>
      </c>
      <c r="AX81" s="140">
        <f t="shared" si="26"/>
        <v>0</v>
      </c>
      <c r="AY81" s="140">
        <f t="shared" si="26"/>
        <v>0</v>
      </c>
      <c r="AZ81" s="140">
        <f t="shared" si="26"/>
        <v>0</v>
      </c>
      <c r="BA81" s="140">
        <f t="shared" si="26"/>
        <v>0</v>
      </c>
      <c r="BB81" s="140">
        <f t="shared" si="26"/>
        <v>0</v>
      </c>
      <c r="BC81" s="140">
        <f t="shared" si="26"/>
        <v>0</v>
      </c>
      <c r="BD81" s="140">
        <f t="shared" si="26"/>
        <v>0</v>
      </c>
      <c r="BE81" s="140">
        <f t="shared" si="26"/>
        <v>0</v>
      </c>
      <c r="BF81" s="140">
        <f t="shared" si="26"/>
        <v>0</v>
      </c>
      <c r="BG81" s="140">
        <f t="shared" si="26"/>
        <v>0</v>
      </c>
      <c r="BH81" s="140">
        <f t="shared" si="26"/>
        <v>0</v>
      </c>
      <c r="BI81" s="140">
        <f t="shared" si="26"/>
        <v>0</v>
      </c>
      <c r="BJ81" s="140">
        <f t="shared" si="26"/>
        <v>0</v>
      </c>
      <c r="BK81" s="140">
        <f t="shared" si="26"/>
        <v>0</v>
      </c>
      <c r="BL81" s="140">
        <f t="shared" si="26"/>
        <v>0</v>
      </c>
      <c r="BM81" s="140">
        <f t="shared" si="26"/>
        <v>0</v>
      </c>
      <c r="BN81" s="140">
        <f t="shared" si="26"/>
        <v>0</v>
      </c>
      <c r="BO81" s="140">
        <f t="shared" si="26"/>
        <v>0</v>
      </c>
      <c r="BP81" s="140">
        <f t="shared" si="26"/>
        <v>0</v>
      </c>
      <c r="BQ81" s="140">
        <f t="shared" si="26"/>
        <v>0</v>
      </c>
      <c r="BR81" s="140">
        <f t="shared" si="26"/>
        <v>0</v>
      </c>
      <c r="BS81" s="140">
        <f t="shared" si="26"/>
        <v>0</v>
      </c>
      <c r="BT81" s="140">
        <f t="shared" si="26"/>
        <v>0</v>
      </c>
      <c r="BU81" s="140">
        <f t="shared" si="26"/>
        <v>0</v>
      </c>
      <c r="BV81" s="140">
        <f t="shared" si="26"/>
        <v>0</v>
      </c>
      <c r="BW81" s="140">
        <f t="shared" si="26"/>
        <v>0</v>
      </c>
      <c r="BX81" s="140">
        <f t="shared" si="26"/>
        <v>0</v>
      </c>
      <c r="BY81" s="140">
        <f t="shared" si="26"/>
        <v>0</v>
      </c>
      <c r="BZ81" s="140">
        <f t="shared" si="26"/>
        <v>0</v>
      </c>
      <c r="CA81" s="140">
        <f t="shared" si="26"/>
        <v>0</v>
      </c>
      <c r="CB81" s="140">
        <f t="shared" si="26"/>
        <v>0</v>
      </c>
      <c r="CC81" s="140">
        <f t="shared" si="26"/>
        <v>0</v>
      </c>
      <c r="CD81" s="140">
        <f t="shared" si="26"/>
        <v>0</v>
      </c>
      <c r="CE81" s="141"/>
      <c r="CF81" s="141"/>
      <c r="CG81" s="141"/>
      <c r="CH81" s="141"/>
    </row>
    <row r="82" ht="15.0" customHeight="1">
      <c r="A82" s="142" t="s">
        <v>223</v>
      </c>
      <c r="B82" s="138"/>
      <c r="C82" s="138"/>
      <c r="D82" s="138"/>
      <c r="E82" s="138"/>
      <c r="F82" s="138"/>
      <c r="G82" s="138"/>
      <c r="H82" s="139"/>
      <c r="I82" s="143">
        <f t="shared" ref="I82:CD82" si="27">COUNTIF(I54:I79,"Absent")</f>
        <v>5</v>
      </c>
      <c r="J82" s="143">
        <f t="shared" si="27"/>
        <v>6</v>
      </c>
      <c r="K82" s="143">
        <f t="shared" si="27"/>
        <v>0</v>
      </c>
      <c r="L82" s="143">
        <f t="shared" si="27"/>
        <v>8</v>
      </c>
      <c r="M82" s="143">
        <f t="shared" si="27"/>
        <v>5</v>
      </c>
      <c r="N82" s="143">
        <f t="shared" si="27"/>
        <v>7</v>
      </c>
      <c r="O82" s="143">
        <f t="shared" si="27"/>
        <v>10</v>
      </c>
      <c r="P82" s="143">
        <f t="shared" si="27"/>
        <v>5</v>
      </c>
      <c r="Q82" s="143">
        <f t="shared" si="27"/>
        <v>5</v>
      </c>
      <c r="R82" s="143">
        <f t="shared" si="27"/>
        <v>4</v>
      </c>
      <c r="S82" s="143">
        <f t="shared" si="27"/>
        <v>5</v>
      </c>
      <c r="T82" s="143">
        <f t="shared" si="27"/>
        <v>4</v>
      </c>
      <c r="U82" s="143">
        <f t="shared" si="27"/>
        <v>10</v>
      </c>
      <c r="V82" s="143">
        <f t="shared" si="27"/>
        <v>7</v>
      </c>
      <c r="W82" s="143">
        <f t="shared" si="27"/>
        <v>0</v>
      </c>
      <c r="X82" s="143">
        <f t="shared" si="27"/>
        <v>9</v>
      </c>
      <c r="Y82" s="143">
        <f t="shared" si="27"/>
        <v>7</v>
      </c>
      <c r="Z82" s="143">
        <f t="shared" si="27"/>
        <v>9</v>
      </c>
      <c r="AA82" s="143">
        <f t="shared" si="27"/>
        <v>9</v>
      </c>
      <c r="AB82" s="143">
        <f t="shared" si="27"/>
        <v>9</v>
      </c>
      <c r="AC82" s="143">
        <f t="shared" si="27"/>
        <v>0</v>
      </c>
      <c r="AD82" s="143">
        <f t="shared" si="27"/>
        <v>0</v>
      </c>
      <c r="AE82" s="143">
        <f t="shared" si="27"/>
        <v>0</v>
      </c>
      <c r="AF82" s="143">
        <f t="shared" si="27"/>
        <v>0</v>
      </c>
      <c r="AG82" s="143">
        <f t="shared" si="27"/>
        <v>0</v>
      </c>
      <c r="AH82" s="143">
        <f t="shared" si="27"/>
        <v>0</v>
      </c>
      <c r="AI82" s="143">
        <f t="shared" si="27"/>
        <v>0</v>
      </c>
      <c r="AJ82" s="143">
        <f t="shared" si="27"/>
        <v>0</v>
      </c>
      <c r="AK82" s="143">
        <f t="shared" si="27"/>
        <v>0</v>
      </c>
      <c r="AL82" s="143">
        <f t="shared" si="27"/>
        <v>0</v>
      </c>
      <c r="AM82" s="143">
        <f t="shared" si="27"/>
        <v>0</v>
      </c>
      <c r="AN82" s="143">
        <f t="shared" si="27"/>
        <v>0</v>
      </c>
      <c r="AO82" s="143">
        <f t="shared" si="27"/>
        <v>0</v>
      </c>
      <c r="AP82" s="143">
        <f t="shared" si="27"/>
        <v>0</v>
      </c>
      <c r="AQ82" s="143">
        <f t="shared" si="27"/>
        <v>0</v>
      </c>
      <c r="AR82" s="143">
        <f t="shared" si="27"/>
        <v>0</v>
      </c>
      <c r="AS82" s="143">
        <f t="shared" si="27"/>
        <v>0</v>
      </c>
      <c r="AT82" s="143">
        <f t="shared" si="27"/>
        <v>0</v>
      </c>
      <c r="AU82" s="143">
        <f t="shared" si="27"/>
        <v>0</v>
      </c>
      <c r="AV82" s="143">
        <f t="shared" si="27"/>
        <v>0</v>
      </c>
      <c r="AW82" s="143">
        <f t="shared" si="27"/>
        <v>0</v>
      </c>
      <c r="AX82" s="143">
        <f t="shared" si="27"/>
        <v>0</v>
      </c>
      <c r="AY82" s="143">
        <f t="shared" si="27"/>
        <v>0</v>
      </c>
      <c r="AZ82" s="143">
        <f t="shared" si="27"/>
        <v>0</v>
      </c>
      <c r="BA82" s="143">
        <f t="shared" si="27"/>
        <v>0</v>
      </c>
      <c r="BB82" s="143">
        <f t="shared" si="27"/>
        <v>0</v>
      </c>
      <c r="BC82" s="143">
        <f t="shared" si="27"/>
        <v>0</v>
      </c>
      <c r="BD82" s="143">
        <f t="shared" si="27"/>
        <v>0</v>
      </c>
      <c r="BE82" s="143">
        <f t="shared" si="27"/>
        <v>0</v>
      </c>
      <c r="BF82" s="143">
        <f t="shared" si="27"/>
        <v>0</v>
      </c>
      <c r="BG82" s="143">
        <f t="shared" si="27"/>
        <v>0</v>
      </c>
      <c r="BH82" s="143">
        <f t="shared" si="27"/>
        <v>0</v>
      </c>
      <c r="BI82" s="143">
        <f t="shared" si="27"/>
        <v>0</v>
      </c>
      <c r="BJ82" s="143">
        <f t="shared" si="27"/>
        <v>0</v>
      </c>
      <c r="BK82" s="143">
        <f t="shared" si="27"/>
        <v>0</v>
      </c>
      <c r="BL82" s="143">
        <f t="shared" si="27"/>
        <v>0</v>
      </c>
      <c r="BM82" s="143">
        <f t="shared" si="27"/>
        <v>0</v>
      </c>
      <c r="BN82" s="143">
        <f t="shared" si="27"/>
        <v>0</v>
      </c>
      <c r="BO82" s="143">
        <f t="shared" si="27"/>
        <v>0</v>
      </c>
      <c r="BP82" s="143">
        <f t="shared" si="27"/>
        <v>0</v>
      </c>
      <c r="BQ82" s="143">
        <f t="shared" si="27"/>
        <v>0</v>
      </c>
      <c r="BR82" s="143">
        <f t="shared" si="27"/>
        <v>0</v>
      </c>
      <c r="BS82" s="143">
        <f t="shared" si="27"/>
        <v>0</v>
      </c>
      <c r="BT82" s="143">
        <f t="shared" si="27"/>
        <v>0</v>
      </c>
      <c r="BU82" s="143">
        <f t="shared" si="27"/>
        <v>0</v>
      </c>
      <c r="BV82" s="143">
        <f t="shared" si="27"/>
        <v>0</v>
      </c>
      <c r="BW82" s="143">
        <f t="shared" si="27"/>
        <v>0</v>
      </c>
      <c r="BX82" s="143">
        <f t="shared" si="27"/>
        <v>0</v>
      </c>
      <c r="BY82" s="143">
        <f t="shared" si="27"/>
        <v>0</v>
      </c>
      <c r="BZ82" s="143">
        <f t="shared" si="27"/>
        <v>0</v>
      </c>
      <c r="CA82" s="143">
        <f t="shared" si="27"/>
        <v>0</v>
      </c>
      <c r="CB82" s="143">
        <f t="shared" si="27"/>
        <v>0</v>
      </c>
      <c r="CC82" s="143">
        <f t="shared" si="27"/>
        <v>0</v>
      </c>
      <c r="CD82" s="143">
        <f t="shared" si="27"/>
        <v>0</v>
      </c>
      <c r="CE82" s="141"/>
      <c r="CF82" s="141"/>
      <c r="CG82" s="141"/>
      <c r="CH82" s="141"/>
    </row>
    <row r="83" ht="15.0" customHeight="1">
      <c r="A83" s="145" t="s">
        <v>198</v>
      </c>
      <c r="B83" s="138"/>
      <c r="C83" s="138"/>
      <c r="D83" s="138"/>
      <c r="E83" s="138"/>
      <c r="F83" s="138"/>
      <c r="G83" s="138"/>
      <c r="H83" s="139"/>
      <c r="I83" s="146">
        <f t="shared" ref="I83:CD83" si="28">COUNTIF(I54:I79,"Leave")</f>
        <v>1</v>
      </c>
      <c r="J83" s="146">
        <f t="shared" si="28"/>
        <v>1</v>
      </c>
      <c r="K83" s="146">
        <f t="shared" si="28"/>
        <v>0</v>
      </c>
      <c r="L83" s="146">
        <f t="shared" si="28"/>
        <v>3</v>
      </c>
      <c r="M83" s="146">
        <f t="shared" si="28"/>
        <v>4</v>
      </c>
      <c r="N83" s="146">
        <f t="shared" si="28"/>
        <v>1</v>
      </c>
      <c r="O83" s="146">
        <f t="shared" si="28"/>
        <v>1</v>
      </c>
      <c r="P83" s="146">
        <f t="shared" si="28"/>
        <v>0</v>
      </c>
      <c r="Q83" s="146">
        <f t="shared" si="28"/>
        <v>2</v>
      </c>
      <c r="R83" s="146">
        <f t="shared" si="28"/>
        <v>4</v>
      </c>
      <c r="S83" s="146">
        <f t="shared" si="28"/>
        <v>2</v>
      </c>
      <c r="T83" s="146">
        <f t="shared" si="28"/>
        <v>2</v>
      </c>
      <c r="U83" s="146">
        <f t="shared" si="28"/>
        <v>2</v>
      </c>
      <c r="V83" s="146">
        <f t="shared" si="28"/>
        <v>2</v>
      </c>
      <c r="W83" s="146">
        <f t="shared" si="28"/>
        <v>0</v>
      </c>
      <c r="X83" s="146">
        <f t="shared" si="28"/>
        <v>3</v>
      </c>
      <c r="Y83" s="146">
        <f t="shared" si="28"/>
        <v>4</v>
      </c>
      <c r="Z83" s="146">
        <f t="shared" si="28"/>
        <v>3</v>
      </c>
      <c r="AA83" s="146">
        <f t="shared" si="28"/>
        <v>2</v>
      </c>
      <c r="AB83" s="146">
        <f t="shared" si="28"/>
        <v>1</v>
      </c>
      <c r="AC83" s="146">
        <f t="shared" si="28"/>
        <v>0</v>
      </c>
      <c r="AD83" s="146">
        <f t="shared" si="28"/>
        <v>0</v>
      </c>
      <c r="AE83" s="146">
        <f t="shared" si="28"/>
        <v>0</v>
      </c>
      <c r="AF83" s="146">
        <f t="shared" si="28"/>
        <v>0</v>
      </c>
      <c r="AG83" s="146">
        <f t="shared" si="28"/>
        <v>0</v>
      </c>
      <c r="AH83" s="146">
        <f t="shared" si="28"/>
        <v>0</v>
      </c>
      <c r="AI83" s="146">
        <f t="shared" si="28"/>
        <v>0</v>
      </c>
      <c r="AJ83" s="146">
        <f t="shared" si="28"/>
        <v>0</v>
      </c>
      <c r="AK83" s="146">
        <f t="shared" si="28"/>
        <v>0</v>
      </c>
      <c r="AL83" s="146">
        <f t="shared" si="28"/>
        <v>0</v>
      </c>
      <c r="AM83" s="146">
        <f t="shared" si="28"/>
        <v>0</v>
      </c>
      <c r="AN83" s="146">
        <f t="shared" si="28"/>
        <v>0</v>
      </c>
      <c r="AO83" s="146">
        <f t="shared" si="28"/>
        <v>0</v>
      </c>
      <c r="AP83" s="146">
        <f t="shared" si="28"/>
        <v>0</v>
      </c>
      <c r="AQ83" s="146">
        <f t="shared" si="28"/>
        <v>0</v>
      </c>
      <c r="AR83" s="146">
        <f t="shared" si="28"/>
        <v>0</v>
      </c>
      <c r="AS83" s="146">
        <f t="shared" si="28"/>
        <v>0</v>
      </c>
      <c r="AT83" s="146">
        <f t="shared" si="28"/>
        <v>0</v>
      </c>
      <c r="AU83" s="146">
        <f t="shared" si="28"/>
        <v>0</v>
      </c>
      <c r="AV83" s="146">
        <f t="shared" si="28"/>
        <v>0</v>
      </c>
      <c r="AW83" s="146">
        <f t="shared" si="28"/>
        <v>0</v>
      </c>
      <c r="AX83" s="146">
        <f t="shared" si="28"/>
        <v>0</v>
      </c>
      <c r="AY83" s="146">
        <f t="shared" si="28"/>
        <v>0</v>
      </c>
      <c r="AZ83" s="146">
        <f t="shared" si="28"/>
        <v>0</v>
      </c>
      <c r="BA83" s="146">
        <f t="shared" si="28"/>
        <v>0</v>
      </c>
      <c r="BB83" s="146">
        <f t="shared" si="28"/>
        <v>0</v>
      </c>
      <c r="BC83" s="146">
        <f t="shared" si="28"/>
        <v>0</v>
      </c>
      <c r="BD83" s="146">
        <f t="shared" si="28"/>
        <v>0</v>
      </c>
      <c r="BE83" s="146">
        <f t="shared" si="28"/>
        <v>0</v>
      </c>
      <c r="BF83" s="146">
        <f t="shared" si="28"/>
        <v>0</v>
      </c>
      <c r="BG83" s="146">
        <f t="shared" si="28"/>
        <v>0</v>
      </c>
      <c r="BH83" s="146">
        <f t="shared" si="28"/>
        <v>0</v>
      </c>
      <c r="BI83" s="146">
        <f t="shared" si="28"/>
        <v>0</v>
      </c>
      <c r="BJ83" s="146">
        <f t="shared" si="28"/>
        <v>0</v>
      </c>
      <c r="BK83" s="146">
        <f t="shared" si="28"/>
        <v>0</v>
      </c>
      <c r="BL83" s="146">
        <f t="shared" si="28"/>
        <v>0</v>
      </c>
      <c r="BM83" s="146">
        <f t="shared" si="28"/>
        <v>0</v>
      </c>
      <c r="BN83" s="146">
        <f t="shared" si="28"/>
        <v>0</v>
      </c>
      <c r="BO83" s="146">
        <f t="shared" si="28"/>
        <v>0</v>
      </c>
      <c r="BP83" s="146">
        <f t="shared" si="28"/>
        <v>0</v>
      </c>
      <c r="BQ83" s="146">
        <f t="shared" si="28"/>
        <v>0</v>
      </c>
      <c r="BR83" s="146">
        <f t="shared" si="28"/>
        <v>0</v>
      </c>
      <c r="BS83" s="146">
        <f t="shared" si="28"/>
        <v>0</v>
      </c>
      <c r="BT83" s="146">
        <f t="shared" si="28"/>
        <v>0</v>
      </c>
      <c r="BU83" s="146">
        <f t="shared" si="28"/>
        <v>0</v>
      </c>
      <c r="BV83" s="146">
        <f t="shared" si="28"/>
        <v>0</v>
      </c>
      <c r="BW83" s="146">
        <f t="shared" si="28"/>
        <v>0</v>
      </c>
      <c r="BX83" s="146">
        <f t="shared" si="28"/>
        <v>0</v>
      </c>
      <c r="BY83" s="146">
        <f t="shared" si="28"/>
        <v>0</v>
      </c>
      <c r="BZ83" s="146">
        <f t="shared" si="28"/>
        <v>0</v>
      </c>
      <c r="CA83" s="146">
        <f t="shared" si="28"/>
        <v>0</v>
      </c>
      <c r="CB83" s="146">
        <f t="shared" si="28"/>
        <v>0</v>
      </c>
      <c r="CC83" s="146">
        <f t="shared" si="28"/>
        <v>0</v>
      </c>
      <c r="CD83" s="146">
        <f t="shared" si="28"/>
        <v>0</v>
      </c>
      <c r="CE83" s="141"/>
      <c r="CF83" s="141"/>
      <c r="CG83" s="141"/>
      <c r="CH83" s="141"/>
    </row>
    <row r="84" ht="15.0" customHeight="1">
      <c r="A84" s="147" t="s">
        <v>196</v>
      </c>
      <c r="B84" s="138"/>
      <c r="C84" s="138"/>
      <c r="D84" s="138"/>
      <c r="E84" s="138"/>
      <c r="F84" s="138"/>
      <c r="G84" s="138"/>
      <c r="H84" s="139"/>
      <c r="I84" s="148">
        <f t="shared" ref="I84:CD84" si="29">COUNTIF(I54:I79,"Present")</f>
        <v>0</v>
      </c>
      <c r="J84" s="148">
        <f t="shared" si="29"/>
        <v>0</v>
      </c>
      <c r="K84" s="148">
        <f t="shared" si="29"/>
        <v>0</v>
      </c>
      <c r="L84" s="148">
        <f t="shared" si="29"/>
        <v>2</v>
      </c>
      <c r="M84" s="148">
        <f t="shared" si="29"/>
        <v>4</v>
      </c>
      <c r="N84" s="148">
        <f t="shared" si="29"/>
        <v>1</v>
      </c>
      <c r="O84" s="148">
        <f t="shared" si="29"/>
        <v>2</v>
      </c>
      <c r="P84" s="148">
        <f t="shared" si="29"/>
        <v>4</v>
      </c>
      <c r="Q84" s="148">
        <f t="shared" si="29"/>
        <v>5</v>
      </c>
      <c r="R84" s="148">
        <f t="shared" si="29"/>
        <v>3</v>
      </c>
      <c r="S84" s="148">
        <f t="shared" si="29"/>
        <v>3</v>
      </c>
      <c r="T84" s="148">
        <f t="shared" si="29"/>
        <v>13</v>
      </c>
      <c r="U84" s="148">
        <f t="shared" si="29"/>
        <v>2</v>
      </c>
      <c r="V84" s="148">
        <f t="shared" si="29"/>
        <v>4</v>
      </c>
      <c r="W84" s="148">
        <f t="shared" si="29"/>
        <v>0</v>
      </c>
      <c r="X84" s="148">
        <f t="shared" si="29"/>
        <v>4</v>
      </c>
      <c r="Y84" s="148">
        <f t="shared" si="29"/>
        <v>2</v>
      </c>
      <c r="Z84" s="148">
        <f t="shared" si="29"/>
        <v>1</v>
      </c>
      <c r="AA84" s="148">
        <f t="shared" si="29"/>
        <v>4</v>
      </c>
      <c r="AB84" s="148">
        <f t="shared" si="29"/>
        <v>2</v>
      </c>
      <c r="AC84" s="148">
        <f t="shared" si="29"/>
        <v>0</v>
      </c>
      <c r="AD84" s="148">
        <f t="shared" si="29"/>
        <v>0</v>
      </c>
      <c r="AE84" s="148">
        <f t="shared" si="29"/>
        <v>0</v>
      </c>
      <c r="AF84" s="148">
        <f t="shared" si="29"/>
        <v>0</v>
      </c>
      <c r="AG84" s="148">
        <f t="shared" si="29"/>
        <v>0</v>
      </c>
      <c r="AH84" s="148">
        <f t="shared" si="29"/>
        <v>0</v>
      </c>
      <c r="AI84" s="148">
        <f t="shared" si="29"/>
        <v>0</v>
      </c>
      <c r="AJ84" s="148">
        <f t="shared" si="29"/>
        <v>0</v>
      </c>
      <c r="AK84" s="148">
        <f t="shared" si="29"/>
        <v>0</v>
      </c>
      <c r="AL84" s="148">
        <f t="shared" si="29"/>
        <v>0</v>
      </c>
      <c r="AM84" s="148">
        <f t="shared" si="29"/>
        <v>0</v>
      </c>
      <c r="AN84" s="148">
        <f t="shared" si="29"/>
        <v>0</v>
      </c>
      <c r="AO84" s="148">
        <f t="shared" si="29"/>
        <v>0</v>
      </c>
      <c r="AP84" s="148">
        <f t="shared" si="29"/>
        <v>0</v>
      </c>
      <c r="AQ84" s="148">
        <f t="shared" si="29"/>
        <v>0</v>
      </c>
      <c r="AR84" s="148">
        <f t="shared" si="29"/>
        <v>0</v>
      </c>
      <c r="AS84" s="148">
        <f t="shared" si="29"/>
        <v>0</v>
      </c>
      <c r="AT84" s="148">
        <f t="shared" si="29"/>
        <v>0</v>
      </c>
      <c r="AU84" s="148">
        <f t="shared" si="29"/>
        <v>0</v>
      </c>
      <c r="AV84" s="148">
        <f t="shared" si="29"/>
        <v>0</v>
      </c>
      <c r="AW84" s="148">
        <f t="shared" si="29"/>
        <v>0</v>
      </c>
      <c r="AX84" s="148">
        <f t="shared" si="29"/>
        <v>0</v>
      </c>
      <c r="AY84" s="148">
        <f t="shared" si="29"/>
        <v>0</v>
      </c>
      <c r="AZ84" s="148">
        <f t="shared" si="29"/>
        <v>0</v>
      </c>
      <c r="BA84" s="148">
        <f t="shared" si="29"/>
        <v>0</v>
      </c>
      <c r="BB84" s="148">
        <f t="shared" si="29"/>
        <v>0</v>
      </c>
      <c r="BC84" s="148">
        <f t="shared" si="29"/>
        <v>0</v>
      </c>
      <c r="BD84" s="148">
        <f t="shared" si="29"/>
        <v>0</v>
      </c>
      <c r="BE84" s="148">
        <f t="shared" si="29"/>
        <v>0</v>
      </c>
      <c r="BF84" s="148">
        <f t="shared" si="29"/>
        <v>0</v>
      </c>
      <c r="BG84" s="148">
        <f t="shared" si="29"/>
        <v>0</v>
      </c>
      <c r="BH84" s="148">
        <f t="shared" si="29"/>
        <v>0</v>
      </c>
      <c r="BI84" s="148">
        <f t="shared" si="29"/>
        <v>0</v>
      </c>
      <c r="BJ84" s="148">
        <f t="shared" si="29"/>
        <v>0</v>
      </c>
      <c r="BK84" s="148">
        <f t="shared" si="29"/>
        <v>0</v>
      </c>
      <c r="BL84" s="148">
        <f t="shared" si="29"/>
        <v>0</v>
      </c>
      <c r="BM84" s="148">
        <f t="shared" si="29"/>
        <v>0</v>
      </c>
      <c r="BN84" s="148">
        <f t="shared" si="29"/>
        <v>0</v>
      </c>
      <c r="BO84" s="148">
        <f t="shared" si="29"/>
        <v>0</v>
      </c>
      <c r="BP84" s="148">
        <f t="shared" si="29"/>
        <v>0</v>
      </c>
      <c r="BQ84" s="148">
        <f t="shared" si="29"/>
        <v>0</v>
      </c>
      <c r="BR84" s="148">
        <f t="shared" si="29"/>
        <v>0</v>
      </c>
      <c r="BS84" s="148">
        <f t="shared" si="29"/>
        <v>0</v>
      </c>
      <c r="BT84" s="148">
        <f t="shared" si="29"/>
        <v>0</v>
      </c>
      <c r="BU84" s="148">
        <f t="shared" si="29"/>
        <v>0</v>
      </c>
      <c r="BV84" s="148">
        <f t="shared" si="29"/>
        <v>0</v>
      </c>
      <c r="BW84" s="148">
        <f t="shared" si="29"/>
        <v>0</v>
      </c>
      <c r="BX84" s="148">
        <f t="shared" si="29"/>
        <v>0</v>
      </c>
      <c r="BY84" s="148">
        <f t="shared" si="29"/>
        <v>0</v>
      </c>
      <c r="BZ84" s="148">
        <f t="shared" si="29"/>
        <v>0</v>
      </c>
      <c r="CA84" s="148">
        <f t="shared" si="29"/>
        <v>0</v>
      </c>
      <c r="CB84" s="148">
        <f t="shared" si="29"/>
        <v>0</v>
      </c>
      <c r="CC84" s="148">
        <f t="shared" si="29"/>
        <v>0</v>
      </c>
      <c r="CD84" s="148">
        <f t="shared" si="29"/>
        <v>0</v>
      </c>
      <c r="CE84" s="141"/>
      <c r="CF84" s="141"/>
      <c r="CG84" s="141"/>
      <c r="CH84" s="141"/>
    </row>
    <row r="85" ht="15.0" customHeight="1">
      <c r="A85" s="149" t="s">
        <v>37</v>
      </c>
      <c r="B85" s="138"/>
      <c r="C85" s="138"/>
      <c r="D85" s="138"/>
      <c r="E85" s="138"/>
      <c r="F85" s="138"/>
      <c r="G85" s="138"/>
      <c r="H85" s="139"/>
      <c r="I85" s="150">
        <f t="shared" ref="I85:CD85" si="30">COUNTIF(I54:I79,"Late")</f>
        <v>10</v>
      </c>
      <c r="J85" s="150">
        <f t="shared" si="30"/>
        <v>11</v>
      </c>
      <c r="K85" s="150">
        <f t="shared" si="30"/>
        <v>0</v>
      </c>
      <c r="L85" s="150">
        <f t="shared" si="30"/>
        <v>5</v>
      </c>
      <c r="M85" s="150">
        <f t="shared" si="30"/>
        <v>5</v>
      </c>
      <c r="N85" s="150">
        <f t="shared" si="30"/>
        <v>9</v>
      </c>
      <c r="O85" s="150">
        <f t="shared" si="30"/>
        <v>4</v>
      </c>
      <c r="P85" s="150">
        <f t="shared" si="30"/>
        <v>9</v>
      </c>
      <c r="Q85" s="150">
        <f t="shared" si="30"/>
        <v>7</v>
      </c>
      <c r="R85" s="150">
        <f t="shared" si="30"/>
        <v>8</v>
      </c>
      <c r="S85" s="150">
        <f t="shared" si="30"/>
        <v>9</v>
      </c>
      <c r="T85" s="150">
        <f t="shared" si="30"/>
        <v>0</v>
      </c>
      <c r="U85" s="150">
        <f t="shared" si="30"/>
        <v>5</v>
      </c>
      <c r="V85" s="150">
        <f t="shared" si="30"/>
        <v>6</v>
      </c>
      <c r="W85" s="150">
        <f t="shared" si="30"/>
        <v>0</v>
      </c>
      <c r="X85" s="150">
        <f t="shared" si="30"/>
        <v>3</v>
      </c>
      <c r="Y85" s="150">
        <f t="shared" si="30"/>
        <v>6</v>
      </c>
      <c r="Z85" s="150">
        <f t="shared" si="30"/>
        <v>6</v>
      </c>
      <c r="AA85" s="150">
        <f t="shared" si="30"/>
        <v>3</v>
      </c>
      <c r="AB85" s="150">
        <f t="shared" si="30"/>
        <v>6</v>
      </c>
      <c r="AC85" s="150">
        <f t="shared" si="30"/>
        <v>0</v>
      </c>
      <c r="AD85" s="150">
        <f t="shared" si="30"/>
        <v>0</v>
      </c>
      <c r="AE85" s="150">
        <f t="shared" si="30"/>
        <v>0</v>
      </c>
      <c r="AF85" s="150">
        <f t="shared" si="30"/>
        <v>0</v>
      </c>
      <c r="AG85" s="150">
        <f t="shared" si="30"/>
        <v>0</v>
      </c>
      <c r="AH85" s="150">
        <f t="shared" si="30"/>
        <v>0</v>
      </c>
      <c r="AI85" s="150">
        <f t="shared" si="30"/>
        <v>0</v>
      </c>
      <c r="AJ85" s="150">
        <f t="shared" si="30"/>
        <v>0</v>
      </c>
      <c r="AK85" s="150">
        <f t="shared" si="30"/>
        <v>0</v>
      </c>
      <c r="AL85" s="150">
        <f t="shared" si="30"/>
        <v>0</v>
      </c>
      <c r="AM85" s="150">
        <f t="shared" si="30"/>
        <v>0</v>
      </c>
      <c r="AN85" s="150">
        <f t="shared" si="30"/>
        <v>0</v>
      </c>
      <c r="AO85" s="150">
        <f t="shared" si="30"/>
        <v>0</v>
      </c>
      <c r="AP85" s="150">
        <f t="shared" si="30"/>
        <v>0</v>
      </c>
      <c r="AQ85" s="150">
        <f t="shared" si="30"/>
        <v>0</v>
      </c>
      <c r="AR85" s="150">
        <f t="shared" si="30"/>
        <v>0</v>
      </c>
      <c r="AS85" s="150">
        <f t="shared" si="30"/>
        <v>0</v>
      </c>
      <c r="AT85" s="150">
        <f t="shared" si="30"/>
        <v>0</v>
      </c>
      <c r="AU85" s="150">
        <f t="shared" si="30"/>
        <v>0</v>
      </c>
      <c r="AV85" s="150">
        <f t="shared" si="30"/>
        <v>0</v>
      </c>
      <c r="AW85" s="150">
        <f t="shared" si="30"/>
        <v>0</v>
      </c>
      <c r="AX85" s="150">
        <f t="shared" si="30"/>
        <v>0</v>
      </c>
      <c r="AY85" s="150">
        <f t="shared" si="30"/>
        <v>0</v>
      </c>
      <c r="AZ85" s="150">
        <f t="shared" si="30"/>
        <v>0</v>
      </c>
      <c r="BA85" s="150">
        <f t="shared" si="30"/>
        <v>0</v>
      </c>
      <c r="BB85" s="150">
        <f t="shared" si="30"/>
        <v>0</v>
      </c>
      <c r="BC85" s="150">
        <f t="shared" si="30"/>
        <v>0</v>
      </c>
      <c r="BD85" s="150">
        <f t="shared" si="30"/>
        <v>0</v>
      </c>
      <c r="BE85" s="150">
        <f t="shared" si="30"/>
        <v>0</v>
      </c>
      <c r="BF85" s="150">
        <f t="shared" si="30"/>
        <v>0</v>
      </c>
      <c r="BG85" s="150">
        <f t="shared" si="30"/>
        <v>0</v>
      </c>
      <c r="BH85" s="150">
        <f t="shared" si="30"/>
        <v>0</v>
      </c>
      <c r="BI85" s="150">
        <f t="shared" si="30"/>
        <v>0</v>
      </c>
      <c r="BJ85" s="150">
        <f t="shared" si="30"/>
        <v>0</v>
      </c>
      <c r="BK85" s="150">
        <f t="shared" si="30"/>
        <v>0</v>
      </c>
      <c r="BL85" s="150">
        <f t="shared" si="30"/>
        <v>0</v>
      </c>
      <c r="BM85" s="150">
        <f t="shared" si="30"/>
        <v>0</v>
      </c>
      <c r="BN85" s="150">
        <f t="shared" si="30"/>
        <v>0</v>
      </c>
      <c r="BO85" s="150">
        <f t="shared" si="30"/>
        <v>0</v>
      </c>
      <c r="BP85" s="150">
        <f t="shared" si="30"/>
        <v>0</v>
      </c>
      <c r="BQ85" s="150">
        <f t="shared" si="30"/>
        <v>0</v>
      </c>
      <c r="BR85" s="150">
        <f t="shared" si="30"/>
        <v>0</v>
      </c>
      <c r="BS85" s="150">
        <f t="shared" si="30"/>
        <v>0</v>
      </c>
      <c r="BT85" s="150">
        <f t="shared" si="30"/>
        <v>0</v>
      </c>
      <c r="BU85" s="150">
        <f t="shared" si="30"/>
        <v>0</v>
      </c>
      <c r="BV85" s="150">
        <f t="shared" si="30"/>
        <v>0</v>
      </c>
      <c r="BW85" s="150">
        <f t="shared" si="30"/>
        <v>0</v>
      </c>
      <c r="BX85" s="150">
        <f t="shared" si="30"/>
        <v>0</v>
      </c>
      <c r="BY85" s="150">
        <f t="shared" si="30"/>
        <v>0</v>
      </c>
      <c r="BZ85" s="150">
        <f t="shared" si="30"/>
        <v>0</v>
      </c>
      <c r="CA85" s="150">
        <f t="shared" si="30"/>
        <v>0</v>
      </c>
      <c r="CB85" s="150">
        <f t="shared" si="30"/>
        <v>0</v>
      </c>
      <c r="CC85" s="150">
        <f t="shared" si="30"/>
        <v>0</v>
      </c>
      <c r="CD85" s="150">
        <f t="shared" si="30"/>
        <v>0</v>
      </c>
      <c r="CE85" s="141"/>
      <c r="CF85" s="141"/>
      <c r="CG85" s="141"/>
      <c r="CH85" s="141"/>
    </row>
    <row r="86" ht="15.0" customHeight="1">
      <c r="A86" s="151" t="s">
        <v>650</v>
      </c>
      <c r="B86" s="138"/>
      <c r="C86" s="138"/>
      <c r="D86" s="138"/>
      <c r="E86" s="138"/>
      <c r="F86" s="138"/>
      <c r="G86" s="138"/>
      <c r="H86" s="139"/>
      <c r="I86" s="152">
        <f t="shared" ref="I86:CD86" si="31">COUNTIF(I54:I79,"Present")+COUNTIF(I54:I79,"Late")</f>
        <v>10</v>
      </c>
      <c r="J86" s="152">
        <f t="shared" si="31"/>
        <v>11</v>
      </c>
      <c r="K86" s="152">
        <f t="shared" si="31"/>
        <v>0</v>
      </c>
      <c r="L86" s="152">
        <f t="shared" si="31"/>
        <v>7</v>
      </c>
      <c r="M86" s="152">
        <f t="shared" si="31"/>
        <v>9</v>
      </c>
      <c r="N86" s="152">
        <f t="shared" si="31"/>
        <v>10</v>
      </c>
      <c r="O86" s="152">
        <f t="shared" si="31"/>
        <v>6</v>
      </c>
      <c r="P86" s="152">
        <f t="shared" si="31"/>
        <v>13</v>
      </c>
      <c r="Q86" s="152">
        <f t="shared" si="31"/>
        <v>12</v>
      </c>
      <c r="R86" s="152">
        <f t="shared" si="31"/>
        <v>11</v>
      </c>
      <c r="S86" s="152">
        <f t="shared" si="31"/>
        <v>12</v>
      </c>
      <c r="T86" s="152">
        <f t="shared" si="31"/>
        <v>13</v>
      </c>
      <c r="U86" s="152">
        <f t="shared" si="31"/>
        <v>7</v>
      </c>
      <c r="V86" s="152">
        <f t="shared" si="31"/>
        <v>10</v>
      </c>
      <c r="W86" s="152">
        <f t="shared" si="31"/>
        <v>0</v>
      </c>
      <c r="X86" s="152">
        <f t="shared" si="31"/>
        <v>7</v>
      </c>
      <c r="Y86" s="152">
        <f t="shared" si="31"/>
        <v>8</v>
      </c>
      <c r="Z86" s="152">
        <f t="shared" si="31"/>
        <v>7</v>
      </c>
      <c r="AA86" s="152">
        <f t="shared" si="31"/>
        <v>7</v>
      </c>
      <c r="AB86" s="152">
        <f t="shared" si="31"/>
        <v>8</v>
      </c>
      <c r="AC86" s="152">
        <f t="shared" si="31"/>
        <v>0</v>
      </c>
      <c r="AD86" s="152">
        <f t="shared" si="31"/>
        <v>0</v>
      </c>
      <c r="AE86" s="152">
        <f t="shared" si="31"/>
        <v>0</v>
      </c>
      <c r="AF86" s="152">
        <f t="shared" si="31"/>
        <v>0</v>
      </c>
      <c r="AG86" s="152">
        <f t="shared" si="31"/>
        <v>0</v>
      </c>
      <c r="AH86" s="152">
        <f t="shared" si="31"/>
        <v>0</v>
      </c>
      <c r="AI86" s="152">
        <f t="shared" si="31"/>
        <v>0</v>
      </c>
      <c r="AJ86" s="152">
        <f t="shared" si="31"/>
        <v>0</v>
      </c>
      <c r="AK86" s="152">
        <f t="shared" si="31"/>
        <v>0</v>
      </c>
      <c r="AL86" s="152">
        <f t="shared" si="31"/>
        <v>0</v>
      </c>
      <c r="AM86" s="152">
        <f t="shared" si="31"/>
        <v>0</v>
      </c>
      <c r="AN86" s="152">
        <f t="shared" si="31"/>
        <v>0</v>
      </c>
      <c r="AO86" s="152">
        <f t="shared" si="31"/>
        <v>0</v>
      </c>
      <c r="AP86" s="152">
        <f t="shared" si="31"/>
        <v>0</v>
      </c>
      <c r="AQ86" s="152">
        <f t="shared" si="31"/>
        <v>0</v>
      </c>
      <c r="AR86" s="152">
        <f t="shared" si="31"/>
        <v>0</v>
      </c>
      <c r="AS86" s="152">
        <f t="shared" si="31"/>
        <v>0</v>
      </c>
      <c r="AT86" s="152">
        <f t="shared" si="31"/>
        <v>0</v>
      </c>
      <c r="AU86" s="152">
        <f t="shared" si="31"/>
        <v>0</v>
      </c>
      <c r="AV86" s="152">
        <f t="shared" si="31"/>
        <v>0</v>
      </c>
      <c r="AW86" s="152">
        <f t="shared" si="31"/>
        <v>0</v>
      </c>
      <c r="AX86" s="152">
        <f t="shared" si="31"/>
        <v>0</v>
      </c>
      <c r="AY86" s="152">
        <f t="shared" si="31"/>
        <v>0</v>
      </c>
      <c r="AZ86" s="152">
        <f t="shared" si="31"/>
        <v>0</v>
      </c>
      <c r="BA86" s="152">
        <f t="shared" si="31"/>
        <v>0</v>
      </c>
      <c r="BB86" s="152">
        <f t="shared" si="31"/>
        <v>0</v>
      </c>
      <c r="BC86" s="152">
        <f t="shared" si="31"/>
        <v>0</v>
      </c>
      <c r="BD86" s="152">
        <f t="shared" si="31"/>
        <v>0</v>
      </c>
      <c r="BE86" s="152">
        <f t="shared" si="31"/>
        <v>0</v>
      </c>
      <c r="BF86" s="152">
        <f t="shared" si="31"/>
        <v>0</v>
      </c>
      <c r="BG86" s="152">
        <f t="shared" si="31"/>
        <v>0</v>
      </c>
      <c r="BH86" s="152">
        <f t="shared" si="31"/>
        <v>0</v>
      </c>
      <c r="BI86" s="152">
        <f t="shared" si="31"/>
        <v>0</v>
      </c>
      <c r="BJ86" s="152">
        <f t="shared" si="31"/>
        <v>0</v>
      </c>
      <c r="BK86" s="152">
        <f t="shared" si="31"/>
        <v>0</v>
      </c>
      <c r="BL86" s="152">
        <f t="shared" si="31"/>
        <v>0</v>
      </c>
      <c r="BM86" s="152">
        <f t="shared" si="31"/>
        <v>0</v>
      </c>
      <c r="BN86" s="152">
        <f t="shared" si="31"/>
        <v>0</v>
      </c>
      <c r="BO86" s="152">
        <f t="shared" si="31"/>
        <v>0</v>
      </c>
      <c r="BP86" s="152">
        <f t="shared" si="31"/>
        <v>0</v>
      </c>
      <c r="BQ86" s="152">
        <f t="shared" si="31"/>
        <v>0</v>
      </c>
      <c r="BR86" s="152">
        <f t="shared" si="31"/>
        <v>0</v>
      </c>
      <c r="BS86" s="152">
        <f t="shared" si="31"/>
        <v>0</v>
      </c>
      <c r="BT86" s="152">
        <f t="shared" si="31"/>
        <v>0</v>
      </c>
      <c r="BU86" s="152">
        <f t="shared" si="31"/>
        <v>0</v>
      </c>
      <c r="BV86" s="152">
        <f t="shared" si="31"/>
        <v>0</v>
      </c>
      <c r="BW86" s="152">
        <f t="shared" si="31"/>
        <v>0</v>
      </c>
      <c r="BX86" s="152">
        <f t="shared" si="31"/>
        <v>0</v>
      </c>
      <c r="BY86" s="152">
        <f t="shared" si="31"/>
        <v>0</v>
      </c>
      <c r="BZ86" s="152">
        <f t="shared" si="31"/>
        <v>0</v>
      </c>
      <c r="CA86" s="152">
        <f t="shared" si="31"/>
        <v>0</v>
      </c>
      <c r="CB86" s="152">
        <f t="shared" si="31"/>
        <v>0</v>
      </c>
      <c r="CC86" s="152">
        <f t="shared" si="31"/>
        <v>0</v>
      </c>
      <c r="CD86" s="152">
        <f t="shared" si="31"/>
        <v>0</v>
      </c>
      <c r="CE86" s="141"/>
      <c r="CF86" s="141"/>
      <c r="CG86" s="141"/>
      <c r="CH86" s="141"/>
    </row>
    <row r="87" ht="15.0" customHeight="1">
      <c r="A87" s="153" t="s">
        <v>651</v>
      </c>
      <c r="B87" s="138"/>
      <c r="C87" s="138"/>
      <c r="D87" s="138"/>
      <c r="E87" s="138"/>
      <c r="F87" s="138"/>
      <c r="G87" s="138"/>
      <c r="H87" s="139"/>
      <c r="I87" s="154" t="str">
        <f t="shared" ref="I87:CD87" si="32">CONCAT(TRUNC(MULTIPLY(DIVIDE(I86,I81), 100),0),"%")</f>
        <v>62%</v>
      </c>
      <c r="J87" s="154" t="str">
        <f t="shared" si="32"/>
        <v>61%</v>
      </c>
      <c r="K87" s="154" t="str">
        <f t="shared" si="32"/>
        <v>0%</v>
      </c>
      <c r="L87" s="154" t="str">
        <f t="shared" si="32"/>
        <v>38%</v>
      </c>
      <c r="M87" s="154" t="str">
        <f t="shared" si="32"/>
        <v>50%</v>
      </c>
      <c r="N87" s="154" t="str">
        <f t="shared" si="32"/>
        <v>55%</v>
      </c>
      <c r="O87" s="154" t="str">
        <f t="shared" si="32"/>
        <v>35%</v>
      </c>
      <c r="P87" s="154" t="str">
        <f t="shared" si="32"/>
        <v>72%</v>
      </c>
      <c r="Q87" s="154" t="str">
        <f t="shared" si="32"/>
        <v>63%</v>
      </c>
      <c r="R87" s="154" t="str">
        <f t="shared" si="32"/>
        <v>57%</v>
      </c>
      <c r="S87" s="154" t="str">
        <f t="shared" si="32"/>
        <v>63%</v>
      </c>
      <c r="T87" s="154" t="str">
        <f t="shared" si="32"/>
        <v>68%</v>
      </c>
      <c r="U87" s="154" t="str">
        <f t="shared" si="32"/>
        <v>36%</v>
      </c>
      <c r="V87" s="154" t="str">
        <f t="shared" si="32"/>
        <v>52%</v>
      </c>
      <c r="W87" s="154" t="str">
        <f t="shared" si="32"/>
        <v>0%</v>
      </c>
      <c r="X87" s="154" t="str">
        <f t="shared" si="32"/>
        <v>36%</v>
      </c>
      <c r="Y87" s="154" t="str">
        <f t="shared" si="32"/>
        <v>42%</v>
      </c>
      <c r="Z87" s="154" t="str">
        <f t="shared" si="32"/>
        <v>36%</v>
      </c>
      <c r="AA87" s="154" t="str">
        <f t="shared" si="32"/>
        <v>38%</v>
      </c>
      <c r="AB87" s="154" t="str">
        <f t="shared" si="32"/>
        <v>44%</v>
      </c>
      <c r="AC87" s="154" t="str">
        <f t="shared" si="32"/>
        <v>#DIV/0!</v>
      </c>
      <c r="AD87" s="154" t="str">
        <f t="shared" si="32"/>
        <v>#DIV/0!</v>
      </c>
      <c r="AE87" s="154" t="str">
        <f t="shared" si="32"/>
        <v>#DIV/0!</v>
      </c>
      <c r="AF87" s="154" t="str">
        <f t="shared" si="32"/>
        <v>#DIV/0!</v>
      </c>
      <c r="AG87" s="154" t="str">
        <f t="shared" si="32"/>
        <v>#DIV/0!</v>
      </c>
      <c r="AH87" s="154" t="str">
        <f t="shared" si="32"/>
        <v>#DIV/0!</v>
      </c>
      <c r="AI87" s="154" t="str">
        <f t="shared" si="32"/>
        <v>#DIV/0!</v>
      </c>
      <c r="AJ87" s="154" t="str">
        <f t="shared" si="32"/>
        <v>#DIV/0!</v>
      </c>
      <c r="AK87" s="154" t="str">
        <f t="shared" si="32"/>
        <v>#DIV/0!</v>
      </c>
      <c r="AL87" s="154" t="str">
        <f t="shared" si="32"/>
        <v>#DIV/0!</v>
      </c>
      <c r="AM87" s="154" t="str">
        <f t="shared" si="32"/>
        <v>#DIV/0!</v>
      </c>
      <c r="AN87" s="154" t="str">
        <f t="shared" si="32"/>
        <v>#DIV/0!</v>
      </c>
      <c r="AO87" s="154" t="str">
        <f t="shared" si="32"/>
        <v>#DIV/0!</v>
      </c>
      <c r="AP87" s="154" t="str">
        <f t="shared" si="32"/>
        <v>#DIV/0!</v>
      </c>
      <c r="AQ87" s="154" t="str">
        <f t="shared" si="32"/>
        <v>#DIV/0!</v>
      </c>
      <c r="AR87" s="154" t="str">
        <f t="shared" si="32"/>
        <v>#DIV/0!</v>
      </c>
      <c r="AS87" s="154" t="str">
        <f t="shared" si="32"/>
        <v>#DIV/0!</v>
      </c>
      <c r="AT87" s="154" t="str">
        <f t="shared" si="32"/>
        <v>#DIV/0!</v>
      </c>
      <c r="AU87" s="154" t="str">
        <f t="shared" si="32"/>
        <v>#DIV/0!</v>
      </c>
      <c r="AV87" s="154" t="str">
        <f t="shared" si="32"/>
        <v>#DIV/0!</v>
      </c>
      <c r="AW87" s="154" t="str">
        <f t="shared" si="32"/>
        <v>#DIV/0!</v>
      </c>
      <c r="AX87" s="154" t="str">
        <f t="shared" si="32"/>
        <v>#DIV/0!</v>
      </c>
      <c r="AY87" s="154" t="str">
        <f t="shared" si="32"/>
        <v>#DIV/0!</v>
      </c>
      <c r="AZ87" s="154" t="str">
        <f t="shared" si="32"/>
        <v>#DIV/0!</v>
      </c>
      <c r="BA87" s="154" t="str">
        <f t="shared" si="32"/>
        <v>#DIV/0!</v>
      </c>
      <c r="BB87" s="154" t="str">
        <f t="shared" si="32"/>
        <v>#DIV/0!</v>
      </c>
      <c r="BC87" s="154" t="str">
        <f t="shared" si="32"/>
        <v>#DIV/0!</v>
      </c>
      <c r="BD87" s="154" t="str">
        <f t="shared" si="32"/>
        <v>#DIV/0!</v>
      </c>
      <c r="BE87" s="154" t="str">
        <f t="shared" si="32"/>
        <v>#DIV/0!</v>
      </c>
      <c r="BF87" s="154" t="str">
        <f t="shared" si="32"/>
        <v>#DIV/0!</v>
      </c>
      <c r="BG87" s="154" t="str">
        <f t="shared" si="32"/>
        <v>#DIV/0!</v>
      </c>
      <c r="BH87" s="154" t="str">
        <f t="shared" si="32"/>
        <v>#DIV/0!</v>
      </c>
      <c r="BI87" s="154" t="str">
        <f t="shared" si="32"/>
        <v>#DIV/0!</v>
      </c>
      <c r="BJ87" s="154" t="str">
        <f t="shared" si="32"/>
        <v>#DIV/0!</v>
      </c>
      <c r="BK87" s="154" t="str">
        <f t="shared" si="32"/>
        <v>#DIV/0!</v>
      </c>
      <c r="BL87" s="154" t="str">
        <f t="shared" si="32"/>
        <v>#DIV/0!</v>
      </c>
      <c r="BM87" s="154" t="str">
        <f t="shared" si="32"/>
        <v>#DIV/0!</v>
      </c>
      <c r="BN87" s="154" t="str">
        <f t="shared" si="32"/>
        <v>#DIV/0!</v>
      </c>
      <c r="BO87" s="154" t="str">
        <f t="shared" si="32"/>
        <v>#DIV/0!</v>
      </c>
      <c r="BP87" s="154" t="str">
        <f t="shared" si="32"/>
        <v>#DIV/0!</v>
      </c>
      <c r="BQ87" s="154" t="str">
        <f t="shared" si="32"/>
        <v>#DIV/0!</v>
      </c>
      <c r="BR87" s="154" t="str">
        <f t="shared" si="32"/>
        <v>#DIV/0!</v>
      </c>
      <c r="BS87" s="154" t="str">
        <f t="shared" si="32"/>
        <v>#DIV/0!</v>
      </c>
      <c r="BT87" s="154" t="str">
        <f t="shared" si="32"/>
        <v>#DIV/0!</v>
      </c>
      <c r="BU87" s="154" t="str">
        <f t="shared" si="32"/>
        <v>#DIV/0!</v>
      </c>
      <c r="BV87" s="154" t="str">
        <f t="shared" si="32"/>
        <v>#DIV/0!</v>
      </c>
      <c r="BW87" s="154" t="str">
        <f t="shared" si="32"/>
        <v>#DIV/0!</v>
      </c>
      <c r="BX87" s="154" t="str">
        <f t="shared" si="32"/>
        <v>#DIV/0!</v>
      </c>
      <c r="BY87" s="154" t="str">
        <f t="shared" si="32"/>
        <v>#DIV/0!</v>
      </c>
      <c r="BZ87" s="154" t="str">
        <f t="shared" si="32"/>
        <v>#DIV/0!</v>
      </c>
      <c r="CA87" s="154" t="str">
        <f t="shared" si="32"/>
        <v>#DIV/0!</v>
      </c>
      <c r="CB87" s="154" t="str">
        <f t="shared" si="32"/>
        <v>#DIV/0!</v>
      </c>
      <c r="CC87" s="154" t="str">
        <f t="shared" si="32"/>
        <v>#DIV/0!</v>
      </c>
      <c r="CD87" s="154" t="str">
        <f t="shared" si="32"/>
        <v>#DIV/0!</v>
      </c>
      <c r="CE87" s="141"/>
      <c r="CF87" s="141"/>
      <c r="CG87" s="141"/>
      <c r="CH87" s="141"/>
    </row>
    <row r="88" ht="4.5" customHeigh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  <c r="AA88" s="156"/>
      <c r="AB88" s="156"/>
      <c r="AC88" s="156"/>
      <c r="AD88" s="156"/>
      <c r="AE88" s="156"/>
      <c r="AF88" s="156"/>
      <c r="AG88" s="156"/>
      <c r="AH88" s="156"/>
      <c r="AI88" s="156"/>
      <c r="AJ88" s="156"/>
      <c r="AK88" s="156"/>
      <c r="AL88" s="156"/>
      <c r="AM88" s="156"/>
      <c r="AN88" s="156"/>
      <c r="AO88" s="156"/>
      <c r="AP88" s="156"/>
      <c r="AQ88" s="156"/>
      <c r="AR88" s="156"/>
      <c r="AS88" s="156"/>
      <c r="AT88" s="156"/>
      <c r="AU88" s="156"/>
      <c r="AV88" s="156"/>
      <c r="AW88" s="156"/>
      <c r="AX88" s="156"/>
      <c r="AY88" s="156"/>
      <c r="AZ88" s="156"/>
      <c r="BA88" s="156"/>
      <c r="BB88" s="156"/>
      <c r="BC88" s="156"/>
      <c r="BD88" s="156"/>
      <c r="BE88" s="156"/>
      <c r="BF88" s="156"/>
      <c r="BG88" s="156"/>
      <c r="BH88" s="156"/>
      <c r="BI88" s="156"/>
      <c r="BJ88" s="156"/>
      <c r="BK88" s="156"/>
      <c r="BL88" s="156"/>
      <c r="BM88" s="156"/>
      <c r="BN88" s="156"/>
      <c r="BO88" s="156"/>
      <c r="BP88" s="156"/>
      <c r="BQ88" s="156"/>
      <c r="BR88" s="156"/>
      <c r="BS88" s="156"/>
      <c r="BT88" s="156"/>
      <c r="BU88" s="156"/>
      <c r="BV88" s="156"/>
      <c r="BW88" s="156"/>
      <c r="BX88" s="156"/>
      <c r="BY88" s="156"/>
      <c r="BZ88" s="156"/>
      <c r="CA88" s="156"/>
      <c r="CB88" s="156"/>
      <c r="CC88" s="156"/>
      <c r="CD88" s="156"/>
      <c r="CE88" s="156"/>
      <c r="CF88" s="156"/>
      <c r="CG88" s="156"/>
      <c r="CH88" s="157"/>
    </row>
    <row r="89" ht="15.75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2"/>
      <c r="AT89" s="72"/>
      <c r="AU89" s="72"/>
      <c r="AV89" s="72"/>
      <c r="AW89" s="72"/>
      <c r="AX89" s="72"/>
      <c r="AY89" s="72"/>
      <c r="AZ89" s="72"/>
      <c r="BA89" s="72"/>
      <c r="BB89" s="72"/>
      <c r="BC89" s="72"/>
      <c r="BD89" s="72"/>
      <c r="BE89" s="72"/>
      <c r="BF89" s="72"/>
      <c r="BG89" s="72"/>
      <c r="BH89" s="72"/>
      <c r="BI89" s="72"/>
      <c r="BJ89" s="72"/>
      <c r="BK89" s="72"/>
      <c r="BL89" s="72"/>
      <c r="BM89" s="72"/>
      <c r="BN89" s="72"/>
      <c r="BO89" s="72"/>
      <c r="BP89" s="72"/>
      <c r="BQ89" s="72"/>
      <c r="BR89" s="72"/>
      <c r="BS89" s="72"/>
      <c r="BT89" s="72"/>
      <c r="BU89" s="72"/>
      <c r="BV89" s="72"/>
      <c r="BW89" s="72"/>
      <c r="BX89" s="72"/>
      <c r="BY89" s="72"/>
      <c r="BZ89" s="72"/>
      <c r="CA89" s="72"/>
      <c r="CB89" s="72"/>
      <c r="CC89" s="72"/>
      <c r="CD89" s="72"/>
      <c r="CE89" s="72"/>
      <c r="CF89" s="72"/>
      <c r="CG89" s="72"/>
      <c r="CH89" s="72"/>
    </row>
    <row r="90" ht="15.75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/>
      <c r="AR90" s="72"/>
      <c r="AS90" s="72"/>
      <c r="AT90" s="72"/>
      <c r="AU90" s="72"/>
      <c r="AV90" s="72"/>
      <c r="AW90" s="72"/>
      <c r="AX90" s="72"/>
      <c r="AY90" s="72"/>
      <c r="AZ90" s="72"/>
      <c r="BA90" s="72"/>
      <c r="BB90" s="72"/>
      <c r="BC90" s="72"/>
      <c r="BD90" s="72"/>
      <c r="BE90" s="72"/>
      <c r="BF90" s="72"/>
      <c r="BG90" s="72"/>
      <c r="BH90" s="72"/>
      <c r="BI90" s="72"/>
      <c r="BJ90" s="72"/>
      <c r="BK90" s="72"/>
      <c r="BL90" s="72"/>
      <c r="BM90" s="72"/>
      <c r="BN90" s="72"/>
      <c r="BO90" s="72"/>
      <c r="BP90" s="72"/>
      <c r="BQ90" s="72"/>
      <c r="BR90" s="72"/>
      <c r="BS90" s="72"/>
      <c r="BT90" s="72"/>
      <c r="BU90" s="72"/>
      <c r="BV90" s="72"/>
      <c r="BW90" s="72"/>
      <c r="BX90" s="72"/>
      <c r="BY90" s="72"/>
      <c r="BZ90" s="72"/>
      <c r="CA90" s="72"/>
      <c r="CB90" s="72"/>
      <c r="CC90" s="72"/>
      <c r="CD90" s="72"/>
      <c r="CE90" s="72"/>
      <c r="CF90" s="72"/>
      <c r="CG90" s="72"/>
      <c r="CH90" s="72"/>
    </row>
    <row r="91" ht="15.75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72"/>
      <c r="AW91" s="72"/>
      <c r="AX91" s="72"/>
      <c r="AY91" s="72"/>
      <c r="AZ91" s="72"/>
      <c r="BA91" s="72"/>
      <c r="BB91" s="72"/>
      <c r="BC91" s="72"/>
      <c r="BD91" s="72"/>
      <c r="BE91" s="72"/>
      <c r="BF91" s="72"/>
      <c r="BG91" s="72"/>
      <c r="BH91" s="72"/>
      <c r="BI91" s="72"/>
      <c r="BJ91" s="72"/>
      <c r="BK91" s="72"/>
      <c r="BL91" s="72"/>
      <c r="BM91" s="72"/>
      <c r="BN91" s="72"/>
      <c r="BO91" s="72"/>
      <c r="BP91" s="72"/>
      <c r="BQ91" s="72"/>
      <c r="BR91" s="72"/>
      <c r="BS91" s="72"/>
      <c r="BT91" s="72"/>
      <c r="BU91" s="72"/>
      <c r="BV91" s="72"/>
      <c r="BW91" s="72"/>
      <c r="BX91" s="72"/>
      <c r="BY91" s="72"/>
      <c r="BZ91" s="72"/>
      <c r="CA91" s="72"/>
      <c r="CB91" s="72"/>
      <c r="CC91" s="72"/>
      <c r="CD91" s="72"/>
      <c r="CE91" s="72"/>
      <c r="CF91" s="72"/>
      <c r="CG91" s="72"/>
      <c r="CH91" s="72"/>
    </row>
    <row r="92" ht="15.75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  <c r="AQ92" s="72"/>
      <c r="AR92" s="72"/>
      <c r="AS92" s="72"/>
      <c r="AT92" s="72"/>
      <c r="AU92" s="72"/>
      <c r="AV92" s="72"/>
      <c r="AW92" s="72"/>
      <c r="AX92" s="72"/>
      <c r="AY92" s="72"/>
      <c r="AZ92" s="72"/>
      <c r="BA92" s="72"/>
      <c r="BB92" s="72"/>
      <c r="BC92" s="72"/>
      <c r="BD92" s="72"/>
      <c r="BE92" s="72"/>
      <c r="BF92" s="72"/>
      <c r="BG92" s="72"/>
      <c r="BH92" s="72"/>
      <c r="BI92" s="72"/>
      <c r="BJ92" s="72"/>
      <c r="BK92" s="72"/>
      <c r="BL92" s="72"/>
      <c r="BM92" s="72"/>
      <c r="BN92" s="72"/>
      <c r="BO92" s="72"/>
      <c r="BP92" s="72"/>
      <c r="BQ92" s="72"/>
      <c r="BR92" s="72"/>
      <c r="BS92" s="72"/>
      <c r="BT92" s="72"/>
      <c r="BU92" s="72"/>
      <c r="BV92" s="72"/>
      <c r="BW92" s="72"/>
      <c r="BX92" s="72"/>
      <c r="BY92" s="72"/>
      <c r="BZ92" s="72"/>
      <c r="CA92" s="72"/>
      <c r="CB92" s="72"/>
      <c r="CC92" s="72"/>
      <c r="CD92" s="72"/>
      <c r="CE92" s="72"/>
      <c r="CF92" s="72"/>
      <c r="CG92" s="72"/>
      <c r="CH92" s="72"/>
    </row>
    <row r="93" ht="15.75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/>
      <c r="AR93" s="72"/>
      <c r="AS93" s="72"/>
      <c r="AT93" s="72"/>
      <c r="AU93" s="72"/>
      <c r="AV93" s="72"/>
      <c r="AW93" s="72"/>
      <c r="AX93" s="72"/>
      <c r="AY93" s="72"/>
      <c r="AZ93" s="72"/>
      <c r="BA93" s="72"/>
      <c r="BB93" s="72"/>
      <c r="BC93" s="72"/>
      <c r="BD93" s="72"/>
      <c r="BE93" s="72"/>
      <c r="BF93" s="72"/>
      <c r="BG93" s="72"/>
      <c r="BH93" s="72"/>
      <c r="BI93" s="72"/>
      <c r="BJ93" s="72"/>
      <c r="BK93" s="72"/>
      <c r="BL93" s="72"/>
      <c r="BM93" s="72"/>
      <c r="BN93" s="72"/>
      <c r="BO93" s="72"/>
      <c r="BP93" s="72"/>
      <c r="BQ93" s="72"/>
      <c r="BR93" s="72"/>
      <c r="BS93" s="72"/>
      <c r="BT93" s="72"/>
      <c r="BU93" s="72"/>
      <c r="BV93" s="72"/>
      <c r="BW93" s="72"/>
      <c r="BX93" s="72"/>
      <c r="BY93" s="72"/>
      <c r="BZ93" s="72"/>
      <c r="CA93" s="72"/>
      <c r="CB93" s="72"/>
      <c r="CC93" s="72"/>
      <c r="CD93" s="72"/>
      <c r="CE93" s="72"/>
      <c r="CF93" s="72"/>
      <c r="CG93" s="72"/>
      <c r="CH93" s="72"/>
    </row>
    <row r="94" ht="15.75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2"/>
      <c r="AS94" s="72"/>
      <c r="AT94" s="72"/>
      <c r="AU94" s="72"/>
      <c r="AV94" s="72"/>
      <c r="AW94" s="72"/>
      <c r="AX94" s="72"/>
      <c r="AY94" s="72"/>
      <c r="AZ94" s="72"/>
      <c r="BA94" s="72"/>
      <c r="BB94" s="72"/>
      <c r="BC94" s="72"/>
      <c r="BD94" s="72"/>
      <c r="BE94" s="72"/>
      <c r="BF94" s="72"/>
      <c r="BG94" s="72"/>
      <c r="BH94" s="72"/>
      <c r="BI94" s="72"/>
      <c r="BJ94" s="72"/>
      <c r="BK94" s="72"/>
      <c r="BL94" s="72"/>
      <c r="BM94" s="72"/>
      <c r="BN94" s="72"/>
      <c r="BO94" s="72"/>
      <c r="BP94" s="72"/>
      <c r="BQ94" s="72"/>
      <c r="BR94" s="72"/>
      <c r="BS94" s="72"/>
      <c r="BT94" s="72"/>
      <c r="BU94" s="72"/>
      <c r="BV94" s="72"/>
      <c r="BW94" s="72"/>
      <c r="BX94" s="72"/>
      <c r="BY94" s="72"/>
      <c r="BZ94" s="72"/>
      <c r="CA94" s="72"/>
      <c r="CB94" s="72"/>
      <c r="CC94" s="72"/>
      <c r="CD94" s="72"/>
      <c r="CE94" s="72"/>
      <c r="CF94" s="72"/>
      <c r="CG94" s="72"/>
      <c r="CH94" s="72"/>
    </row>
    <row r="95" ht="15.75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  <c r="AQ95" s="72"/>
      <c r="AR95" s="72"/>
      <c r="AS95" s="72"/>
      <c r="AT95" s="72"/>
      <c r="AU95" s="72"/>
      <c r="AV95" s="72"/>
      <c r="AW95" s="72"/>
      <c r="AX95" s="72"/>
      <c r="AY95" s="72"/>
      <c r="AZ95" s="72"/>
      <c r="BA95" s="72"/>
      <c r="BB95" s="72"/>
      <c r="BC95" s="72"/>
      <c r="BD95" s="72"/>
      <c r="BE95" s="72"/>
      <c r="BF95" s="72"/>
      <c r="BG95" s="72"/>
      <c r="BH95" s="72"/>
      <c r="BI95" s="72"/>
      <c r="BJ95" s="72"/>
      <c r="BK95" s="72"/>
      <c r="BL95" s="72"/>
      <c r="BM95" s="72"/>
      <c r="BN95" s="72"/>
      <c r="BO95" s="72"/>
      <c r="BP95" s="72"/>
      <c r="BQ95" s="72"/>
      <c r="BR95" s="72"/>
      <c r="BS95" s="72"/>
      <c r="BT95" s="72"/>
      <c r="BU95" s="72"/>
      <c r="BV95" s="72"/>
      <c r="BW95" s="72"/>
      <c r="BX95" s="72"/>
      <c r="BY95" s="72"/>
      <c r="BZ95" s="72"/>
      <c r="CA95" s="72"/>
      <c r="CB95" s="72"/>
      <c r="CC95" s="72"/>
      <c r="CD95" s="72"/>
      <c r="CE95" s="72"/>
      <c r="CF95" s="72"/>
      <c r="CG95" s="72"/>
      <c r="CH95" s="72"/>
    </row>
    <row r="96" ht="15.75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  <c r="AQ96" s="72"/>
      <c r="AR96" s="72"/>
      <c r="AS96" s="72"/>
      <c r="AT96" s="72"/>
      <c r="AU96" s="72"/>
      <c r="AV96" s="72"/>
      <c r="AW96" s="72"/>
      <c r="AX96" s="72"/>
      <c r="AY96" s="72"/>
      <c r="AZ96" s="72"/>
      <c r="BA96" s="72"/>
      <c r="BB96" s="72"/>
      <c r="BC96" s="72"/>
      <c r="BD96" s="72"/>
      <c r="BE96" s="72"/>
      <c r="BF96" s="72"/>
      <c r="BG96" s="72"/>
      <c r="BH96" s="72"/>
      <c r="BI96" s="72"/>
      <c r="BJ96" s="72"/>
      <c r="BK96" s="72"/>
      <c r="BL96" s="72"/>
      <c r="BM96" s="72"/>
      <c r="BN96" s="72"/>
      <c r="BO96" s="72"/>
      <c r="BP96" s="72"/>
      <c r="BQ96" s="72"/>
      <c r="BR96" s="72"/>
      <c r="BS96" s="72"/>
      <c r="BT96" s="72"/>
      <c r="BU96" s="72"/>
      <c r="BV96" s="72"/>
      <c r="BW96" s="72"/>
      <c r="BX96" s="72"/>
      <c r="BY96" s="72"/>
      <c r="BZ96" s="72"/>
      <c r="CA96" s="72"/>
      <c r="CB96" s="72"/>
      <c r="CC96" s="72"/>
      <c r="CD96" s="72"/>
      <c r="CE96" s="72"/>
      <c r="CF96" s="72"/>
      <c r="CG96" s="72"/>
      <c r="CH96" s="72"/>
    </row>
    <row r="97" ht="15.75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  <c r="AT97" s="72"/>
      <c r="AU97" s="72"/>
      <c r="AV97" s="72"/>
      <c r="AW97" s="72"/>
      <c r="AX97" s="72"/>
      <c r="AY97" s="72"/>
      <c r="AZ97" s="72"/>
      <c r="BA97" s="72"/>
      <c r="BB97" s="72"/>
      <c r="BC97" s="72"/>
      <c r="BD97" s="72"/>
      <c r="BE97" s="72"/>
      <c r="BF97" s="72"/>
      <c r="BG97" s="72"/>
      <c r="BH97" s="72"/>
      <c r="BI97" s="72"/>
      <c r="BJ97" s="72"/>
      <c r="BK97" s="72"/>
      <c r="BL97" s="72"/>
      <c r="BM97" s="72"/>
      <c r="BN97" s="72"/>
      <c r="BO97" s="72"/>
      <c r="BP97" s="72"/>
      <c r="BQ97" s="72"/>
      <c r="BR97" s="72"/>
      <c r="BS97" s="72"/>
      <c r="BT97" s="72"/>
      <c r="BU97" s="72"/>
      <c r="BV97" s="72"/>
      <c r="BW97" s="72"/>
      <c r="BX97" s="72"/>
      <c r="BY97" s="72"/>
      <c r="BZ97" s="72"/>
      <c r="CA97" s="72"/>
      <c r="CB97" s="72"/>
      <c r="CC97" s="72"/>
      <c r="CD97" s="72"/>
      <c r="CE97" s="72"/>
      <c r="CF97" s="72"/>
      <c r="CG97" s="72"/>
      <c r="CH97" s="72"/>
    </row>
    <row r="98" ht="15.75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  <c r="AQ98" s="72"/>
      <c r="AR98" s="72"/>
      <c r="AS98" s="72"/>
      <c r="AT98" s="72"/>
      <c r="AU98" s="72"/>
      <c r="AV98" s="72"/>
      <c r="AW98" s="72"/>
      <c r="AX98" s="72"/>
      <c r="AY98" s="72"/>
      <c r="AZ98" s="72"/>
      <c r="BA98" s="72"/>
      <c r="BB98" s="72"/>
      <c r="BC98" s="72"/>
      <c r="BD98" s="72"/>
      <c r="BE98" s="72"/>
      <c r="BF98" s="72"/>
      <c r="BG98" s="72"/>
      <c r="BH98" s="72"/>
      <c r="BI98" s="72"/>
      <c r="BJ98" s="72"/>
      <c r="BK98" s="72"/>
      <c r="BL98" s="72"/>
      <c r="BM98" s="72"/>
      <c r="BN98" s="72"/>
      <c r="BO98" s="72"/>
      <c r="BP98" s="72"/>
      <c r="BQ98" s="72"/>
      <c r="BR98" s="72"/>
      <c r="BS98" s="72"/>
      <c r="BT98" s="72"/>
      <c r="BU98" s="72"/>
      <c r="BV98" s="72"/>
      <c r="BW98" s="72"/>
      <c r="BX98" s="72"/>
      <c r="BY98" s="72"/>
      <c r="BZ98" s="72"/>
      <c r="CA98" s="72"/>
      <c r="CB98" s="72"/>
      <c r="CC98" s="72"/>
      <c r="CD98" s="72"/>
      <c r="CE98" s="72"/>
      <c r="CF98" s="72"/>
      <c r="CG98" s="72"/>
      <c r="CH98" s="72"/>
    </row>
    <row r="99" ht="15.75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  <c r="AQ99" s="72"/>
      <c r="AR99" s="72"/>
      <c r="AS99" s="72"/>
      <c r="AT99" s="72"/>
      <c r="AU99" s="72"/>
      <c r="AV99" s="72"/>
      <c r="AW99" s="72"/>
      <c r="AX99" s="72"/>
      <c r="AY99" s="72"/>
      <c r="AZ99" s="72"/>
      <c r="BA99" s="72"/>
      <c r="BB99" s="72"/>
      <c r="BC99" s="72"/>
      <c r="BD99" s="72"/>
      <c r="BE99" s="72"/>
      <c r="BF99" s="72"/>
      <c r="BG99" s="72"/>
      <c r="BH99" s="72"/>
      <c r="BI99" s="72"/>
      <c r="BJ99" s="72"/>
      <c r="BK99" s="72"/>
      <c r="BL99" s="72"/>
      <c r="BM99" s="72"/>
      <c r="BN99" s="72"/>
      <c r="BO99" s="72"/>
      <c r="BP99" s="72"/>
      <c r="BQ99" s="72"/>
      <c r="BR99" s="72"/>
      <c r="BS99" s="72"/>
      <c r="BT99" s="72"/>
      <c r="BU99" s="72"/>
      <c r="BV99" s="72"/>
      <c r="BW99" s="72"/>
      <c r="BX99" s="72"/>
      <c r="BY99" s="72"/>
      <c r="BZ99" s="72"/>
      <c r="CA99" s="72"/>
      <c r="CB99" s="72"/>
      <c r="CC99" s="72"/>
      <c r="CD99" s="72"/>
      <c r="CE99" s="72"/>
      <c r="CF99" s="72"/>
      <c r="CG99" s="72"/>
      <c r="CH99" s="72"/>
    </row>
    <row r="100" ht="15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  <c r="AQ100" s="72"/>
      <c r="AR100" s="72"/>
      <c r="AS100" s="72"/>
      <c r="AT100" s="72"/>
      <c r="AU100" s="72"/>
      <c r="AV100" s="72"/>
      <c r="AW100" s="72"/>
      <c r="AX100" s="72"/>
      <c r="AY100" s="72"/>
      <c r="AZ100" s="72"/>
      <c r="BA100" s="72"/>
      <c r="BB100" s="72"/>
      <c r="BC100" s="72"/>
      <c r="BD100" s="72"/>
      <c r="BE100" s="72"/>
      <c r="BF100" s="72"/>
      <c r="BG100" s="72"/>
      <c r="BH100" s="72"/>
      <c r="BI100" s="72"/>
      <c r="BJ100" s="72"/>
      <c r="BK100" s="72"/>
      <c r="BL100" s="72"/>
      <c r="BM100" s="72"/>
      <c r="BN100" s="72"/>
      <c r="BO100" s="72"/>
      <c r="BP100" s="72"/>
      <c r="BQ100" s="72"/>
      <c r="BR100" s="72"/>
      <c r="BS100" s="72"/>
      <c r="BT100" s="72"/>
      <c r="BU100" s="72"/>
      <c r="BV100" s="72"/>
      <c r="BW100" s="72"/>
      <c r="BX100" s="72"/>
      <c r="BY100" s="72"/>
      <c r="BZ100" s="72"/>
      <c r="CA100" s="72"/>
      <c r="CB100" s="72"/>
      <c r="CC100" s="72"/>
      <c r="CD100" s="72"/>
      <c r="CE100" s="72"/>
      <c r="CF100" s="72"/>
      <c r="CG100" s="72"/>
      <c r="CH100" s="72"/>
    </row>
    <row r="101" ht="15.7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  <c r="AV101" s="72"/>
      <c r="AW101" s="72"/>
      <c r="AX101" s="72"/>
      <c r="AY101" s="72"/>
      <c r="AZ101" s="72"/>
      <c r="BA101" s="72"/>
      <c r="BB101" s="72"/>
      <c r="BC101" s="72"/>
      <c r="BD101" s="72"/>
      <c r="BE101" s="72"/>
      <c r="BF101" s="72"/>
      <c r="BG101" s="72"/>
      <c r="BH101" s="72"/>
      <c r="BI101" s="72"/>
      <c r="BJ101" s="72"/>
      <c r="BK101" s="72"/>
      <c r="BL101" s="72"/>
      <c r="BM101" s="72"/>
      <c r="BN101" s="72"/>
      <c r="BO101" s="72"/>
      <c r="BP101" s="72"/>
      <c r="BQ101" s="72"/>
      <c r="BR101" s="72"/>
      <c r="BS101" s="72"/>
      <c r="BT101" s="72"/>
      <c r="BU101" s="72"/>
      <c r="BV101" s="72"/>
      <c r="BW101" s="72"/>
      <c r="BX101" s="72"/>
      <c r="BY101" s="72"/>
      <c r="BZ101" s="72"/>
      <c r="CA101" s="72"/>
      <c r="CB101" s="72"/>
      <c r="CC101" s="72"/>
      <c r="CD101" s="72"/>
      <c r="CE101" s="72"/>
      <c r="CF101" s="72"/>
      <c r="CG101" s="72"/>
      <c r="CH101" s="72"/>
    </row>
    <row r="102" ht="15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  <c r="AQ102" s="72"/>
      <c r="AR102" s="72"/>
      <c r="AS102" s="72"/>
      <c r="AT102" s="72"/>
      <c r="AU102" s="72"/>
      <c r="AV102" s="72"/>
      <c r="AW102" s="72"/>
      <c r="AX102" s="72"/>
      <c r="AY102" s="72"/>
      <c r="AZ102" s="72"/>
      <c r="BA102" s="72"/>
      <c r="BB102" s="72"/>
      <c r="BC102" s="72"/>
      <c r="BD102" s="72"/>
      <c r="BE102" s="72"/>
      <c r="BF102" s="72"/>
      <c r="BG102" s="72"/>
      <c r="BH102" s="72"/>
      <c r="BI102" s="72"/>
      <c r="BJ102" s="72"/>
      <c r="BK102" s="72"/>
      <c r="BL102" s="72"/>
      <c r="BM102" s="72"/>
      <c r="BN102" s="72"/>
      <c r="BO102" s="72"/>
      <c r="BP102" s="72"/>
      <c r="BQ102" s="72"/>
      <c r="BR102" s="72"/>
      <c r="BS102" s="72"/>
      <c r="BT102" s="72"/>
      <c r="BU102" s="72"/>
      <c r="BV102" s="72"/>
      <c r="BW102" s="72"/>
      <c r="BX102" s="72"/>
      <c r="BY102" s="72"/>
      <c r="BZ102" s="72"/>
      <c r="CA102" s="72"/>
      <c r="CB102" s="72"/>
      <c r="CC102" s="72"/>
      <c r="CD102" s="72"/>
      <c r="CE102" s="72"/>
      <c r="CF102" s="72"/>
      <c r="CG102" s="72"/>
      <c r="CH102" s="72"/>
    </row>
    <row r="103" ht="15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  <c r="AQ103" s="72"/>
      <c r="AR103" s="72"/>
      <c r="AS103" s="72"/>
      <c r="AT103" s="72"/>
      <c r="AU103" s="72"/>
      <c r="AV103" s="72"/>
      <c r="AW103" s="72"/>
      <c r="AX103" s="72"/>
      <c r="AY103" s="72"/>
      <c r="AZ103" s="72"/>
      <c r="BA103" s="72"/>
      <c r="BB103" s="72"/>
      <c r="BC103" s="72"/>
      <c r="BD103" s="72"/>
      <c r="BE103" s="72"/>
      <c r="BF103" s="72"/>
      <c r="BG103" s="72"/>
      <c r="BH103" s="72"/>
      <c r="BI103" s="72"/>
      <c r="BJ103" s="72"/>
      <c r="BK103" s="72"/>
      <c r="BL103" s="72"/>
      <c r="BM103" s="72"/>
      <c r="BN103" s="72"/>
      <c r="BO103" s="72"/>
      <c r="BP103" s="72"/>
      <c r="BQ103" s="72"/>
      <c r="BR103" s="72"/>
      <c r="BS103" s="72"/>
      <c r="BT103" s="72"/>
      <c r="BU103" s="72"/>
      <c r="BV103" s="72"/>
      <c r="BW103" s="72"/>
      <c r="BX103" s="72"/>
      <c r="BY103" s="72"/>
      <c r="BZ103" s="72"/>
      <c r="CA103" s="72"/>
      <c r="CB103" s="72"/>
      <c r="CC103" s="72"/>
      <c r="CD103" s="72"/>
      <c r="CE103" s="72"/>
      <c r="CF103" s="72"/>
      <c r="CG103" s="72"/>
      <c r="CH103" s="72"/>
    </row>
    <row r="104" ht="15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  <c r="AQ104" s="72"/>
      <c r="AR104" s="72"/>
      <c r="AS104" s="72"/>
      <c r="AT104" s="72"/>
      <c r="AU104" s="72"/>
      <c r="AV104" s="72"/>
      <c r="AW104" s="72"/>
      <c r="AX104" s="72"/>
      <c r="AY104" s="72"/>
      <c r="AZ104" s="72"/>
      <c r="BA104" s="72"/>
      <c r="BB104" s="72"/>
      <c r="BC104" s="72"/>
      <c r="BD104" s="72"/>
      <c r="BE104" s="72"/>
      <c r="BF104" s="72"/>
      <c r="BG104" s="72"/>
      <c r="BH104" s="72"/>
      <c r="BI104" s="72"/>
      <c r="BJ104" s="72"/>
      <c r="BK104" s="72"/>
      <c r="BL104" s="72"/>
      <c r="BM104" s="72"/>
      <c r="BN104" s="72"/>
      <c r="BO104" s="72"/>
      <c r="BP104" s="72"/>
      <c r="BQ104" s="72"/>
      <c r="BR104" s="72"/>
      <c r="BS104" s="72"/>
      <c r="BT104" s="72"/>
      <c r="BU104" s="72"/>
      <c r="BV104" s="72"/>
      <c r="BW104" s="72"/>
      <c r="BX104" s="72"/>
      <c r="BY104" s="72"/>
      <c r="BZ104" s="72"/>
      <c r="CA104" s="72"/>
      <c r="CB104" s="72"/>
      <c r="CC104" s="72"/>
      <c r="CD104" s="72"/>
      <c r="CE104" s="72"/>
      <c r="CF104" s="72"/>
      <c r="CG104" s="72"/>
      <c r="CH104" s="72"/>
    </row>
    <row r="105" ht="15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2"/>
      <c r="AR105" s="72"/>
      <c r="AS105" s="72"/>
      <c r="AT105" s="72"/>
      <c r="AU105" s="72"/>
      <c r="AV105" s="72"/>
      <c r="AW105" s="72"/>
      <c r="AX105" s="72"/>
      <c r="AY105" s="72"/>
      <c r="AZ105" s="72"/>
      <c r="BA105" s="72"/>
      <c r="BB105" s="72"/>
      <c r="BC105" s="72"/>
      <c r="BD105" s="72"/>
      <c r="BE105" s="72"/>
      <c r="BF105" s="72"/>
      <c r="BG105" s="72"/>
      <c r="BH105" s="72"/>
      <c r="BI105" s="72"/>
      <c r="BJ105" s="72"/>
      <c r="BK105" s="72"/>
      <c r="BL105" s="72"/>
      <c r="BM105" s="72"/>
      <c r="BN105" s="72"/>
      <c r="BO105" s="72"/>
      <c r="BP105" s="72"/>
      <c r="BQ105" s="72"/>
      <c r="BR105" s="72"/>
      <c r="BS105" s="72"/>
      <c r="BT105" s="72"/>
      <c r="BU105" s="72"/>
      <c r="BV105" s="72"/>
      <c r="BW105" s="72"/>
      <c r="BX105" s="72"/>
      <c r="BY105" s="72"/>
      <c r="BZ105" s="72"/>
      <c r="CA105" s="72"/>
      <c r="CB105" s="72"/>
      <c r="CC105" s="72"/>
      <c r="CD105" s="72"/>
      <c r="CE105" s="72"/>
      <c r="CF105" s="72"/>
      <c r="CG105" s="72"/>
      <c r="CH105" s="72"/>
    </row>
    <row r="106" ht="15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  <c r="AQ106" s="72"/>
      <c r="AR106" s="72"/>
      <c r="AS106" s="72"/>
      <c r="AT106" s="72"/>
      <c r="AU106" s="72"/>
      <c r="AV106" s="72"/>
      <c r="AW106" s="72"/>
      <c r="AX106" s="72"/>
      <c r="AY106" s="72"/>
      <c r="AZ106" s="72"/>
      <c r="BA106" s="72"/>
      <c r="BB106" s="72"/>
      <c r="BC106" s="72"/>
      <c r="BD106" s="72"/>
      <c r="BE106" s="72"/>
      <c r="BF106" s="72"/>
      <c r="BG106" s="72"/>
      <c r="BH106" s="72"/>
      <c r="BI106" s="72"/>
      <c r="BJ106" s="72"/>
      <c r="BK106" s="72"/>
      <c r="BL106" s="72"/>
      <c r="BM106" s="72"/>
      <c r="BN106" s="72"/>
      <c r="BO106" s="72"/>
      <c r="BP106" s="72"/>
      <c r="BQ106" s="72"/>
      <c r="BR106" s="72"/>
      <c r="BS106" s="72"/>
      <c r="BT106" s="72"/>
      <c r="BU106" s="72"/>
      <c r="BV106" s="72"/>
      <c r="BW106" s="72"/>
      <c r="BX106" s="72"/>
      <c r="BY106" s="72"/>
      <c r="BZ106" s="72"/>
      <c r="CA106" s="72"/>
      <c r="CB106" s="72"/>
      <c r="CC106" s="72"/>
      <c r="CD106" s="72"/>
      <c r="CE106" s="72"/>
      <c r="CF106" s="72"/>
      <c r="CG106" s="72"/>
      <c r="CH106" s="72"/>
    </row>
    <row r="107" ht="15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  <c r="AQ107" s="72"/>
      <c r="AR107" s="72"/>
      <c r="AS107" s="72"/>
      <c r="AT107" s="72"/>
      <c r="AU107" s="72"/>
      <c r="AV107" s="72"/>
      <c r="AW107" s="72"/>
      <c r="AX107" s="72"/>
      <c r="AY107" s="72"/>
      <c r="AZ107" s="72"/>
      <c r="BA107" s="72"/>
      <c r="BB107" s="72"/>
      <c r="BC107" s="72"/>
      <c r="BD107" s="72"/>
      <c r="BE107" s="72"/>
      <c r="BF107" s="72"/>
      <c r="BG107" s="72"/>
      <c r="BH107" s="72"/>
      <c r="BI107" s="72"/>
      <c r="BJ107" s="72"/>
      <c r="BK107" s="72"/>
      <c r="BL107" s="72"/>
      <c r="BM107" s="72"/>
      <c r="BN107" s="72"/>
      <c r="BO107" s="72"/>
      <c r="BP107" s="72"/>
      <c r="BQ107" s="72"/>
      <c r="BR107" s="72"/>
      <c r="BS107" s="72"/>
      <c r="BT107" s="72"/>
      <c r="BU107" s="72"/>
      <c r="BV107" s="72"/>
      <c r="BW107" s="72"/>
      <c r="BX107" s="72"/>
      <c r="BY107" s="72"/>
      <c r="BZ107" s="72"/>
      <c r="CA107" s="72"/>
      <c r="CB107" s="72"/>
      <c r="CC107" s="72"/>
      <c r="CD107" s="72"/>
      <c r="CE107" s="72"/>
      <c r="CF107" s="72"/>
      <c r="CG107" s="72"/>
      <c r="CH107" s="72"/>
    </row>
    <row r="108" ht="15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  <c r="AQ108" s="72"/>
      <c r="AR108" s="72"/>
      <c r="AS108" s="72"/>
      <c r="AT108" s="72"/>
      <c r="AU108" s="72"/>
      <c r="AV108" s="72"/>
      <c r="AW108" s="72"/>
      <c r="AX108" s="72"/>
      <c r="AY108" s="72"/>
      <c r="AZ108" s="72"/>
      <c r="BA108" s="72"/>
      <c r="BB108" s="72"/>
      <c r="BC108" s="72"/>
      <c r="BD108" s="72"/>
      <c r="BE108" s="72"/>
      <c r="BF108" s="72"/>
      <c r="BG108" s="72"/>
      <c r="BH108" s="72"/>
      <c r="BI108" s="72"/>
      <c r="BJ108" s="72"/>
      <c r="BK108" s="72"/>
      <c r="BL108" s="72"/>
      <c r="BM108" s="72"/>
      <c r="BN108" s="72"/>
      <c r="BO108" s="72"/>
      <c r="BP108" s="72"/>
      <c r="BQ108" s="72"/>
      <c r="BR108" s="72"/>
      <c r="BS108" s="72"/>
      <c r="BT108" s="72"/>
      <c r="BU108" s="72"/>
      <c r="BV108" s="72"/>
      <c r="BW108" s="72"/>
      <c r="BX108" s="72"/>
      <c r="BY108" s="72"/>
      <c r="BZ108" s="72"/>
      <c r="CA108" s="72"/>
      <c r="CB108" s="72"/>
      <c r="CC108" s="72"/>
      <c r="CD108" s="72"/>
      <c r="CE108" s="72"/>
      <c r="CF108" s="72"/>
      <c r="CG108" s="72"/>
      <c r="CH108" s="72"/>
    </row>
    <row r="109" ht="15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  <c r="AQ109" s="72"/>
      <c r="AR109" s="72"/>
      <c r="AS109" s="72"/>
      <c r="AT109" s="72"/>
      <c r="AU109" s="72"/>
      <c r="AV109" s="72"/>
      <c r="AW109" s="72"/>
      <c r="AX109" s="72"/>
      <c r="AY109" s="72"/>
      <c r="AZ109" s="72"/>
      <c r="BA109" s="72"/>
      <c r="BB109" s="72"/>
      <c r="BC109" s="72"/>
      <c r="BD109" s="72"/>
      <c r="BE109" s="72"/>
      <c r="BF109" s="72"/>
      <c r="BG109" s="72"/>
      <c r="BH109" s="72"/>
      <c r="BI109" s="72"/>
      <c r="BJ109" s="72"/>
      <c r="BK109" s="72"/>
      <c r="BL109" s="72"/>
      <c r="BM109" s="72"/>
      <c r="BN109" s="72"/>
      <c r="BO109" s="72"/>
      <c r="BP109" s="72"/>
      <c r="BQ109" s="72"/>
      <c r="BR109" s="72"/>
      <c r="BS109" s="72"/>
      <c r="BT109" s="72"/>
      <c r="BU109" s="72"/>
      <c r="BV109" s="72"/>
      <c r="BW109" s="72"/>
      <c r="BX109" s="72"/>
      <c r="BY109" s="72"/>
      <c r="BZ109" s="72"/>
      <c r="CA109" s="72"/>
      <c r="CB109" s="72"/>
      <c r="CC109" s="72"/>
      <c r="CD109" s="72"/>
      <c r="CE109" s="72"/>
      <c r="CF109" s="72"/>
      <c r="CG109" s="72"/>
      <c r="CH109" s="72"/>
    </row>
    <row r="110" ht="15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s="72"/>
      <c r="AV110" s="72"/>
      <c r="AW110" s="72"/>
      <c r="AX110" s="72"/>
      <c r="AY110" s="72"/>
      <c r="AZ110" s="72"/>
      <c r="BA110" s="72"/>
      <c r="BB110" s="72"/>
      <c r="BC110" s="72"/>
      <c r="BD110" s="72"/>
      <c r="BE110" s="72"/>
      <c r="BF110" s="72"/>
      <c r="BG110" s="72"/>
      <c r="BH110" s="72"/>
      <c r="BI110" s="72"/>
      <c r="BJ110" s="72"/>
      <c r="BK110" s="72"/>
      <c r="BL110" s="72"/>
      <c r="BM110" s="72"/>
      <c r="BN110" s="72"/>
      <c r="BO110" s="72"/>
      <c r="BP110" s="72"/>
      <c r="BQ110" s="72"/>
      <c r="BR110" s="72"/>
      <c r="BS110" s="72"/>
      <c r="BT110" s="72"/>
      <c r="BU110" s="72"/>
      <c r="BV110" s="72"/>
      <c r="BW110" s="72"/>
      <c r="BX110" s="72"/>
      <c r="BY110" s="72"/>
      <c r="BZ110" s="72"/>
      <c r="CA110" s="72"/>
      <c r="CB110" s="72"/>
      <c r="CC110" s="72"/>
      <c r="CD110" s="72"/>
      <c r="CE110" s="72"/>
      <c r="CF110" s="72"/>
      <c r="CG110" s="72"/>
      <c r="CH110" s="72"/>
    </row>
    <row r="111" ht="15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72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  <c r="BM111" s="72"/>
      <c r="BN111" s="72"/>
      <c r="BO111" s="72"/>
      <c r="BP111" s="72"/>
      <c r="BQ111" s="72"/>
      <c r="BR111" s="72"/>
      <c r="BS111" s="72"/>
      <c r="BT111" s="72"/>
      <c r="BU111" s="72"/>
      <c r="BV111" s="72"/>
      <c r="BW111" s="72"/>
      <c r="BX111" s="72"/>
      <c r="BY111" s="72"/>
      <c r="BZ111" s="72"/>
      <c r="CA111" s="72"/>
      <c r="CB111" s="72"/>
      <c r="CC111" s="72"/>
      <c r="CD111" s="72"/>
      <c r="CE111" s="72"/>
      <c r="CF111" s="72"/>
      <c r="CG111" s="72"/>
      <c r="CH111" s="72"/>
    </row>
    <row r="112" ht="15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  <c r="AQ112" s="72"/>
      <c r="AR112" s="72"/>
      <c r="AS112" s="72"/>
      <c r="AT112" s="72"/>
      <c r="AU112" s="72"/>
      <c r="AV112" s="72"/>
      <c r="AW112" s="72"/>
      <c r="AX112" s="72"/>
      <c r="AY112" s="72"/>
      <c r="AZ112" s="72"/>
      <c r="BA112" s="72"/>
      <c r="BB112" s="72"/>
      <c r="BC112" s="72"/>
      <c r="BD112" s="72"/>
      <c r="BE112" s="72"/>
      <c r="BF112" s="72"/>
      <c r="BG112" s="72"/>
      <c r="BH112" s="72"/>
      <c r="BI112" s="72"/>
      <c r="BJ112" s="72"/>
      <c r="BK112" s="72"/>
      <c r="BL112" s="72"/>
      <c r="BM112" s="72"/>
      <c r="BN112" s="72"/>
      <c r="BO112" s="72"/>
      <c r="BP112" s="72"/>
      <c r="BQ112" s="72"/>
      <c r="BR112" s="72"/>
      <c r="BS112" s="72"/>
      <c r="BT112" s="72"/>
      <c r="BU112" s="72"/>
      <c r="BV112" s="72"/>
      <c r="BW112" s="72"/>
      <c r="BX112" s="72"/>
      <c r="BY112" s="72"/>
      <c r="BZ112" s="72"/>
      <c r="CA112" s="72"/>
      <c r="CB112" s="72"/>
      <c r="CC112" s="72"/>
      <c r="CD112" s="72"/>
      <c r="CE112" s="72"/>
      <c r="CF112" s="72"/>
      <c r="CG112" s="72"/>
      <c r="CH112" s="72"/>
    </row>
    <row r="113" ht="15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  <c r="AQ113" s="72"/>
      <c r="AR113" s="72"/>
      <c r="AS113" s="72"/>
      <c r="AT113" s="72"/>
      <c r="AU113" s="72"/>
      <c r="AV113" s="72"/>
      <c r="AW113" s="72"/>
      <c r="AX113" s="72"/>
      <c r="AY113" s="72"/>
      <c r="AZ113" s="72"/>
      <c r="BA113" s="72"/>
      <c r="BB113" s="72"/>
      <c r="BC113" s="72"/>
      <c r="BD113" s="72"/>
      <c r="BE113" s="72"/>
      <c r="BF113" s="72"/>
      <c r="BG113" s="72"/>
      <c r="BH113" s="72"/>
      <c r="BI113" s="72"/>
      <c r="BJ113" s="72"/>
      <c r="BK113" s="72"/>
      <c r="BL113" s="72"/>
      <c r="BM113" s="72"/>
      <c r="BN113" s="72"/>
      <c r="BO113" s="72"/>
      <c r="BP113" s="72"/>
      <c r="BQ113" s="72"/>
      <c r="BR113" s="72"/>
      <c r="BS113" s="72"/>
      <c r="BT113" s="72"/>
      <c r="BU113" s="72"/>
      <c r="BV113" s="72"/>
      <c r="BW113" s="72"/>
      <c r="BX113" s="72"/>
      <c r="BY113" s="72"/>
      <c r="BZ113" s="72"/>
      <c r="CA113" s="72"/>
      <c r="CB113" s="72"/>
      <c r="CC113" s="72"/>
      <c r="CD113" s="72"/>
      <c r="CE113" s="72"/>
      <c r="CF113" s="72"/>
      <c r="CG113" s="72"/>
      <c r="CH113" s="72"/>
    </row>
    <row r="114" ht="15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  <c r="AQ114" s="72"/>
      <c r="AR114" s="72"/>
      <c r="AS114" s="72"/>
      <c r="AT114" s="72"/>
      <c r="AU114" s="72"/>
      <c r="AV114" s="72"/>
      <c r="AW114" s="72"/>
      <c r="AX114" s="72"/>
      <c r="AY114" s="72"/>
      <c r="AZ114" s="72"/>
      <c r="BA114" s="72"/>
      <c r="BB114" s="72"/>
      <c r="BC114" s="72"/>
      <c r="BD114" s="72"/>
      <c r="BE114" s="72"/>
      <c r="BF114" s="72"/>
      <c r="BG114" s="72"/>
      <c r="BH114" s="72"/>
      <c r="BI114" s="72"/>
      <c r="BJ114" s="72"/>
      <c r="BK114" s="72"/>
      <c r="BL114" s="72"/>
      <c r="BM114" s="72"/>
      <c r="BN114" s="72"/>
      <c r="BO114" s="72"/>
      <c r="BP114" s="72"/>
      <c r="BQ114" s="72"/>
      <c r="BR114" s="72"/>
      <c r="BS114" s="72"/>
      <c r="BT114" s="72"/>
      <c r="BU114" s="72"/>
      <c r="BV114" s="72"/>
      <c r="BW114" s="72"/>
      <c r="BX114" s="72"/>
      <c r="BY114" s="72"/>
      <c r="BZ114" s="72"/>
      <c r="CA114" s="72"/>
      <c r="CB114" s="72"/>
      <c r="CC114" s="72"/>
      <c r="CD114" s="72"/>
      <c r="CE114" s="72"/>
      <c r="CF114" s="72"/>
      <c r="CG114" s="72"/>
      <c r="CH114" s="72"/>
    </row>
    <row r="115" ht="15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  <c r="AQ115" s="72"/>
      <c r="AR115" s="72"/>
      <c r="AS115" s="72"/>
      <c r="AT115" s="72"/>
      <c r="AU115" s="72"/>
      <c r="AV115" s="72"/>
      <c r="AW115" s="72"/>
      <c r="AX115" s="72"/>
      <c r="AY115" s="72"/>
      <c r="AZ115" s="72"/>
      <c r="BA115" s="72"/>
      <c r="BB115" s="72"/>
      <c r="BC115" s="72"/>
      <c r="BD115" s="72"/>
      <c r="BE115" s="72"/>
      <c r="BF115" s="72"/>
      <c r="BG115" s="72"/>
      <c r="BH115" s="72"/>
      <c r="BI115" s="72"/>
      <c r="BJ115" s="72"/>
      <c r="BK115" s="72"/>
      <c r="BL115" s="72"/>
      <c r="BM115" s="72"/>
      <c r="BN115" s="72"/>
      <c r="BO115" s="72"/>
      <c r="BP115" s="72"/>
      <c r="BQ115" s="72"/>
      <c r="BR115" s="72"/>
      <c r="BS115" s="72"/>
      <c r="BT115" s="72"/>
      <c r="BU115" s="72"/>
      <c r="BV115" s="72"/>
      <c r="BW115" s="72"/>
      <c r="BX115" s="72"/>
      <c r="BY115" s="72"/>
      <c r="BZ115" s="72"/>
      <c r="CA115" s="72"/>
      <c r="CB115" s="72"/>
      <c r="CC115" s="72"/>
      <c r="CD115" s="72"/>
      <c r="CE115" s="72"/>
      <c r="CF115" s="72"/>
      <c r="CG115" s="72"/>
      <c r="CH115" s="72"/>
    </row>
    <row r="116" ht="15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  <c r="AT116" s="72"/>
      <c r="AU116" s="72"/>
      <c r="AV116" s="72"/>
      <c r="AW116" s="72"/>
      <c r="AX116" s="72"/>
      <c r="AY116" s="72"/>
      <c r="AZ116" s="72"/>
      <c r="BA116" s="72"/>
      <c r="BB116" s="72"/>
      <c r="BC116" s="72"/>
      <c r="BD116" s="72"/>
      <c r="BE116" s="72"/>
      <c r="BF116" s="72"/>
      <c r="BG116" s="72"/>
      <c r="BH116" s="72"/>
      <c r="BI116" s="72"/>
      <c r="BJ116" s="72"/>
      <c r="BK116" s="72"/>
      <c r="BL116" s="72"/>
      <c r="BM116" s="72"/>
      <c r="BN116" s="72"/>
      <c r="BO116" s="72"/>
      <c r="BP116" s="72"/>
      <c r="BQ116" s="72"/>
      <c r="BR116" s="72"/>
      <c r="BS116" s="72"/>
      <c r="BT116" s="72"/>
      <c r="BU116" s="72"/>
      <c r="BV116" s="72"/>
      <c r="BW116" s="72"/>
      <c r="BX116" s="72"/>
      <c r="BY116" s="72"/>
      <c r="BZ116" s="72"/>
      <c r="CA116" s="72"/>
      <c r="CB116" s="72"/>
      <c r="CC116" s="72"/>
      <c r="CD116" s="72"/>
      <c r="CE116" s="72"/>
      <c r="CF116" s="72"/>
      <c r="CG116" s="72"/>
      <c r="CH116" s="72"/>
    </row>
    <row r="117" ht="15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  <c r="AT117" s="72"/>
      <c r="AU117" s="72"/>
      <c r="AV117" s="72"/>
      <c r="AW117" s="72"/>
      <c r="AX117" s="72"/>
      <c r="AY117" s="72"/>
      <c r="AZ117" s="72"/>
      <c r="BA117" s="72"/>
      <c r="BB117" s="72"/>
      <c r="BC117" s="72"/>
      <c r="BD117" s="72"/>
      <c r="BE117" s="72"/>
      <c r="BF117" s="72"/>
      <c r="BG117" s="72"/>
      <c r="BH117" s="72"/>
      <c r="BI117" s="72"/>
      <c r="BJ117" s="72"/>
      <c r="BK117" s="72"/>
      <c r="BL117" s="72"/>
      <c r="BM117" s="72"/>
      <c r="BN117" s="72"/>
      <c r="BO117" s="72"/>
      <c r="BP117" s="72"/>
      <c r="BQ117" s="72"/>
      <c r="BR117" s="72"/>
      <c r="BS117" s="72"/>
      <c r="BT117" s="72"/>
      <c r="BU117" s="72"/>
      <c r="BV117" s="72"/>
      <c r="BW117" s="72"/>
      <c r="BX117" s="72"/>
      <c r="BY117" s="72"/>
      <c r="BZ117" s="72"/>
      <c r="CA117" s="72"/>
      <c r="CB117" s="72"/>
      <c r="CC117" s="72"/>
      <c r="CD117" s="72"/>
      <c r="CE117" s="72"/>
      <c r="CF117" s="72"/>
      <c r="CG117" s="72"/>
      <c r="CH117" s="72"/>
    </row>
    <row r="118" ht="15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  <c r="AT118" s="72"/>
      <c r="AU118" s="72"/>
      <c r="AV118" s="72"/>
      <c r="AW118" s="72"/>
      <c r="AX118" s="72"/>
      <c r="AY118" s="72"/>
      <c r="AZ118" s="72"/>
      <c r="BA118" s="72"/>
      <c r="BB118" s="72"/>
      <c r="BC118" s="72"/>
      <c r="BD118" s="72"/>
      <c r="BE118" s="72"/>
      <c r="BF118" s="72"/>
      <c r="BG118" s="72"/>
      <c r="BH118" s="72"/>
      <c r="BI118" s="72"/>
      <c r="BJ118" s="72"/>
      <c r="BK118" s="72"/>
      <c r="BL118" s="72"/>
      <c r="BM118" s="72"/>
      <c r="BN118" s="72"/>
      <c r="BO118" s="72"/>
      <c r="BP118" s="72"/>
      <c r="BQ118" s="72"/>
      <c r="BR118" s="72"/>
      <c r="BS118" s="72"/>
      <c r="BT118" s="72"/>
      <c r="BU118" s="72"/>
      <c r="BV118" s="72"/>
      <c r="BW118" s="72"/>
      <c r="BX118" s="72"/>
      <c r="BY118" s="72"/>
      <c r="BZ118" s="72"/>
      <c r="CA118" s="72"/>
      <c r="CB118" s="72"/>
      <c r="CC118" s="72"/>
      <c r="CD118" s="72"/>
      <c r="CE118" s="72"/>
      <c r="CF118" s="72"/>
      <c r="CG118" s="72"/>
      <c r="CH118" s="72"/>
    </row>
    <row r="119" ht="15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  <c r="AT119" s="72"/>
      <c r="AU119" s="72"/>
      <c r="AV119" s="72"/>
      <c r="AW119" s="72"/>
      <c r="AX119" s="72"/>
      <c r="AY119" s="72"/>
      <c r="AZ119" s="72"/>
      <c r="BA119" s="72"/>
      <c r="BB119" s="72"/>
      <c r="BC119" s="72"/>
      <c r="BD119" s="72"/>
      <c r="BE119" s="72"/>
      <c r="BF119" s="72"/>
      <c r="BG119" s="72"/>
      <c r="BH119" s="72"/>
      <c r="BI119" s="72"/>
      <c r="BJ119" s="72"/>
      <c r="BK119" s="72"/>
      <c r="BL119" s="72"/>
      <c r="BM119" s="72"/>
      <c r="BN119" s="72"/>
      <c r="BO119" s="72"/>
      <c r="BP119" s="72"/>
      <c r="BQ119" s="72"/>
      <c r="BR119" s="72"/>
      <c r="BS119" s="72"/>
      <c r="BT119" s="72"/>
      <c r="BU119" s="72"/>
      <c r="BV119" s="72"/>
      <c r="BW119" s="72"/>
      <c r="BX119" s="72"/>
      <c r="BY119" s="72"/>
      <c r="BZ119" s="72"/>
      <c r="CA119" s="72"/>
      <c r="CB119" s="72"/>
      <c r="CC119" s="72"/>
      <c r="CD119" s="72"/>
      <c r="CE119" s="72"/>
      <c r="CF119" s="72"/>
      <c r="CG119" s="72"/>
      <c r="CH119" s="72"/>
    </row>
    <row r="120" ht="15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  <c r="AT120" s="72"/>
      <c r="AU120" s="72"/>
      <c r="AV120" s="72"/>
      <c r="AW120" s="72"/>
      <c r="AX120" s="72"/>
      <c r="AY120" s="72"/>
      <c r="AZ120" s="72"/>
      <c r="BA120" s="72"/>
      <c r="BB120" s="72"/>
      <c r="BC120" s="72"/>
      <c r="BD120" s="72"/>
      <c r="BE120" s="72"/>
      <c r="BF120" s="72"/>
      <c r="BG120" s="72"/>
      <c r="BH120" s="72"/>
      <c r="BI120" s="72"/>
      <c r="BJ120" s="72"/>
      <c r="BK120" s="72"/>
      <c r="BL120" s="72"/>
      <c r="BM120" s="72"/>
      <c r="BN120" s="72"/>
      <c r="BO120" s="72"/>
      <c r="BP120" s="72"/>
      <c r="BQ120" s="72"/>
      <c r="BR120" s="72"/>
      <c r="BS120" s="72"/>
      <c r="BT120" s="72"/>
      <c r="BU120" s="72"/>
      <c r="BV120" s="72"/>
      <c r="BW120" s="72"/>
      <c r="BX120" s="72"/>
      <c r="BY120" s="72"/>
      <c r="BZ120" s="72"/>
      <c r="CA120" s="72"/>
      <c r="CB120" s="72"/>
      <c r="CC120" s="72"/>
      <c r="CD120" s="72"/>
      <c r="CE120" s="72"/>
      <c r="CF120" s="72"/>
      <c r="CG120" s="72"/>
      <c r="CH120" s="72"/>
    </row>
    <row r="121" ht="15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  <c r="AT121" s="72"/>
      <c r="AU121" s="72"/>
      <c r="AV121" s="72"/>
      <c r="AW121" s="72"/>
      <c r="AX121" s="72"/>
      <c r="AY121" s="72"/>
      <c r="AZ121" s="72"/>
      <c r="BA121" s="72"/>
      <c r="BB121" s="72"/>
      <c r="BC121" s="72"/>
      <c r="BD121" s="72"/>
      <c r="BE121" s="72"/>
      <c r="BF121" s="72"/>
      <c r="BG121" s="72"/>
      <c r="BH121" s="72"/>
      <c r="BI121" s="72"/>
      <c r="BJ121" s="72"/>
      <c r="BK121" s="72"/>
      <c r="BL121" s="72"/>
      <c r="BM121" s="72"/>
      <c r="BN121" s="72"/>
      <c r="BO121" s="72"/>
      <c r="BP121" s="72"/>
      <c r="BQ121" s="72"/>
      <c r="BR121" s="72"/>
      <c r="BS121" s="72"/>
      <c r="BT121" s="72"/>
      <c r="BU121" s="72"/>
      <c r="BV121" s="72"/>
      <c r="BW121" s="72"/>
      <c r="BX121" s="72"/>
      <c r="BY121" s="72"/>
      <c r="BZ121" s="72"/>
      <c r="CA121" s="72"/>
      <c r="CB121" s="72"/>
      <c r="CC121" s="72"/>
      <c r="CD121" s="72"/>
      <c r="CE121" s="72"/>
      <c r="CF121" s="72"/>
      <c r="CG121" s="72"/>
      <c r="CH121" s="72"/>
    </row>
    <row r="122" ht="15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  <c r="AT122" s="72"/>
      <c r="AU122" s="72"/>
      <c r="AV122" s="72"/>
      <c r="AW122" s="72"/>
      <c r="AX122" s="72"/>
      <c r="AY122" s="72"/>
      <c r="AZ122" s="72"/>
      <c r="BA122" s="72"/>
      <c r="BB122" s="72"/>
      <c r="BC122" s="72"/>
      <c r="BD122" s="72"/>
      <c r="BE122" s="72"/>
      <c r="BF122" s="72"/>
      <c r="BG122" s="72"/>
      <c r="BH122" s="72"/>
      <c r="BI122" s="72"/>
      <c r="BJ122" s="72"/>
      <c r="BK122" s="72"/>
      <c r="BL122" s="72"/>
      <c r="BM122" s="72"/>
      <c r="BN122" s="72"/>
      <c r="BO122" s="72"/>
      <c r="BP122" s="72"/>
      <c r="BQ122" s="72"/>
      <c r="BR122" s="72"/>
      <c r="BS122" s="72"/>
      <c r="BT122" s="72"/>
      <c r="BU122" s="72"/>
      <c r="BV122" s="72"/>
      <c r="BW122" s="72"/>
      <c r="BX122" s="72"/>
      <c r="BY122" s="72"/>
      <c r="BZ122" s="72"/>
      <c r="CA122" s="72"/>
      <c r="CB122" s="72"/>
      <c r="CC122" s="72"/>
      <c r="CD122" s="72"/>
      <c r="CE122" s="72"/>
      <c r="CF122" s="72"/>
      <c r="CG122" s="72"/>
      <c r="CH122" s="72"/>
    </row>
    <row r="123" ht="15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  <c r="AT123" s="72"/>
      <c r="AU123" s="72"/>
      <c r="AV123" s="72"/>
      <c r="AW123" s="72"/>
      <c r="AX123" s="72"/>
      <c r="AY123" s="72"/>
      <c r="AZ123" s="72"/>
      <c r="BA123" s="72"/>
      <c r="BB123" s="72"/>
      <c r="BC123" s="72"/>
      <c r="BD123" s="72"/>
      <c r="BE123" s="72"/>
      <c r="BF123" s="72"/>
      <c r="BG123" s="72"/>
      <c r="BH123" s="72"/>
      <c r="BI123" s="72"/>
      <c r="BJ123" s="72"/>
      <c r="BK123" s="72"/>
      <c r="BL123" s="72"/>
      <c r="BM123" s="72"/>
      <c r="BN123" s="72"/>
      <c r="BO123" s="72"/>
      <c r="BP123" s="72"/>
      <c r="BQ123" s="72"/>
      <c r="BR123" s="72"/>
      <c r="BS123" s="72"/>
      <c r="BT123" s="72"/>
      <c r="BU123" s="72"/>
      <c r="BV123" s="72"/>
      <c r="BW123" s="72"/>
      <c r="BX123" s="72"/>
      <c r="BY123" s="72"/>
      <c r="BZ123" s="72"/>
      <c r="CA123" s="72"/>
      <c r="CB123" s="72"/>
      <c r="CC123" s="72"/>
      <c r="CD123" s="72"/>
      <c r="CE123" s="72"/>
      <c r="CF123" s="72"/>
      <c r="CG123" s="72"/>
      <c r="CH123" s="72"/>
    </row>
    <row r="124" ht="15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  <c r="AT124" s="72"/>
      <c r="AU124" s="72"/>
      <c r="AV124" s="72"/>
      <c r="AW124" s="72"/>
      <c r="AX124" s="72"/>
      <c r="AY124" s="72"/>
      <c r="AZ124" s="72"/>
      <c r="BA124" s="72"/>
      <c r="BB124" s="72"/>
      <c r="BC124" s="72"/>
      <c r="BD124" s="72"/>
      <c r="BE124" s="72"/>
      <c r="BF124" s="72"/>
      <c r="BG124" s="72"/>
      <c r="BH124" s="72"/>
      <c r="BI124" s="72"/>
      <c r="BJ124" s="72"/>
      <c r="BK124" s="72"/>
      <c r="BL124" s="72"/>
      <c r="BM124" s="72"/>
      <c r="BN124" s="72"/>
      <c r="BO124" s="72"/>
      <c r="BP124" s="72"/>
      <c r="BQ124" s="72"/>
      <c r="BR124" s="72"/>
      <c r="BS124" s="72"/>
      <c r="BT124" s="72"/>
      <c r="BU124" s="72"/>
      <c r="BV124" s="72"/>
      <c r="BW124" s="72"/>
      <c r="BX124" s="72"/>
      <c r="BY124" s="72"/>
      <c r="BZ124" s="72"/>
      <c r="CA124" s="72"/>
      <c r="CB124" s="72"/>
      <c r="CC124" s="72"/>
      <c r="CD124" s="72"/>
      <c r="CE124" s="72"/>
      <c r="CF124" s="72"/>
      <c r="CG124" s="72"/>
      <c r="CH124" s="72"/>
    </row>
    <row r="125" ht="15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  <c r="AT125" s="72"/>
      <c r="AU125" s="72"/>
      <c r="AV125" s="72"/>
      <c r="AW125" s="72"/>
      <c r="AX125" s="72"/>
      <c r="AY125" s="72"/>
      <c r="AZ125" s="72"/>
      <c r="BA125" s="72"/>
      <c r="BB125" s="72"/>
      <c r="BC125" s="72"/>
      <c r="BD125" s="72"/>
      <c r="BE125" s="72"/>
      <c r="BF125" s="72"/>
      <c r="BG125" s="72"/>
      <c r="BH125" s="72"/>
      <c r="BI125" s="72"/>
      <c r="BJ125" s="72"/>
      <c r="BK125" s="72"/>
      <c r="BL125" s="72"/>
      <c r="BM125" s="72"/>
      <c r="BN125" s="72"/>
      <c r="BO125" s="72"/>
      <c r="BP125" s="72"/>
      <c r="BQ125" s="72"/>
      <c r="BR125" s="72"/>
      <c r="BS125" s="72"/>
      <c r="BT125" s="72"/>
      <c r="BU125" s="72"/>
      <c r="BV125" s="72"/>
      <c r="BW125" s="72"/>
      <c r="BX125" s="72"/>
      <c r="BY125" s="72"/>
      <c r="BZ125" s="72"/>
      <c r="CA125" s="72"/>
      <c r="CB125" s="72"/>
      <c r="CC125" s="72"/>
      <c r="CD125" s="72"/>
      <c r="CE125" s="72"/>
      <c r="CF125" s="72"/>
      <c r="CG125" s="72"/>
      <c r="CH125" s="72"/>
    </row>
    <row r="126" ht="15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  <c r="AT126" s="72"/>
      <c r="AU126" s="72"/>
      <c r="AV126" s="72"/>
      <c r="AW126" s="72"/>
      <c r="AX126" s="72"/>
      <c r="AY126" s="72"/>
      <c r="AZ126" s="72"/>
      <c r="BA126" s="72"/>
      <c r="BB126" s="72"/>
      <c r="BC126" s="72"/>
      <c r="BD126" s="72"/>
      <c r="BE126" s="72"/>
      <c r="BF126" s="72"/>
      <c r="BG126" s="72"/>
      <c r="BH126" s="72"/>
      <c r="BI126" s="72"/>
      <c r="BJ126" s="72"/>
      <c r="BK126" s="72"/>
      <c r="BL126" s="72"/>
      <c r="BM126" s="72"/>
      <c r="BN126" s="72"/>
      <c r="BO126" s="72"/>
      <c r="BP126" s="72"/>
      <c r="BQ126" s="72"/>
      <c r="BR126" s="72"/>
      <c r="BS126" s="72"/>
      <c r="BT126" s="72"/>
      <c r="BU126" s="72"/>
      <c r="BV126" s="72"/>
      <c r="BW126" s="72"/>
      <c r="BX126" s="72"/>
      <c r="BY126" s="72"/>
      <c r="BZ126" s="72"/>
      <c r="CA126" s="72"/>
      <c r="CB126" s="72"/>
      <c r="CC126" s="72"/>
      <c r="CD126" s="72"/>
      <c r="CE126" s="72"/>
      <c r="CF126" s="72"/>
      <c r="CG126" s="72"/>
      <c r="CH126" s="72"/>
    </row>
    <row r="127" ht="15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  <c r="AT127" s="72"/>
      <c r="AU127" s="72"/>
      <c r="AV127" s="72"/>
      <c r="AW127" s="72"/>
      <c r="AX127" s="72"/>
      <c r="AY127" s="72"/>
      <c r="AZ127" s="72"/>
      <c r="BA127" s="72"/>
      <c r="BB127" s="72"/>
      <c r="BC127" s="72"/>
      <c r="BD127" s="72"/>
      <c r="BE127" s="72"/>
      <c r="BF127" s="72"/>
      <c r="BG127" s="72"/>
      <c r="BH127" s="72"/>
      <c r="BI127" s="72"/>
      <c r="BJ127" s="72"/>
      <c r="BK127" s="72"/>
      <c r="BL127" s="72"/>
      <c r="BM127" s="72"/>
      <c r="BN127" s="72"/>
      <c r="BO127" s="72"/>
      <c r="BP127" s="72"/>
      <c r="BQ127" s="72"/>
      <c r="BR127" s="72"/>
      <c r="BS127" s="72"/>
      <c r="BT127" s="72"/>
      <c r="BU127" s="72"/>
      <c r="BV127" s="72"/>
      <c r="BW127" s="72"/>
      <c r="BX127" s="72"/>
      <c r="BY127" s="72"/>
      <c r="BZ127" s="72"/>
      <c r="CA127" s="72"/>
      <c r="CB127" s="72"/>
      <c r="CC127" s="72"/>
      <c r="CD127" s="72"/>
      <c r="CE127" s="72"/>
      <c r="CF127" s="72"/>
      <c r="CG127" s="72"/>
      <c r="CH127" s="72"/>
    </row>
    <row r="128" ht="15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  <c r="AT128" s="72"/>
      <c r="AU128" s="72"/>
      <c r="AV128" s="72"/>
      <c r="AW128" s="72"/>
      <c r="AX128" s="72"/>
      <c r="AY128" s="72"/>
      <c r="AZ128" s="72"/>
      <c r="BA128" s="72"/>
      <c r="BB128" s="72"/>
      <c r="BC128" s="72"/>
      <c r="BD128" s="72"/>
      <c r="BE128" s="72"/>
      <c r="BF128" s="72"/>
      <c r="BG128" s="72"/>
      <c r="BH128" s="72"/>
      <c r="BI128" s="72"/>
      <c r="BJ128" s="72"/>
      <c r="BK128" s="72"/>
      <c r="BL128" s="72"/>
      <c r="BM128" s="72"/>
      <c r="BN128" s="72"/>
      <c r="BO128" s="72"/>
      <c r="BP128" s="72"/>
      <c r="BQ128" s="72"/>
      <c r="BR128" s="72"/>
      <c r="BS128" s="72"/>
      <c r="BT128" s="72"/>
      <c r="BU128" s="72"/>
      <c r="BV128" s="72"/>
      <c r="BW128" s="72"/>
      <c r="BX128" s="72"/>
      <c r="BY128" s="72"/>
      <c r="BZ128" s="72"/>
      <c r="CA128" s="72"/>
      <c r="CB128" s="72"/>
      <c r="CC128" s="72"/>
      <c r="CD128" s="72"/>
      <c r="CE128" s="72"/>
      <c r="CF128" s="72"/>
      <c r="CG128" s="72"/>
      <c r="CH128" s="72"/>
    </row>
    <row r="129" ht="15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  <c r="AT129" s="72"/>
      <c r="AU129" s="72"/>
      <c r="AV129" s="72"/>
      <c r="AW129" s="72"/>
      <c r="AX129" s="72"/>
      <c r="AY129" s="72"/>
      <c r="AZ129" s="72"/>
      <c r="BA129" s="72"/>
      <c r="BB129" s="72"/>
      <c r="BC129" s="72"/>
      <c r="BD129" s="72"/>
      <c r="BE129" s="72"/>
      <c r="BF129" s="72"/>
      <c r="BG129" s="72"/>
      <c r="BH129" s="72"/>
      <c r="BI129" s="72"/>
      <c r="BJ129" s="72"/>
      <c r="BK129" s="72"/>
      <c r="BL129" s="72"/>
      <c r="BM129" s="72"/>
      <c r="BN129" s="72"/>
      <c r="BO129" s="72"/>
      <c r="BP129" s="72"/>
      <c r="BQ129" s="72"/>
      <c r="BR129" s="72"/>
      <c r="BS129" s="72"/>
      <c r="BT129" s="72"/>
      <c r="BU129" s="72"/>
      <c r="BV129" s="72"/>
      <c r="BW129" s="72"/>
      <c r="BX129" s="72"/>
      <c r="BY129" s="72"/>
      <c r="BZ129" s="72"/>
      <c r="CA129" s="72"/>
      <c r="CB129" s="72"/>
      <c r="CC129" s="72"/>
      <c r="CD129" s="72"/>
      <c r="CE129" s="72"/>
      <c r="CF129" s="72"/>
      <c r="CG129" s="72"/>
      <c r="CH129" s="72"/>
    </row>
    <row r="130" ht="15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  <c r="AT130" s="72"/>
      <c r="AU130" s="72"/>
      <c r="AV130" s="72"/>
      <c r="AW130" s="72"/>
      <c r="AX130" s="72"/>
      <c r="AY130" s="72"/>
      <c r="AZ130" s="72"/>
      <c r="BA130" s="72"/>
      <c r="BB130" s="72"/>
      <c r="BC130" s="72"/>
      <c r="BD130" s="72"/>
      <c r="BE130" s="72"/>
      <c r="BF130" s="72"/>
      <c r="BG130" s="72"/>
      <c r="BH130" s="72"/>
      <c r="BI130" s="72"/>
      <c r="BJ130" s="72"/>
      <c r="BK130" s="72"/>
      <c r="BL130" s="72"/>
      <c r="BM130" s="72"/>
      <c r="BN130" s="72"/>
      <c r="BO130" s="72"/>
      <c r="BP130" s="72"/>
      <c r="BQ130" s="72"/>
      <c r="BR130" s="72"/>
      <c r="BS130" s="72"/>
      <c r="BT130" s="72"/>
      <c r="BU130" s="72"/>
      <c r="BV130" s="72"/>
      <c r="BW130" s="72"/>
      <c r="BX130" s="72"/>
      <c r="BY130" s="72"/>
      <c r="BZ130" s="72"/>
      <c r="CA130" s="72"/>
      <c r="CB130" s="72"/>
      <c r="CC130" s="72"/>
      <c r="CD130" s="72"/>
      <c r="CE130" s="72"/>
      <c r="CF130" s="72"/>
      <c r="CG130" s="72"/>
      <c r="CH130" s="72"/>
    </row>
    <row r="131" ht="15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  <c r="AT131" s="72"/>
      <c r="AU131" s="72"/>
      <c r="AV131" s="72"/>
      <c r="AW131" s="72"/>
      <c r="AX131" s="72"/>
      <c r="AY131" s="72"/>
      <c r="AZ131" s="72"/>
      <c r="BA131" s="72"/>
      <c r="BB131" s="72"/>
      <c r="BC131" s="72"/>
      <c r="BD131" s="72"/>
      <c r="BE131" s="72"/>
      <c r="BF131" s="72"/>
      <c r="BG131" s="72"/>
      <c r="BH131" s="72"/>
      <c r="BI131" s="72"/>
      <c r="BJ131" s="72"/>
      <c r="BK131" s="72"/>
      <c r="BL131" s="72"/>
      <c r="BM131" s="72"/>
      <c r="BN131" s="72"/>
      <c r="BO131" s="72"/>
      <c r="BP131" s="72"/>
      <c r="BQ131" s="72"/>
      <c r="BR131" s="72"/>
      <c r="BS131" s="72"/>
      <c r="BT131" s="72"/>
      <c r="BU131" s="72"/>
      <c r="BV131" s="72"/>
      <c r="BW131" s="72"/>
      <c r="BX131" s="72"/>
      <c r="BY131" s="72"/>
      <c r="BZ131" s="72"/>
      <c r="CA131" s="72"/>
      <c r="CB131" s="72"/>
      <c r="CC131" s="72"/>
      <c r="CD131" s="72"/>
      <c r="CE131" s="72"/>
      <c r="CF131" s="72"/>
      <c r="CG131" s="72"/>
      <c r="CH131" s="72"/>
    </row>
    <row r="132" ht="15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  <c r="BS132" s="72"/>
      <c r="BT132" s="72"/>
      <c r="BU132" s="72"/>
      <c r="BV132" s="72"/>
      <c r="BW132" s="72"/>
      <c r="BX132" s="72"/>
      <c r="BY132" s="72"/>
      <c r="BZ132" s="72"/>
      <c r="CA132" s="72"/>
      <c r="CB132" s="72"/>
      <c r="CC132" s="72"/>
      <c r="CD132" s="72"/>
      <c r="CE132" s="72"/>
      <c r="CF132" s="72"/>
      <c r="CG132" s="72"/>
      <c r="CH132" s="72"/>
    </row>
    <row r="133" ht="15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72"/>
      <c r="BU133" s="72"/>
      <c r="BV133" s="72"/>
      <c r="BW133" s="72"/>
      <c r="BX133" s="72"/>
      <c r="BY133" s="72"/>
      <c r="BZ133" s="72"/>
      <c r="CA133" s="72"/>
      <c r="CB133" s="72"/>
      <c r="CC133" s="72"/>
      <c r="CD133" s="72"/>
      <c r="CE133" s="72"/>
      <c r="CF133" s="72"/>
      <c r="CG133" s="72"/>
      <c r="CH133" s="72"/>
    </row>
    <row r="134" ht="15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  <c r="AT134" s="72"/>
      <c r="AU134" s="72"/>
      <c r="AV134" s="72"/>
      <c r="AW134" s="72"/>
      <c r="AX134" s="72"/>
      <c r="AY134" s="72"/>
      <c r="AZ134" s="72"/>
      <c r="BA134" s="72"/>
      <c r="BB134" s="72"/>
      <c r="BC134" s="72"/>
      <c r="BD134" s="72"/>
      <c r="BE134" s="72"/>
      <c r="BF134" s="72"/>
      <c r="BG134" s="72"/>
      <c r="BH134" s="72"/>
      <c r="BI134" s="72"/>
      <c r="BJ134" s="72"/>
      <c r="BK134" s="72"/>
      <c r="BL134" s="72"/>
      <c r="BM134" s="72"/>
      <c r="BN134" s="72"/>
      <c r="BO134" s="72"/>
      <c r="BP134" s="72"/>
      <c r="BQ134" s="72"/>
      <c r="BR134" s="72"/>
      <c r="BS134" s="72"/>
      <c r="BT134" s="72"/>
      <c r="BU134" s="72"/>
      <c r="BV134" s="72"/>
      <c r="BW134" s="72"/>
      <c r="BX134" s="72"/>
      <c r="BY134" s="72"/>
      <c r="BZ134" s="72"/>
      <c r="CA134" s="72"/>
      <c r="CB134" s="72"/>
      <c r="CC134" s="72"/>
      <c r="CD134" s="72"/>
      <c r="CE134" s="72"/>
      <c r="CF134" s="72"/>
      <c r="CG134" s="72"/>
      <c r="CH134" s="72"/>
    </row>
    <row r="135" ht="15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  <c r="AT135" s="72"/>
      <c r="AU135" s="72"/>
      <c r="AV135" s="72"/>
      <c r="AW135" s="72"/>
      <c r="AX135" s="72"/>
      <c r="AY135" s="72"/>
      <c r="AZ135" s="72"/>
      <c r="BA135" s="72"/>
      <c r="BB135" s="72"/>
      <c r="BC135" s="72"/>
      <c r="BD135" s="72"/>
      <c r="BE135" s="72"/>
      <c r="BF135" s="72"/>
      <c r="BG135" s="72"/>
      <c r="BH135" s="72"/>
      <c r="BI135" s="72"/>
      <c r="BJ135" s="72"/>
      <c r="BK135" s="72"/>
      <c r="BL135" s="72"/>
      <c r="BM135" s="72"/>
      <c r="BN135" s="72"/>
      <c r="BO135" s="72"/>
      <c r="BP135" s="72"/>
      <c r="BQ135" s="72"/>
      <c r="BR135" s="72"/>
      <c r="BS135" s="72"/>
      <c r="BT135" s="72"/>
      <c r="BU135" s="72"/>
      <c r="BV135" s="72"/>
      <c r="BW135" s="72"/>
      <c r="BX135" s="72"/>
      <c r="BY135" s="72"/>
      <c r="BZ135" s="72"/>
      <c r="CA135" s="72"/>
      <c r="CB135" s="72"/>
      <c r="CC135" s="72"/>
      <c r="CD135" s="72"/>
      <c r="CE135" s="72"/>
      <c r="CF135" s="72"/>
      <c r="CG135" s="72"/>
      <c r="CH135" s="72"/>
    </row>
    <row r="136" ht="15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  <c r="AT136" s="72"/>
      <c r="AU136" s="72"/>
      <c r="AV136" s="72"/>
      <c r="AW136" s="72"/>
      <c r="AX136" s="72"/>
      <c r="AY136" s="72"/>
      <c r="AZ136" s="72"/>
      <c r="BA136" s="72"/>
      <c r="BB136" s="72"/>
      <c r="BC136" s="72"/>
      <c r="BD136" s="72"/>
      <c r="BE136" s="72"/>
      <c r="BF136" s="72"/>
      <c r="BG136" s="72"/>
      <c r="BH136" s="72"/>
      <c r="BI136" s="72"/>
      <c r="BJ136" s="72"/>
      <c r="BK136" s="72"/>
      <c r="BL136" s="72"/>
      <c r="BM136" s="72"/>
      <c r="BN136" s="72"/>
      <c r="BO136" s="72"/>
      <c r="BP136" s="72"/>
      <c r="BQ136" s="72"/>
      <c r="BR136" s="72"/>
      <c r="BS136" s="72"/>
      <c r="BT136" s="72"/>
      <c r="BU136" s="72"/>
      <c r="BV136" s="72"/>
      <c r="BW136" s="72"/>
      <c r="BX136" s="72"/>
      <c r="BY136" s="72"/>
      <c r="BZ136" s="72"/>
      <c r="CA136" s="72"/>
      <c r="CB136" s="72"/>
      <c r="CC136" s="72"/>
      <c r="CD136" s="72"/>
      <c r="CE136" s="72"/>
      <c r="CF136" s="72"/>
      <c r="CG136" s="72"/>
      <c r="CH136" s="72"/>
    </row>
    <row r="137" ht="15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  <c r="AT137" s="72"/>
      <c r="AU137" s="72"/>
      <c r="AV137" s="72"/>
      <c r="AW137" s="72"/>
      <c r="AX137" s="72"/>
      <c r="AY137" s="72"/>
      <c r="AZ137" s="72"/>
      <c r="BA137" s="72"/>
      <c r="BB137" s="72"/>
      <c r="BC137" s="72"/>
      <c r="BD137" s="72"/>
      <c r="BE137" s="72"/>
      <c r="BF137" s="72"/>
      <c r="BG137" s="72"/>
      <c r="BH137" s="72"/>
      <c r="BI137" s="72"/>
      <c r="BJ137" s="72"/>
      <c r="BK137" s="72"/>
      <c r="BL137" s="72"/>
      <c r="BM137" s="72"/>
      <c r="BN137" s="72"/>
      <c r="BO137" s="72"/>
      <c r="BP137" s="72"/>
      <c r="BQ137" s="72"/>
      <c r="BR137" s="72"/>
      <c r="BS137" s="72"/>
      <c r="BT137" s="72"/>
      <c r="BU137" s="72"/>
      <c r="BV137" s="72"/>
      <c r="BW137" s="72"/>
      <c r="BX137" s="72"/>
      <c r="BY137" s="72"/>
      <c r="BZ137" s="72"/>
      <c r="CA137" s="72"/>
      <c r="CB137" s="72"/>
      <c r="CC137" s="72"/>
      <c r="CD137" s="72"/>
      <c r="CE137" s="72"/>
      <c r="CF137" s="72"/>
      <c r="CG137" s="72"/>
      <c r="CH137" s="72"/>
    </row>
    <row r="138" ht="15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/>
      <c r="BN138" s="72"/>
      <c r="BO138" s="72"/>
      <c r="BP138" s="72"/>
      <c r="BQ138" s="72"/>
      <c r="BR138" s="72"/>
      <c r="BS138" s="72"/>
      <c r="BT138" s="72"/>
      <c r="BU138" s="72"/>
      <c r="BV138" s="72"/>
      <c r="BW138" s="72"/>
      <c r="BX138" s="72"/>
      <c r="BY138" s="72"/>
      <c r="BZ138" s="72"/>
      <c r="CA138" s="72"/>
      <c r="CB138" s="72"/>
      <c r="CC138" s="72"/>
      <c r="CD138" s="72"/>
      <c r="CE138" s="72"/>
      <c r="CF138" s="72"/>
      <c r="CG138" s="72"/>
      <c r="CH138" s="72"/>
    </row>
    <row r="139" ht="15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/>
      <c r="BN139" s="72"/>
      <c r="BO139" s="72"/>
      <c r="BP139" s="72"/>
      <c r="BQ139" s="72"/>
      <c r="BR139" s="72"/>
      <c r="BS139" s="72"/>
      <c r="BT139" s="72"/>
      <c r="BU139" s="72"/>
      <c r="BV139" s="72"/>
      <c r="BW139" s="72"/>
      <c r="BX139" s="72"/>
      <c r="BY139" s="72"/>
      <c r="BZ139" s="72"/>
      <c r="CA139" s="72"/>
      <c r="CB139" s="72"/>
      <c r="CC139" s="72"/>
      <c r="CD139" s="72"/>
      <c r="CE139" s="72"/>
      <c r="CF139" s="72"/>
      <c r="CG139" s="72"/>
      <c r="CH139" s="72"/>
    </row>
    <row r="140" ht="15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  <c r="AT140" s="72"/>
      <c r="AU140" s="72"/>
      <c r="AV140" s="72"/>
      <c r="AW140" s="72"/>
      <c r="AX140" s="72"/>
      <c r="AY140" s="72"/>
      <c r="AZ140" s="72"/>
      <c r="BA140" s="72"/>
      <c r="BB140" s="72"/>
      <c r="BC140" s="72"/>
      <c r="BD140" s="72"/>
      <c r="BE140" s="72"/>
      <c r="BF140" s="72"/>
      <c r="BG140" s="72"/>
      <c r="BH140" s="72"/>
      <c r="BI140" s="72"/>
      <c r="BJ140" s="72"/>
      <c r="BK140" s="72"/>
      <c r="BL140" s="72"/>
      <c r="BM140" s="72"/>
      <c r="BN140" s="72"/>
      <c r="BO140" s="72"/>
      <c r="BP140" s="72"/>
      <c r="BQ140" s="72"/>
      <c r="BR140" s="72"/>
      <c r="BS140" s="72"/>
      <c r="BT140" s="72"/>
      <c r="BU140" s="72"/>
      <c r="BV140" s="72"/>
      <c r="BW140" s="72"/>
      <c r="BX140" s="72"/>
      <c r="BY140" s="72"/>
      <c r="BZ140" s="72"/>
      <c r="CA140" s="72"/>
      <c r="CB140" s="72"/>
      <c r="CC140" s="72"/>
      <c r="CD140" s="72"/>
      <c r="CE140" s="72"/>
      <c r="CF140" s="72"/>
      <c r="CG140" s="72"/>
      <c r="CH140" s="72"/>
    </row>
    <row r="141" ht="15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  <c r="AT141" s="72"/>
      <c r="AU141" s="72"/>
      <c r="AV141" s="72"/>
      <c r="AW141" s="72"/>
      <c r="AX141" s="72"/>
      <c r="AY141" s="72"/>
      <c r="AZ141" s="72"/>
      <c r="BA141" s="72"/>
      <c r="BB141" s="72"/>
      <c r="BC141" s="72"/>
      <c r="BD141" s="72"/>
      <c r="BE141" s="72"/>
      <c r="BF141" s="72"/>
      <c r="BG141" s="72"/>
      <c r="BH141" s="72"/>
      <c r="BI141" s="72"/>
      <c r="BJ141" s="72"/>
      <c r="BK141" s="72"/>
      <c r="BL141" s="72"/>
      <c r="BM141" s="72"/>
      <c r="BN141" s="72"/>
      <c r="BO141" s="72"/>
      <c r="BP141" s="72"/>
      <c r="BQ141" s="72"/>
      <c r="BR141" s="72"/>
      <c r="BS141" s="72"/>
      <c r="BT141" s="72"/>
      <c r="BU141" s="72"/>
      <c r="BV141" s="72"/>
      <c r="BW141" s="72"/>
      <c r="BX141" s="72"/>
      <c r="BY141" s="72"/>
      <c r="BZ141" s="72"/>
      <c r="CA141" s="72"/>
      <c r="CB141" s="72"/>
      <c r="CC141" s="72"/>
      <c r="CD141" s="72"/>
      <c r="CE141" s="72"/>
      <c r="CF141" s="72"/>
      <c r="CG141" s="72"/>
      <c r="CH141" s="72"/>
    </row>
    <row r="142" ht="15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  <c r="AT142" s="72"/>
      <c r="AU142" s="72"/>
      <c r="AV142" s="72"/>
      <c r="AW142" s="72"/>
      <c r="AX142" s="72"/>
      <c r="AY142" s="72"/>
      <c r="AZ142" s="72"/>
      <c r="BA142" s="72"/>
      <c r="BB142" s="72"/>
      <c r="BC142" s="72"/>
      <c r="BD142" s="72"/>
      <c r="BE142" s="72"/>
      <c r="BF142" s="72"/>
      <c r="BG142" s="72"/>
      <c r="BH142" s="72"/>
      <c r="BI142" s="72"/>
      <c r="BJ142" s="72"/>
      <c r="BK142" s="72"/>
      <c r="BL142" s="72"/>
      <c r="BM142" s="72"/>
      <c r="BN142" s="72"/>
      <c r="BO142" s="72"/>
      <c r="BP142" s="72"/>
      <c r="BQ142" s="72"/>
      <c r="BR142" s="72"/>
      <c r="BS142" s="72"/>
      <c r="BT142" s="72"/>
      <c r="BU142" s="72"/>
      <c r="BV142" s="72"/>
      <c r="BW142" s="72"/>
      <c r="BX142" s="72"/>
      <c r="BY142" s="72"/>
      <c r="BZ142" s="72"/>
      <c r="CA142" s="72"/>
      <c r="CB142" s="72"/>
      <c r="CC142" s="72"/>
      <c r="CD142" s="72"/>
      <c r="CE142" s="72"/>
      <c r="CF142" s="72"/>
      <c r="CG142" s="72"/>
      <c r="CH142" s="72"/>
    </row>
    <row r="143" ht="15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  <c r="AT143" s="72"/>
      <c r="AU143" s="72"/>
      <c r="AV143" s="72"/>
      <c r="AW143" s="72"/>
      <c r="AX143" s="72"/>
      <c r="AY143" s="72"/>
      <c r="AZ143" s="72"/>
      <c r="BA143" s="72"/>
      <c r="BB143" s="72"/>
      <c r="BC143" s="72"/>
      <c r="BD143" s="72"/>
      <c r="BE143" s="72"/>
      <c r="BF143" s="72"/>
      <c r="BG143" s="72"/>
      <c r="BH143" s="72"/>
      <c r="BI143" s="72"/>
      <c r="BJ143" s="72"/>
      <c r="BK143" s="72"/>
      <c r="BL143" s="72"/>
      <c r="BM143" s="72"/>
      <c r="BN143" s="72"/>
      <c r="BO143" s="72"/>
      <c r="BP143" s="72"/>
      <c r="BQ143" s="72"/>
      <c r="BR143" s="72"/>
      <c r="BS143" s="72"/>
      <c r="BT143" s="72"/>
      <c r="BU143" s="72"/>
      <c r="BV143" s="72"/>
      <c r="BW143" s="72"/>
      <c r="BX143" s="72"/>
      <c r="BY143" s="72"/>
      <c r="BZ143" s="72"/>
      <c r="CA143" s="72"/>
      <c r="CB143" s="72"/>
      <c r="CC143" s="72"/>
      <c r="CD143" s="72"/>
      <c r="CE143" s="72"/>
      <c r="CF143" s="72"/>
      <c r="CG143" s="72"/>
      <c r="CH143" s="72"/>
    </row>
    <row r="144" ht="15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  <c r="AT144" s="72"/>
      <c r="AU144" s="72"/>
      <c r="AV144" s="72"/>
      <c r="AW144" s="72"/>
      <c r="AX144" s="72"/>
      <c r="AY144" s="72"/>
      <c r="AZ144" s="72"/>
      <c r="BA144" s="72"/>
      <c r="BB144" s="72"/>
      <c r="BC144" s="72"/>
      <c r="BD144" s="72"/>
      <c r="BE144" s="72"/>
      <c r="BF144" s="72"/>
      <c r="BG144" s="72"/>
      <c r="BH144" s="72"/>
      <c r="BI144" s="72"/>
      <c r="BJ144" s="72"/>
      <c r="BK144" s="72"/>
      <c r="BL144" s="72"/>
      <c r="BM144" s="72"/>
      <c r="BN144" s="72"/>
      <c r="BO144" s="72"/>
      <c r="BP144" s="72"/>
      <c r="BQ144" s="72"/>
      <c r="BR144" s="72"/>
      <c r="BS144" s="72"/>
      <c r="BT144" s="72"/>
      <c r="BU144" s="72"/>
      <c r="BV144" s="72"/>
      <c r="BW144" s="72"/>
      <c r="BX144" s="72"/>
      <c r="BY144" s="72"/>
      <c r="BZ144" s="72"/>
      <c r="CA144" s="72"/>
      <c r="CB144" s="72"/>
      <c r="CC144" s="72"/>
      <c r="CD144" s="72"/>
      <c r="CE144" s="72"/>
      <c r="CF144" s="72"/>
      <c r="CG144" s="72"/>
      <c r="CH144" s="72"/>
    </row>
    <row r="145" ht="15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  <c r="AT145" s="72"/>
      <c r="AU145" s="72"/>
      <c r="AV145" s="72"/>
      <c r="AW145" s="72"/>
      <c r="AX145" s="72"/>
      <c r="AY145" s="72"/>
      <c r="AZ145" s="72"/>
      <c r="BA145" s="72"/>
      <c r="BB145" s="72"/>
      <c r="BC145" s="72"/>
      <c r="BD145" s="72"/>
      <c r="BE145" s="72"/>
      <c r="BF145" s="72"/>
      <c r="BG145" s="72"/>
      <c r="BH145" s="72"/>
      <c r="BI145" s="72"/>
      <c r="BJ145" s="72"/>
      <c r="BK145" s="72"/>
      <c r="BL145" s="72"/>
      <c r="BM145" s="72"/>
      <c r="BN145" s="72"/>
      <c r="BO145" s="72"/>
      <c r="BP145" s="72"/>
      <c r="BQ145" s="72"/>
      <c r="BR145" s="72"/>
      <c r="BS145" s="72"/>
      <c r="BT145" s="72"/>
      <c r="BU145" s="72"/>
      <c r="BV145" s="72"/>
      <c r="BW145" s="72"/>
      <c r="BX145" s="72"/>
      <c r="BY145" s="72"/>
      <c r="BZ145" s="72"/>
      <c r="CA145" s="72"/>
      <c r="CB145" s="72"/>
      <c r="CC145" s="72"/>
      <c r="CD145" s="72"/>
      <c r="CE145" s="72"/>
      <c r="CF145" s="72"/>
      <c r="CG145" s="72"/>
      <c r="CH145" s="72"/>
    </row>
    <row r="146" ht="15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  <c r="AT146" s="72"/>
      <c r="AU146" s="72"/>
      <c r="AV146" s="72"/>
      <c r="AW146" s="72"/>
      <c r="AX146" s="72"/>
      <c r="AY146" s="72"/>
      <c r="AZ146" s="72"/>
      <c r="BA146" s="72"/>
      <c r="BB146" s="72"/>
      <c r="BC146" s="72"/>
      <c r="BD146" s="72"/>
      <c r="BE146" s="72"/>
      <c r="BF146" s="72"/>
      <c r="BG146" s="72"/>
      <c r="BH146" s="72"/>
      <c r="BI146" s="72"/>
      <c r="BJ146" s="72"/>
      <c r="BK146" s="72"/>
      <c r="BL146" s="72"/>
      <c r="BM146" s="72"/>
      <c r="BN146" s="72"/>
      <c r="BO146" s="72"/>
      <c r="BP146" s="72"/>
      <c r="BQ146" s="72"/>
      <c r="BR146" s="72"/>
      <c r="BS146" s="72"/>
      <c r="BT146" s="72"/>
      <c r="BU146" s="72"/>
      <c r="BV146" s="72"/>
      <c r="BW146" s="72"/>
      <c r="BX146" s="72"/>
      <c r="BY146" s="72"/>
      <c r="BZ146" s="72"/>
      <c r="CA146" s="72"/>
      <c r="CB146" s="72"/>
      <c r="CC146" s="72"/>
      <c r="CD146" s="72"/>
      <c r="CE146" s="72"/>
      <c r="CF146" s="72"/>
      <c r="CG146" s="72"/>
      <c r="CH146" s="72"/>
    </row>
    <row r="147" ht="15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  <c r="AT147" s="72"/>
      <c r="AU147" s="72"/>
      <c r="AV147" s="72"/>
      <c r="AW147" s="72"/>
      <c r="AX147" s="72"/>
      <c r="AY147" s="72"/>
      <c r="AZ147" s="72"/>
      <c r="BA147" s="72"/>
      <c r="BB147" s="72"/>
      <c r="BC147" s="72"/>
      <c r="BD147" s="72"/>
      <c r="BE147" s="72"/>
      <c r="BF147" s="72"/>
      <c r="BG147" s="72"/>
      <c r="BH147" s="72"/>
      <c r="BI147" s="72"/>
      <c r="BJ147" s="72"/>
      <c r="BK147" s="72"/>
      <c r="BL147" s="72"/>
      <c r="BM147" s="72"/>
      <c r="BN147" s="72"/>
      <c r="BO147" s="72"/>
      <c r="BP147" s="72"/>
      <c r="BQ147" s="72"/>
      <c r="BR147" s="72"/>
      <c r="BS147" s="72"/>
      <c r="BT147" s="72"/>
      <c r="BU147" s="72"/>
      <c r="BV147" s="72"/>
      <c r="BW147" s="72"/>
      <c r="BX147" s="72"/>
      <c r="BY147" s="72"/>
      <c r="BZ147" s="72"/>
      <c r="CA147" s="72"/>
      <c r="CB147" s="72"/>
      <c r="CC147" s="72"/>
      <c r="CD147" s="72"/>
      <c r="CE147" s="72"/>
      <c r="CF147" s="72"/>
      <c r="CG147" s="72"/>
      <c r="CH147" s="72"/>
    </row>
    <row r="148" ht="15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  <c r="AT148" s="72"/>
      <c r="AU148" s="72"/>
      <c r="AV148" s="72"/>
      <c r="AW148" s="72"/>
      <c r="AX148" s="72"/>
      <c r="AY148" s="72"/>
      <c r="AZ148" s="72"/>
      <c r="BA148" s="72"/>
      <c r="BB148" s="72"/>
      <c r="BC148" s="72"/>
      <c r="BD148" s="72"/>
      <c r="BE148" s="72"/>
      <c r="BF148" s="72"/>
      <c r="BG148" s="72"/>
      <c r="BH148" s="72"/>
      <c r="BI148" s="72"/>
      <c r="BJ148" s="72"/>
      <c r="BK148" s="72"/>
      <c r="BL148" s="72"/>
      <c r="BM148" s="72"/>
      <c r="BN148" s="72"/>
      <c r="BO148" s="72"/>
      <c r="BP148" s="72"/>
      <c r="BQ148" s="72"/>
      <c r="BR148" s="72"/>
      <c r="BS148" s="72"/>
      <c r="BT148" s="72"/>
      <c r="BU148" s="72"/>
      <c r="BV148" s="72"/>
      <c r="BW148" s="72"/>
      <c r="BX148" s="72"/>
      <c r="BY148" s="72"/>
      <c r="BZ148" s="72"/>
      <c r="CA148" s="72"/>
      <c r="CB148" s="72"/>
      <c r="CC148" s="72"/>
      <c r="CD148" s="72"/>
      <c r="CE148" s="72"/>
      <c r="CF148" s="72"/>
      <c r="CG148" s="72"/>
      <c r="CH148" s="72"/>
    </row>
    <row r="149" ht="15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  <c r="AT149" s="72"/>
      <c r="AU149" s="72"/>
      <c r="AV149" s="72"/>
      <c r="AW149" s="72"/>
      <c r="AX149" s="72"/>
      <c r="AY149" s="72"/>
      <c r="AZ149" s="72"/>
      <c r="BA149" s="72"/>
      <c r="BB149" s="72"/>
      <c r="BC149" s="72"/>
      <c r="BD149" s="72"/>
      <c r="BE149" s="72"/>
      <c r="BF149" s="72"/>
      <c r="BG149" s="72"/>
      <c r="BH149" s="72"/>
      <c r="BI149" s="72"/>
      <c r="BJ149" s="72"/>
      <c r="BK149" s="72"/>
      <c r="BL149" s="72"/>
      <c r="BM149" s="72"/>
      <c r="BN149" s="72"/>
      <c r="BO149" s="72"/>
      <c r="BP149" s="72"/>
      <c r="BQ149" s="72"/>
      <c r="BR149" s="72"/>
      <c r="BS149" s="72"/>
      <c r="BT149" s="72"/>
      <c r="BU149" s="72"/>
      <c r="BV149" s="72"/>
      <c r="BW149" s="72"/>
      <c r="BX149" s="72"/>
      <c r="BY149" s="72"/>
      <c r="BZ149" s="72"/>
      <c r="CA149" s="72"/>
      <c r="CB149" s="72"/>
      <c r="CC149" s="72"/>
      <c r="CD149" s="72"/>
      <c r="CE149" s="72"/>
      <c r="CF149" s="72"/>
      <c r="CG149" s="72"/>
      <c r="CH149" s="72"/>
    </row>
    <row r="150" ht="15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  <c r="AT150" s="72"/>
      <c r="AU150" s="72"/>
      <c r="AV150" s="72"/>
      <c r="AW150" s="72"/>
      <c r="AX150" s="72"/>
      <c r="AY150" s="72"/>
      <c r="AZ150" s="72"/>
      <c r="BA150" s="72"/>
      <c r="BB150" s="72"/>
      <c r="BC150" s="72"/>
      <c r="BD150" s="72"/>
      <c r="BE150" s="72"/>
      <c r="BF150" s="72"/>
      <c r="BG150" s="72"/>
      <c r="BH150" s="72"/>
      <c r="BI150" s="72"/>
      <c r="BJ150" s="72"/>
      <c r="BK150" s="72"/>
      <c r="BL150" s="72"/>
      <c r="BM150" s="72"/>
      <c r="BN150" s="72"/>
      <c r="BO150" s="72"/>
      <c r="BP150" s="72"/>
      <c r="BQ150" s="72"/>
      <c r="BR150" s="72"/>
      <c r="BS150" s="72"/>
      <c r="BT150" s="72"/>
      <c r="BU150" s="72"/>
      <c r="BV150" s="72"/>
      <c r="BW150" s="72"/>
      <c r="BX150" s="72"/>
      <c r="BY150" s="72"/>
      <c r="BZ150" s="72"/>
      <c r="CA150" s="72"/>
      <c r="CB150" s="72"/>
      <c r="CC150" s="72"/>
      <c r="CD150" s="72"/>
      <c r="CE150" s="72"/>
      <c r="CF150" s="72"/>
      <c r="CG150" s="72"/>
      <c r="CH150" s="72"/>
    </row>
    <row r="151" ht="15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  <c r="AT151" s="72"/>
      <c r="AU151" s="72"/>
      <c r="AV151" s="72"/>
      <c r="AW151" s="72"/>
      <c r="AX151" s="72"/>
      <c r="AY151" s="72"/>
      <c r="AZ151" s="72"/>
      <c r="BA151" s="72"/>
      <c r="BB151" s="72"/>
      <c r="BC151" s="72"/>
      <c r="BD151" s="72"/>
      <c r="BE151" s="72"/>
      <c r="BF151" s="72"/>
      <c r="BG151" s="72"/>
      <c r="BH151" s="72"/>
      <c r="BI151" s="72"/>
      <c r="BJ151" s="72"/>
      <c r="BK151" s="72"/>
      <c r="BL151" s="72"/>
      <c r="BM151" s="72"/>
      <c r="BN151" s="72"/>
      <c r="BO151" s="72"/>
      <c r="BP151" s="72"/>
      <c r="BQ151" s="72"/>
      <c r="BR151" s="72"/>
      <c r="BS151" s="72"/>
      <c r="BT151" s="72"/>
      <c r="BU151" s="72"/>
      <c r="BV151" s="72"/>
      <c r="BW151" s="72"/>
      <c r="BX151" s="72"/>
      <c r="BY151" s="72"/>
      <c r="BZ151" s="72"/>
      <c r="CA151" s="72"/>
      <c r="CB151" s="72"/>
      <c r="CC151" s="72"/>
      <c r="CD151" s="72"/>
      <c r="CE151" s="72"/>
      <c r="CF151" s="72"/>
      <c r="CG151" s="72"/>
      <c r="CH151" s="72"/>
    </row>
    <row r="152" ht="15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  <c r="AT152" s="72"/>
      <c r="AU152" s="72"/>
      <c r="AV152" s="72"/>
      <c r="AW152" s="72"/>
      <c r="AX152" s="72"/>
      <c r="AY152" s="72"/>
      <c r="AZ152" s="72"/>
      <c r="BA152" s="72"/>
      <c r="BB152" s="72"/>
      <c r="BC152" s="72"/>
      <c r="BD152" s="72"/>
      <c r="BE152" s="72"/>
      <c r="BF152" s="72"/>
      <c r="BG152" s="72"/>
      <c r="BH152" s="72"/>
      <c r="BI152" s="72"/>
      <c r="BJ152" s="72"/>
      <c r="BK152" s="72"/>
      <c r="BL152" s="72"/>
      <c r="BM152" s="72"/>
      <c r="BN152" s="72"/>
      <c r="BO152" s="72"/>
      <c r="BP152" s="72"/>
      <c r="BQ152" s="72"/>
      <c r="BR152" s="72"/>
      <c r="BS152" s="72"/>
      <c r="BT152" s="72"/>
      <c r="BU152" s="72"/>
      <c r="BV152" s="72"/>
      <c r="BW152" s="72"/>
      <c r="BX152" s="72"/>
      <c r="BY152" s="72"/>
      <c r="BZ152" s="72"/>
      <c r="CA152" s="72"/>
      <c r="CB152" s="72"/>
      <c r="CC152" s="72"/>
      <c r="CD152" s="72"/>
      <c r="CE152" s="72"/>
      <c r="CF152" s="72"/>
      <c r="CG152" s="72"/>
      <c r="CH152" s="72"/>
    </row>
    <row r="153" ht="15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/>
      <c r="BM153" s="72"/>
      <c r="BN153" s="72"/>
      <c r="BO153" s="72"/>
      <c r="BP153" s="72"/>
      <c r="BQ153" s="72"/>
      <c r="BR153" s="72"/>
      <c r="BS153" s="72"/>
      <c r="BT153" s="72"/>
      <c r="BU153" s="72"/>
      <c r="BV153" s="72"/>
      <c r="BW153" s="72"/>
      <c r="BX153" s="72"/>
      <c r="BY153" s="72"/>
      <c r="BZ153" s="72"/>
      <c r="CA153" s="72"/>
      <c r="CB153" s="72"/>
      <c r="CC153" s="72"/>
      <c r="CD153" s="72"/>
      <c r="CE153" s="72"/>
      <c r="CF153" s="72"/>
      <c r="CG153" s="72"/>
      <c r="CH153" s="72"/>
    </row>
    <row r="154" ht="15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/>
      <c r="BM154" s="72"/>
      <c r="BN154" s="72"/>
      <c r="BO154" s="72"/>
      <c r="BP154" s="72"/>
      <c r="BQ154" s="72"/>
      <c r="BR154" s="72"/>
      <c r="BS154" s="72"/>
      <c r="BT154" s="72"/>
      <c r="BU154" s="72"/>
      <c r="BV154" s="72"/>
      <c r="BW154" s="72"/>
      <c r="BX154" s="72"/>
      <c r="BY154" s="72"/>
      <c r="BZ154" s="72"/>
      <c r="CA154" s="72"/>
      <c r="CB154" s="72"/>
      <c r="CC154" s="72"/>
      <c r="CD154" s="72"/>
      <c r="CE154" s="72"/>
      <c r="CF154" s="72"/>
      <c r="CG154" s="72"/>
      <c r="CH154" s="72"/>
    </row>
    <row r="155" ht="15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/>
      <c r="BM155" s="72"/>
      <c r="BN155" s="72"/>
      <c r="BO155" s="72"/>
      <c r="BP155" s="72"/>
      <c r="BQ155" s="72"/>
      <c r="BR155" s="72"/>
      <c r="BS155" s="72"/>
      <c r="BT155" s="72"/>
      <c r="BU155" s="72"/>
      <c r="BV155" s="72"/>
      <c r="BW155" s="72"/>
      <c r="BX155" s="72"/>
      <c r="BY155" s="72"/>
      <c r="BZ155" s="72"/>
      <c r="CA155" s="72"/>
      <c r="CB155" s="72"/>
      <c r="CC155" s="72"/>
      <c r="CD155" s="72"/>
      <c r="CE155" s="72"/>
      <c r="CF155" s="72"/>
      <c r="CG155" s="72"/>
      <c r="CH155" s="72"/>
    </row>
    <row r="156" ht="15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/>
      <c r="BM156" s="72"/>
      <c r="BN156" s="72"/>
      <c r="BO156" s="72"/>
      <c r="BP156" s="72"/>
      <c r="BQ156" s="72"/>
      <c r="BR156" s="72"/>
      <c r="BS156" s="72"/>
      <c r="BT156" s="72"/>
      <c r="BU156" s="72"/>
      <c r="BV156" s="72"/>
      <c r="BW156" s="72"/>
      <c r="BX156" s="72"/>
      <c r="BY156" s="72"/>
      <c r="BZ156" s="72"/>
      <c r="CA156" s="72"/>
      <c r="CB156" s="72"/>
      <c r="CC156" s="72"/>
      <c r="CD156" s="72"/>
      <c r="CE156" s="72"/>
      <c r="CF156" s="72"/>
      <c r="CG156" s="72"/>
      <c r="CH156" s="72"/>
    </row>
    <row r="157" ht="15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/>
      <c r="BM157" s="72"/>
      <c r="BN157" s="72"/>
      <c r="BO157" s="72"/>
      <c r="BP157" s="72"/>
      <c r="BQ157" s="72"/>
      <c r="BR157" s="72"/>
      <c r="BS157" s="72"/>
      <c r="BT157" s="72"/>
      <c r="BU157" s="72"/>
      <c r="BV157" s="72"/>
      <c r="BW157" s="72"/>
      <c r="BX157" s="72"/>
      <c r="BY157" s="72"/>
      <c r="BZ157" s="72"/>
      <c r="CA157" s="72"/>
      <c r="CB157" s="72"/>
      <c r="CC157" s="72"/>
      <c r="CD157" s="72"/>
      <c r="CE157" s="72"/>
      <c r="CF157" s="72"/>
      <c r="CG157" s="72"/>
      <c r="CH157" s="72"/>
    </row>
    <row r="158" ht="15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/>
      <c r="BN158" s="72"/>
      <c r="BO158" s="72"/>
      <c r="BP158" s="72"/>
      <c r="BQ158" s="72"/>
      <c r="BR158" s="72"/>
      <c r="BS158" s="72"/>
      <c r="BT158" s="72"/>
      <c r="BU158" s="72"/>
      <c r="BV158" s="72"/>
      <c r="BW158" s="72"/>
      <c r="BX158" s="72"/>
      <c r="BY158" s="72"/>
      <c r="BZ158" s="72"/>
      <c r="CA158" s="72"/>
      <c r="CB158" s="72"/>
      <c r="CC158" s="72"/>
      <c r="CD158" s="72"/>
      <c r="CE158" s="72"/>
      <c r="CF158" s="72"/>
      <c r="CG158" s="72"/>
      <c r="CH158" s="72"/>
    </row>
    <row r="159" ht="15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/>
      <c r="BN159" s="72"/>
      <c r="BO159" s="72"/>
      <c r="BP159" s="72"/>
      <c r="BQ159" s="72"/>
      <c r="BR159" s="72"/>
      <c r="BS159" s="72"/>
      <c r="BT159" s="72"/>
      <c r="BU159" s="72"/>
      <c r="BV159" s="72"/>
      <c r="BW159" s="72"/>
      <c r="BX159" s="72"/>
      <c r="BY159" s="72"/>
      <c r="BZ159" s="72"/>
      <c r="CA159" s="72"/>
      <c r="CB159" s="72"/>
      <c r="CC159" s="72"/>
      <c r="CD159" s="72"/>
      <c r="CE159" s="72"/>
      <c r="CF159" s="72"/>
      <c r="CG159" s="72"/>
      <c r="CH159" s="72"/>
    </row>
    <row r="160" ht="15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/>
      <c r="BN160" s="72"/>
      <c r="BO160" s="72"/>
      <c r="BP160" s="72"/>
      <c r="BQ160" s="72"/>
      <c r="BR160" s="72"/>
      <c r="BS160" s="72"/>
      <c r="BT160" s="72"/>
      <c r="BU160" s="72"/>
      <c r="BV160" s="72"/>
      <c r="BW160" s="72"/>
      <c r="BX160" s="72"/>
      <c r="BY160" s="72"/>
      <c r="BZ160" s="72"/>
      <c r="CA160" s="72"/>
      <c r="CB160" s="72"/>
      <c r="CC160" s="72"/>
      <c r="CD160" s="72"/>
      <c r="CE160" s="72"/>
      <c r="CF160" s="72"/>
      <c r="CG160" s="72"/>
      <c r="CH160" s="72"/>
    </row>
    <row r="161" ht="15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/>
      <c r="BN161" s="72"/>
      <c r="BO161" s="72"/>
      <c r="BP161" s="72"/>
      <c r="BQ161" s="72"/>
      <c r="BR161" s="72"/>
      <c r="BS161" s="72"/>
      <c r="BT161" s="72"/>
      <c r="BU161" s="72"/>
      <c r="BV161" s="72"/>
      <c r="BW161" s="72"/>
      <c r="BX161" s="72"/>
      <c r="BY161" s="72"/>
      <c r="BZ161" s="72"/>
      <c r="CA161" s="72"/>
      <c r="CB161" s="72"/>
      <c r="CC161" s="72"/>
      <c r="CD161" s="72"/>
      <c r="CE161" s="72"/>
      <c r="CF161" s="72"/>
      <c r="CG161" s="72"/>
      <c r="CH161" s="72"/>
    </row>
    <row r="162" ht="15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/>
      <c r="BN162" s="72"/>
      <c r="BO162" s="72"/>
      <c r="BP162" s="72"/>
      <c r="BQ162" s="72"/>
      <c r="BR162" s="72"/>
      <c r="BS162" s="72"/>
      <c r="BT162" s="72"/>
      <c r="BU162" s="72"/>
      <c r="BV162" s="72"/>
      <c r="BW162" s="72"/>
      <c r="BX162" s="72"/>
      <c r="BY162" s="72"/>
      <c r="BZ162" s="72"/>
      <c r="CA162" s="72"/>
      <c r="CB162" s="72"/>
      <c r="CC162" s="72"/>
      <c r="CD162" s="72"/>
      <c r="CE162" s="72"/>
      <c r="CF162" s="72"/>
      <c r="CG162" s="72"/>
      <c r="CH162" s="72"/>
    </row>
    <row r="163" ht="15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/>
      <c r="BN163" s="72"/>
      <c r="BO163" s="72"/>
      <c r="BP163" s="72"/>
      <c r="BQ163" s="72"/>
      <c r="BR163" s="72"/>
      <c r="BS163" s="72"/>
      <c r="BT163" s="72"/>
      <c r="BU163" s="72"/>
      <c r="BV163" s="72"/>
      <c r="BW163" s="72"/>
      <c r="BX163" s="72"/>
      <c r="BY163" s="72"/>
      <c r="BZ163" s="72"/>
      <c r="CA163" s="72"/>
      <c r="CB163" s="72"/>
      <c r="CC163" s="72"/>
      <c r="CD163" s="72"/>
      <c r="CE163" s="72"/>
      <c r="CF163" s="72"/>
      <c r="CG163" s="72"/>
      <c r="CH163" s="72"/>
    </row>
    <row r="164" ht="15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  <c r="BS164" s="72"/>
      <c r="BT164" s="72"/>
      <c r="BU164" s="72"/>
      <c r="BV164" s="72"/>
      <c r="BW164" s="72"/>
      <c r="BX164" s="72"/>
      <c r="BY164" s="72"/>
      <c r="BZ164" s="72"/>
      <c r="CA164" s="72"/>
      <c r="CB164" s="72"/>
      <c r="CC164" s="72"/>
      <c r="CD164" s="72"/>
      <c r="CE164" s="72"/>
      <c r="CF164" s="72"/>
      <c r="CG164" s="72"/>
      <c r="CH164" s="72"/>
    </row>
    <row r="165" ht="15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  <c r="AT165" s="72"/>
      <c r="AU165" s="72"/>
      <c r="AV165" s="72"/>
      <c r="AW165" s="72"/>
      <c r="AX165" s="72"/>
      <c r="AY165" s="72"/>
      <c r="AZ165" s="72"/>
      <c r="BA165" s="72"/>
      <c r="BB165" s="72"/>
      <c r="BC165" s="72"/>
      <c r="BD165" s="72"/>
      <c r="BE165" s="72"/>
      <c r="BF165" s="72"/>
      <c r="BG165" s="72"/>
      <c r="BH165" s="72"/>
      <c r="BI165" s="72"/>
      <c r="BJ165" s="72"/>
      <c r="BK165" s="72"/>
      <c r="BL165" s="72"/>
      <c r="BM165" s="72"/>
      <c r="BN165" s="72"/>
      <c r="BO165" s="72"/>
      <c r="BP165" s="72"/>
      <c r="BQ165" s="72"/>
      <c r="BR165" s="72"/>
      <c r="BS165" s="72"/>
      <c r="BT165" s="72"/>
      <c r="BU165" s="72"/>
      <c r="BV165" s="72"/>
      <c r="BW165" s="72"/>
      <c r="BX165" s="72"/>
      <c r="BY165" s="72"/>
      <c r="BZ165" s="72"/>
      <c r="CA165" s="72"/>
      <c r="CB165" s="72"/>
      <c r="CC165" s="72"/>
      <c r="CD165" s="72"/>
      <c r="CE165" s="72"/>
      <c r="CF165" s="72"/>
      <c r="CG165" s="72"/>
      <c r="CH165" s="72"/>
    </row>
    <row r="166" ht="15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  <c r="AQ166" s="72"/>
      <c r="AR166" s="72"/>
      <c r="AS166" s="72"/>
      <c r="AT166" s="72"/>
      <c r="AU166" s="72"/>
      <c r="AV166" s="72"/>
      <c r="AW166" s="72"/>
      <c r="AX166" s="72"/>
      <c r="AY166" s="72"/>
      <c r="AZ166" s="72"/>
      <c r="BA166" s="72"/>
      <c r="BB166" s="72"/>
      <c r="BC166" s="72"/>
      <c r="BD166" s="72"/>
      <c r="BE166" s="72"/>
      <c r="BF166" s="72"/>
      <c r="BG166" s="72"/>
      <c r="BH166" s="72"/>
      <c r="BI166" s="72"/>
      <c r="BJ166" s="72"/>
      <c r="BK166" s="72"/>
      <c r="BL166" s="72"/>
      <c r="BM166" s="72"/>
      <c r="BN166" s="72"/>
      <c r="BO166" s="72"/>
      <c r="BP166" s="72"/>
      <c r="BQ166" s="72"/>
      <c r="BR166" s="72"/>
      <c r="BS166" s="72"/>
      <c r="BT166" s="72"/>
      <c r="BU166" s="72"/>
      <c r="BV166" s="72"/>
      <c r="BW166" s="72"/>
      <c r="BX166" s="72"/>
      <c r="BY166" s="72"/>
      <c r="BZ166" s="72"/>
      <c r="CA166" s="72"/>
      <c r="CB166" s="72"/>
      <c r="CC166" s="72"/>
      <c r="CD166" s="72"/>
      <c r="CE166" s="72"/>
      <c r="CF166" s="72"/>
      <c r="CG166" s="72"/>
      <c r="CH166" s="72"/>
    </row>
    <row r="167" ht="15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  <c r="AT167" s="72"/>
      <c r="AU167" s="72"/>
      <c r="AV167" s="72"/>
      <c r="AW167" s="72"/>
      <c r="AX167" s="72"/>
      <c r="AY167" s="72"/>
      <c r="AZ167" s="72"/>
      <c r="BA167" s="72"/>
      <c r="BB167" s="72"/>
      <c r="BC167" s="72"/>
      <c r="BD167" s="72"/>
      <c r="BE167" s="72"/>
      <c r="BF167" s="72"/>
      <c r="BG167" s="72"/>
      <c r="BH167" s="72"/>
      <c r="BI167" s="72"/>
      <c r="BJ167" s="72"/>
      <c r="BK167" s="72"/>
      <c r="BL167" s="72"/>
      <c r="BM167" s="72"/>
      <c r="BN167" s="72"/>
      <c r="BO167" s="72"/>
      <c r="BP167" s="72"/>
      <c r="BQ167" s="72"/>
      <c r="BR167" s="72"/>
      <c r="BS167" s="72"/>
      <c r="BT167" s="72"/>
      <c r="BU167" s="72"/>
      <c r="BV167" s="72"/>
      <c r="BW167" s="72"/>
      <c r="BX167" s="72"/>
      <c r="BY167" s="72"/>
      <c r="BZ167" s="72"/>
      <c r="CA167" s="72"/>
      <c r="CB167" s="72"/>
      <c r="CC167" s="72"/>
      <c r="CD167" s="72"/>
      <c r="CE167" s="72"/>
      <c r="CF167" s="72"/>
      <c r="CG167" s="72"/>
      <c r="CH167" s="72"/>
    </row>
    <row r="168" ht="15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  <c r="AT168" s="72"/>
      <c r="AU168" s="72"/>
      <c r="AV168" s="72"/>
      <c r="AW168" s="72"/>
      <c r="AX168" s="72"/>
      <c r="AY168" s="72"/>
      <c r="AZ168" s="72"/>
      <c r="BA168" s="72"/>
      <c r="BB168" s="72"/>
      <c r="BC168" s="72"/>
      <c r="BD168" s="72"/>
      <c r="BE168" s="72"/>
      <c r="BF168" s="72"/>
      <c r="BG168" s="72"/>
      <c r="BH168" s="72"/>
      <c r="BI168" s="72"/>
      <c r="BJ168" s="72"/>
      <c r="BK168" s="72"/>
      <c r="BL168" s="72"/>
      <c r="BM168" s="72"/>
      <c r="BN168" s="72"/>
      <c r="BO168" s="72"/>
      <c r="BP168" s="72"/>
      <c r="BQ168" s="72"/>
      <c r="BR168" s="72"/>
      <c r="BS168" s="72"/>
      <c r="BT168" s="72"/>
      <c r="BU168" s="72"/>
      <c r="BV168" s="72"/>
      <c r="BW168" s="72"/>
      <c r="BX168" s="72"/>
      <c r="BY168" s="72"/>
      <c r="BZ168" s="72"/>
      <c r="CA168" s="72"/>
      <c r="CB168" s="72"/>
      <c r="CC168" s="72"/>
      <c r="CD168" s="72"/>
      <c r="CE168" s="72"/>
      <c r="CF168" s="72"/>
      <c r="CG168" s="72"/>
      <c r="CH168" s="72"/>
    </row>
    <row r="169" ht="15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  <c r="AT169" s="72"/>
      <c r="AU169" s="72"/>
      <c r="AV169" s="72"/>
      <c r="AW169" s="72"/>
      <c r="AX169" s="72"/>
      <c r="AY169" s="72"/>
      <c r="AZ169" s="72"/>
      <c r="BA169" s="72"/>
      <c r="BB169" s="72"/>
      <c r="BC169" s="72"/>
      <c r="BD169" s="72"/>
      <c r="BE169" s="72"/>
      <c r="BF169" s="72"/>
      <c r="BG169" s="72"/>
      <c r="BH169" s="72"/>
      <c r="BI169" s="72"/>
      <c r="BJ169" s="72"/>
      <c r="BK169" s="72"/>
      <c r="BL169" s="72"/>
      <c r="BM169" s="72"/>
      <c r="BN169" s="72"/>
      <c r="BO169" s="72"/>
      <c r="BP169" s="72"/>
      <c r="BQ169" s="72"/>
      <c r="BR169" s="72"/>
      <c r="BS169" s="72"/>
      <c r="BT169" s="72"/>
      <c r="BU169" s="72"/>
      <c r="BV169" s="72"/>
      <c r="BW169" s="72"/>
      <c r="BX169" s="72"/>
      <c r="BY169" s="72"/>
      <c r="BZ169" s="72"/>
      <c r="CA169" s="72"/>
      <c r="CB169" s="72"/>
      <c r="CC169" s="72"/>
      <c r="CD169" s="72"/>
      <c r="CE169" s="72"/>
      <c r="CF169" s="72"/>
      <c r="CG169" s="72"/>
      <c r="CH169" s="72"/>
    </row>
    <row r="170" ht="15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  <c r="AT170" s="72"/>
      <c r="AU170" s="72"/>
      <c r="AV170" s="72"/>
      <c r="AW170" s="72"/>
      <c r="AX170" s="72"/>
      <c r="AY170" s="72"/>
      <c r="AZ170" s="72"/>
      <c r="BA170" s="72"/>
      <c r="BB170" s="72"/>
      <c r="BC170" s="72"/>
      <c r="BD170" s="72"/>
      <c r="BE170" s="72"/>
      <c r="BF170" s="72"/>
      <c r="BG170" s="72"/>
      <c r="BH170" s="72"/>
      <c r="BI170" s="72"/>
      <c r="BJ170" s="72"/>
      <c r="BK170" s="72"/>
      <c r="BL170" s="72"/>
      <c r="BM170" s="72"/>
      <c r="BN170" s="72"/>
      <c r="BO170" s="72"/>
      <c r="BP170" s="72"/>
      <c r="BQ170" s="72"/>
      <c r="BR170" s="72"/>
      <c r="BS170" s="72"/>
      <c r="BT170" s="72"/>
      <c r="BU170" s="72"/>
      <c r="BV170" s="72"/>
      <c r="BW170" s="72"/>
      <c r="BX170" s="72"/>
      <c r="BY170" s="72"/>
      <c r="BZ170" s="72"/>
      <c r="CA170" s="72"/>
      <c r="CB170" s="72"/>
      <c r="CC170" s="72"/>
      <c r="CD170" s="72"/>
      <c r="CE170" s="72"/>
      <c r="CF170" s="72"/>
      <c r="CG170" s="72"/>
      <c r="CH170" s="72"/>
    </row>
    <row r="171" ht="15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  <c r="AT171" s="72"/>
      <c r="AU171" s="72"/>
      <c r="AV171" s="72"/>
      <c r="AW171" s="72"/>
      <c r="AX171" s="72"/>
      <c r="AY171" s="72"/>
      <c r="AZ171" s="72"/>
      <c r="BA171" s="72"/>
      <c r="BB171" s="72"/>
      <c r="BC171" s="72"/>
      <c r="BD171" s="72"/>
      <c r="BE171" s="72"/>
      <c r="BF171" s="72"/>
      <c r="BG171" s="72"/>
      <c r="BH171" s="72"/>
      <c r="BI171" s="72"/>
      <c r="BJ171" s="72"/>
      <c r="BK171" s="72"/>
      <c r="BL171" s="72"/>
      <c r="BM171" s="72"/>
      <c r="BN171" s="72"/>
      <c r="BO171" s="72"/>
      <c r="BP171" s="72"/>
      <c r="BQ171" s="72"/>
      <c r="BR171" s="72"/>
      <c r="BS171" s="72"/>
      <c r="BT171" s="72"/>
      <c r="BU171" s="72"/>
      <c r="BV171" s="72"/>
      <c r="BW171" s="72"/>
      <c r="BX171" s="72"/>
      <c r="BY171" s="72"/>
      <c r="BZ171" s="72"/>
      <c r="CA171" s="72"/>
      <c r="CB171" s="72"/>
      <c r="CC171" s="72"/>
      <c r="CD171" s="72"/>
      <c r="CE171" s="72"/>
      <c r="CF171" s="72"/>
      <c r="CG171" s="72"/>
      <c r="CH171" s="72"/>
    </row>
    <row r="172" ht="15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  <c r="AT172" s="72"/>
      <c r="AU172" s="72"/>
      <c r="AV172" s="72"/>
      <c r="AW172" s="72"/>
      <c r="AX172" s="72"/>
      <c r="AY172" s="72"/>
      <c r="AZ172" s="72"/>
      <c r="BA172" s="72"/>
      <c r="BB172" s="72"/>
      <c r="BC172" s="72"/>
      <c r="BD172" s="72"/>
      <c r="BE172" s="72"/>
      <c r="BF172" s="72"/>
      <c r="BG172" s="72"/>
      <c r="BH172" s="72"/>
      <c r="BI172" s="72"/>
      <c r="BJ172" s="72"/>
      <c r="BK172" s="72"/>
      <c r="BL172" s="72"/>
      <c r="BM172" s="72"/>
      <c r="BN172" s="72"/>
      <c r="BO172" s="72"/>
      <c r="BP172" s="72"/>
      <c r="BQ172" s="72"/>
      <c r="BR172" s="72"/>
      <c r="BS172" s="72"/>
      <c r="BT172" s="72"/>
      <c r="BU172" s="72"/>
      <c r="BV172" s="72"/>
      <c r="BW172" s="72"/>
      <c r="BX172" s="72"/>
      <c r="BY172" s="72"/>
      <c r="BZ172" s="72"/>
      <c r="CA172" s="72"/>
      <c r="CB172" s="72"/>
      <c r="CC172" s="72"/>
      <c r="CD172" s="72"/>
      <c r="CE172" s="72"/>
      <c r="CF172" s="72"/>
      <c r="CG172" s="72"/>
      <c r="CH172" s="72"/>
    </row>
    <row r="173" ht="15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  <c r="AT173" s="72"/>
      <c r="AU173" s="72"/>
      <c r="AV173" s="72"/>
      <c r="AW173" s="72"/>
      <c r="AX173" s="72"/>
      <c r="AY173" s="72"/>
      <c r="AZ173" s="72"/>
      <c r="BA173" s="72"/>
      <c r="BB173" s="72"/>
      <c r="BC173" s="72"/>
      <c r="BD173" s="72"/>
      <c r="BE173" s="72"/>
      <c r="BF173" s="72"/>
      <c r="BG173" s="72"/>
      <c r="BH173" s="72"/>
      <c r="BI173" s="72"/>
      <c r="BJ173" s="72"/>
      <c r="BK173" s="72"/>
      <c r="BL173" s="72"/>
      <c r="BM173" s="72"/>
      <c r="BN173" s="72"/>
      <c r="BO173" s="72"/>
      <c r="BP173" s="72"/>
      <c r="BQ173" s="72"/>
      <c r="BR173" s="72"/>
      <c r="BS173" s="72"/>
      <c r="BT173" s="72"/>
      <c r="BU173" s="72"/>
      <c r="BV173" s="72"/>
      <c r="BW173" s="72"/>
      <c r="BX173" s="72"/>
      <c r="BY173" s="72"/>
      <c r="BZ173" s="72"/>
      <c r="CA173" s="72"/>
      <c r="CB173" s="72"/>
      <c r="CC173" s="72"/>
      <c r="CD173" s="72"/>
      <c r="CE173" s="72"/>
      <c r="CF173" s="72"/>
      <c r="CG173" s="72"/>
      <c r="CH173" s="72"/>
    </row>
    <row r="174" ht="15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  <c r="AT174" s="72"/>
      <c r="AU174" s="72"/>
      <c r="AV174" s="72"/>
      <c r="AW174" s="72"/>
      <c r="AX174" s="72"/>
      <c r="AY174" s="72"/>
      <c r="AZ174" s="72"/>
      <c r="BA174" s="72"/>
      <c r="BB174" s="72"/>
      <c r="BC174" s="72"/>
      <c r="BD174" s="72"/>
      <c r="BE174" s="72"/>
      <c r="BF174" s="72"/>
      <c r="BG174" s="72"/>
      <c r="BH174" s="72"/>
      <c r="BI174" s="72"/>
      <c r="BJ174" s="72"/>
      <c r="BK174" s="72"/>
      <c r="BL174" s="72"/>
      <c r="BM174" s="72"/>
      <c r="BN174" s="72"/>
      <c r="BO174" s="72"/>
      <c r="BP174" s="72"/>
      <c r="BQ174" s="72"/>
      <c r="BR174" s="72"/>
      <c r="BS174" s="72"/>
      <c r="BT174" s="72"/>
      <c r="BU174" s="72"/>
      <c r="BV174" s="72"/>
      <c r="BW174" s="72"/>
      <c r="BX174" s="72"/>
      <c r="BY174" s="72"/>
      <c r="BZ174" s="72"/>
      <c r="CA174" s="72"/>
      <c r="CB174" s="72"/>
      <c r="CC174" s="72"/>
      <c r="CD174" s="72"/>
      <c r="CE174" s="72"/>
      <c r="CF174" s="72"/>
      <c r="CG174" s="72"/>
      <c r="CH174" s="72"/>
    </row>
    <row r="175" ht="15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  <c r="AT175" s="72"/>
      <c r="AU175" s="72"/>
      <c r="AV175" s="72"/>
      <c r="AW175" s="72"/>
      <c r="AX175" s="72"/>
      <c r="AY175" s="72"/>
      <c r="AZ175" s="72"/>
      <c r="BA175" s="72"/>
      <c r="BB175" s="72"/>
      <c r="BC175" s="72"/>
      <c r="BD175" s="72"/>
      <c r="BE175" s="72"/>
      <c r="BF175" s="72"/>
      <c r="BG175" s="72"/>
      <c r="BH175" s="72"/>
      <c r="BI175" s="72"/>
      <c r="BJ175" s="72"/>
      <c r="BK175" s="72"/>
      <c r="BL175" s="72"/>
      <c r="BM175" s="72"/>
      <c r="BN175" s="72"/>
      <c r="BO175" s="72"/>
      <c r="BP175" s="72"/>
      <c r="BQ175" s="72"/>
      <c r="BR175" s="72"/>
      <c r="BS175" s="72"/>
      <c r="BT175" s="72"/>
      <c r="BU175" s="72"/>
      <c r="BV175" s="72"/>
      <c r="BW175" s="72"/>
      <c r="BX175" s="72"/>
      <c r="BY175" s="72"/>
      <c r="BZ175" s="72"/>
      <c r="CA175" s="72"/>
      <c r="CB175" s="72"/>
      <c r="CC175" s="72"/>
      <c r="CD175" s="72"/>
      <c r="CE175" s="72"/>
      <c r="CF175" s="72"/>
      <c r="CG175" s="72"/>
      <c r="CH175" s="72"/>
    </row>
    <row r="176" ht="15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/>
      <c r="BM176" s="72"/>
      <c r="BN176" s="72"/>
      <c r="BO176" s="72"/>
      <c r="BP176" s="72"/>
      <c r="BQ176" s="72"/>
      <c r="BR176" s="72"/>
      <c r="BS176" s="72"/>
      <c r="BT176" s="72"/>
      <c r="BU176" s="72"/>
      <c r="BV176" s="72"/>
      <c r="BW176" s="72"/>
      <c r="BX176" s="72"/>
      <c r="BY176" s="72"/>
      <c r="BZ176" s="72"/>
      <c r="CA176" s="72"/>
      <c r="CB176" s="72"/>
      <c r="CC176" s="72"/>
      <c r="CD176" s="72"/>
      <c r="CE176" s="72"/>
      <c r="CF176" s="72"/>
      <c r="CG176" s="72"/>
      <c r="CH176" s="72"/>
    </row>
    <row r="177" ht="15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  <c r="BM177" s="72"/>
      <c r="BN177" s="72"/>
      <c r="BO177" s="72"/>
      <c r="BP177" s="72"/>
      <c r="BQ177" s="72"/>
      <c r="BR177" s="72"/>
      <c r="BS177" s="72"/>
      <c r="BT177" s="72"/>
      <c r="BU177" s="72"/>
      <c r="BV177" s="72"/>
      <c r="BW177" s="72"/>
      <c r="BX177" s="72"/>
      <c r="BY177" s="72"/>
      <c r="BZ177" s="72"/>
      <c r="CA177" s="72"/>
      <c r="CB177" s="72"/>
      <c r="CC177" s="72"/>
      <c r="CD177" s="72"/>
      <c r="CE177" s="72"/>
      <c r="CF177" s="72"/>
      <c r="CG177" s="72"/>
      <c r="CH177" s="72"/>
    </row>
    <row r="178" ht="15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/>
      <c r="BM178" s="72"/>
      <c r="BN178" s="72"/>
      <c r="BO178" s="72"/>
      <c r="BP178" s="72"/>
      <c r="BQ178" s="72"/>
      <c r="BR178" s="72"/>
      <c r="BS178" s="72"/>
      <c r="BT178" s="72"/>
      <c r="BU178" s="72"/>
      <c r="BV178" s="72"/>
      <c r="BW178" s="72"/>
      <c r="BX178" s="72"/>
      <c r="BY178" s="72"/>
      <c r="BZ178" s="72"/>
      <c r="CA178" s="72"/>
      <c r="CB178" s="72"/>
      <c r="CC178" s="72"/>
      <c r="CD178" s="72"/>
      <c r="CE178" s="72"/>
      <c r="CF178" s="72"/>
      <c r="CG178" s="72"/>
      <c r="CH178" s="72"/>
    </row>
    <row r="179" ht="15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  <c r="BM179" s="72"/>
      <c r="BN179" s="72"/>
      <c r="BO179" s="72"/>
      <c r="BP179" s="72"/>
      <c r="BQ179" s="72"/>
      <c r="BR179" s="72"/>
      <c r="BS179" s="72"/>
      <c r="BT179" s="72"/>
      <c r="BU179" s="72"/>
      <c r="BV179" s="72"/>
      <c r="BW179" s="72"/>
      <c r="BX179" s="72"/>
      <c r="BY179" s="72"/>
      <c r="BZ179" s="72"/>
      <c r="CA179" s="72"/>
      <c r="CB179" s="72"/>
      <c r="CC179" s="72"/>
      <c r="CD179" s="72"/>
      <c r="CE179" s="72"/>
      <c r="CF179" s="72"/>
      <c r="CG179" s="72"/>
      <c r="CH179" s="72"/>
    </row>
    <row r="180" ht="15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  <c r="AT180" s="72"/>
      <c r="AU180" s="72"/>
      <c r="AV180" s="72"/>
      <c r="AW180" s="72"/>
      <c r="AX180" s="72"/>
      <c r="AY180" s="72"/>
      <c r="AZ180" s="72"/>
      <c r="BA180" s="72"/>
      <c r="BB180" s="72"/>
      <c r="BC180" s="72"/>
      <c r="BD180" s="72"/>
      <c r="BE180" s="72"/>
      <c r="BF180" s="72"/>
      <c r="BG180" s="72"/>
      <c r="BH180" s="72"/>
      <c r="BI180" s="72"/>
      <c r="BJ180" s="72"/>
      <c r="BK180" s="72"/>
      <c r="BL180" s="72"/>
      <c r="BM180" s="72"/>
      <c r="BN180" s="72"/>
      <c r="BO180" s="72"/>
      <c r="BP180" s="72"/>
      <c r="BQ180" s="72"/>
      <c r="BR180" s="72"/>
      <c r="BS180" s="72"/>
      <c r="BT180" s="72"/>
      <c r="BU180" s="72"/>
      <c r="BV180" s="72"/>
      <c r="BW180" s="72"/>
      <c r="BX180" s="72"/>
      <c r="BY180" s="72"/>
      <c r="BZ180" s="72"/>
      <c r="CA180" s="72"/>
      <c r="CB180" s="72"/>
      <c r="CC180" s="72"/>
      <c r="CD180" s="72"/>
      <c r="CE180" s="72"/>
      <c r="CF180" s="72"/>
      <c r="CG180" s="72"/>
      <c r="CH180" s="72"/>
    </row>
    <row r="181" ht="15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/>
      <c r="BM181" s="72"/>
      <c r="BN181" s="72"/>
      <c r="BO181" s="72"/>
      <c r="BP181" s="72"/>
      <c r="BQ181" s="72"/>
      <c r="BR181" s="72"/>
      <c r="BS181" s="72"/>
      <c r="BT181" s="72"/>
      <c r="BU181" s="72"/>
      <c r="BV181" s="72"/>
      <c r="BW181" s="72"/>
      <c r="BX181" s="72"/>
      <c r="BY181" s="72"/>
      <c r="BZ181" s="72"/>
      <c r="CA181" s="72"/>
      <c r="CB181" s="72"/>
      <c r="CC181" s="72"/>
      <c r="CD181" s="72"/>
      <c r="CE181" s="72"/>
      <c r="CF181" s="72"/>
      <c r="CG181" s="72"/>
      <c r="CH181" s="72"/>
    </row>
    <row r="182" ht="15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/>
      <c r="BM182" s="72"/>
      <c r="BN182" s="72"/>
      <c r="BO182" s="72"/>
      <c r="BP182" s="72"/>
      <c r="BQ182" s="72"/>
      <c r="BR182" s="72"/>
      <c r="BS182" s="72"/>
      <c r="BT182" s="72"/>
      <c r="BU182" s="72"/>
      <c r="BV182" s="72"/>
      <c r="BW182" s="72"/>
      <c r="BX182" s="72"/>
      <c r="BY182" s="72"/>
      <c r="BZ182" s="72"/>
      <c r="CA182" s="72"/>
      <c r="CB182" s="72"/>
      <c r="CC182" s="72"/>
      <c r="CD182" s="72"/>
      <c r="CE182" s="72"/>
      <c r="CF182" s="72"/>
      <c r="CG182" s="72"/>
      <c r="CH182" s="72"/>
    </row>
    <row r="183" ht="15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  <c r="BM183" s="72"/>
      <c r="BN183" s="72"/>
      <c r="BO183" s="72"/>
      <c r="BP183" s="72"/>
      <c r="BQ183" s="72"/>
      <c r="BR183" s="72"/>
      <c r="BS183" s="72"/>
      <c r="BT183" s="72"/>
      <c r="BU183" s="72"/>
      <c r="BV183" s="72"/>
      <c r="BW183" s="72"/>
      <c r="BX183" s="72"/>
      <c r="BY183" s="72"/>
      <c r="BZ183" s="72"/>
      <c r="CA183" s="72"/>
      <c r="CB183" s="72"/>
      <c r="CC183" s="72"/>
      <c r="CD183" s="72"/>
      <c r="CE183" s="72"/>
      <c r="CF183" s="72"/>
      <c r="CG183" s="72"/>
      <c r="CH183" s="72"/>
    </row>
    <row r="184" ht="15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/>
      <c r="BM184" s="72"/>
      <c r="BN184" s="72"/>
      <c r="BO184" s="72"/>
      <c r="BP184" s="72"/>
      <c r="BQ184" s="72"/>
      <c r="BR184" s="72"/>
      <c r="BS184" s="72"/>
      <c r="BT184" s="72"/>
      <c r="BU184" s="72"/>
      <c r="BV184" s="72"/>
      <c r="BW184" s="72"/>
      <c r="BX184" s="72"/>
      <c r="BY184" s="72"/>
      <c r="BZ184" s="72"/>
      <c r="CA184" s="72"/>
      <c r="CB184" s="72"/>
      <c r="CC184" s="72"/>
      <c r="CD184" s="72"/>
      <c r="CE184" s="72"/>
      <c r="CF184" s="72"/>
      <c r="CG184" s="72"/>
      <c r="CH184" s="72"/>
    </row>
    <row r="185" ht="15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  <c r="AT185" s="72"/>
      <c r="AU185" s="72"/>
      <c r="AV185" s="72"/>
      <c r="AW185" s="72"/>
      <c r="AX185" s="72"/>
      <c r="AY185" s="72"/>
      <c r="AZ185" s="72"/>
      <c r="BA185" s="72"/>
      <c r="BB185" s="72"/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  <c r="BM185" s="72"/>
      <c r="BN185" s="72"/>
      <c r="BO185" s="72"/>
      <c r="BP185" s="72"/>
      <c r="BQ185" s="72"/>
      <c r="BR185" s="72"/>
      <c r="BS185" s="72"/>
      <c r="BT185" s="72"/>
      <c r="BU185" s="72"/>
      <c r="BV185" s="72"/>
      <c r="BW185" s="72"/>
      <c r="BX185" s="72"/>
      <c r="BY185" s="72"/>
      <c r="BZ185" s="72"/>
      <c r="CA185" s="72"/>
      <c r="CB185" s="72"/>
      <c r="CC185" s="72"/>
      <c r="CD185" s="72"/>
      <c r="CE185" s="72"/>
      <c r="CF185" s="72"/>
      <c r="CG185" s="72"/>
      <c r="CH185" s="72"/>
    </row>
    <row r="186" ht="15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  <c r="AT186" s="72"/>
      <c r="AU186" s="72"/>
      <c r="AV186" s="72"/>
      <c r="AW186" s="72"/>
      <c r="AX186" s="72"/>
      <c r="AY186" s="72"/>
      <c r="AZ186" s="72"/>
      <c r="BA186" s="72"/>
      <c r="BB186" s="72"/>
      <c r="BC186" s="72"/>
      <c r="BD186" s="72"/>
      <c r="BE186" s="72"/>
      <c r="BF186" s="72"/>
      <c r="BG186" s="72"/>
      <c r="BH186" s="72"/>
      <c r="BI186" s="72"/>
      <c r="BJ186" s="72"/>
      <c r="BK186" s="72"/>
      <c r="BL186" s="72"/>
      <c r="BM186" s="72"/>
      <c r="BN186" s="72"/>
      <c r="BO186" s="72"/>
      <c r="BP186" s="72"/>
      <c r="BQ186" s="72"/>
      <c r="BR186" s="72"/>
      <c r="BS186" s="72"/>
      <c r="BT186" s="72"/>
      <c r="BU186" s="72"/>
      <c r="BV186" s="72"/>
      <c r="BW186" s="72"/>
      <c r="BX186" s="72"/>
      <c r="BY186" s="72"/>
      <c r="BZ186" s="72"/>
      <c r="CA186" s="72"/>
      <c r="CB186" s="72"/>
      <c r="CC186" s="72"/>
      <c r="CD186" s="72"/>
      <c r="CE186" s="72"/>
      <c r="CF186" s="72"/>
      <c r="CG186" s="72"/>
      <c r="CH186" s="72"/>
    </row>
    <row r="187" ht="15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  <c r="AT187" s="72"/>
      <c r="AU187" s="72"/>
      <c r="AV187" s="72"/>
      <c r="AW187" s="72"/>
      <c r="AX187" s="72"/>
      <c r="AY187" s="72"/>
      <c r="AZ187" s="72"/>
      <c r="BA187" s="72"/>
      <c r="BB187" s="72"/>
      <c r="BC187" s="72"/>
      <c r="BD187" s="72"/>
      <c r="BE187" s="72"/>
      <c r="BF187" s="72"/>
      <c r="BG187" s="72"/>
      <c r="BH187" s="72"/>
      <c r="BI187" s="72"/>
      <c r="BJ187" s="72"/>
      <c r="BK187" s="72"/>
      <c r="BL187" s="72"/>
      <c r="BM187" s="72"/>
      <c r="BN187" s="72"/>
      <c r="BO187" s="72"/>
      <c r="BP187" s="72"/>
      <c r="BQ187" s="72"/>
      <c r="BR187" s="72"/>
      <c r="BS187" s="72"/>
      <c r="BT187" s="72"/>
      <c r="BU187" s="72"/>
      <c r="BV187" s="72"/>
      <c r="BW187" s="72"/>
      <c r="BX187" s="72"/>
      <c r="BY187" s="72"/>
      <c r="BZ187" s="72"/>
      <c r="CA187" s="72"/>
      <c r="CB187" s="72"/>
      <c r="CC187" s="72"/>
      <c r="CD187" s="72"/>
      <c r="CE187" s="72"/>
      <c r="CF187" s="72"/>
      <c r="CG187" s="72"/>
      <c r="CH187" s="72"/>
    </row>
    <row r="188" ht="15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  <c r="AT188" s="72"/>
      <c r="AU188" s="72"/>
      <c r="AV188" s="72"/>
      <c r="AW188" s="72"/>
      <c r="AX188" s="72"/>
      <c r="AY188" s="72"/>
      <c r="AZ188" s="72"/>
      <c r="BA188" s="72"/>
      <c r="BB188" s="72"/>
      <c r="BC188" s="72"/>
      <c r="BD188" s="72"/>
      <c r="BE188" s="72"/>
      <c r="BF188" s="72"/>
      <c r="BG188" s="72"/>
      <c r="BH188" s="72"/>
      <c r="BI188" s="72"/>
      <c r="BJ188" s="72"/>
      <c r="BK188" s="72"/>
      <c r="BL188" s="72"/>
      <c r="BM188" s="72"/>
      <c r="BN188" s="72"/>
      <c r="BO188" s="72"/>
      <c r="BP188" s="72"/>
      <c r="BQ188" s="72"/>
      <c r="BR188" s="72"/>
      <c r="BS188" s="72"/>
      <c r="BT188" s="72"/>
      <c r="BU188" s="72"/>
      <c r="BV188" s="72"/>
      <c r="BW188" s="72"/>
      <c r="BX188" s="72"/>
      <c r="BY188" s="72"/>
      <c r="BZ188" s="72"/>
      <c r="CA188" s="72"/>
      <c r="CB188" s="72"/>
      <c r="CC188" s="72"/>
      <c r="CD188" s="72"/>
      <c r="CE188" s="72"/>
      <c r="CF188" s="72"/>
      <c r="CG188" s="72"/>
      <c r="CH188" s="72"/>
    </row>
    <row r="189" ht="15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  <c r="AT189" s="72"/>
      <c r="AU189" s="72"/>
      <c r="AV189" s="72"/>
      <c r="AW189" s="72"/>
      <c r="AX189" s="72"/>
      <c r="AY189" s="72"/>
      <c r="AZ189" s="72"/>
      <c r="BA189" s="72"/>
      <c r="BB189" s="72"/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  <c r="BM189" s="72"/>
      <c r="BN189" s="72"/>
      <c r="BO189" s="72"/>
      <c r="BP189" s="72"/>
      <c r="BQ189" s="72"/>
      <c r="BR189" s="72"/>
      <c r="BS189" s="72"/>
      <c r="BT189" s="72"/>
      <c r="BU189" s="72"/>
      <c r="BV189" s="72"/>
      <c r="BW189" s="72"/>
      <c r="BX189" s="72"/>
      <c r="BY189" s="72"/>
      <c r="BZ189" s="72"/>
      <c r="CA189" s="72"/>
      <c r="CB189" s="72"/>
      <c r="CC189" s="72"/>
      <c r="CD189" s="72"/>
      <c r="CE189" s="72"/>
      <c r="CF189" s="72"/>
      <c r="CG189" s="72"/>
      <c r="CH189" s="72"/>
    </row>
    <row r="190" ht="15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  <c r="AT190" s="72"/>
      <c r="AU190" s="72"/>
      <c r="AV190" s="72"/>
      <c r="AW190" s="72"/>
      <c r="AX190" s="72"/>
      <c r="AY190" s="72"/>
      <c r="AZ190" s="72"/>
      <c r="BA190" s="72"/>
      <c r="BB190" s="72"/>
      <c r="BC190" s="72"/>
      <c r="BD190" s="72"/>
      <c r="BE190" s="72"/>
      <c r="BF190" s="72"/>
      <c r="BG190" s="72"/>
      <c r="BH190" s="72"/>
      <c r="BI190" s="72"/>
      <c r="BJ190" s="72"/>
      <c r="BK190" s="72"/>
      <c r="BL190" s="72"/>
      <c r="BM190" s="72"/>
      <c r="BN190" s="72"/>
      <c r="BO190" s="72"/>
      <c r="BP190" s="72"/>
      <c r="BQ190" s="72"/>
      <c r="BR190" s="72"/>
      <c r="BS190" s="72"/>
      <c r="BT190" s="72"/>
      <c r="BU190" s="72"/>
      <c r="BV190" s="72"/>
      <c r="BW190" s="72"/>
      <c r="BX190" s="72"/>
      <c r="BY190" s="72"/>
      <c r="BZ190" s="72"/>
      <c r="CA190" s="72"/>
      <c r="CB190" s="72"/>
      <c r="CC190" s="72"/>
      <c r="CD190" s="72"/>
      <c r="CE190" s="72"/>
      <c r="CF190" s="72"/>
      <c r="CG190" s="72"/>
      <c r="CH190" s="72"/>
    </row>
    <row r="191" ht="15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/>
      <c r="BM191" s="72"/>
      <c r="BN191" s="72"/>
      <c r="BO191" s="72"/>
      <c r="BP191" s="72"/>
      <c r="BQ191" s="72"/>
      <c r="BR191" s="72"/>
      <c r="BS191" s="72"/>
      <c r="BT191" s="72"/>
      <c r="BU191" s="72"/>
      <c r="BV191" s="72"/>
      <c r="BW191" s="72"/>
      <c r="BX191" s="72"/>
      <c r="BY191" s="72"/>
      <c r="BZ191" s="72"/>
      <c r="CA191" s="72"/>
      <c r="CB191" s="72"/>
      <c r="CC191" s="72"/>
      <c r="CD191" s="72"/>
      <c r="CE191" s="72"/>
      <c r="CF191" s="72"/>
      <c r="CG191" s="72"/>
      <c r="CH191" s="72"/>
    </row>
    <row r="192" ht="15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  <c r="AT192" s="72"/>
      <c r="AU192" s="72"/>
      <c r="AV192" s="72"/>
      <c r="AW192" s="72"/>
      <c r="AX192" s="72"/>
      <c r="AY192" s="72"/>
      <c r="AZ192" s="72"/>
      <c r="BA192" s="72"/>
      <c r="BB192" s="72"/>
      <c r="BC192" s="72"/>
      <c r="BD192" s="72"/>
      <c r="BE192" s="72"/>
      <c r="BF192" s="72"/>
      <c r="BG192" s="72"/>
      <c r="BH192" s="72"/>
      <c r="BI192" s="72"/>
      <c r="BJ192" s="72"/>
      <c r="BK192" s="72"/>
      <c r="BL192" s="72"/>
      <c r="BM192" s="72"/>
      <c r="BN192" s="72"/>
      <c r="BO192" s="72"/>
      <c r="BP192" s="72"/>
      <c r="BQ192" s="72"/>
      <c r="BR192" s="72"/>
      <c r="BS192" s="72"/>
      <c r="BT192" s="72"/>
      <c r="BU192" s="72"/>
      <c r="BV192" s="72"/>
      <c r="BW192" s="72"/>
      <c r="BX192" s="72"/>
      <c r="BY192" s="72"/>
      <c r="BZ192" s="72"/>
      <c r="CA192" s="72"/>
      <c r="CB192" s="72"/>
      <c r="CC192" s="72"/>
      <c r="CD192" s="72"/>
      <c r="CE192" s="72"/>
      <c r="CF192" s="72"/>
      <c r="CG192" s="72"/>
      <c r="CH192" s="72"/>
    </row>
    <row r="193" ht="15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  <c r="AT193" s="72"/>
      <c r="AU193" s="72"/>
      <c r="AV193" s="72"/>
      <c r="AW193" s="72"/>
      <c r="AX193" s="72"/>
      <c r="AY193" s="72"/>
      <c r="AZ193" s="72"/>
      <c r="BA193" s="72"/>
      <c r="BB193" s="72"/>
      <c r="BC193" s="72"/>
      <c r="BD193" s="72"/>
      <c r="BE193" s="72"/>
      <c r="BF193" s="72"/>
      <c r="BG193" s="72"/>
      <c r="BH193" s="72"/>
      <c r="BI193" s="72"/>
      <c r="BJ193" s="72"/>
      <c r="BK193" s="72"/>
      <c r="BL193" s="72"/>
      <c r="BM193" s="72"/>
      <c r="BN193" s="72"/>
      <c r="BO193" s="72"/>
      <c r="BP193" s="72"/>
      <c r="BQ193" s="72"/>
      <c r="BR193" s="72"/>
      <c r="BS193" s="72"/>
      <c r="BT193" s="72"/>
      <c r="BU193" s="72"/>
      <c r="BV193" s="72"/>
      <c r="BW193" s="72"/>
      <c r="BX193" s="72"/>
      <c r="BY193" s="72"/>
      <c r="BZ193" s="72"/>
      <c r="CA193" s="72"/>
      <c r="CB193" s="72"/>
      <c r="CC193" s="72"/>
      <c r="CD193" s="72"/>
      <c r="CE193" s="72"/>
      <c r="CF193" s="72"/>
      <c r="CG193" s="72"/>
      <c r="CH193" s="72"/>
    </row>
    <row r="194" ht="15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  <c r="AT194" s="72"/>
      <c r="AU194" s="72"/>
      <c r="AV194" s="72"/>
      <c r="AW194" s="72"/>
      <c r="AX194" s="72"/>
      <c r="AY194" s="72"/>
      <c r="AZ194" s="72"/>
      <c r="BA194" s="72"/>
      <c r="BB194" s="72"/>
      <c r="BC194" s="72"/>
      <c r="BD194" s="72"/>
      <c r="BE194" s="72"/>
      <c r="BF194" s="72"/>
      <c r="BG194" s="72"/>
      <c r="BH194" s="72"/>
      <c r="BI194" s="72"/>
      <c r="BJ194" s="72"/>
      <c r="BK194" s="72"/>
      <c r="BL194" s="72"/>
      <c r="BM194" s="72"/>
      <c r="BN194" s="72"/>
      <c r="BO194" s="72"/>
      <c r="BP194" s="72"/>
      <c r="BQ194" s="72"/>
      <c r="BR194" s="72"/>
      <c r="BS194" s="72"/>
      <c r="BT194" s="72"/>
      <c r="BU194" s="72"/>
      <c r="BV194" s="72"/>
      <c r="BW194" s="72"/>
      <c r="BX194" s="72"/>
      <c r="BY194" s="72"/>
      <c r="BZ194" s="72"/>
      <c r="CA194" s="72"/>
      <c r="CB194" s="72"/>
      <c r="CC194" s="72"/>
      <c r="CD194" s="72"/>
      <c r="CE194" s="72"/>
      <c r="CF194" s="72"/>
      <c r="CG194" s="72"/>
      <c r="CH194" s="72"/>
    </row>
    <row r="195" ht="15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  <c r="AT195" s="72"/>
      <c r="AU195" s="72"/>
      <c r="AV195" s="72"/>
      <c r="AW195" s="72"/>
      <c r="AX195" s="72"/>
      <c r="AY195" s="72"/>
      <c r="AZ195" s="72"/>
      <c r="BA195" s="72"/>
      <c r="BB195" s="72"/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  <c r="BM195" s="72"/>
      <c r="BN195" s="72"/>
      <c r="BO195" s="72"/>
      <c r="BP195" s="72"/>
      <c r="BQ195" s="72"/>
      <c r="BR195" s="72"/>
      <c r="BS195" s="72"/>
      <c r="BT195" s="72"/>
      <c r="BU195" s="72"/>
      <c r="BV195" s="72"/>
      <c r="BW195" s="72"/>
      <c r="BX195" s="72"/>
      <c r="BY195" s="72"/>
      <c r="BZ195" s="72"/>
      <c r="CA195" s="72"/>
      <c r="CB195" s="72"/>
      <c r="CC195" s="72"/>
      <c r="CD195" s="72"/>
      <c r="CE195" s="72"/>
      <c r="CF195" s="72"/>
      <c r="CG195" s="72"/>
      <c r="CH195" s="72"/>
    </row>
    <row r="196" ht="15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/>
      <c r="BN196" s="72"/>
      <c r="BO196" s="72"/>
      <c r="BP196" s="72"/>
      <c r="BQ196" s="72"/>
      <c r="BR196" s="72"/>
      <c r="BS196" s="72"/>
      <c r="BT196" s="72"/>
      <c r="BU196" s="72"/>
      <c r="BV196" s="72"/>
      <c r="BW196" s="72"/>
      <c r="BX196" s="72"/>
      <c r="BY196" s="72"/>
      <c r="BZ196" s="72"/>
      <c r="CA196" s="72"/>
      <c r="CB196" s="72"/>
      <c r="CC196" s="72"/>
      <c r="CD196" s="72"/>
      <c r="CE196" s="72"/>
      <c r="CF196" s="72"/>
      <c r="CG196" s="72"/>
      <c r="CH196" s="72"/>
    </row>
    <row r="197" ht="15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/>
      <c r="AR197" s="72"/>
      <c r="AS197" s="72"/>
      <c r="AT197" s="72"/>
      <c r="AU197" s="72"/>
      <c r="AV197" s="72"/>
      <c r="AW197" s="72"/>
      <c r="AX197" s="72"/>
      <c r="AY197" s="72"/>
      <c r="AZ197" s="72"/>
      <c r="BA197" s="72"/>
      <c r="BB197" s="72"/>
      <c r="BC197" s="72"/>
      <c r="BD197" s="72"/>
      <c r="BE197" s="72"/>
      <c r="BF197" s="72"/>
      <c r="BG197" s="72"/>
      <c r="BH197" s="72"/>
      <c r="BI197" s="72"/>
      <c r="BJ197" s="72"/>
      <c r="BK197" s="72"/>
      <c r="BL197" s="72"/>
      <c r="BM197" s="72"/>
      <c r="BN197" s="72"/>
      <c r="BO197" s="72"/>
      <c r="BP197" s="72"/>
      <c r="BQ197" s="72"/>
      <c r="BR197" s="72"/>
      <c r="BS197" s="72"/>
      <c r="BT197" s="72"/>
      <c r="BU197" s="72"/>
      <c r="BV197" s="72"/>
      <c r="BW197" s="72"/>
      <c r="BX197" s="72"/>
      <c r="BY197" s="72"/>
      <c r="BZ197" s="72"/>
      <c r="CA197" s="72"/>
      <c r="CB197" s="72"/>
      <c r="CC197" s="72"/>
      <c r="CD197" s="72"/>
      <c r="CE197" s="72"/>
      <c r="CF197" s="72"/>
      <c r="CG197" s="72"/>
      <c r="CH197" s="72"/>
    </row>
    <row r="198" ht="15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  <c r="AQ198" s="72"/>
      <c r="AR198" s="72"/>
      <c r="AS198" s="72"/>
      <c r="AT198" s="72"/>
      <c r="AU198" s="72"/>
      <c r="AV198" s="72"/>
      <c r="AW198" s="72"/>
      <c r="AX198" s="72"/>
      <c r="AY198" s="72"/>
      <c r="AZ198" s="72"/>
      <c r="BA198" s="72"/>
      <c r="BB198" s="72"/>
      <c r="BC198" s="72"/>
      <c r="BD198" s="72"/>
      <c r="BE198" s="72"/>
      <c r="BF198" s="72"/>
      <c r="BG198" s="72"/>
      <c r="BH198" s="72"/>
      <c r="BI198" s="72"/>
      <c r="BJ198" s="72"/>
      <c r="BK198" s="72"/>
      <c r="BL198" s="72"/>
      <c r="BM198" s="72"/>
      <c r="BN198" s="72"/>
      <c r="BO198" s="72"/>
      <c r="BP198" s="72"/>
      <c r="BQ198" s="72"/>
      <c r="BR198" s="72"/>
      <c r="BS198" s="72"/>
      <c r="BT198" s="72"/>
      <c r="BU198" s="72"/>
      <c r="BV198" s="72"/>
      <c r="BW198" s="72"/>
      <c r="BX198" s="72"/>
      <c r="BY198" s="72"/>
      <c r="BZ198" s="72"/>
      <c r="CA198" s="72"/>
      <c r="CB198" s="72"/>
      <c r="CC198" s="72"/>
      <c r="CD198" s="72"/>
      <c r="CE198" s="72"/>
      <c r="CF198" s="72"/>
      <c r="CG198" s="72"/>
      <c r="CH198" s="72"/>
    </row>
    <row r="199" ht="15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  <c r="AQ199" s="72"/>
      <c r="AR199" s="72"/>
      <c r="AS199" s="72"/>
      <c r="AT199" s="72"/>
      <c r="AU199" s="72"/>
      <c r="AV199" s="72"/>
      <c r="AW199" s="72"/>
      <c r="AX199" s="72"/>
      <c r="AY199" s="72"/>
      <c r="AZ199" s="72"/>
      <c r="BA199" s="72"/>
      <c r="BB199" s="72"/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  <c r="BM199" s="72"/>
      <c r="BN199" s="72"/>
      <c r="BO199" s="72"/>
      <c r="BP199" s="72"/>
      <c r="BQ199" s="72"/>
      <c r="BR199" s="72"/>
      <c r="BS199" s="72"/>
      <c r="BT199" s="72"/>
      <c r="BU199" s="72"/>
      <c r="BV199" s="72"/>
      <c r="BW199" s="72"/>
      <c r="BX199" s="72"/>
      <c r="BY199" s="72"/>
      <c r="BZ199" s="72"/>
      <c r="CA199" s="72"/>
      <c r="CB199" s="72"/>
      <c r="CC199" s="72"/>
      <c r="CD199" s="72"/>
      <c r="CE199" s="72"/>
      <c r="CF199" s="72"/>
      <c r="CG199" s="72"/>
      <c r="CH199" s="72"/>
    </row>
    <row r="200" ht="15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  <c r="AQ200" s="72"/>
      <c r="AR200" s="72"/>
      <c r="AS200" s="72"/>
      <c r="AT200" s="72"/>
      <c r="AU200" s="72"/>
      <c r="AV200" s="72"/>
      <c r="AW200" s="72"/>
      <c r="AX200" s="72"/>
      <c r="AY200" s="72"/>
      <c r="AZ200" s="72"/>
      <c r="BA200" s="72"/>
      <c r="BB200" s="72"/>
      <c r="BC200" s="72"/>
      <c r="BD200" s="72"/>
      <c r="BE200" s="72"/>
      <c r="BF200" s="72"/>
      <c r="BG200" s="72"/>
      <c r="BH200" s="72"/>
      <c r="BI200" s="72"/>
      <c r="BJ200" s="72"/>
      <c r="BK200" s="72"/>
      <c r="BL200" s="72"/>
      <c r="BM200" s="72"/>
      <c r="BN200" s="72"/>
      <c r="BO200" s="72"/>
      <c r="BP200" s="72"/>
      <c r="BQ200" s="72"/>
      <c r="BR200" s="72"/>
      <c r="BS200" s="72"/>
      <c r="BT200" s="72"/>
      <c r="BU200" s="72"/>
      <c r="BV200" s="72"/>
      <c r="BW200" s="72"/>
      <c r="BX200" s="72"/>
      <c r="BY200" s="72"/>
      <c r="BZ200" s="72"/>
      <c r="CA200" s="72"/>
      <c r="CB200" s="72"/>
      <c r="CC200" s="72"/>
      <c r="CD200" s="72"/>
      <c r="CE200" s="72"/>
      <c r="CF200" s="72"/>
      <c r="CG200" s="72"/>
      <c r="CH200" s="72"/>
    </row>
    <row r="201" ht="15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72"/>
      <c r="BO201" s="72"/>
      <c r="BP201" s="72"/>
      <c r="BQ201" s="72"/>
      <c r="BR201" s="72"/>
      <c r="BS201" s="72"/>
      <c r="BT201" s="72"/>
      <c r="BU201" s="72"/>
      <c r="BV201" s="72"/>
      <c r="BW201" s="72"/>
      <c r="BX201" s="72"/>
      <c r="BY201" s="72"/>
      <c r="BZ201" s="72"/>
      <c r="CA201" s="72"/>
      <c r="CB201" s="72"/>
      <c r="CC201" s="72"/>
      <c r="CD201" s="72"/>
      <c r="CE201" s="72"/>
      <c r="CF201" s="72"/>
      <c r="CG201" s="72"/>
      <c r="CH201" s="72"/>
    </row>
    <row r="202" ht="15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72"/>
      <c r="BO202" s="72"/>
      <c r="BP202" s="72"/>
      <c r="BQ202" s="72"/>
      <c r="BR202" s="72"/>
      <c r="BS202" s="72"/>
      <c r="BT202" s="72"/>
      <c r="BU202" s="72"/>
      <c r="BV202" s="72"/>
      <c r="BW202" s="72"/>
      <c r="BX202" s="72"/>
      <c r="BY202" s="72"/>
      <c r="BZ202" s="72"/>
      <c r="CA202" s="72"/>
      <c r="CB202" s="72"/>
      <c r="CC202" s="72"/>
      <c r="CD202" s="72"/>
      <c r="CE202" s="72"/>
      <c r="CF202" s="72"/>
      <c r="CG202" s="72"/>
      <c r="CH202" s="72"/>
    </row>
    <row r="203" ht="15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72"/>
      <c r="BO203" s="72"/>
      <c r="BP203" s="72"/>
      <c r="BQ203" s="72"/>
      <c r="BR203" s="72"/>
      <c r="BS203" s="72"/>
      <c r="BT203" s="72"/>
      <c r="BU203" s="72"/>
      <c r="BV203" s="72"/>
      <c r="BW203" s="72"/>
      <c r="BX203" s="72"/>
      <c r="BY203" s="72"/>
      <c r="BZ203" s="72"/>
      <c r="CA203" s="72"/>
      <c r="CB203" s="72"/>
      <c r="CC203" s="72"/>
      <c r="CD203" s="72"/>
      <c r="CE203" s="72"/>
      <c r="CF203" s="72"/>
      <c r="CG203" s="72"/>
      <c r="CH203" s="72"/>
    </row>
    <row r="204" ht="15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72"/>
      <c r="BO204" s="72"/>
      <c r="BP204" s="72"/>
      <c r="BQ204" s="72"/>
      <c r="BR204" s="72"/>
      <c r="BS204" s="72"/>
      <c r="BT204" s="72"/>
      <c r="BU204" s="72"/>
      <c r="BV204" s="72"/>
      <c r="BW204" s="72"/>
      <c r="BX204" s="72"/>
      <c r="BY204" s="72"/>
      <c r="BZ204" s="72"/>
      <c r="CA204" s="72"/>
      <c r="CB204" s="72"/>
      <c r="CC204" s="72"/>
      <c r="CD204" s="72"/>
      <c r="CE204" s="72"/>
      <c r="CF204" s="72"/>
      <c r="CG204" s="72"/>
      <c r="CH204" s="72"/>
    </row>
    <row r="205" ht="15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72"/>
      <c r="BO205" s="72"/>
      <c r="BP205" s="72"/>
      <c r="BQ205" s="72"/>
      <c r="BR205" s="72"/>
      <c r="BS205" s="72"/>
      <c r="BT205" s="72"/>
      <c r="BU205" s="72"/>
      <c r="BV205" s="72"/>
      <c r="BW205" s="72"/>
      <c r="BX205" s="72"/>
      <c r="BY205" s="72"/>
      <c r="BZ205" s="72"/>
      <c r="CA205" s="72"/>
      <c r="CB205" s="72"/>
      <c r="CC205" s="72"/>
      <c r="CD205" s="72"/>
      <c r="CE205" s="72"/>
      <c r="CF205" s="72"/>
      <c r="CG205" s="72"/>
      <c r="CH205" s="72"/>
    </row>
    <row r="206" ht="15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72"/>
      <c r="BO206" s="72"/>
      <c r="BP206" s="72"/>
      <c r="BQ206" s="72"/>
      <c r="BR206" s="72"/>
      <c r="BS206" s="72"/>
      <c r="BT206" s="72"/>
      <c r="BU206" s="72"/>
      <c r="BV206" s="72"/>
      <c r="BW206" s="72"/>
      <c r="BX206" s="72"/>
      <c r="BY206" s="72"/>
      <c r="BZ206" s="72"/>
      <c r="CA206" s="72"/>
      <c r="CB206" s="72"/>
      <c r="CC206" s="72"/>
      <c r="CD206" s="72"/>
      <c r="CE206" s="72"/>
      <c r="CF206" s="72"/>
      <c r="CG206" s="72"/>
      <c r="CH206" s="72"/>
    </row>
    <row r="207" ht="15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72"/>
      <c r="BO207" s="72"/>
      <c r="BP207" s="72"/>
      <c r="BQ207" s="72"/>
      <c r="BR207" s="72"/>
      <c r="BS207" s="72"/>
      <c r="BT207" s="72"/>
      <c r="BU207" s="72"/>
      <c r="BV207" s="72"/>
      <c r="BW207" s="72"/>
      <c r="BX207" s="72"/>
      <c r="BY207" s="72"/>
      <c r="BZ207" s="72"/>
      <c r="CA207" s="72"/>
      <c r="CB207" s="72"/>
      <c r="CC207" s="72"/>
      <c r="CD207" s="72"/>
      <c r="CE207" s="72"/>
      <c r="CF207" s="72"/>
      <c r="CG207" s="72"/>
      <c r="CH207" s="72"/>
    </row>
    <row r="208" ht="15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72"/>
      <c r="BO208" s="72"/>
      <c r="BP208" s="72"/>
      <c r="BQ208" s="72"/>
      <c r="BR208" s="72"/>
      <c r="BS208" s="72"/>
      <c r="BT208" s="72"/>
      <c r="BU208" s="72"/>
      <c r="BV208" s="72"/>
      <c r="BW208" s="72"/>
      <c r="BX208" s="72"/>
      <c r="BY208" s="72"/>
      <c r="BZ208" s="72"/>
      <c r="CA208" s="72"/>
      <c r="CB208" s="72"/>
      <c r="CC208" s="72"/>
      <c r="CD208" s="72"/>
      <c r="CE208" s="72"/>
      <c r="CF208" s="72"/>
      <c r="CG208" s="72"/>
      <c r="CH208" s="72"/>
    </row>
    <row r="209" ht="15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72"/>
      <c r="BO209" s="72"/>
      <c r="BP209" s="72"/>
      <c r="BQ209" s="72"/>
      <c r="BR209" s="72"/>
      <c r="BS209" s="72"/>
      <c r="BT209" s="72"/>
      <c r="BU209" s="72"/>
      <c r="BV209" s="72"/>
      <c r="BW209" s="72"/>
      <c r="BX209" s="72"/>
      <c r="BY209" s="72"/>
      <c r="BZ209" s="72"/>
      <c r="CA209" s="72"/>
      <c r="CB209" s="72"/>
      <c r="CC209" s="72"/>
      <c r="CD209" s="72"/>
      <c r="CE209" s="72"/>
      <c r="CF209" s="72"/>
      <c r="CG209" s="72"/>
      <c r="CH209" s="72"/>
    </row>
    <row r="210" ht="15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72"/>
      <c r="BO210" s="72"/>
      <c r="BP210" s="72"/>
      <c r="BQ210" s="72"/>
      <c r="BR210" s="72"/>
      <c r="BS210" s="72"/>
      <c r="BT210" s="72"/>
      <c r="BU210" s="72"/>
      <c r="BV210" s="72"/>
      <c r="BW210" s="72"/>
      <c r="BX210" s="72"/>
      <c r="BY210" s="72"/>
      <c r="BZ210" s="72"/>
      <c r="CA210" s="72"/>
      <c r="CB210" s="72"/>
      <c r="CC210" s="72"/>
      <c r="CD210" s="72"/>
      <c r="CE210" s="72"/>
      <c r="CF210" s="72"/>
      <c r="CG210" s="72"/>
      <c r="CH210" s="72"/>
    </row>
    <row r="211" ht="15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  <c r="AQ211" s="72"/>
      <c r="AR211" s="72"/>
      <c r="AS211" s="72"/>
      <c r="AT211" s="72"/>
      <c r="AU211" s="72"/>
      <c r="AV211" s="72"/>
      <c r="AW211" s="72"/>
      <c r="AX211" s="72"/>
      <c r="AY211" s="72"/>
      <c r="AZ211" s="72"/>
      <c r="BA211" s="72"/>
      <c r="BB211" s="72"/>
      <c r="BC211" s="72"/>
      <c r="BD211" s="72"/>
      <c r="BE211" s="72"/>
      <c r="BF211" s="72"/>
      <c r="BG211" s="72"/>
      <c r="BH211" s="72"/>
      <c r="BI211" s="72"/>
      <c r="BJ211" s="72"/>
      <c r="BK211" s="72"/>
      <c r="BL211" s="72"/>
      <c r="BM211" s="72"/>
      <c r="BN211" s="72"/>
      <c r="BO211" s="72"/>
      <c r="BP211" s="72"/>
      <c r="BQ211" s="72"/>
      <c r="BR211" s="72"/>
      <c r="BS211" s="72"/>
      <c r="BT211" s="72"/>
      <c r="BU211" s="72"/>
      <c r="BV211" s="72"/>
      <c r="BW211" s="72"/>
      <c r="BX211" s="72"/>
      <c r="BY211" s="72"/>
      <c r="BZ211" s="72"/>
      <c r="CA211" s="72"/>
      <c r="CB211" s="72"/>
      <c r="CC211" s="72"/>
      <c r="CD211" s="72"/>
      <c r="CE211" s="72"/>
      <c r="CF211" s="72"/>
      <c r="CG211" s="72"/>
      <c r="CH211" s="72"/>
    </row>
    <row r="212" ht="15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  <c r="AQ212" s="72"/>
      <c r="AR212" s="72"/>
      <c r="AS212" s="72"/>
      <c r="AT212" s="72"/>
      <c r="AU212" s="72"/>
      <c r="AV212" s="72"/>
      <c r="AW212" s="72"/>
      <c r="AX212" s="72"/>
      <c r="AY212" s="72"/>
      <c r="AZ212" s="72"/>
      <c r="BA212" s="72"/>
      <c r="BB212" s="72"/>
      <c r="BC212" s="72"/>
      <c r="BD212" s="72"/>
      <c r="BE212" s="72"/>
      <c r="BF212" s="72"/>
      <c r="BG212" s="72"/>
      <c r="BH212" s="72"/>
      <c r="BI212" s="72"/>
      <c r="BJ212" s="72"/>
      <c r="BK212" s="72"/>
      <c r="BL212" s="72"/>
      <c r="BM212" s="72"/>
      <c r="BN212" s="72"/>
      <c r="BO212" s="72"/>
      <c r="BP212" s="72"/>
      <c r="BQ212" s="72"/>
      <c r="BR212" s="72"/>
      <c r="BS212" s="72"/>
      <c r="BT212" s="72"/>
      <c r="BU212" s="72"/>
      <c r="BV212" s="72"/>
      <c r="BW212" s="72"/>
      <c r="BX212" s="72"/>
      <c r="BY212" s="72"/>
      <c r="BZ212" s="72"/>
      <c r="CA212" s="72"/>
      <c r="CB212" s="72"/>
      <c r="CC212" s="72"/>
      <c r="CD212" s="72"/>
      <c r="CE212" s="72"/>
      <c r="CF212" s="72"/>
      <c r="CG212" s="72"/>
      <c r="CH212" s="72"/>
    </row>
    <row r="213" ht="15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  <c r="AQ213" s="72"/>
      <c r="AR213" s="72"/>
      <c r="AS213" s="72"/>
      <c r="AT213" s="72"/>
      <c r="AU213" s="72"/>
      <c r="AV213" s="72"/>
      <c r="AW213" s="72"/>
      <c r="AX213" s="72"/>
      <c r="AY213" s="72"/>
      <c r="AZ213" s="72"/>
      <c r="BA213" s="72"/>
      <c r="BB213" s="72"/>
      <c r="BC213" s="72"/>
      <c r="BD213" s="72"/>
      <c r="BE213" s="72"/>
      <c r="BF213" s="72"/>
      <c r="BG213" s="72"/>
      <c r="BH213" s="72"/>
      <c r="BI213" s="72"/>
      <c r="BJ213" s="72"/>
      <c r="BK213" s="72"/>
      <c r="BL213" s="72"/>
      <c r="BM213" s="72"/>
      <c r="BN213" s="72"/>
      <c r="BO213" s="72"/>
      <c r="BP213" s="72"/>
      <c r="BQ213" s="72"/>
      <c r="BR213" s="72"/>
      <c r="BS213" s="72"/>
      <c r="BT213" s="72"/>
      <c r="BU213" s="72"/>
      <c r="BV213" s="72"/>
      <c r="BW213" s="72"/>
      <c r="BX213" s="72"/>
      <c r="BY213" s="72"/>
      <c r="BZ213" s="72"/>
      <c r="CA213" s="72"/>
      <c r="CB213" s="72"/>
      <c r="CC213" s="72"/>
      <c r="CD213" s="72"/>
      <c r="CE213" s="72"/>
      <c r="CF213" s="72"/>
      <c r="CG213" s="72"/>
      <c r="CH213" s="72"/>
    </row>
    <row r="214" ht="15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  <c r="AQ214" s="72"/>
      <c r="AR214" s="72"/>
      <c r="AS214" s="72"/>
      <c r="AT214" s="72"/>
      <c r="AU214" s="72"/>
      <c r="AV214" s="72"/>
      <c r="AW214" s="72"/>
      <c r="AX214" s="72"/>
      <c r="AY214" s="72"/>
      <c r="AZ214" s="72"/>
      <c r="BA214" s="72"/>
      <c r="BB214" s="72"/>
      <c r="BC214" s="72"/>
      <c r="BD214" s="72"/>
      <c r="BE214" s="72"/>
      <c r="BF214" s="72"/>
      <c r="BG214" s="72"/>
      <c r="BH214" s="72"/>
      <c r="BI214" s="72"/>
      <c r="BJ214" s="72"/>
      <c r="BK214" s="72"/>
      <c r="BL214" s="72"/>
      <c r="BM214" s="72"/>
      <c r="BN214" s="72"/>
      <c r="BO214" s="72"/>
      <c r="BP214" s="72"/>
      <c r="BQ214" s="72"/>
      <c r="BR214" s="72"/>
      <c r="BS214" s="72"/>
      <c r="BT214" s="72"/>
      <c r="BU214" s="72"/>
      <c r="BV214" s="72"/>
      <c r="BW214" s="72"/>
      <c r="BX214" s="72"/>
      <c r="BY214" s="72"/>
      <c r="BZ214" s="72"/>
      <c r="CA214" s="72"/>
      <c r="CB214" s="72"/>
      <c r="CC214" s="72"/>
      <c r="CD214" s="72"/>
      <c r="CE214" s="72"/>
      <c r="CF214" s="72"/>
      <c r="CG214" s="72"/>
      <c r="CH214" s="72"/>
    </row>
    <row r="215" ht="15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  <c r="AQ215" s="72"/>
      <c r="AR215" s="72"/>
      <c r="AS215" s="72"/>
      <c r="AT215" s="72"/>
      <c r="AU215" s="72"/>
      <c r="AV215" s="72"/>
      <c r="AW215" s="72"/>
      <c r="AX215" s="72"/>
      <c r="AY215" s="72"/>
      <c r="AZ215" s="72"/>
      <c r="BA215" s="72"/>
      <c r="BB215" s="72"/>
      <c r="BC215" s="72"/>
      <c r="BD215" s="72"/>
      <c r="BE215" s="72"/>
      <c r="BF215" s="72"/>
      <c r="BG215" s="72"/>
      <c r="BH215" s="72"/>
      <c r="BI215" s="72"/>
      <c r="BJ215" s="72"/>
      <c r="BK215" s="72"/>
      <c r="BL215" s="72"/>
      <c r="BM215" s="72"/>
      <c r="BN215" s="72"/>
      <c r="BO215" s="72"/>
      <c r="BP215" s="72"/>
      <c r="BQ215" s="72"/>
      <c r="BR215" s="72"/>
      <c r="BS215" s="72"/>
      <c r="BT215" s="72"/>
      <c r="BU215" s="72"/>
      <c r="BV215" s="72"/>
      <c r="BW215" s="72"/>
      <c r="BX215" s="72"/>
      <c r="BY215" s="72"/>
      <c r="BZ215" s="72"/>
      <c r="CA215" s="72"/>
      <c r="CB215" s="72"/>
      <c r="CC215" s="72"/>
      <c r="CD215" s="72"/>
      <c r="CE215" s="72"/>
      <c r="CF215" s="72"/>
      <c r="CG215" s="72"/>
      <c r="CH215" s="72"/>
    </row>
    <row r="216" ht="15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  <c r="AQ216" s="72"/>
      <c r="AR216" s="72"/>
      <c r="AS216" s="72"/>
      <c r="AT216" s="72"/>
      <c r="AU216" s="72"/>
      <c r="AV216" s="72"/>
      <c r="AW216" s="72"/>
      <c r="AX216" s="72"/>
      <c r="AY216" s="72"/>
      <c r="AZ216" s="72"/>
      <c r="BA216" s="72"/>
      <c r="BB216" s="72"/>
      <c r="BC216" s="72"/>
      <c r="BD216" s="72"/>
      <c r="BE216" s="72"/>
      <c r="BF216" s="72"/>
      <c r="BG216" s="72"/>
      <c r="BH216" s="72"/>
      <c r="BI216" s="72"/>
      <c r="BJ216" s="72"/>
      <c r="BK216" s="72"/>
      <c r="BL216" s="72"/>
      <c r="BM216" s="72"/>
      <c r="BN216" s="72"/>
      <c r="BO216" s="72"/>
      <c r="BP216" s="72"/>
      <c r="BQ216" s="72"/>
      <c r="BR216" s="72"/>
      <c r="BS216" s="72"/>
      <c r="BT216" s="72"/>
      <c r="BU216" s="72"/>
      <c r="BV216" s="72"/>
      <c r="BW216" s="72"/>
      <c r="BX216" s="72"/>
      <c r="BY216" s="72"/>
      <c r="BZ216" s="72"/>
      <c r="CA216" s="72"/>
      <c r="CB216" s="72"/>
      <c r="CC216" s="72"/>
      <c r="CD216" s="72"/>
      <c r="CE216" s="72"/>
      <c r="CF216" s="72"/>
      <c r="CG216" s="72"/>
      <c r="CH216" s="72"/>
    </row>
    <row r="217" ht="15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  <c r="AS217" s="72"/>
      <c r="AT217" s="72"/>
      <c r="AU217" s="72"/>
      <c r="AV217" s="72"/>
      <c r="AW217" s="72"/>
      <c r="AX217" s="72"/>
      <c r="AY217" s="72"/>
      <c r="AZ217" s="72"/>
      <c r="BA217" s="72"/>
      <c r="BB217" s="72"/>
      <c r="BC217" s="72"/>
      <c r="BD217" s="72"/>
      <c r="BE217" s="72"/>
      <c r="BF217" s="72"/>
      <c r="BG217" s="72"/>
      <c r="BH217" s="72"/>
      <c r="BI217" s="72"/>
      <c r="BJ217" s="72"/>
      <c r="BK217" s="72"/>
      <c r="BL217" s="72"/>
      <c r="BM217" s="72"/>
      <c r="BN217" s="72"/>
      <c r="BO217" s="72"/>
      <c r="BP217" s="72"/>
      <c r="BQ217" s="72"/>
      <c r="BR217" s="72"/>
      <c r="BS217" s="72"/>
      <c r="BT217" s="72"/>
      <c r="BU217" s="72"/>
      <c r="BV217" s="72"/>
      <c r="BW217" s="72"/>
      <c r="BX217" s="72"/>
      <c r="BY217" s="72"/>
      <c r="BZ217" s="72"/>
      <c r="CA217" s="72"/>
      <c r="CB217" s="72"/>
      <c r="CC217" s="72"/>
      <c r="CD217" s="72"/>
      <c r="CE217" s="72"/>
      <c r="CF217" s="72"/>
      <c r="CG217" s="72"/>
      <c r="CH217" s="72"/>
    </row>
    <row r="218" ht="15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  <c r="AQ218" s="72"/>
      <c r="AR218" s="72"/>
      <c r="AS218" s="72"/>
      <c r="AT218" s="72"/>
      <c r="AU218" s="72"/>
      <c r="AV218" s="72"/>
      <c r="AW218" s="72"/>
      <c r="AX218" s="72"/>
      <c r="AY218" s="72"/>
      <c r="AZ218" s="72"/>
      <c r="BA218" s="72"/>
      <c r="BB218" s="72"/>
      <c r="BC218" s="72"/>
      <c r="BD218" s="72"/>
      <c r="BE218" s="72"/>
      <c r="BF218" s="72"/>
      <c r="BG218" s="72"/>
      <c r="BH218" s="72"/>
      <c r="BI218" s="72"/>
      <c r="BJ218" s="72"/>
      <c r="BK218" s="72"/>
      <c r="BL218" s="72"/>
      <c r="BM218" s="72"/>
      <c r="BN218" s="72"/>
      <c r="BO218" s="72"/>
      <c r="BP218" s="72"/>
      <c r="BQ218" s="72"/>
      <c r="BR218" s="72"/>
      <c r="BS218" s="72"/>
      <c r="BT218" s="72"/>
      <c r="BU218" s="72"/>
      <c r="BV218" s="72"/>
      <c r="BW218" s="72"/>
      <c r="BX218" s="72"/>
      <c r="BY218" s="72"/>
      <c r="BZ218" s="72"/>
      <c r="CA218" s="72"/>
      <c r="CB218" s="72"/>
      <c r="CC218" s="72"/>
      <c r="CD218" s="72"/>
      <c r="CE218" s="72"/>
      <c r="CF218" s="72"/>
      <c r="CG218" s="72"/>
      <c r="CH218" s="72"/>
    </row>
    <row r="219" ht="15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  <c r="AQ219" s="72"/>
      <c r="AR219" s="72"/>
      <c r="AS219" s="72"/>
      <c r="AT219" s="72"/>
      <c r="AU219" s="72"/>
      <c r="AV219" s="72"/>
      <c r="AW219" s="72"/>
      <c r="AX219" s="72"/>
      <c r="AY219" s="72"/>
      <c r="AZ219" s="72"/>
      <c r="BA219" s="72"/>
      <c r="BB219" s="72"/>
      <c r="BC219" s="72"/>
      <c r="BD219" s="72"/>
      <c r="BE219" s="72"/>
      <c r="BF219" s="72"/>
      <c r="BG219" s="72"/>
      <c r="BH219" s="72"/>
      <c r="BI219" s="72"/>
      <c r="BJ219" s="72"/>
      <c r="BK219" s="72"/>
      <c r="BL219" s="72"/>
      <c r="BM219" s="72"/>
      <c r="BN219" s="72"/>
      <c r="BO219" s="72"/>
      <c r="BP219" s="72"/>
      <c r="BQ219" s="72"/>
      <c r="BR219" s="72"/>
      <c r="BS219" s="72"/>
      <c r="BT219" s="72"/>
      <c r="BU219" s="72"/>
      <c r="BV219" s="72"/>
      <c r="BW219" s="72"/>
      <c r="BX219" s="72"/>
      <c r="BY219" s="72"/>
      <c r="BZ219" s="72"/>
      <c r="CA219" s="72"/>
      <c r="CB219" s="72"/>
      <c r="CC219" s="72"/>
      <c r="CD219" s="72"/>
      <c r="CE219" s="72"/>
      <c r="CF219" s="72"/>
      <c r="CG219" s="72"/>
      <c r="CH219" s="72"/>
    </row>
    <row r="220" ht="15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  <c r="AQ220" s="72"/>
      <c r="AR220" s="72"/>
      <c r="AS220" s="72"/>
      <c r="AT220" s="72"/>
      <c r="AU220" s="72"/>
      <c r="AV220" s="72"/>
      <c r="AW220" s="72"/>
      <c r="AX220" s="72"/>
      <c r="AY220" s="72"/>
      <c r="AZ220" s="72"/>
      <c r="BA220" s="72"/>
      <c r="BB220" s="72"/>
      <c r="BC220" s="72"/>
      <c r="BD220" s="72"/>
      <c r="BE220" s="72"/>
      <c r="BF220" s="72"/>
      <c r="BG220" s="72"/>
      <c r="BH220" s="72"/>
      <c r="BI220" s="72"/>
      <c r="BJ220" s="72"/>
      <c r="BK220" s="72"/>
      <c r="BL220" s="72"/>
      <c r="BM220" s="72"/>
      <c r="BN220" s="72"/>
      <c r="BO220" s="72"/>
      <c r="BP220" s="72"/>
      <c r="BQ220" s="72"/>
      <c r="BR220" s="72"/>
      <c r="BS220" s="72"/>
      <c r="BT220" s="72"/>
      <c r="BU220" s="72"/>
      <c r="BV220" s="72"/>
      <c r="BW220" s="72"/>
      <c r="BX220" s="72"/>
      <c r="BY220" s="72"/>
      <c r="BZ220" s="72"/>
      <c r="CA220" s="72"/>
      <c r="CB220" s="72"/>
      <c r="CC220" s="72"/>
      <c r="CD220" s="72"/>
      <c r="CE220" s="72"/>
      <c r="CF220" s="72"/>
      <c r="CG220" s="72"/>
      <c r="CH220" s="72"/>
    </row>
    <row r="221" ht="15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  <c r="AQ221" s="72"/>
      <c r="AR221" s="72"/>
      <c r="AS221" s="72"/>
      <c r="AT221" s="72"/>
      <c r="AU221" s="72"/>
      <c r="AV221" s="72"/>
      <c r="AW221" s="72"/>
      <c r="AX221" s="72"/>
      <c r="AY221" s="72"/>
      <c r="AZ221" s="72"/>
      <c r="BA221" s="72"/>
      <c r="BB221" s="72"/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  <c r="BM221" s="72"/>
      <c r="BN221" s="72"/>
      <c r="BO221" s="72"/>
      <c r="BP221" s="72"/>
      <c r="BQ221" s="72"/>
      <c r="BR221" s="72"/>
      <c r="BS221" s="72"/>
      <c r="BT221" s="72"/>
      <c r="BU221" s="72"/>
      <c r="BV221" s="72"/>
      <c r="BW221" s="72"/>
      <c r="BX221" s="72"/>
      <c r="BY221" s="72"/>
      <c r="BZ221" s="72"/>
      <c r="CA221" s="72"/>
      <c r="CB221" s="72"/>
      <c r="CC221" s="72"/>
      <c r="CD221" s="72"/>
      <c r="CE221" s="72"/>
      <c r="CF221" s="72"/>
      <c r="CG221" s="72"/>
      <c r="CH221" s="72"/>
    </row>
    <row r="222" ht="15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  <c r="AQ222" s="72"/>
      <c r="AR222" s="72"/>
      <c r="AS222" s="72"/>
      <c r="AT222" s="72"/>
      <c r="AU222" s="72"/>
      <c r="AV222" s="72"/>
      <c r="AW222" s="72"/>
      <c r="AX222" s="72"/>
      <c r="AY222" s="72"/>
      <c r="AZ222" s="72"/>
      <c r="BA222" s="72"/>
      <c r="BB222" s="72"/>
      <c r="BC222" s="72"/>
      <c r="BD222" s="72"/>
      <c r="BE222" s="72"/>
      <c r="BF222" s="72"/>
      <c r="BG222" s="72"/>
      <c r="BH222" s="72"/>
      <c r="BI222" s="72"/>
      <c r="BJ222" s="72"/>
      <c r="BK222" s="72"/>
      <c r="BL222" s="72"/>
      <c r="BM222" s="72"/>
      <c r="BN222" s="72"/>
      <c r="BO222" s="72"/>
      <c r="BP222" s="72"/>
      <c r="BQ222" s="72"/>
      <c r="BR222" s="72"/>
      <c r="BS222" s="72"/>
      <c r="BT222" s="72"/>
      <c r="BU222" s="72"/>
      <c r="BV222" s="72"/>
      <c r="BW222" s="72"/>
      <c r="BX222" s="72"/>
      <c r="BY222" s="72"/>
      <c r="BZ222" s="72"/>
      <c r="CA222" s="72"/>
      <c r="CB222" s="72"/>
      <c r="CC222" s="72"/>
      <c r="CD222" s="72"/>
      <c r="CE222" s="72"/>
      <c r="CF222" s="72"/>
      <c r="CG222" s="72"/>
      <c r="CH222" s="72"/>
    </row>
    <row r="223" ht="15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  <c r="AQ223" s="72"/>
      <c r="AR223" s="72"/>
      <c r="AS223" s="72"/>
      <c r="AT223" s="72"/>
      <c r="AU223" s="72"/>
      <c r="AV223" s="72"/>
      <c r="AW223" s="72"/>
      <c r="AX223" s="72"/>
      <c r="AY223" s="72"/>
      <c r="AZ223" s="72"/>
      <c r="BA223" s="72"/>
      <c r="BB223" s="72"/>
      <c r="BC223" s="72"/>
      <c r="BD223" s="72"/>
      <c r="BE223" s="72"/>
      <c r="BF223" s="72"/>
      <c r="BG223" s="72"/>
      <c r="BH223" s="72"/>
      <c r="BI223" s="72"/>
      <c r="BJ223" s="72"/>
      <c r="BK223" s="72"/>
      <c r="BL223" s="72"/>
      <c r="BM223" s="72"/>
      <c r="BN223" s="72"/>
      <c r="BO223" s="72"/>
      <c r="BP223" s="72"/>
      <c r="BQ223" s="72"/>
      <c r="BR223" s="72"/>
      <c r="BS223" s="72"/>
      <c r="BT223" s="72"/>
      <c r="BU223" s="72"/>
      <c r="BV223" s="72"/>
      <c r="BW223" s="72"/>
      <c r="BX223" s="72"/>
      <c r="BY223" s="72"/>
      <c r="BZ223" s="72"/>
      <c r="CA223" s="72"/>
      <c r="CB223" s="72"/>
      <c r="CC223" s="72"/>
      <c r="CD223" s="72"/>
      <c r="CE223" s="72"/>
      <c r="CF223" s="72"/>
      <c r="CG223" s="72"/>
      <c r="CH223" s="72"/>
    </row>
    <row r="224" ht="15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  <c r="AQ224" s="72"/>
      <c r="AR224" s="72"/>
      <c r="AS224" s="72"/>
      <c r="AT224" s="72"/>
      <c r="AU224" s="72"/>
      <c r="AV224" s="72"/>
      <c r="AW224" s="72"/>
      <c r="AX224" s="72"/>
      <c r="AY224" s="72"/>
      <c r="AZ224" s="72"/>
      <c r="BA224" s="72"/>
      <c r="BB224" s="72"/>
      <c r="BC224" s="72"/>
      <c r="BD224" s="72"/>
      <c r="BE224" s="72"/>
      <c r="BF224" s="72"/>
      <c r="BG224" s="72"/>
      <c r="BH224" s="72"/>
      <c r="BI224" s="72"/>
      <c r="BJ224" s="72"/>
      <c r="BK224" s="72"/>
      <c r="BL224" s="72"/>
      <c r="BM224" s="72"/>
      <c r="BN224" s="72"/>
      <c r="BO224" s="72"/>
      <c r="BP224" s="72"/>
      <c r="BQ224" s="72"/>
      <c r="BR224" s="72"/>
      <c r="BS224" s="72"/>
      <c r="BT224" s="72"/>
      <c r="BU224" s="72"/>
      <c r="BV224" s="72"/>
      <c r="BW224" s="72"/>
      <c r="BX224" s="72"/>
      <c r="BY224" s="72"/>
      <c r="BZ224" s="72"/>
      <c r="CA224" s="72"/>
      <c r="CB224" s="72"/>
      <c r="CC224" s="72"/>
      <c r="CD224" s="72"/>
      <c r="CE224" s="72"/>
      <c r="CF224" s="72"/>
      <c r="CG224" s="72"/>
      <c r="CH224" s="72"/>
    </row>
    <row r="225" ht="15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  <c r="AQ225" s="72"/>
      <c r="AR225" s="72"/>
      <c r="AS225" s="72"/>
      <c r="AT225" s="72"/>
      <c r="AU225" s="72"/>
      <c r="AV225" s="72"/>
      <c r="AW225" s="72"/>
      <c r="AX225" s="72"/>
      <c r="AY225" s="72"/>
      <c r="AZ225" s="72"/>
      <c r="BA225" s="72"/>
      <c r="BB225" s="72"/>
      <c r="BC225" s="72"/>
      <c r="BD225" s="72"/>
      <c r="BE225" s="72"/>
      <c r="BF225" s="72"/>
      <c r="BG225" s="72"/>
      <c r="BH225" s="72"/>
      <c r="BI225" s="72"/>
      <c r="BJ225" s="72"/>
      <c r="BK225" s="72"/>
      <c r="BL225" s="72"/>
      <c r="BM225" s="72"/>
      <c r="BN225" s="72"/>
      <c r="BO225" s="72"/>
      <c r="BP225" s="72"/>
      <c r="BQ225" s="72"/>
      <c r="BR225" s="72"/>
      <c r="BS225" s="72"/>
      <c r="BT225" s="72"/>
      <c r="BU225" s="72"/>
      <c r="BV225" s="72"/>
      <c r="BW225" s="72"/>
      <c r="BX225" s="72"/>
      <c r="BY225" s="72"/>
      <c r="BZ225" s="72"/>
      <c r="CA225" s="72"/>
      <c r="CB225" s="72"/>
      <c r="CC225" s="72"/>
      <c r="CD225" s="72"/>
      <c r="CE225" s="72"/>
      <c r="CF225" s="72"/>
      <c r="CG225" s="72"/>
      <c r="CH225" s="72"/>
    </row>
    <row r="226" ht="15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  <c r="AQ226" s="72"/>
      <c r="AR226" s="72"/>
      <c r="AS226" s="72"/>
      <c r="AT226" s="72"/>
      <c r="AU226" s="72"/>
      <c r="AV226" s="72"/>
      <c r="AW226" s="72"/>
      <c r="AX226" s="72"/>
      <c r="AY226" s="72"/>
      <c r="AZ226" s="72"/>
      <c r="BA226" s="72"/>
      <c r="BB226" s="72"/>
      <c r="BC226" s="72"/>
      <c r="BD226" s="72"/>
      <c r="BE226" s="72"/>
      <c r="BF226" s="72"/>
      <c r="BG226" s="72"/>
      <c r="BH226" s="72"/>
      <c r="BI226" s="72"/>
      <c r="BJ226" s="72"/>
      <c r="BK226" s="72"/>
      <c r="BL226" s="72"/>
      <c r="BM226" s="72"/>
      <c r="BN226" s="72"/>
      <c r="BO226" s="72"/>
      <c r="BP226" s="72"/>
      <c r="BQ226" s="72"/>
      <c r="BR226" s="72"/>
      <c r="BS226" s="72"/>
      <c r="BT226" s="72"/>
      <c r="BU226" s="72"/>
      <c r="BV226" s="72"/>
      <c r="BW226" s="72"/>
      <c r="BX226" s="72"/>
      <c r="BY226" s="72"/>
      <c r="BZ226" s="72"/>
      <c r="CA226" s="72"/>
      <c r="CB226" s="72"/>
      <c r="CC226" s="72"/>
      <c r="CD226" s="72"/>
      <c r="CE226" s="72"/>
      <c r="CF226" s="72"/>
      <c r="CG226" s="72"/>
      <c r="CH226" s="72"/>
    </row>
    <row r="227" ht="15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  <c r="AQ227" s="72"/>
      <c r="AR227" s="72"/>
      <c r="AS227" s="72"/>
      <c r="AT227" s="72"/>
      <c r="AU227" s="72"/>
      <c r="AV227" s="72"/>
      <c r="AW227" s="72"/>
      <c r="AX227" s="72"/>
      <c r="AY227" s="72"/>
      <c r="AZ227" s="72"/>
      <c r="BA227" s="72"/>
      <c r="BB227" s="72"/>
      <c r="BC227" s="72"/>
      <c r="BD227" s="72"/>
      <c r="BE227" s="72"/>
      <c r="BF227" s="72"/>
      <c r="BG227" s="72"/>
      <c r="BH227" s="72"/>
      <c r="BI227" s="72"/>
      <c r="BJ227" s="72"/>
      <c r="BK227" s="72"/>
      <c r="BL227" s="72"/>
      <c r="BM227" s="72"/>
      <c r="BN227" s="72"/>
      <c r="BO227" s="72"/>
      <c r="BP227" s="72"/>
      <c r="BQ227" s="72"/>
      <c r="BR227" s="72"/>
      <c r="BS227" s="72"/>
      <c r="BT227" s="72"/>
      <c r="BU227" s="72"/>
      <c r="BV227" s="72"/>
      <c r="BW227" s="72"/>
      <c r="BX227" s="72"/>
      <c r="BY227" s="72"/>
      <c r="BZ227" s="72"/>
      <c r="CA227" s="72"/>
      <c r="CB227" s="72"/>
      <c r="CC227" s="72"/>
      <c r="CD227" s="72"/>
      <c r="CE227" s="72"/>
      <c r="CF227" s="72"/>
      <c r="CG227" s="72"/>
      <c r="CH227" s="72"/>
    </row>
    <row r="228" ht="15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  <c r="AQ228" s="72"/>
      <c r="AR228" s="72"/>
      <c r="AS228" s="72"/>
      <c r="AT228" s="72"/>
      <c r="AU228" s="72"/>
      <c r="AV228" s="72"/>
      <c r="AW228" s="72"/>
      <c r="AX228" s="72"/>
      <c r="AY228" s="72"/>
      <c r="AZ228" s="72"/>
      <c r="BA228" s="72"/>
      <c r="BB228" s="72"/>
      <c r="BC228" s="72"/>
      <c r="BD228" s="72"/>
      <c r="BE228" s="72"/>
      <c r="BF228" s="72"/>
      <c r="BG228" s="72"/>
      <c r="BH228" s="72"/>
      <c r="BI228" s="72"/>
      <c r="BJ228" s="72"/>
      <c r="BK228" s="72"/>
      <c r="BL228" s="72"/>
      <c r="BM228" s="72"/>
      <c r="BN228" s="72"/>
      <c r="BO228" s="72"/>
      <c r="BP228" s="72"/>
      <c r="BQ228" s="72"/>
      <c r="BR228" s="72"/>
      <c r="BS228" s="72"/>
      <c r="BT228" s="72"/>
      <c r="BU228" s="72"/>
      <c r="BV228" s="72"/>
      <c r="BW228" s="72"/>
      <c r="BX228" s="72"/>
      <c r="BY228" s="72"/>
      <c r="BZ228" s="72"/>
      <c r="CA228" s="72"/>
      <c r="CB228" s="72"/>
      <c r="CC228" s="72"/>
      <c r="CD228" s="72"/>
      <c r="CE228" s="72"/>
      <c r="CF228" s="72"/>
      <c r="CG228" s="72"/>
      <c r="CH228" s="72"/>
    </row>
    <row r="229" ht="15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  <c r="AQ229" s="72"/>
      <c r="AR229" s="72"/>
      <c r="AS229" s="72"/>
      <c r="AT229" s="72"/>
      <c r="AU229" s="72"/>
      <c r="AV229" s="72"/>
      <c r="AW229" s="72"/>
      <c r="AX229" s="72"/>
      <c r="AY229" s="72"/>
      <c r="AZ229" s="72"/>
      <c r="BA229" s="72"/>
      <c r="BB229" s="72"/>
      <c r="BC229" s="72"/>
      <c r="BD229" s="72"/>
      <c r="BE229" s="72"/>
      <c r="BF229" s="72"/>
      <c r="BG229" s="72"/>
      <c r="BH229" s="72"/>
      <c r="BI229" s="72"/>
      <c r="BJ229" s="72"/>
      <c r="BK229" s="72"/>
      <c r="BL229" s="72"/>
      <c r="BM229" s="72"/>
      <c r="BN229" s="72"/>
      <c r="BO229" s="72"/>
      <c r="BP229" s="72"/>
      <c r="BQ229" s="72"/>
      <c r="BR229" s="72"/>
      <c r="BS229" s="72"/>
      <c r="BT229" s="72"/>
      <c r="BU229" s="72"/>
      <c r="BV229" s="72"/>
      <c r="BW229" s="72"/>
      <c r="BX229" s="72"/>
      <c r="BY229" s="72"/>
      <c r="BZ229" s="72"/>
      <c r="CA229" s="72"/>
      <c r="CB229" s="72"/>
      <c r="CC229" s="72"/>
      <c r="CD229" s="72"/>
      <c r="CE229" s="72"/>
      <c r="CF229" s="72"/>
      <c r="CG229" s="72"/>
      <c r="CH229" s="72"/>
    </row>
    <row r="230" ht="15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  <c r="AQ230" s="72"/>
      <c r="AR230" s="72"/>
      <c r="AS230" s="72"/>
      <c r="AT230" s="72"/>
      <c r="AU230" s="72"/>
      <c r="AV230" s="72"/>
      <c r="AW230" s="72"/>
      <c r="AX230" s="72"/>
      <c r="AY230" s="72"/>
      <c r="AZ230" s="72"/>
      <c r="BA230" s="72"/>
      <c r="BB230" s="72"/>
      <c r="BC230" s="72"/>
      <c r="BD230" s="72"/>
      <c r="BE230" s="72"/>
      <c r="BF230" s="72"/>
      <c r="BG230" s="72"/>
      <c r="BH230" s="72"/>
      <c r="BI230" s="72"/>
      <c r="BJ230" s="72"/>
      <c r="BK230" s="72"/>
      <c r="BL230" s="72"/>
      <c r="BM230" s="72"/>
      <c r="BN230" s="72"/>
      <c r="BO230" s="72"/>
      <c r="BP230" s="72"/>
      <c r="BQ230" s="72"/>
      <c r="BR230" s="72"/>
      <c r="BS230" s="72"/>
      <c r="BT230" s="72"/>
      <c r="BU230" s="72"/>
      <c r="BV230" s="72"/>
      <c r="BW230" s="72"/>
      <c r="BX230" s="72"/>
      <c r="BY230" s="72"/>
      <c r="BZ230" s="72"/>
      <c r="CA230" s="72"/>
      <c r="CB230" s="72"/>
      <c r="CC230" s="72"/>
      <c r="CD230" s="72"/>
      <c r="CE230" s="72"/>
      <c r="CF230" s="72"/>
      <c r="CG230" s="72"/>
      <c r="CH230" s="72"/>
    </row>
    <row r="231" ht="15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  <c r="AQ231" s="72"/>
      <c r="AR231" s="72"/>
      <c r="AS231" s="72"/>
      <c r="AT231" s="72"/>
      <c r="AU231" s="72"/>
      <c r="AV231" s="72"/>
      <c r="AW231" s="72"/>
      <c r="AX231" s="72"/>
      <c r="AY231" s="72"/>
      <c r="AZ231" s="72"/>
      <c r="BA231" s="72"/>
      <c r="BB231" s="72"/>
      <c r="BC231" s="72"/>
      <c r="BD231" s="72"/>
      <c r="BE231" s="72"/>
      <c r="BF231" s="72"/>
      <c r="BG231" s="72"/>
      <c r="BH231" s="72"/>
      <c r="BI231" s="72"/>
      <c r="BJ231" s="72"/>
      <c r="BK231" s="72"/>
      <c r="BL231" s="72"/>
      <c r="BM231" s="72"/>
      <c r="BN231" s="72"/>
      <c r="BO231" s="72"/>
      <c r="BP231" s="72"/>
      <c r="BQ231" s="72"/>
      <c r="BR231" s="72"/>
      <c r="BS231" s="72"/>
      <c r="BT231" s="72"/>
      <c r="BU231" s="72"/>
      <c r="BV231" s="72"/>
      <c r="BW231" s="72"/>
      <c r="BX231" s="72"/>
      <c r="BY231" s="72"/>
      <c r="BZ231" s="72"/>
      <c r="CA231" s="72"/>
      <c r="CB231" s="72"/>
      <c r="CC231" s="72"/>
      <c r="CD231" s="72"/>
      <c r="CE231" s="72"/>
      <c r="CF231" s="72"/>
      <c r="CG231" s="72"/>
      <c r="CH231" s="72"/>
    </row>
    <row r="232" ht="15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  <c r="AQ232" s="72"/>
      <c r="AR232" s="72"/>
      <c r="AS232" s="72"/>
      <c r="AT232" s="72"/>
      <c r="AU232" s="72"/>
      <c r="AV232" s="72"/>
      <c r="AW232" s="72"/>
      <c r="AX232" s="72"/>
      <c r="AY232" s="72"/>
      <c r="AZ232" s="72"/>
      <c r="BA232" s="72"/>
      <c r="BB232" s="72"/>
      <c r="BC232" s="72"/>
      <c r="BD232" s="72"/>
      <c r="BE232" s="72"/>
      <c r="BF232" s="72"/>
      <c r="BG232" s="72"/>
      <c r="BH232" s="72"/>
      <c r="BI232" s="72"/>
      <c r="BJ232" s="72"/>
      <c r="BK232" s="72"/>
      <c r="BL232" s="72"/>
      <c r="BM232" s="72"/>
      <c r="BN232" s="72"/>
      <c r="BO232" s="72"/>
      <c r="BP232" s="72"/>
      <c r="BQ232" s="72"/>
      <c r="BR232" s="72"/>
      <c r="BS232" s="72"/>
      <c r="BT232" s="72"/>
      <c r="BU232" s="72"/>
      <c r="BV232" s="72"/>
      <c r="BW232" s="72"/>
      <c r="BX232" s="72"/>
      <c r="BY232" s="72"/>
      <c r="BZ232" s="72"/>
      <c r="CA232" s="72"/>
      <c r="CB232" s="72"/>
      <c r="CC232" s="72"/>
      <c r="CD232" s="72"/>
      <c r="CE232" s="72"/>
      <c r="CF232" s="72"/>
      <c r="CG232" s="72"/>
      <c r="CH232" s="72"/>
    </row>
    <row r="233" ht="15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  <c r="AQ233" s="72"/>
      <c r="AR233" s="72"/>
      <c r="AS233" s="72"/>
      <c r="AT233" s="72"/>
      <c r="AU233" s="72"/>
      <c r="AV233" s="72"/>
      <c r="AW233" s="72"/>
      <c r="AX233" s="72"/>
      <c r="AY233" s="72"/>
      <c r="AZ233" s="72"/>
      <c r="BA233" s="72"/>
      <c r="BB233" s="72"/>
      <c r="BC233" s="72"/>
      <c r="BD233" s="72"/>
      <c r="BE233" s="72"/>
      <c r="BF233" s="72"/>
      <c r="BG233" s="72"/>
      <c r="BH233" s="72"/>
      <c r="BI233" s="72"/>
      <c r="BJ233" s="72"/>
      <c r="BK233" s="72"/>
      <c r="BL233" s="72"/>
      <c r="BM233" s="72"/>
      <c r="BN233" s="72"/>
      <c r="BO233" s="72"/>
      <c r="BP233" s="72"/>
      <c r="BQ233" s="72"/>
      <c r="BR233" s="72"/>
      <c r="BS233" s="72"/>
      <c r="BT233" s="72"/>
      <c r="BU233" s="72"/>
      <c r="BV233" s="72"/>
      <c r="BW233" s="72"/>
      <c r="BX233" s="72"/>
      <c r="BY233" s="72"/>
      <c r="BZ233" s="72"/>
      <c r="CA233" s="72"/>
      <c r="CB233" s="72"/>
      <c r="CC233" s="72"/>
      <c r="CD233" s="72"/>
      <c r="CE233" s="72"/>
      <c r="CF233" s="72"/>
      <c r="CG233" s="72"/>
      <c r="CH233" s="72"/>
    </row>
    <row r="234" ht="15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  <c r="AQ234" s="72"/>
      <c r="AR234" s="72"/>
      <c r="AS234" s="72"/>
      <c r="AT234" s="72"/>
      <c r="AU234" s="72"/>
      <c r="AV234" s="72"/>
      <c r="AW234" s="72"/>
      <c r="AX234" s="72"/>
      <c r="AY234" s="72"/>
      <c r="AZ234" s="72"/>
      <c r="BA234" s="72"/>
      <c r="BB234" s="72"/>
      <c r="BC234" s="72"/>
      <c r="BD234" s="72"/>
      <c r="BE234" s="72"/>
      <c r="BF234" s="72"/>
      <c r="BG234" s="72"/>
      <c r="BH234" s="72"/>
      <c r="BI234" s="72"/>
      <c r="BJ234" s="72"/>
      <c r="BK234" s="72"/>
      <c r="BL234" s="72"/>
      <c r="BM234" s="72"/>
      <c r="BN234" s="72"/>
      <c r="BO234" s="72"/>
      <c r="BP234" s="72"/>
      <c r="BQ234" s="72"/>
      <c r="BR234" s="72"/>
      <c r="BS234" s="72"/>
      <c r="BT234" s="72"/>
      <c r="BU234" s="72"/>
      <c r="BV234" s="72"/>
      <c r="BW234" s="72"/>
      <c r="BX234" s="72"/>
      <c r="BY234" s="72"/>
      <c r="BZ234" s="72"/>
      <c r="CA234" s="72"/>
      <c r="CB234" s="72"/>
      <c r="CC234" s="72"/>
      <c r="CD234" s="72"/>
      <c r="CE234" s="72"/>
      <c r="CF234" s="72"/>
      <c r="CG234" s="72"/>
      <c r="CH234" s="72"/>
    </row>
    <row r="235" ht="15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  <c r="AQ235" s="72"/>
      <c r="AR235" s="72"/>
      <c r="AS235" s="72"/>
      <c r="AT235" s="72"/>
      <c r="AU235" s="72"/>
      <c r="AV235" s="72"/>
      <c r="AW235" s="72"/>
      <c r="AX235" s="72"/>
      <c r="AY235" s="72"/>
      <c r="AZ235" s="72"/>
      <c r="BA235" s="72"/>
      <c r="BB235" s="72"/>
      <c r="BC235" s="72"/>
      <c r="BD235" s="72"/>
      <c r="BE235" s="72"/>
      <c r="BF235" s="72"/>
      <c r="BG235" s="72"/>
      <c r="BH235" s="72"/>
      <c r="BI235" s="72"/>
      <c r="BJ235" s="72"/>
      <c r="BK235" s="72"/>
      <c r="BL235" s="72"/>
      <c r="BM235" s="72"/>
      <c r="BN235" s="72"/>
      <c r="BO235" s="72"/>
      <c r="BP235" s="72"/>
      <c r="BQ235" s="72"/>
      <c r="BR235" s="72"/>
      <c r="BS235" s="72"/>
      <c r="BT235" s="72"/>
      <c r="BU235" s="72"/>
      <c r="BV235" s="72"/>
      <c r="BW235" s="72"/>
      <c r="BX235" s="72"/>
      <c r="BY235" s="72"/>
      <c r="BZ235" s="72"/>
      <c r="CA235" s="72"/>
      <c r="CB235" s="72"/>
      <c r="CC235" s="72"/>
      <c r="CD235" s="72"/>
      <c r="CE235" s="72"/>
      <c r="CF235" s="72"/>
      <c r="CG235" s="72"/>
      <c r="CH235" s="72"/>
    </row>
    <row r="236" ht="15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  <c r="AQ236" s="72"/>
      <c r="AR236" s="72"/>
      <c r="AS236" s="72"/>
      <c r="AT236" s="72"/>
      <c r="AU236" s="72"/>
      <c r="AV236" s="72"/>
      <c r="AW236" s="72"/>
      <c r="AX236" s="72"/>
      <c r="AY236" s="72"/>
      <c r="AZ236" s="72"/>
      <c r="BA236" s="72"/>
      <c r="BB236" s="72"/>
      <c r="BC236" s="72"/>
      <c r="BD236" s="72"/>
      <c r="BE236" s="72"/>
      <c r="BF236" s="72"/>
      <c r="BG236" s="72"/>
      <c r="BH236" s="72"/>
      <c r="BI236" s="72"/>
      <c r="BJ236" s="72"/>
      <c r="BK236" s="72"/>
      <c r="BL236" s="72"/>
      <c r="BM236" s="72"/>
      <c r="BN236" s="72"/>
      <c r="BO236" s="72"/>
      <c r="BP236" s="72"/>
      <c r="BQ236" s="72"/>
      <c r="BR236" s="72"/>
      <c r="BS236" s="72"/>
      <c r="BT236" s="72"/>
      <c r="BU236" s="72"/>
      <c r="BV236" s="72"/>
      <c r="BW236" s="72"/>
      <c r="BX236" s="72"/>
      <c r="BY236" s="72"/>
      <c r="BZ236" s="72"/>
      <c r="CA236" s="72"/>
      <c r="CB236" s="72"/>
      <c r="CC236" s="72"/>
      <c r="CD236" s="72"/>
      <c r="CE236" s="72"/>
      <c r="CF236" s="72"/>
      <c r="CG236" s="72"/>
      <c r="CH236" s="72"/>
    </row>
    <row r="237" ht="15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  <c r="AQ237" s="72"/>
      <c r="AR237" s="72"/>
      <c r="AS237" s="72"/>
      <c r="AT237" s="72"/>
      <c r="AU237" s="72"/>
      <c r="AV237" s="72"/>
      <c r="AW237" s="72"/>
      <c r="AX237" s="72"/>
      <c r="AY237" s="72"/>
      <c r="AZ237" s="72"/>
      <c r="BA237" s="72"/>
      <c r="BB237" s="72"/>
      <c r="BC237" s="72"/>
      <c r="BD237" s="72"/>
      <c r="BE237" s="72"/>
      <c r="BF237" s="72"/>
      <c r="BG237" s="72"/>
      <c r="BH237" s="72"/>
      <c r="BI237" s="72"/>
      <c r="BJ237" s="72"/>
      <c r="BK237" s="72"/>
      <c r="BL237" s="72"/>
      <c r="BM237" s="72"/>
      <c r="BN237" s="72"/>
      <c r="BO237" s="72"/>
      <c r="BP237" s="72"/>
      <c r="BQ237" s="72"/>
      <c r="BR237" s="72"/>
      <c r="BS237" s="72"/>
      <c r="BT237" s="72"/>
      <c r="BU237" s="72"/>
      <c r="BV237" s="72"/>
      <c r="BW237" s="72"/>
      <c r="BX237" s="72"/>
      <c r="BY237" s="72"/>
      <c r="BZ237" s="72"/>
      <c r="CA237" s="72"/>
      <c r="CB237" s="72"/>
      <c r="CC237" s="72"/>
      <c r="CD237" s="72"/>
      <c r="CE237" s="72"/>
      <c r="CF237" s="72"/>
      <c r="CG237" s="72"/>
      <c r="CH237" s="72"/>
    </row>
    <row r="238" ht="15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  <c r="AQ238" s="72"/>
      <c r="AR238" s="72"/>
      <c r="AS238" s="72"/>
      <c r="AT238" s="72"/>
      <c r="AU238" s="72"/>
      <c r="AV238" s="72"/>
      <c r="AW238" s="72"/>
      <c r="AX238" s="72"/>
      <c r="AY238" s="72"/>
      <c r="AZ238" s="72"/>
      <c r="BA238" s="72"/>
      <c r="BB238" s="72"/>
      <c r="BC238" s="72"/>
      <c r="BD238" s="72"/>
      <c r="BE238" s="72"/>
      <c r="BF238" s="72"/>
      <c r="BG238" s="72"/>
      <c r="BH238" s="72"/>
      <c r="BI238" s="72"/>
      <c r="BJ238" s="72"/>
      <c r="BK238" s="72"/>
      <c r="BL238" s="72"/>
      <c r="BM238" s="72"/>
      <c r="BN238" s="72"/>
      <c r="BO238" s="72"/>
      <c r="BP238" s="72"/>
      <c r="BQ238" s="72"/>
      <c r="BR238" s="72"/>
      <c r="BS238" s="72"/>
      <c r="BT238" s="72"/>
      <c r="BU238" s="72"/>
      <c r="BV238" s="72"/>
      <c r="BW238" s="72"/>
      <c r="BX238" s="72"/>
      <c r="BY238" s="72"/>
      <c r="BZ238" s="72"/>
      <c r="CA238" s="72"/>
      <c r="CB238" s="72"/>
      <c r="CC238" s="72"/>
      <c r="CD238" s="72"/>
      <c r="CE238" s="72"/>
      <c r="CF238" s="72"/>
      <c r="CG238" s="72"/>
      <c r="CH238" s="72"/>
    </row>
    <row r="239" ht="15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  <c r="AQ239" s="72"/>
      <c r="AR239" s="72"/>
      <c r="AS239" s="72"/>
      <c r="AT239" s="72"/>
      <c r="AU239" s="72"/>
      <c r="AV239" s="72"/>
      <c r="AW239" s="72"/>
      <c r="AX239" s="72"/>
      <c r="AY239" s="72"/>
      <c r="AZ239" s="72"/>
      <c r="BA239" s="72"/>
      <c r="BB239" s="72"/>
      <c r="BC239" s="72"/>
      <c r="BD239" s="72"/>
      <c r="BE239" s="72"/>
      <c r="BF239" s="72"/>
      <c r="BG239" s="72"/>
      <c r="BH239" s="72"/>
      <c r="BI239" s="72"/>
      <c r="BJ239" s="72"/>
      <c r="BK239" s="72"/>
      <c r="BL239" s="72"/>
      <c r="BM239" s="72"/>
      <c r="BN239" s="72"/>
      <c r="BO239" s="72"/>
      <c r="BP239" s="72"/>
      <c r="BQ239" s="72"/>
      <c r="BR239" s="72"/>
      <c r="BS239" s="72"/>
      <c r="BT239" s="72"/>
      <c r="BU239" s="72"/>
      <c r="BV239" s="72"/>
      <c r="BW239" s="72"/>
      <c r="BX239" s="72"/>
      <c r="BY239" s="72"/>
      <c r="BZ239" s="72"/>
      <c r="CA239" s="72"/>
      <c r="CB239" s="72"/>
      <c r="CC239" s="72"/>
      <c r="CD239" s="72"/>
      <c r="CE239" s="72"/>
      <c r="CF239" s="72"/>
      <c r="CG239" s="72"/>
      <c r="CH239" s="72"/>
    </row>
    <row r="240" ht="15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  <c r="AQ240" s="72"/>
      <c r="AR240" s="72"/>
      <c r="AS240" s="72"/>
      <c r="AT240" s="72"/>
      <c r="AU240" s="72"/>
      <c r="AV240" s="72"/>
      <c r="AW240" s="72"/>
      <c r="AX240" s="72"/>
      <c r="AY240" s="72"/>
      <c r="AZ240" s="72"/>
      <c r="BA240" s="72"/>
      <c r="BB240" s="72"/>
      <c r="BC240" s="72"/>
      <c r="BD240" s="72"/>
      <c r="BE240" s="72"/>
      <c r="BF240" s="72"/>
      <c r="BG240" s="72"/>
      <c r="BH240" s="72"/>
      <c r="BI240" s="72"/>
      <c r="BJ240" s="72"/>
      <c r="BK240" s="72"/>
      <c r="BL240" s="72"/>
      <c r="BM240" s="72"/>
      <c r="BN240" s="72"/>
      <c r="BO240" s="72"/>
      <c r="BP240" s="72"/>
      <c r="BQ240" s="72"/>
      <c r="BR240" s="72"/>
      <c r="BS240" s="72"/>
      <c r="BT240" s="72"/>
      <c r="BU240" s="72"/>
      <c r="BV240" s="72"/>
      <c r="BW240" s="72"/>
      <c r="BX240" s="72"/>
      <c r="BY240" s="72"/>
      <c r="BZ240" s="72"/>
      <c r="CA240" s="72"/>
      <c r="CB240" s="72"/>
      <c r="CC240" s="72"/>
      <c r="CD240" s="72"/>
      <c r="CE240" s="72"/>
      <c r="CF240" s="72"/>
      <c r="CG240" s="72"/>
      <c r="CH240" s="72"/>
    </row>
    <row r="241" ht="15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  <c r="AQ241" s="72"/>
      <c r="AR241" s="72"/>
      <c r="AS241" s="72"/>
      <c r="AT241" s="72"/>
      <c r="AU241" s="72"/>
      <c r="AV241" s="72"/>
      <c r="AW241" s="72"/>
      <c r="AX241" s="72"/>
      <c r="AY241" s="72"/>
      <c r="AZ241" s="72"/>
      <c r="BA241" s="72"/>
      <c r="BB241" s="72"/>
      <c r="BC241" s="72"/>
      <c r="BD241" s="72"/>
      <c r="BE241" s="72"/>
      <c r="BF241" s="72"/>
      <c r="BG241" s="72"/>
      <c r="BH241" s="72"/>
      <c r="BI241" s="72"/>
      <c r="BJ241" s="72"/>
      <c r="BK241" s="72"/>
      <c r="BL241" s="72"/>
      <c r="BM241" s="72"/>
      <c r="BN241" s="72"/>
      <c r="BO241" s="72"/>
      <c r="BP241" s="72"/>
      <c r="BQ241" s="72"/>
      <c r="BR241" s="72"/>
      <c r="BS241" s="72"/>
      <c r="BT241" s="72"/>
      <c r="BU241" s="72"/>
      <c r="BV241" s="72"/>
      <c r="BW241" s="72"/>
      <c r="BX241" s="72"/>
      <c r="BY241" s="72"/>
      <c r="BZ241" s="72"/>
      <c r="CA241" s="72"/>
      <c r="CB241" s="72"/>
      <c r="CC241" s="72"/>
      <c r="CD241" s="72"/>
      <c r="CE241" s="72"/>
      <c r="CF241" s="72"/>
      <c r="CG241" s="72"/>
      <c r="CH241" s="72"/>
    </row>
    <row r="242" ht="15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  <c r="AQ242" s="72"/>
      <c r="AR242" s="72"/>
      <c r="AS242" s="72"/>
      <c r="AT242" s="72"/>
      <c r="AU242" s="72"/>
      <c r="AV242" s="72"/>
      <c r="AW242" s="72"/>
      <c r="AX242" s="72"/>
      <c r="AY242" s="72"/>
      <c r="AZ242" s="72"/>
      <c r="BA242" s="72"/>
      <c r="BB242" s="72"/>
      <c r="BC242" s="72"/>
      <c r="BD242" s="72"/>
      <c r="BE242" s="72"/>
      <c r="BF242" s="72"/>
      <c r="BG242" s="72"/>
      <c r="BH242" s="72"/>
      <c r="BI242" s="72"/>
      <c r="BJ242" s="72"/>
      <c r="BK242" s="72"/>
      <c r="BL242" s="72"/>
      <c r="BM242" s="72"/>
      <c r="BN242" s="72"/>
      <c r="BO242" s="72"/>
      <c r="BP242" s="72"/>
      <c r="BQ242" s="72"/>
      <c r="BR242" s="72"/>
      <c r="BS242" s="72"/>
      <c r="BT242" s="72"/>
      <c r="BU242" s="72"/>
      <c r="BV242" s="72"/>
      <c r="BW242" s="72"/>
      <c r="BX242" s="72"/>
      <c r="BY242" s="72"/>
      <c r="BZ242" s="72"/>
      <c r="CA242" s="72"/>
      <c r="CB242" s="72"/>
      <c r="CC242" s="72"/>
      <c r="CD242" s="72"/>
      <c r="CE242" s="72"/>
      <c r="CF242" s="72"/>
      <c r="CG242" s="72"/>
      <c r="CH242" s="72"/>
    </row>
    <row r="243" ht="15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  <c r="AQ243" s="72"/>
      <c r="AR243" s="72"/>
      <c r="AS243" s="72"/>
      <c r="AT243" s="72"/>
      <c r="AU243" s="72"/>
      <c r="AV243" s="72"/>
      <c r="AW243" s="72"/>
      <c r="AX243" s="72"/>
      <c r="AY243" s="72"/>
      <c r="AZ243" s="72"/>
      <c r="BA243" s="72"/>
      <c r="BB243" s="72"/>
      <c r="BC243" s="72"/>
      <c r="BD243" s="72"/>
      <c r="BE243" s="72"/>
      <c r="BF243" s="72"/>
      <c r="BG243" s="72"/>
      <c r="BH243" s="72"/>
      <c r="BI243" s="72"/>
      <c r="BJ243" s="72"/>
      <c r="BK243" s="72"/>
      <c r="BL243" s="72"/>
      <c r="BM243" s="72"/>
      <c r="BN243" s="72"/>
      <c r="BO243" s="72"/>
      <c r="BP243" s="72"/>
      <c r="BQ243" s="72"/>
      <c r="BR243" s="72"/>
      <c r="BS243" s="72"/>
      <c r="BT243" s="72"/>
      <c r="BU243" s="72"/>
      <c r="BV243" s="72"/>
      <c r="BW243" s="72"/>
      <c r="BX243" s="72"/>
      <c r="BY243" s="72"/>
      <c r="BZ243" s="72"/>
      <c r="CA243" s="72"/>
      <c r="CB243" s="72"/>
      <c r="CC243" s="72"/>
      <c r="CD243" s="72"/>
      <c r="CE243" s="72"/>
      <c r="CF243" s="72"/>
      <c r="CG243" s="72"/>
      <c r="CH243" s="72"/>
    </row>
    <row r="244" ht="15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  <c r="AQ244" s="72"/>
      <c r="AR244" s="72"/>
      <c r="AS244" s="72"/>
      <c r="AT244" s="72"/>
      <c r="AU244" s="72"/>
      <c r="AV244" s="72"/>
      <c r="AW244" s="72"/>
      <c r="AX244" s="72"/>
      <c r="AY244" s="72"/>
      <c r="AZ244" s="72"/>
      <c r="BA244" s="72"/>
      <c r="BB244" s="72"/>
      <c r="BC244" s="72"/>
      <c r="BD244" s="72"/>
      <c r="BE244" s="72"/>
      <c r="BF244" s="72"/>
      <c r="BG244" s="72"/>
      <c r="BH244" s="72"/>
      <c r="BI244" s="72"/>
      <c r="BJ244" s="72"/>
      <c r="BK244" s="72"/>
      <c r="BL244" s="72"/>
      <c r="BM244" s="72"/>
      <c r="BN244" s="72"/>
      <c r="BO244" s="72"/>
      <c r="BP244" s="72"/>
      <c r="BQ244" s="72"/>
      <c r="BR244" s="72"/>
      <c r="BS244" s="72"/>
      <c r="BT244" s="72"/>
      <c r="BU244" s="72"/>
      <c r="BV244" s="72"/>
      <c r="BW244" s="72"/>
      <c r="BX244" s="72"/>
      <c r="BY244" s="72"/>
      <c r="BZ244" s="72"/>
      <c r="CA244" s="72"/>
      <c r="CB244" s="72"/>
      <c r="CC244" s="72"/>
      <c r="CD244" s="72"/>
      <c r="CE244" s="72"/>
      <c r="CF244" s="72"/>
      <c r="CG244" s="72"/>
      <c r="CH244" s="72"/>
    </row>
    <row r="245" ht="15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  <c r="AQ245" s="72"/>
      <c r="AR245" s="72"/>
      <c r="AS245" s="72"/>
      <c r="AT245" s="72"/>
      <c r="AU245" s="72"/>
      <c r="AV245" s="72"/>
      <c r="AW245" s="72"/>
      <c r="AX245" s="72"/>
      <c r="AY245" s="72"/>
      <c r="AZ245" s="72"/>
      <c r="BA245" s="72"/>
      <c r="BB245" s="72"/>
      <c r="BC245" s="72"/>
      <c r="BD245" s="72"/>
      <c r="BE245" s="72"/>
      <c r="BF245" s="72"/>
      <c r="BG245" s="72"/>
      <c r="BH245" s="72"/>
      <c r="BI245" s="72"/>
      <c r="BJ245" s="72"/>
      <c r="BK245" s="72"/>
      <c r="BL245" s="72"/>
      <c r="BM245" s="72"/>
      <c r="BN245" s="72"/>
      <c r="BO245" s="72"/>
      <c r="BP245" s="72"/>
      <c r="BQ245" s="72"/>
      <c r="BR245" s="72"/>
      <c r="BS245" s="72"/>
      <c r="BT245" s="72"/>
      <c r="BU245" s="72"/>
      <c r="BV245" s="72"/>
      <c r="BW245" s="72"/>
      <c r="BX245" s="72"/>
      <c r="BY245" s="72"/>
      <c r="BZ245" s="72"/>
      <c r="CA245" s="72"/>
      <c r="CB245" s="72"/>
      <c r="CC245" s="72"/>
      <c r="CD245" s="72"/>
      <c r="CE245" s="72"/>
      <c r="CF245" s="72"/>
      <c r="CG245" s="72"/>
      <c r="CH245" s="72"/>
    </row>
    <row r="246" ht="15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  <c r="AQ246" s="72"/>
      <c r="AR246" s="72"/>
      <c r="AS246" s="72"/>
      <c r="AT246" s="72"/>
      <c r="AU246" s="72"/>
      <c r="AV246" s="72"/>
      <c r="AW246" s="72"/>
      <c r="AX246" s="72"/>
      <c r="AY246" s="72"/>
      <c r="AZ246" s="72"/>
      <c r="BA246" s="72"/>
      <c r="BB246" s="72"/>
      <c r="BC246" s="72"/>
      <c r="BD246" s="72"/>
      <c r="BE246" s="72"/>
      <c r="BF246" s="72"/>
      <c r="BG246" s="72"/>
      <c r="BH246" s="72"/>
      <c r="BI246" s="72"/>
      <c r="BJ246" s="72"/>
      <c r="BK246" s="72"/>
      <c r="BL246" s="72"/>
      <c r="BM246" s="72"/>
      <c r="BN246" s="72"/>
      <c r="BO246" s="72"/>
      <c r="BP246" s="72"/>
      <c r="BQ246" s="72"/>
      <c r="BR246" s="72"/>
      <c r="BS246" s="72"/>
      <c r="BT246" s="72"/>
      <c r="BU246" s="72"/>
      <c r="BV246" s="72"/>
      <c r="BW246" s="72"/>
      <c r="BX246" s="72"/>
      <c r="BY246" s="72"/>
      <c r="BZ246" s="72"/>
      <c r="CA246" s="72"/>
      <c r="CB246" s="72"/>
      <c r="CC246" s="72"/>
      <c r="CD246" s="72"/>
      <c r="CE246" s="72"/>
      <c r="CF246" s="72"/>
      <c r="CG246" s="72"/>
      <c r="CH246" s="72"/>
    </row>
    <row r="247" ht="15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  <c r="AR247" s="72"/>
      <c r="AS247" s="72"/>
      <c r="AT247" s="72"/>
      <c r="AU247" s="72"/>
      <c r="AV247" s="72"/>
      <c r="AW247" s="72"/>
      <c r="AX247" s="72"/>
      <c r="AY247" s="72"/>
      <c r="AZ247" s="72"/>
      <c r="BA247" s="72"/>
      <c r="BB247" s="72"/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  <c r="BM247" s="72"/>
      <c r="BN247" s="72"/>
      <c r="BO247" s="72"/>
      <c r="BP247" s="72"/>
      <c r="BQ247" s="72"/>
      <c r="BR247" s="72"/>
      <c r="BS247" s="72"/>
      <c r="BT247" s="72"/>
      <c r="BU247" s="72"/>
      <c r="BV247" s="72"/>
      <c r="BW247" s="72"/>
      <c r="BX247" s="72"/>
      <c r="BY247" s="72"/>
      <c r="BZ247" s="72"/>
      <c r="CA247" s="72"/>
      <c r="CB247" s="72"/>
      <c r="CC247" s="72"/>
      <c r="CD247" s="72"/>
      <c r="CE247" s="72"/>
      <c r="CF247" s="72"/>
      <c r="CG247" s="72"/>
      <c r="CH247" s="72"/>
    </row>
    <row r="248" ht="15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  <c r="AQ248" s="72"/>
      <c r="AR248" s="72"/>
      <c r="AS248" s="72"/>
      <c r="AT248" s="72"/>
      <c r="AU248" s="72"/>
      <c r="AV248" s="72"/>
      <c r="AW248" s="72"/>
      <c r="AX248" s="72"/>
      <c r="AY248" s="72"/>
      <c r="AZ248" s="72"/>
      <c r="BA248" s="72"/>
      <c r="BB248" s="72"/>
      <c r="BC248" s="72"/>
      <c r="BD248" s="72"/>
      <c r="BE248" s="72"/>
      <c r="BF248" s="72"/>
      <c r="BG248" s="72"/>
      <c r="BH248" s="72"/>
      <c r="BI248" s="72"/>
      <c r="BJ248" s="72"/>
      <c r="BK248" s="72"/>
      <c r="BL248" s="72"/>
      <c r="BM248" s="72"/>
      <c r="BN248" s="72"/>
      <c r="BO248" s="72"/>
      <c r="BP248" s="72"/>
      <c r="BQ248" s="72"/>
      <c r="BR248" s="72"/>
      <c r="BS248" s="72"/>
      <c r="BT248" s="72"/>
      <c r="BU248" s="72"/>
      <c r="BV248" s="72"/>
      <c r="BW248" s="72"/>
      <c r="BX248" s="72"/>
      <c r="BY248" s="72"/>
      <c r="BZ248" s="72"/>
      <c r="CA248" s="72"/>
      <c r="CB248" s="72"/>
      <c r="CC248" s="72"/>
      <c r="CD248" s="72"/>
      <c r="CE248" s="72"/>
      <c r="CF248" s="72"/>
      <c r="CG248" s="72"/>
      <c r="CH248" s="72"/>
    </row>
    <row r="249" ht="15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  <c r="AQ249" s="72"/>
      <c r="AR249" s="72"/>
      <c r="AS249" s="72"/>
      <c r="AT249" s="72"/>
      <c r="AU249" s="72"/>
      <c r="AV249" s="72"/>
      <c r="AW249" s="72"/>
      <c r="AX249" s="72"/>
      <c r="AY249" s="72"/>
      <c r="AZ249" s="72"/>
      <c r="BA249" s="72"/>
      <c r="BB249" s="72"/>
      <c r="BC249" s="72"/>
      <c r="BD249" s="72"/>
      <c r="BE249" s="72"/>
      <c r="BF249" s="72"/>
      <c r="BG249" s="72"/>
      <c r="BH249" s="72"/>
      <c r="BI249" s="72"/>
      <c r="BJ249" s="72"/>
      <c r="BK249" s="72"/>
      <c r="BL249" s="72"/>
      <c r="BM249" s="72"/>
      <c r="BN249" s="72"/>
      <c r="BO249" s="72"/>
      <c r="BP249" s="72"/>
      <c r="BQ249" s="72"/>
      <c r="BR249" s="72"/>
      <c r="BS249" s="72"/>
      <c r="BT249" s="72"/>
      <c r="BU249" s="72"/>
      <c r="BV249" s="72"/>
      <c r="BW249" s="72"/>
      <c r="BX249" s="72"/>
      <c r="BY249" s="72"/>
      <c r="BZ249" s="72"/>
      <c r="CA249" s="72"/>
      <c r="CB249" s="72"/>
      <c r="CC249" s="72"/>
      <c r="CD249" s="72"/>
      <c r="CE249" s="72"/>
      <c r="CF249" s="72"/>
      <c r="CG249" s="72"/>
      <c r="CH249" s="72"/>
    </row>
    <row r="250" ht="15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  <c r="AQ250" s="72"/>
      <c r="AR250" s="72"/>
      <c r="AS250" s="72"/>
      <c r="AT250" s="72"/>
      <c r="AU250" s="72"/>
      <c r="AV250" s="72"/>
      <c r="AW250" s="72"/>
      <c r="AX250" s="72"/>
      <c r="AY250" s="72"/>
      <c r="AZ250" s="72"/>
      <c r="BA250" s="72"/>
      <c r="BB250" s="72"/>
      <c r="BC250" s="72"/>
      <c r="BD250" s="72"/>
      <c r="BE250" s="72"/>
      <c r="BF250" s="72"/>
      <c r="BG250" s="72"/>
      <c r="BH250" s="72"/>
      <c r="BI250" s="72"/>
      <c r="BJ250" s="72"/>
      <c r="BK250" s="72"/>
      <c r="BL250" s="72"/>
      <c r="BM250" s="72"/>
      <c r="BN250" s="72"/>
      <c r="BO250" s="72"/>
      <c r="BP250" s="72"/>
      <c r="BQ250" s="72"/>
      <c r="BR250" s="72"/>
      <c r="BS250" s="72"/>
      <c r="BT250" s="72"/>
      <c r="BU250" s="72"/>
      <c r="BV250" s="72"/>
      <c r="BW250" s="72"/>
      <c r="BX250" s="72"/>
      <c r="BY250" s="72"/>
      <c r="BZ250" s="72"/>
      <c r="CA250" s="72"/>
      <c r="CB250" s="72"/>
      <c r="CC250" s="72"/>
      <c r="CD250" s="72"/>
      <c r="CE250" s="72"/>
      <c r="CF250" s="72"/>
      <c r="CG250" s="72"/>
      <c r="CH250" s="72"/>
    </row>
    <row r="251" ht="15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  <c r="AQ251" s="72"/>
      <c r="AR251" s="72"/>
      <c r="AS251" s="72"/>
      <c r="AT251" s="72"/>
      <c r="AU251" s="72"/>
      <c r="AV251" s="72"/>
      <c r="AW251" s="72"/>
      <c r="AX251" s="72"/>
      <c r="AY251" s="72"/>
      <c r="AZ251" s="72"/>
      <c r="BA251" s="72"/>
      <c r="BB251" s="72"/>
      <c r="BC251" s="72"/>
      <c r="BD251" s="72"/>
      <c r="BE251" s="72"/>
      <c r="BF251" s="72"/>
      <c r="BG251" s="72"/>
      <c r="BH251" s="72"/>
      <c r="BI251" s="72"/>
      <c r="BJ251" s="72"/>
      <c r="BK251" s="72"/>
      <c r="BL251" s="72"/>
      <c r="BM251" s="72"/>
      <c r="BN251" s="72"/>
      <c r="BO251" s="72"/>
      <c r="BP251" s="72"/>
      <c r="BQ251" s="72"/>
      <c r="BR251" s="72"/>
      <c r="BS251" s="72"/>
      <c r="BT251" s="72"/>
      <c r="BU251" s="72"/>
      <c r="BV251" s="72"/>
      <c r="BW251" s="72"/>
      <c r="BX251" s="72"/>
      <c r="BY251" s="72"/>
      <c r="BZ251" s="72"/>
      <c r="CA251" s="72"/>
      <c r="CB251" s="72"/>
      <c r="CC251" s="72"/>
      <c r="CD251" s="72"/>
      <c r="CE251" s="72"/>
      <c r="CF251" s="72"/>
      <c r="CG251" s="72"/>
      <c r="CH251" s="72"/>
    </row>
    <row r="252" ht="15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  <c r="AQ252" s="72"/>
      <c r="AR252" s="72"/>
      <c r="AS252" s="72"/>
      <c r="AT252" s="72"/>
      <c r="AU252" s="72"/>
      <c r="AV252" s="72"/>
      <c r="AW252" s="72"/>
      <c r="AX252" s="72"/>
      <c r="AY252" s="72"/>
      <c r="AZ252" s="72"/>
      <c r="BA252" s="72"/>
      <c r="BB252" s="72"/>
      <c r="BC252" s="72"/>
      <c r="BD252" s="72"/>
      <c r="BE252" s="72"/>
      <c r="BF252" s="72"/>
      <c r="BG252" s="72"/>
      <c r="BH252" s="72"/>
      <c r="BI252" s="72"/>
      <c r="BJ252" s="72"/>
      <c r="BK252" s="72"/>
      <c r="BL252" s="72"/>
      <c r="BM252" s="72"/>
      <c r="BN252" s="72"/>
      <c r="BO252" s="72"/>
      <c r="BP252" s="72"/>
      <c r="BQ252" s="72"/>
      <c r="BR252" s="72"/>
      <c r="BS252" s="72"/>
      <c r="BT252" s="72"/>
      <c r="BU252" s="72"/>
      <c r="BV252" s="72"/>
      <c r="BW252" s="72"/>
      <c r="BX252" s="72"/>
      <c r="BY252" s="72"/>
      <c r="BZ252" s="72"/>
      <c r="CA252" s="72"/>
      <c r="CB252" s="72"/>
      <c r="CC252" s="72"/>
      <c r="CD252" s="72"/>
      <c r="CE252" s="72"/>
      <c r="CF252" s="72"/>
      <c r="CG252" s="72"/>
      <c r="CH252" s="72"/>
    </row>
    <row r="253" ht="15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  <c r="AQ253" s="72"/>
      <c r="AR253" s="72"/>
      <c r="AS253" s="72"/>
      <c r="AT253" s="72"/>
      <c r="AU253" s="72"/>
      <c r="AV253" s="72"/>
      <c r="AW253" s="72"/>
      <c r="AX253" s="72"/>
      <c r="AY253" s="72"/>
      <c r="AZ253" s="72"/>
      <c r="BA253" s="72"/>
      <c r="BB253" s="72"/>
      <c r="BC253" s="72"/>
      <c r="BD253" s="72"/>
      <c r="BE253" s="72"/>
      <c r="BF253" s="72"/>
      <c r="BG253" s="72"/>
      <c r="BH253" s="72"/>
      <c r="BI253" s="72"/>
      <c r="BJ253" s="72"/>
      <c r="BK253" s="72"/>
      <c r="BL253" s="72"/>
      <c r="BM253" s="72"/>
      <c r="BN253" s="72"/>
      <c r="BO253" s="72"/>
      <c r="BP253" s="72"/>
      <c r="BQ253" s="72"/>
      <c r="BR253" s="72"/>
      <c r="BS253" s="72"/>
      <c r="BT253" s="72"/>
      <c r="BU253" s="72"/>
      <c r="BV253" s="72"/>
      <c r="BW253" s="72"/>
      <c r="BX253" s="72"/>
      <c r="BY253" s="72"/>
      <c r="BZ253" s="72"/>
      <c r="CA253" s="72"/>
      <c r="CB253" s="72"/>
      <c r="CC253" s="72"/>
      <c r="CD253" s="72"/>
      <c r="CE253" s="72"/>
      <c r="CF253" s="72"/>
      <c r="CG253" s="72"/>
      <c r="CH253" s="72"/>
    </row>
    <row r="254" ht="15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  <c r="AQ254" s="72"/>
      <c r="AR254" s="72"/>
      <c r="AS254" s="72"/>
      <c r="AT254" s="72"/>
      <c r="AU254" s="72"/>
      <c r="AV254" s="72"/>
      <c r="AW254" s="72"/>
      <c r="AX254" s="72"/>
      <c r="AY254" s="72"/>
      <c r="AZ254" s="72"/>
      <c r="BA254" s="72"/>
      <c r="BB254" s="72"/>
      <c r="BC254" s="72"/>
      <c r="BD254" s="72"/>
      <c r="BE254" s="72"/>
      <c r="BF254" s="72"/>
      <c r="BG254" s="72"/>
      <c r="BH254" s="72"/>
      <c r="BI254" s="72"/>
      <c r="BJ254" s="72"/>
      <c r="BK254" s="72"/>
      <c r="BL254" s="72"/>
      <c r="BM254" s="72"/>
      <c r="BN254" s="72"/>
      <c r="BO254" s="72"/>
      <c r="BP254" s="72"/>
      <c r="BQ254" s="72"/>
      <c r="BR254" s="72"/>
      <c r="BS254" s="72"/>
      <c r="BT254" s="72"/>
      <c r="BU254" s="72"/>
      <c r="BV254" s="72"/>
      <c r="BW254" s="72"/>
      <c r="BX254" s="72"/>
      <c r="BY254" s="72"/>
      <c r="BZ254" s="72"/>
      <c r="CA254" s="72"/>
      <c r="CB254" s="72"/>
      <c r="CC254" s="72"/>
      <c r="CD254" s="72"/>
      <c r="CE254" s="72"/>
      <c r="CF254" s="72"/>
      <c r="CG254" s="72"/>
      <c r="CH254" s="72"/>
    </row>
    <row r="255" ht="15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  <c r="AQ255" s="72"/>
      <c r="AR255" s="72"/>
      <c r="AS255" s="72"/>
      <c r="AT255" s="72"/>
      <c r="AU255" s="72"/>
      <c r="AV255" s="72"/>
      <c r="AW255" s="72"/>
      <c r="AX255" s="72"/>
      <c r="AY255" s="72"/>
      <c r="AZ255" s="72"/>
      <c r="BA255" s="72"/>
      <c r="BB255" s="72"/>
      <c r="BC255" s="72"/>
      <c r="BD255" s="72"/>
      <c r="BE255" s="72"/>
      <c r="BF255" s="72"/>
      <c r="BG255" s="72"/>
      <c r="BH255" s="72"/>
      <c r="BI255" s="72"/>
      <c r="BJ255" s="72"/>
      <c r="BK255" s="72"/>
      <c r="BL255" s="72"/>
      <c r="BM255" s="72"/>
      <c r="BN255" s="72"/>
      <c r="BO255" s="72"/>
      <c r="BP255" s="72"/>
      <c r="BQ255" s="72"/>
      <c r="BR255" s="72"/>
      <c r="BS255" s="72"/>
      <c r="BT255" s="72"/>
      <c r="BU255" s="72"/>
      <c r="BV255" s="72"/>
      <c r="BW255" s="72"/>
      <c r="BX255" s="72"/>
      <c r="BY255" s="72"/>
      <c r="BZ255" s="72"/>
      <c r="CA255" s="72"/>
      <c r="CB255" s="72"/>
      <c r="CC255" s="72"/>
      <c r="CD255" s="72"/>
      <c r="CE255" s="72"/>
      <c r="CF255" s="72"/>
      <c r="CG255" s="72"/>
      <c r="CH255" s="72"/>
    </row>
    <row r="256" ht="15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  <c r="AQ256" s="72"/>
      <c r="AR256" s="72"/>
      <c r="AS256" s="72"/>
      <c r="AT256" s="72"/>
      <c r="AU256" s="72"/>
      <c r="AV256" s="72"/>
      <c r="AW256" s="72"/>
      <c r="AX256" s="72"/>
      <c r="AY256" s="72"/>
      <c r="AZ256" s="72"/>
      <c r="BA256" s="72"/>
      <c r="BB256" s="72"/>
      <c r="BC256" s="72"/>
      <c r="BD256" s="72"/>
      <c r="BE256" s="72"/>
      <c r="BF256" s="72"/>
      <c r="BG256" s="72"/>
      <c r="BH256" s="72"/>
      <c r="BI256" s="72"/>
      <c r="BJ256" s="72"/>
      <c r="BK256" s="72"/>
      <c r="BL256" s="72"/>
      <c r="BM256" s="72"/>
      <c r="BN256" s="72"/>
      <c r="BO256" s="72"/>
      <c r="BP256" s="72"/>
      <c r="BQ256" s="72"/>
      <c r="BR256" s="72"/>
      <c r="BS256" s="72"/>
      <c r="BT256" s="72"/>
      <c r="BU256" s="72"/>
      <c r="BV256" s="72"/>
      <c r="BW256" s="72"/>
      <c r="BX256" s="72"/>
      <c r="BY256" s="72"/>
      <c r="BZ256" s="72"/>
      <c r="CA256" s="72"/>
      <c r="CB256" s="72"/>
      <c r="CC256" s="72"/>
      <c r="CD256" s="72"/>
      <c r="CE256" s="72"/>
      <c r="CF256" s="72"/>
      <c r="CG256" s="72"/>
      <c r="CH256" s="72"/>
    </row>
    <row r="257" ht="15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  <c r="AQ257" s="72"/>
      <c r="AR257" s="72"/>
      <c r="AS257" s="72"/>
      <c r="AT257" s="72"/>
      <c r="AU257" s="72"/>
      <c r="AV257" s="72"/>
      <c r="AW257" s="72"/>
      <c r="AX257" s="72"/>
      <c r="AY257" s="72"/>
      <c r="AZ257" s="72"/>
      <c r="BA257" s="72"/>
      <c r="BB257" s="72"/>
      <c r="BC257" s="72"/>
      <c r="BD257" s="72"/>
      <c r="BE257" s="72"/>
      <c r="BF257" s="72"/>
      <c r="BG257" s="72"/>
      <c r="BH257" s="72"/>
      <c r="BI257" s="72"/>
      <c r="BJ257" s="72"/>
      <c r="BK257" s="72"/>
      <c r="BL257" s="72"/>
      <c r="BM257" s="72"/>
      <c r="BN257" s="72"/>
      <c r="BO257" s="72"/>
      <c r="BP257" s="72"/>
      <c r="BQ257" s="72"/>
      <c r="BR257" s="72"/>
      <c r="BS257" s="72"/>
      <c r="BT257" s="72"/>
      <c r="BU257" s="72"/>
      <c r="BV257" s="72"/>
      <c r="BW257" s="72"/>
      <c r="BX257" s="72"/>
      <c r="BY257" s="72"/>
      <c r="BZ257" s="72"/>
      <c r="CA257" s="72"/>
      <c r="CB257" s="72"/>
      <c r="CC257" s="72"/>
      <c r="CD257" s="72"/>
      <c r="CE257" s="72"/>
      <c r="CF257" s="72"/>
      <c r="CG257" s="72"/>
      <c r="CH257" s="72"/>
    </row>
    <row r="258" ht="15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  <c r="AQ258" s="72"/>
      <c r="AR258" s="72"/>
      <c r="AS258" s="72"/>
      <c r="AT258" s="72"/>
      <c r="AU258" s="72"/>
      <c r="AV258" s="72"/>
      <c r="AW258" s="72"/>
      <c r="AX258" s="72"/>
      <c r="AY258" s="72"/>
      <c r="AZ258" s="72"/>
      <c r="BA258" s="72"/>
      <c r="BB258" s="72"/>
      <c r="BC258" s="72"/>
      <c r="BD258" s="72"/>
      <c r="BE258" s="72"/>
      <c r="BF258" s="72"/>
      <c r="BG258" s="72"/>
      <c r="BH258" s="72"/>
      <c r="BI258" s="72"/>
      <c r="BJ258" s="72"/>
      <c r="BK258" s="72"/>
      <c r="BL258" s="72"/>
      <c r="BM258" s="72"/>
      <c r="BN258" s="72"/>
      <c r="BO258" s="72"/>
      <c r="BP258" s="72"/>
      <c r="BQ258" s="72"/>
      <c r="BR258" s="72"/>
      <c r="BS258" s="72"/>
      <c r="BT258" s="72"/>
      <c r="BU258" s="72"/>
      <c r="BV258" s="72"/>
      <c r="BW258" s="72"/>
      <c r="BX258" s="72"/>
      <c r="BY258" s="72"/>
      <c r="BZ258" s="72"/>
      <c r="CA258" s="72"/>
      <c r="CB258" s="72"/>
      <c r="CC258" s="72"/>
      <c r="CD258" s="72"/>
      <c r="CE258" s="72"/>
      <c r="CF258" s="72"/>
      <c r="CG258" s="72"/>
      <c r="CH258" s="72"/>
    </row>
    <row r="259" ht="15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  <c r="AQ259" s="72"/>
      <c r="AR259" s="72"/>
      <c r="AS259" s="72"/>
      <c r="AT259" s="72"/>
      <c r="AU259" s="72"/>
      <c r="AV259" s="72"/>
      <c r="AW259" s="72"/>
      <c r="AX259" s="72"/>
      <c r="AY259" s="72"/>
      <c r="AZ259" s="72"/>
      <c r="BA259" s="72"/>
      <c r="BB259" s="72"/>
      <c r="BC259" s="72"/>
      <c r="BD259" s="72"/>
      <c r="BE259" s="72"/>
      <c r="BF259" s="72"/>
      <c r="BG259" s="72"/>
      <c r="BH259" s="72"/>
      <c r="BI259" s="72"/>
      <c r="BJ259" s="72"/>
      <c r="BK259" s="72"/>
      <c r="BL259" s="72"/>
      <c r="BM259" s="72"/>
      <c r="BN259" s="72"/>
      <c r="BO259" s="72"/>
      <c r="BP259" s="72"/>
      <c r="BQ259" s="72"/>
      <c r="BR259" s="72"/>
      <c r="BS259" s="72"/>
      <c r="BT259" s="72"/>
      <c r="BU259" s="72"/>
      <c r="BV259" s="72"/>
      <c r="BW259" s="72"/>
      <c r="BX259" s="72"/>
      <c r="BY259" s="72"/>
      <c r="BZ259" s="72"/>
      <c r="CA259" s="72"/>
      <c r="CB259" s="72"/>
      <c r="CC259" s="72"/>
      <c r="CD259" s="72"/>
      <c r="CE259" s="72"/>
      <c r="CF259" s="72"/>
      <c r="CG259" s="72"/>
      <c r="CH259" s="72"/>
    </row>
    <row r="260" ht="15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  <c r="AQ260" s="72"/>
      <c r="AR260" s="72"/>
      <c r="AS260" s="72"/>
      <c r="AT260" s="72"/>
      <c r="AU260" s="72"/>
      <c r="AV260" s="72"/>
      <c r="AW260" s="72"/>
      <c r="AX260" s="72"/>
      <c r="AY260" s="72"/>
      <c r="AZ260" s="72"/>
      <c r="BA260" s="72"/>
      <c r="BB260" s="72"/>
      <c r="BC260" s="72"/>
      <c r="BD260" s="72"/>
      <c r="BE260" s="72"/>
      <c r="BF260" s="72"/>
      <c r="BG260" s="72"/>
      <c r="BH260" s="72"/>
      <c r="BI260" s="72"/>
      <c r="BJ260" s="72"/>
      <c r="BK260" s="72"/>
      <c r="BL260" s="72"/>
      <c r="BM260" s="72"/>
      <c r="BN260" s="72"/>
      <c r="BO260" s="72"/>
      <c r="BP260" s="72"/>
      <c r="BQ260" s="72"/>
      <c r="BR260" s="72"/>
      <c r="BS260" s="72"/>
      <c r="BT260" s="72"/>
      <c r="BU260" s="72"/>
      <c r="BV260" s="72"/>
      <c r="BW260" s="72"/>
      <c r="BX260" s="72"/>
      <c r="BY260" s="72"/>
      <c r="BZ260" s="72"/>
      <c r="CA260" s="72"/>
      <c r="CB260" s="72"/>
      <c r="CC260" s="72"/>
      <c r="CD260" s="72"/>
      <c r="CE260" s="72"/>
      <c r="CF260" s="72"/>
      <c r="CG260" s="72"/>
      <c r="CH260" s="72"/>
    </row>
    <row r="261" ht="15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  <c r="AQ261" s="72"/>
      <c r="AR261" s="72"/>
      <c r="AS261" s="72"/>
      <c r="AT261" s="72"/>
      <c r="AU261" s="72"/>
      <c r="AV261" s="72"/>
      <c r="AW261" s="72"/>
      <c r="AX261" s="72"/>
      <c r="AY261" s="72"/>
      <c r="AZ261" s="72"/>
      <c r="BA261" s="72"/>
      <c r="BB261" s="72"/>
      <c r="BC261" s="72"/>
      <c r="BD261" s="72"/>
      <c r="BE261" s="72"/>
      <c r="BF261" s="72"/>
      <c r="BG261" s="72"/>
      <c r="BH261" s="72"/>
      <c r="BI261" s="72"/>
      <c r="BJ261" s="72"/>
      <c r="BK261" s="72"/>
      <c r="BL261" s="72"/>
      <c r="BM261" s="72"/>
      <c r="BN261" s="72"/>
      <c r="BO261" s="72"/>
      <c r="BP261" s="72"/>
      <c r="BQ261" s="72"/>
      <c r="BR261" s="72"/>
      <c r="BS261" s="72"/>
      <c r="BT261" s="72"/>
      <c r="BU261" s="72"/>
      <c r="BV261" s="72"/>
      <c r="BW261" s="72"/>
      <c r="BX261" s="72"/>
      <c r="BY261" s="72"/>
      <c r="BZ261" s="72"/>
      <c r="CA261" s="72"/>
      <c r="CB261" s="72"/>
      <c r="CC261" s="72"/>
      <c r="CD261" s="72"/>
      <c r="CE261" s="72"/>
      <c r="CF261" s="72"/>
      <c r="CG261" s="72"/>
      <c r="CH261" s="72"/>
    </row>
    <row r="262" ht="15.7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  <c r="AQ262" s="72"/>
      <c r="AR262" s="72"/>
      <c r="AS262" s="72"/>
      <c r="AT262" s="72"/>
      <c r="AU262" s="72"/>
      <c r="AV262" s="72"/>
      <c r="AW262" s="72"/>
      <c r="AX262" s="72"/>
      <c r="AY262" s="72"/>
      <c r="AZ262" s="72"/>
      <c r="BA262" s="72"/>
      <c r="BB262" s="72"/>
      <c r="BC262" s="72"/>
      <c r="BD262" s="72"/>
      <c r="BE262" s="72"/>
      <c r="BF262" s="72"/>
      <c r="BG262" s="72"/>
      <c r="BH262" s="72"/>
      <c r="BI262" s="72"/>
      <c r="BJ262" s="72"/>
      <c r="BK262" s="72"/>
      <c r="BL262" s="72"/>
      <c r="BM262" s="72"/>
      <c r="BN262" s="72"/>
      <c r="BO262" s="72"/>
      <c r="BP262" s="72"/>
      <c r="BQ262" s="72"/>
      <c r="BR262" s="72"/>
      <c r="BS262" s="72"/>
      <c r="BT262" s="72"/>
      <c r="BU262" s="72"/>
      <c r="BV262" s="72"/>
      <c r="BW262" s="72"/>
      <c r="BX262" s="72"/>
      <c r="BY262" s="72"/>
      <c r="BZ262" s="72"/>
      <c r="CA262" s="72"/>
      <c r="CB262" s="72"/>
      <c r="CC262" s="72"/>
      <c r="CD262" s="72"/>
      <c r="CE262" s="72"/>
      <c r="CF262" s="72"/>
      <c r="CG262" s="72"/>
      <c r="CH262" s="72"/>
    </row>
    <row r="263" ht="15.7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  <c r="AQ263" s="72"/>
      <c r="AR263" s="72"/>
      <c r="AS263" s="72"/>
      <c r="AT263" s="72"/>
      <c r="AU263" s="72"/>
      <c r="AV263" s="72"/>
      <c r="AW263" s="72"/>
      <c r="AX263" s="72"/>
      <c r="AY263" s="72"/>
      <c r="AZ263" s="72"/>
      <c r="BA263" s="72"/>
      <c r="BB263" s="72"/>
      <c r="BC263" s="72"/>
      <c r="BD263" s="72"/>
      <c r="BE263" s="72"/>
      <c r="BF263" s="72"/>
      <c r="BG263" s="72"/>
      <c r="BH263" s="72"/>
      <c r="BI263" s="72"/>
      <c r="BJ263" s="72"/>
      <c r="BK263" s="72"/>
      <c r="BL263" s="72"/>
      <c r="BM263" s="72"/>
      <c r="BN263" s="72"/>
      <c r="BO263" s="72"/>
      <c r="BP263" s="72"/>
      <c r="BQ263" s="72"/>
      <c r="BR263" s="72"/>
      <c r="BS263" s="72"/>
      <c r="BT263" s="72"/>
      <c r="BU263" s="72"/>
      <c r="BV263" s="72"/>
      <c r="BW263" s="72"/>
      <c r="BX263" s="72"/>
      <c r="BY263" s="72"/>
      <c r="BZ263" s="72"/>
      <c r="CA263" s="72"/>
      <c r="CB263" s="72"/>
      <c r="CC263" s="72"/>
      <c r="CD263" s="72"/>
      <c r="CE263" s="72"/>
      <c r="CF263" s="72"/>
      <c r="CG263" s="72"/>
      <c r="CH263" s="72"/>
    </row>
    <row r="264" ht="15.7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  <c r="AQ264" s="72"/>
      <c r="AR264" s="72"/>
      <c r="AS264" s="72"/>
      <c r="AT264" s="72"/>
      <c r="AU264" s="72"/>
      <c r="AV264" s="72"/>
      <c r="AW264" s="72"/>
      <c r="AX264" s="72"/>
      <c r="AY264" s="72"/>
      <c r="AZ264" s="72"/>
      <c r="BA264" s="72"/>
      <c r="BB264" s="72"/>
      <c r="BC264" s="72"/>
      <c r="BD264" s="72"/>
      <c r="BE264" s="72"/>
      <c r="BF264" s="72"/>
      <c r="BG264" s="72"/>
      <c r="BH264" s="72"/>
      <c r="BI264" s="72"/>
      <c r="BJ264" s="72"/>
      <c r="BK264" s="72"/>
      <c r="BL264" s="72"/>
      <c r="BM264" s="72"/>
      <c r="BN264" s="72"/>
      <c r="BO264" s="72"/>
      <c r="BP264" s="72"/>
      <c r="BQ264" s="72"/>
      <c r="BR264" s="72"/>
      <c r="BS264" s="72"/>
      <c r="BT264" s="72"/>
      <c r="BU264" s="72"/>
      <c r="BV264" s="72"/>
      <c r="BW264" s="72"/>
      <c r="BX264" s="72"/>
      <c r="BY264" s="72"/>
      <c r="BZ264" s="72"/>
      <c r="CA264" s="72"/>
      <c r="CB264" s="72"/>
      <c r="CC264" s="72"/>
      <c r="CD264" s="72"/>
      <c r="CE264" s="72"/>
      <c r="CF264" s="72"/>
      <c r="CG264" s="72"/>
      <c r="CH264" s="72"/>
    </row>
    <row r="265" ht="15.7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  <c r="AQ265" s="72"/>
      <c r="AR265" s="72"/>
      <c r="AS265" s="72"/>
      <c r="AT265" s="72"/>
      <c r="AU265" s="72"/>
      <c r="AV265" s="72"/>
      <c r="AW265" s="72"/>
      <c r="AX265" s="72"/>
      <c r="AY265" s="72"/>
      <c r="AZ265" s="72"/>
      <c r="BA265" s="72"/>
      <c r="BB265" s="72"/>
      <c r="BC265" s="72"/>
      <c r="BD265" s="72"/>
      <c r="BE265" s="72"/>
      <c r="BF265" s="72"/>
      <c r="BG265" s="72"/>
      <c r="BH265" s="72"/>
      <c r="BI265" s="72"/>
      <c r="BJ265" s="72"/>
      <c r="BK265" s="72"/>
      <c r="BL265" s="72"/>
      <c r="BM265" s="72"/>
      <c r="BN265" s="72"/>
      <c r="BO265" s="72"/>
      <c r="BP265" s="72"/>
      <c r="BQ265" s="72"/>
      <c r="BR265" s="72"/>
      <c r="BS265" s="72"/>
      <c r="BT265" s="72"/>
      <c r="BU265" s="72"/>
      <c r="BV265" s="72"/>
      <c r="BW265" s="72"/>
      <c r="BX265" s="72"/>
      <c r="BY265" s="72"/>
      <c r="BZ265" s="72"/>
      <c r="CA265" s="72"/>
      <c r="CB265" s="72"/>
      <c r="CC265" s="72"/>
      <c r="CD265" s="72"/>
      <c r="CE265" s="72"/>
      <c r="CF265" s="72"/>
      <c r="CG265" s="72"/>
      <c r="CH265" s="72"/>
    </row>
    <row r="266" ht="15.7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  <c r="AQ266" s="72"/>
      <c r="AR266" s="72"/>
      <c r="AS266" s="72"/>
      <c r="AT266" s="72"/>
      <c r="AU266" s="72"/>
      <c r="AV266" s="72"/>
      <c r="AW266" s="72"/>
      <c r="AX266" s="72"/>
      <c r="AY266" s="72"/>
      <c r="AZ266" s="72"/>
      <c r="BA266" s="72"/>
      <c r="BB266" s="72"/>
      <c r="BC266" s="72"/>
      <c r="BD266" s="72"/>
      <c r="BE266" s="72"/>
      <c r="BF266" s="72"/>
      <c r="BG266" s="72"/>
      <c r="BH266" s="72"/>
      <c r="BI266" s="72"/>
      <c r="BJ266" s="72"/>
      <c r="BK266" s="72"/>
      <c r="BL266" s="72"/>
      <c r="BM266" s="72"/>
      <c r="BN266" s="72"/>
      <c r="BO266" s="72"/>
      <c r="BP266" s="72"/>
      <c r="BQ266" s="72"/>
      <c r="BR266" s="72"/>
      <c r="BS266" s="72"/>
      <c r="BT266" s="72"/>
      <c r="BU266" s="72"/>
      <c r="BV266" s="72"/>
      <c r="BW266" s="72"/>
      <c r="BX266" s="72"/>
      <c r="BY266" s="72"/>
      <c r="BZ266" s="72"/>
      <c r="CA266" s="72"/>
      <c r="CB266" s="72"/>
      <c r="CC266" s="72"/>
      <c r="CD266" s="72"/>
      <c r="CE266" s="72"/>
      <c r="CF266" s="72"/>
      <c r="CG266" s="72"/>
      <c r="CH266" s="72"/>
    </row>
    <row r="267" ht="15.7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  <c r="AQ267" s="72"/>
      <c r="AR267" s="72"/>
      <c r="AS267" s="72"/>
      <c r="AT267" s="72"/>
      <c r="AU267" s="72"/>
      <c r="AV267" s="72"/>
      <c r="AW267" s="72"/>
      <c r="AX267" s="72"/>
      <c r="AY267" s="72"/>
      <c r="AZ267" s="72"/>
      <c r="BA267" s="72"/>
      <c r="BB267" s="72"/>
      <c r="BC267" s="72"/>
      <c r="BD267" s="72"/>
      <c r="BE267" s="72"/>
      <c r="BF267" s="72"/>
      <c r="BG267" s="72"/>
      <c r="BH267" s="72"/>
      <c r="BI267" s="72"/>
      <c r="BJ267" s="72"/>
      <c r="BK267" s="72"/>
      <c r="BL267" s="72"/>
      <c r="BM267" s="72"/>
      <c r="BN267" s="72"/>
      <c r="BO267" s="72"/>
      <c r="BP267" s="72"/>
      <c r="BQ267" s="72"/>
      <c r="BR267" s="72"/>
      <c r="BS267" s="72"/>
      <c r="BT267" s="72"/>
      <c r="BU267" s="72"/>
      <c r="BV267" s="72"/>
      <c r="BW267" s="72"/>
      <c r="BX267" s="72"/>
      <c r="BY267" s="72"/>
      <c r="BZ267" s="72"/>
      <c r="CA267" s="72"/>
      <c r="CB267" s="72"/>
      <c r="CC267" s="72"/>
      <c r="CD267" s="72"/>
      <c r="CE267" s="72"/>
      <c r="CF267" s="72"/>
      <c r="CG267" s="72"/>
      <c r="CH267" s="72"/>
    </row>
    <row r="268" ht="15.7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  <c r="AQ268" s="72"/>
      <c r="AR268" s="72"/>
      <c r="AS268" s="72"/>
      <c r="AT268" s="72"/>
      <c r="AU268" s="72"/>
      <c r="AV268" s="72"/>
      <c r="AW268" s="72"/>
      <c r="AX268" s="72"/>
      <c r="AY268" s="72"/>
      <c r="AZ268" s="72"/>
      <c r="BA268" s="72"/>
      <c r="BB268" s="72"/>
      <c r="BC268" s="72"/>
      <c r="BD268" s="72"/>
      <c r="BE268" s="72"/>
      <c r="BF268" s="72"/>
      <c r="BG268" s="72"/>
      <c r="BH268" s="72"/>
      <c r="BI268" s="72"/>
      <c r="BJ268" s="72"/>
      <c r="BK268" s="72"/>
      <c r="BL268" s="72"/>
      <c r="BM268" s="72"/>
      <c r="BN268" s="72"/>
      <c r="BO268" s="72"/>
      <c r="BP268" s="72"/>
      <c r="BQ268" s="72"/>
      <c r="BR268" s="72"/>
      <c r="BS268" s="72"/>
      <c r="BT268" s="72"/>
      <c r="BU268" s="72"/>
      <c r="BV268" s="72"/>
      <c r="BW268" s="72"/>
      <c r="BX268" s="72"/>
      <c r="BY268" s="72"/>
      <c r="BZ268" s="72"/>
      <c r="CA268" s="72"/>
      <c r="CB268" s="72"/>
      <c r="CC268" s="72"/>
      <c r="CD268" s="72"/>
      <c r="CE268" s="72"/>
      <c r="CF268" s="72"/>
      <c r="CG268" s="72"/>
      <c r="CH268" s="72"/>
    </row>
    <row r="269" ht="15.7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  <c r="AQ269" s="72"/>
      <c r="AR269" s="72"/>
      <c r="AS269" s="72"/>
      <c r="AT269" s="72"/>
      <c r="AU269" s="72"/>
      <c r="AV269" s="72"/>
      <c r="AW269" s="72"/>
      <c r="AX269" s="72"/>
      <c r="AY269" s="72"/>
      <c r="AZ269" s="72"/>
      <c r="BA269" s="72"/>
      <c r="BB269" s="72"/>
      <c r="BC269" s="72"/>
      <c r="BD269" s="72"/>
      <c r="BE269" s="72"/>
      <c r="BF269" s="72"/>
      <c r="BG269" s="72"/>
      <c r="BH269" s="72"/>
      <c r="BI269" s="72"/>
      <c r="BJ269" s="72"/>
      <c r="BK269" s="72"/>
      <c r="BL269" s="72"/>
      <c r="BM269" s="72"/>
      <c r="BN269" s="72"/>
      <c r="BO269" s="72"/>
      <c r="BP269" s="72"/>
      <c r="BQ269" s="72"/>
      <c r="BR269" s="72"/>
      <c r="BS269" s="72"/>
      <c r="BT269" s="72"/>
      <c r="BU269" s="72"/>
      <c r="BV269" s="72"/>
      <c r="BW269" s="72"/>
      <c r="BX269" s="72"/>
      <c r="BY269" s="72"/>
      <c r="BZ269" s="72"/>
      <c r="CA269" s="72"/>
      <c r="CB269" s="72"/>
      <c r="CC269" s="72"/>
      <c r="CD269" s="72"/>
      <c r="CE269" s="72"/>
      <c r="CF269" s="72"/>
      <c r="CG269" s="72"/>
      <c r="CH269" s="72"/>
    </row>
    <row r="270" ht="15.7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  <c r="AQ270" s="72"/>
      <c r="AR270" s="72"/>
      <c r="AS270" s="72"/>
      <c r="AT270" s="72"/>
      <c r="AU270" s="72"/>
      <c r="AV270" s="72"/>
      <c r="AW270" s="72"/>
      <c r="AX270" s="72"/>
      <c r="AY270" s="72"/>
      <c r="AZ270" s="72"/>
      <c r="BA270" s="72"/>
      <c r="BB270" s="72"/>
      <c r="BC270" s="72"/>
      <c r="BD270" s="72"/>
      <c r="BE270" s="72"/>
      <c r="BF270" s="72"/>
      <c r="BG270" s="72"/>
      <c r="BH270" s="72"/>
      <c r="BI270" s="72"/>
      <c r="BJ270" s="72"/>
      <c r="BK270" s="72"/>
      <c r="BL270" s="72"/>
      <c r="BM270" s="72"/>
      <c r="BN270" s="72"/>
      <c r="BO270" s="72"/>
      <c r="BP270" s="72"/>
      <c r="BQ270" s="72"/>
      <c r="BR270" s="72"/>
      <c r="BS270" s="72"/>
      <c r="BT270" s="72"/>
      <c r="BU270" s="72"/>
      <c r="BV270" s="72"/>
      <c r="BW270" s="72"/>
      <c r="BX270" s="72"/>
      <c r="BY270" s="72"/>
      <c r="BZ270" s="72"/>
      <c r="CA270" s="72"/>
      <c r="CB270" s="72"/>
      <c r="CC270" s="72"/>
      <c r="CD270" s="72"/>
      <c r="CE270" s="72"/>
      <c r="CF270" s="72"/>
      <c r="CG270" s="72"/>
      <c r="CH270" s="72"/>
    </row>
    <row r="271" ht="15.7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  <c r="AQ271" s="72"/>
      <c r="AR271" s="72"/>
      <c r="AS271" s="72"/>
      <c r="AT271" s="72"/>
      <c r="AU271" s="72"/>
      <c r="AV271" s="72"/>
      <c r="AW271" s="72"/>
      <c r="AX271" s="72"/>
      <c r="AY271" s="72"/>
      <c r="AZ271" s="72"/>
      <c r="BA271" s="72"/>
      <c r="BB271" s="72"/>
      <c r="BC271" s="72"/>
      <c r="BD271" s="72"/>
      <c r="BE271" s="72"/>
      <c r="BF271" s="72"/>
      <c r="BG271" s="72"/>
      <c r="BH271" s="72"/>
      <c r="BI271" s="72"/>
      <c r="BJ271" s="72"/>
      <c r="BK271" s="72"/>
      <c r="BL271" s="72"/>
      <c r="BM271" s="72"/>
      <c r="BN271" s="72"/>
      <c r="BO271" s="72"/>
      <c r="BP271" s="72"/>
      <c r="BQ271" s="72"/>
      <c r="BR271" s="72"/>
      <c r="BS271" s="72"/>
      <c r="BT271" s="72"/>
      <c r="BU271" s="72"/>
      <c r="BV271" s="72"/>
      <c r="BW271" s="72"/>
      <c r="BX271" s="72"/>
      <c r="BY271" s="72"/>
      <c r="BZ271" s="72"/>
      <c r="CA271" s="72"/>
      <c r="CB271" s="72"/>
      <c r="CC271" s="72"/>
      <c r="CD271" s="72"/>
      <c r="CE271" s="72"/>
      <c r="CF271" s="72"/>
      <c r="CG271" s="72"/>
      <c r="CH271" s="72"/>
    </row>
    <row r="272" ht="15.7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  <c r="AQ272" s="72"/>
      <c r="AR272" s="72"/>
      <c r="AS272" s="72"/>
      <c r="AT272" s="72"/>
      <c r="AU272" s="72"/>
      <c r="AV272" s="72"/>
      <c r="AW272" s="72"/>
      <c r="AX272" s="72"/>
      <c r="AY272" s="72"/>
      <c r="AZ272" s="72"/>
      <c r="BA272" s="72"/>
      <c r="BB272" s="72"/>
      <c r="BC272" s="72"/>
      <c r="BD272" s="72"/>
      <c r="BE272" s="72"/>
      <c r="BF272" s="72"/>
      <c r="BG272" s="72"/>
      <c r="BH272" s="72"/>
      <c r="BI272" s="72"/>
      <c r="BJ272" s="72"/>
      <c r="BK272" s="72"/>
      <c r="BL272" s="72"/>
      <c r="BM272" s="72"/>
      <c r="BN272" s="72"/>
      <c r="BO272" s="72"/>
      <c r="BP272" s="72"/>
      <c r="BQ272" s="72"/>
      <c r="BR272" s="72"/>
      <c r="BS272" s="72"/>
      <c r="BT272" s="72"/>
      <c r="BU272" s="72"/>
      <c r="BV272" s="72"/>
      <c r="BW272" s="72"/>
      <c r="BX272" s="72"/>
      <c r="BY272" s="72"/>
      <c r="BZ272" s="72"/>
      <c r="CA272" s="72"/>
      <c r="CB272" s="72"/>
      <c r="CC272" s="72"/>
      <c r="CD272" s="72"/>
      <c r="CE272" s="72"/>
      <c r="CF272" s="72"/>
      <c r="CG272" s="72"/>
      <c r="CH272" s="72"/>
    </row>
    <row r="273" ht="15.7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  <c r="AQ273" s="72"/>
      <c r="AR273" s="72"/>
      <c r="AS273" s="72"/>
      <c r="AT273" s="72"/>
      <c r="AU273" s="72"/>
      <c r="AV273" s="72"/>
      <c r="AW273" s="72"/>
      <c r="AX273" s="72"/>
      <c r="AY273" s="72"/>
      <c r="AZ273" s="72"/>
      <c r="BA273" s="72"/>
      <c r="BB273" s="72"/>
      <c r="BC273" s="72"/>
      <c r="BD273" s="72"/>
      <c r="BE273" s="72"/>
      <c r="BF273" s="72"/>
      <c r="BG273" s="72"/>
      <c r="BH273" s="72"/>
      <c r="BI273" s="72"/>
      <c r="BJ273" s="72"/>
      <c r="BK273" s="72"/>
      <c r="BL273" s="72"/>
      <c r="BM273" s="72"/>
      <c r="BN273" s="72"/>
      <c r="BO273" s="72"/>
      <c r="BP273" s="72"/>
      <c r="BQ273" s="72"/>
      <c r="BR273" s="72"/>
      <c r="BS273" s="72"/>
      <c r="BT273" s="72"/>
      <c r="BU273" s="72"/>
      <c r="BV273" s="72"/>
      <c r="BW273" s="72"/>
      <c r="BX273" s="72"/>
      <c r="BY273" s="72"/>
      <c r="BZ273" s="72"/>
      <c r="CA273" s="72"/>
      <c r="CB273" s="72"/>
      <c r="CC273" s="72"/>
      <c r="CD273" s="72"/>
      <c r="CE273" s="72"/>
      <c r="CF273" s="72"/>
      <c r="CG273" s="72"/>
      <c r="CH273" s="72"/>
    </row>
    <row r="274" ht="15.7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  <c r="AQ274" s="72"/>
      <c r="AR274" s="72"/>
      <c r="AS274" s="72"/>
      <c r="AT274" s="72"/>
      <c r="AU274" s="72"/>
      <c r="AV274" s="72"/>
      <c r="AW274" s="72"/>
      <c r="AX274" s="72"/>
      <c r="AY274" s="72"/>
      <c r="AZ274" s="72"/>
      <c r="BA274" s="72"/>
      <c r="BB274" s="72"/>
      <c r="BC274" s="72"/>
      <c r="BD274" s="72"/>
      <c r="BE274" s="72"/>
      <c r="BF274" s="72"/>
      <c r="BG274" s="72"/>
      <c r="BH274" s="72"/>
      <c r="BI274" s="72"/>
      <c r="BJ274" s="72"/>
      <c r="BK274" s="72"/>
      <c r="BL274" s="72"/>
      <c r="BM274" s="72"/>
      <c r="BN274" s="72"/>
      <c r="BO274" s="72"/>
      <c r="BP274" s="72"/>
      <c r="BQ274" s="72"/>
      <c r="BR274" s="72"/>
      <c r="BS274" s="72"/>
      <c r="BT274" s="72"/>
      <c r="BU274" s="72"/>
      <c r="BV274" s="72"/>
      <c r="BW274" s="72"/>
      <c r="BX274" s="72"/>
      <c r="BY274" s="72"/>
      <c r="BZ274" s="72"/>
      <c r="CA274" s="72"/>
      <c r="CB274" s="72"/>
      <c r="CC274" s="72"/>
      <c r="CD274" s="72"/>
      <c r="CE274" s="72"/>
      <c r="CF274" s="72"/>
      <c r="CG274" s="72"/>
      <c r="CH274" s="72"/>
    </row>
    <row r="275" ht="15.7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  <c r="AQ275" s="72"/>
      <c r="AR275" s="72"/>
      <c r="AS275" s="72"/>
      <c r="AT275" s="72"/>
      <c r="AU275" s="72"/>
      <c r="AV275" s="72"/>
      <c r="AW275" s="72"/>
      <c r="AX275" s="72"/>
      <c r="AY275" s="72"/>
      <c r="AZ275" s="72"/>
      <c r="BA275" s="72"/>
      <c r="BB275" s="72"/>
      <c r="BC275" s="72"/>
      <c r="BD275" s="72"/>
      <c r="BE275" s="72"/>
      <c r="BF275" s="72"/>
      <c r="BG275" s="72"/>
      <c r="BH275" s="72"/>
      <c r="BI275" s="72"/>
      <c r="BJ275" s="72"/>
      <c r="BK275" s="72"/>
      <c r="BL275" s="72"/>
      <c r="BM275" s="72"/>
      <c r="BN275" s="72"/>
      <c r="BO275" s="72"/>
      <c r="BP275" s="72"/>
      <c r="BQ275" s="72"/>
      <c r="BR275" s="72"/>
      <c r="BS275" s="72"/>
      <c r="BT275" s="72"/>
      <c r="BU275" s="72"/>
      <c r="BV275" s="72"/>
      <c r="BW275" s="72"/>
      <c r="BX275" s="72"/>
      <c r="BY275" s="72"/>
      <c r="BZ275" s="72"/>
      <c r="CA275" s="72"/>
      <c r="CB275" s="72"/>
      <c r="CC275" s="72"/>
      <c r="CD275" s="72"/>
      <c r="CE275" s="72"/>
      <c r="CF275" s="72"/>
      <c r="CG275" s="72"/>
      <c r="CH275" s="72"/>
    </row>
    <row r="276" ht="15.7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  <c r="AQ276" s="72"/>
      <c r="AR276" s="72"/>
      <c r="AS276" s="72"/>
      <c r="AT276" s="72"/>
      <c r="AU276" s="72"/>
      <c r="AV276" s="72"/>
      <c r="AW276" s="72"/>
      <c r="AX276" s="72"/>
      <c r="AY276" s="72"/>
      <c r="AZ276" s="72"/>
      <c r="BA276" s="72"/>
      <c r="BB276" s="72"/>
      <c r="BC276" s="72"/>
      <c r="BD276" s="72"/>
      <c r="BE276" s="72"/>
      <c r="BF276" s="72"/>
      <c r="BG276" s="72"/>
      <c r="BH276" s="72"/>
      <c r="BI276" s="72"/>
      <c r="BJ276" s="72"/>
      <c r="BK276" s="72"/>
      <c r="BL276" s="72"/>
      <c r="BM276" s="72"/>
      <c r="BN276" s="72"/>
      <c r="BO276" s="72"/>
      <c r="BP276" s="72"/>
      <c r="BQ276" s="72"/>
      <c r="BR276" s="72"/>
      <c r="BS276" s="72"/>
      <c r="BT276" s="72"/>
      <c r="BU276" s="72"/>
      <c r="BV276" s="72"/>
      <c r="BW276" s="72"/>
      <c r="BX276" s="72"/>
      <c r="BY276" s="72"/>
      <c r="BZ276" s="72"/>
      <c r="CA276" s="72"/>
      <c r="CB276" s="72"/>
      <c r="CC276" s="72"/>
      <c r="CD276" s="72"/>
      <c r="CE276" s="72"/>
      <c r="CF276" s="72"/>
      <c r="CG276" s="72"/>
      <c r="CH276" s="72"/>
    </row>
    <row r="277" ht="15.7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  <c r="AQ277" s="72"/>
      <c r="AR277" s="72"/>
      <c r="AS277" s="72"/>
      <c r="AT277" s="72"/>
      <c r="AU277" s="72"/>
      <c r="AV277" s="72"/>
      <c r="AW277" s="72"/>
      <c r="AX277" s="72"/>
      <c r="AY277" s="72"/>
      <c r="AZ277" s="72"/>
      <c r="BA277" s="72"/>
      <c r="BB277" s="72"/>
      <c r="BC277" s="72"/>
      <c r="BD277" s="72"/>
      <c r="BE277" s="72"/>
      <c r="BF277" s="72"/>
      <c r="BG277" s="72"/>
      <c r="BH277" s="72"/>
      <c r="BI277" s="72"/>
      <c r="BJ277" s="72"/>
      <c r="BK277" s="72"/>
      <c r="BL277" s="72"/>
      <c r="BM277" s="72"/>
      <c r="BN277" s="72"/>
      <c r="BO277" s="72"/>
      <c r="BP277" s="72"/>
      <c r="BQ277" s="72"/>
      <c r="BR277" s="72"/>
      <c r="BS277" s="72"/>
      <c r="BT277" s="72"/>
      <c r="BU277" s="72"/>
      <c r="BV277" s="72"/>
      <c r="BW277" s="72"/>
      <c r="BX277" s="72"/>
      <c r="BY277" s="72"/>
      <c r="BZ277" s="72"/>
      <c r="CA277" s="72"/>
      <c r="CB277" s="72"/>
      <c r="CC277" s="72"/>
      <c r="CD277" s="72"/>
      <c r="CE277" s="72"/>
      <c r="CF277" s="72"/>
      <c r="CG277" s="72"/>
      <c r="CH277" s="72"/>
    </row>
    <row r="278" ht="15.7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  <c r="AQ278" s="72"/>
      <c r="AR278" s="72"/>
      <c r="AS278" s="72"/>
      <c r="AT278" s="72"/>
      <c r="AU278" s="72"/>
      <c r="AV278" s="72"/>
      <c r="AW278" s="72"/>
      <c r="AX278" s="72"/>
      <c r="AY278" s="72"/>
      <c r="AZ278" s="72"/>
      <c r="BA278" s="72"/>
      <c r="BB278" s="72"/>
      <c r="BC278" s="72"/>
      <c r="BD278" s="72"/>
      <c r="BE278" s="72"/>
      <c r="BF278" s="72"/>
      <c r="BG278" s="72"/>
      <c r="BH278" s="72"/>
      <c r="BI278" s="72"/>
      <c r="BJ278" s="72"/>
      <c r="BK278" s="72"/>
      <c r="BL278" s="72"/>
      <c r="BM278" s="72"/>
      <c r="BN278" s="72"/>
      <c r="BO278" s="72"/>
      <c r="BP278" s="72"/>
      <c r="BQ278" s="72"/>
      <c r="BR278" s="72"/>
      <c r="BS278" s="72"/>
      <c r="BT278" s="72"/>
      <c r="BU278" s="72"/>
      <c r="BV278" s="72"/>
      <c r="BW278" s="72"/>
      <c r="BX278" s="72"/>
      <c r="BY278" s="72"/>
      <c r="BZ278" s="72"/>
      <c r="CA278" s="72"/>
      <c r="CB278" s="72"/>
      <c r="CC278" s="72"/>
      <c r="CD278" s="72"/>
      <c r="CE278" s="72"/>
      <c r="CF278" s="72"/>
      <c r="CG278" s="72"/>
      <c r="CH278" s="72"/>
    </row>
    <row r="279" ht="15.7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  <c r="AQ279" s="72"/>
      <c r="AR279" s="72"/>
      <c r="AS279" s="72"/>
      <c r="AT279" s="72"/>
      <c r="AU279" s="72"/>
      <c r="AV279" s="72"/>
      <c r="AW279" s="72"/>
      <c r="AX279" s="72"/>
      <c r="AY279" s="72"/>
      <c r="AZ279" s="72"/>
      <c r="BA279" s="72"/>
      <c r="BB279" s="72"/>
      <c r="BC279" s="72"/>
      <c r="BD279" s="72"/>
      <c r="BE279" s="72"/>
      <c r="BF279" s="72"/>
      <c r="BG279" s="72"/>
      <c r="BH279" s="72"/>
      <c r="BI279" s="72"/>
      <c r="BJ279" s="72"/>
      <c r="BK279" s="72"/>
      <c r="BL279" s="72"/>
      <c r="BM279" s="72"/>
      <c r="BN279" s="72"/>
      <c r="BO279" s="72"/>
      <c r="BP279" s="72"/>
      <c r="BQ279" s="72"/>
      <c r="BR279" s="72"/>
      <c r="BS279" s="72"/>
      <c r="BT279" s="72"/>
      <c r="BU279" s="72"/>
      <c r="BV279" s="72"/>
      <c r="BW279" s="72"/>
      <c r="BX279" s="72"/>
      <c r="BY279" s="72"/>
      <c r="BZ279" s="72"/>
      <c r="CA279" s="72"/>
      <c r="CB279" s="72"/>
      <c r="CC279" s="72"/>
      <c r="CD279" s="72"/>
      <c r="CE279" s="72"/>
      <c r="CF279" s="72"/>
      <c r="CG279" s="72"/>
      <c r="CH279" s="72"/>
    </row>
    <row r="280" ht="15.7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  <c r="AQ280" s="72"/>
      <c r="AR280" s="72"/>
      <c r="AS280" s="72"/>
      <c r="AT280" s="72"/>
      <c r="AU280" s="72"/>
      <c r="AV280" s="72"/>
      <c r="AW280" s="72"/>
      <c r="AX280" s="72"/>
      <c r="AY280" s="72"/>
      <c r="AZ280" s="72"/>
      <c r="BA280" s="72"/>
      <c r="BB280" s="72"/>
      <c r="BC280" s="72"/>
      <c r="BD280" s="72"/>
      <c r="BE280" s="72"/>
      <c r="BF280" s="72"/>
      <c r="BG280" s="72"/>
      <c r="BH280" s="72"/>
      <c r="BI280" s="72"/>
      <c r="BJ280" s="72"/>
      <c r="BK280" s="72"/>
      <c r="BL280" s="72"/>
      <c r="BM280" s="72"/>
      <c r="BN280" s="72"/>
      <c r="BO280" s="72"/>
      <c r="BP280" s="72"/>
      <c r="BQ280" s="72"/>
      <c r="BR280" s="72"/>
      <c r="BS280" s="72"/>
      <c r="BT280" s="72"/>
      <c r="BU280" s="72"/>
      <c r="BV280" s="72"/>
      <c r="BW280" s="72"/>
      <c r="BX280" s="72"/>
      <c r="BY280" s="72"/>
      <c r="BZ280" s="72"/>
      <c r="CA280" s="72"/>
      <c r="CB280" s="72"/>
      <c r="CC280" s="72"/>
      <c r="CD280" s="72"/>
      <c r="CE280" s="72"/>
      <c r="CF280" s="72"/>
      <c r="CG280" s="72"/>
      <c r="CH280" s="72"/>
    </row>
    <row r="281" ht="15.7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  <c r="AQ281" s="72"/>
      <c r="AR281" s="72"/>
      <c r="AS281" s="72"/>
      <c r="AT281" s="72"/>
      <c r="AU281" s="72"/>
      <c r="AV281" s="72"/>
      <c r="AW281" s="72"/>
      <c r="AX281" s="72"/>
      <c r="AY281" s="72"/>
      <c r="AZ281" s="72"/>
      <c r="BA281" s="72"/>
      <c r="BB281" s="72"/>
      <c r="BC281" s="72"/>
      <c r="BD281" s="72"/>
      <c r="BE281" s="72"/>
      <c r="BF281" s="72"/>
      <c r="BG281" s="72"/>
      <c r="BH281" s="72"/>
      <c r="BI281" s="72"/>
      <c r="BJ281" s="72"/>
      <c r="BK281" s="72"/>
      <c r="BL281" s="72"/>
      <c r="BM281" s="72"/>
      <c r="BN281" s="72"/>
      <c r="BO281" s="72"/>
      <c r="BP281" s="72"/>
      <c r="BQ281" s="72"/>
      <c r="BR281" s="72"/>
      <c r="BS281" s="72"/>
      <c r="BT281" s="72"/>
      <c r="BU281" s="72"/>
      <c r="BV281" s="72"/>
      <c r="BW281" s="72"/>
      <c r="BX281" s="72"/>
      <c r="BY281" s="72"/>
      <c r="BZ281" s="72"/>
      <c r="CA281" s="72"/>
      <c r="CB281" s="72"/>
      <c r="CC281" s="72"/>
      <c r="CD281" s="72"/>
      <c r="CE281" s="72"/>
      <c r="CF281" s="72"/>
      <c r="CG281" s="72"/>
      <c r="CH281" s="72"/>
    </row>
    <row r="282" ht="15.7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  <c r="AQ282" s="72"/>
      <c r="AR282" s="72"/>
      <c r="AS282" s="72"/>
      <c r="AT282" s="72"/>
      <c r="AU282" s="72"/>
      <c r="AV282" s="72"/>
      <c r="AW282" s="72"/>
      <c r="AX282" s="72"/>
      <c r="AY282" s="72"/>
      <c r="AZ282" s="72"/>
      <c r="BA282" s="72"/>
      <c r="BB282" s="72"/>
      <c r="BC282" s="72"/>
      <c r="BD282" s="72"/>
      <c r="BE282" s="72"/>
      <c r="BF282" s="72"/>
      <c r="BG282" s="72"/>
      <c r="BH282" s="72"/>
      <c r="BI282" s="72"/>
      <c r="BJ282" s="72"/>
      <c r="BK282" s="72"/>
      <c r="BL282" s="72"/>
      <c r="BM282" s="72"/>
      <c r="BN282" s="72"/>
      <c r="BO282" s="72"/>
      <c r="BP282" s="72"/>
      <c r="BQ282" s="72"/>
      <c r="BR282" s="72"/>
      <c r="BS282" s="72"/>
      <c r="BT282" s="72"/>
      <c r="BU282" s="72"/>
      <c r="BV282" s="72"/>
      <c r="BW282" s="72"/>
      <c r="BX282" s="72"/>
      <c r="BY282" s="72"/>
      <c r="BZ282" s="72"/>
      <c r="CA282" s="72"/>
      <c r="CB282" s="72"/>
      <c r="CC282" s="72"/>
      <c r="CD282" s="72"/>
      <c r="CE282" s="72"/>
      <c r="CF282" s="72"/>
      <c r="CG282" s="72"/>
      <c r="CH282" s="72"/>
    </row>
    <row r="283" ht="15.7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  <c r="AQ283" s="72"/>
      <c r="AR283" s="72"/>
      <c r="AS283" s="72"/>
      <c r="AT283" s="72"/>
      <c r="AU283" s="72"/>
      <c r="AV283" s="72"/>
      <c r="AW283" s="72"/>
      <c r="AX283" s="72"/>
      <c r="AY283" s="72"/>
      <c r="AZ283" s="72"/>
      <c r="BA283" s="72"/>
      <c r="BB283" s="72"/>
      <c r="BC283" s="72"/>
      <c r="BD283" s="72"/>
      <c r="BE283" s="72"/>
      <c r="BF283" s="72"/>
      <c r="BG283" s="72"/>
      <c r="BH283" s="72"/>
      <c r="BI283" s="72"/>
      <c r="BJ283" s="72"/>
      <c r="BK283" s="72"/>
      <c r="BL283" s="72"/>
      <c r="BM283" s="72"/>
      <c r="BN283" s="72"/>
      <c r="BO283" s="72"/>
      <c r="BP283" s="72"/>
      <c r="BQ283" s="72"/>
      <c r="BR283" s="72"/>
      <c r="BS283" s="72"/>
      <c r="BT283" s="72"/>
      <c r="BU283" s="72"/>
      <c r="BV283" s="72"/>
      <c r="BW283" s="72"/>
      <c r="BX283" s="72"/>
      <c r="BY283" s="72"/>
      <c r="BZ283" s="72"/>
      <c r="CA283" s="72"/>
      <c r="CB283" s="72"/>
      <c r="CC283" s="72"/>
      <c r="CD283" s="72"/>
      <c r="CE283" s="72"/>
      <c r="CF283" s="72"/>
      <c r="CG283" s="72"/>
      <c r="CH283" s="72"/>
    </row>
    <row r="284" ht="15.7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  <c r="AQ284" s="72"/>
      <c r="AR284" s="72"/>
      <c r="AS284" s="72"/>
      <c r="AT284" s="72"/>
      <c r="AU284" s="72"/>
      <c r="AV284" s="72"/>
      <c r="AW284" s="72"/>
      <c r="AX284" s="72"/>
      <c r="AY284" s="72"/>
      <c r="AZ284" s="72"/>
      <c r="BA284" s="72"/>
      <c r="BB284" s="72"/>
      <c r="BC284" s="72"/>
      <c r="BD284" s="72"/>
      <c r="BE284" s="72"/>
      <c r="BF284" s="72"/>
      <c r="BG284" s="72"/>
      <c r="BH284" s="72"/>
      <c r="BI284" s="72"/>
      <c r="BJ284" s="72"/>
      <c r="BK284" s="72"/>
      <c r="BL284" s="72"/>
      <c r="BM284" s="72"/>
      <c r="BN284" s="72"/>
      <c r="BO284" s="72"/>
      <c r="BP284" s="72"/>
      <c r="BQ284" s="72"/>
      <c r="BR284" s="72"/>
      <c r="BS284" s="72"/>
      <c r="BT284" s="72"/>
      <c r="BU284" s="72"/>
      <c r="BV284" s="72"/>
      <c r="BW284" s="72"/>
      <c r="BX284" s="72"/>
      <c r="BY284" s="72"/>
      <c r="BZ284" s="72"/>
      <c r="CA284" s="72"/>
      <c r="CB284" s="72"/>
      <c r="CC284" s="72"/>
      <c r="CD284" s="72"/>
      <c r="CE284" s="72"/>
      <c r="CF284" s="72"/>
      <c r="CG284" s="72"/>
      <c r="CH284" s="72"/>
    </row>
    <row r="285" ht="15.7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  <c r="AQ285" s="72"/>
      <c r="AR285" s="72"/>
      <c r="AS285" s="72"/>
      <c r="AT285" s="72"/>
      <c r="AU285" s="72"/>
      <c r="AV285" s="72"/>
      <c r="AW285" s="72"/>
      <c r="AX285" s="72"/>
      <c r="AY285" s="72"/>
      <c r="AZ285" s="72"/>
      <c r="BA285" s="72"/>
      <c r="BB285" s="72"/>
      <c r="BC285" s="72"/>
      <c r="BD285" s="72"/>
      <c r="BE285" s="72"/>
      <c r="BF285" s="72"/>
      <c r="BG285" s="72"/>
      <c r="BH285" s="72"/>
      <c r="BI285" s="72"/>
      <c r="BJ285" s="72"/>
      <c r="BK285" s="72"/>
      <c r="BL285" s="72"/>
      <c r="BM285" s="72"/>
      <c r="BN285" s="72"/>
      <c r="BO285" s="72"/>
      <c r="BP285" s="72"/>
      <c r="BQ285" s="72"/>
      <c r="BR285" s="72"/>
      <c r="BS285" s="72"/>
      <c r="BT285" s="72"/>
      <c r="BU285" s="72"/>
      <c r="BV285" s="72"/>
      <c r="BW285" s="72"/>
      <c r="BX285" s="72"/>
      <c r="BY285" s="72"/>
      <c r="BZ285" s="72"/>
      <c r="CA285" s="72"/>
      <c r="CB285" s="72"/>
      <c r="CC285" s="72"/>
      <c r="CD285" s="72"/>
      <c r="CE285" s="72"/>
      <c r="CF285" s="72"/>
      <c r="CG285" s="72"/>
      <c r="CH285" s="72"/>
    </row>
    <row r="286" ht="15.7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  <c r="AQ286" s="72"/>
      <c r="AR286" s="72"/>
      <c r="AS286" s="72"/>
      <c r="AT286" s="72"/>
      <c r="AU286" s="72"/>
      <c r="AV286" s="72"/>
      <c r="AW286" s="72"/>
      <c r="AX286" s="72"/>
      <c r="AY286" s="72"/>
      <c r="AZ286" s="72"/>
      <c r="BA286" s="72"/>
      <c r="BB286" s="72"/>
      <c r="BC286" s="72"/>
      <c r="BD286" s="72"/>
      <c r="BE286" s="72"/>
      <c r="BF286" s="72"/>
      <c r="BG286" s="72"/>
      <c r="BH286" s="72"/>
      <c r="BI286" s="72"/>
      <c r="BJ286" s="72"/>
      <c r="BK286" s="72"/>
      <c r="BL286" s="72"/>
      <c r="BM286" s="72"/>
      <c r="BN286" s="72"/>
      <c r="BO286" s="72"/>
      <c r="BP286" s="72"/>
      <c r="BQ286" s="72"/>
      <c r="BR286" s="72"/>
      <c r="BS286" s="72"/>
      <c r="BT286" s="72"/>
      <c r="BU286" s="72"/>
      <c r="BV286" s="72"/>
      <c r="BW286" s="72"/>
      <c r="BX286" s="72"/>
      <c r="BY286" s="72"/>
      <c r="BZ286" s="72"/>
      <c r="CA286" s="72"/>
      <c r="CB286" s="72"/>
      <c r="CC286" s="72"/>
      <c r="CD286" s="72"/>
      <c r="CE286" s="72"/>
      <c r="CF286" s="72"/>
      <c r="CG286" s="72"/>
      <c r="CH286" s="72"/>
    </row>
    <row r="287" ht="15.7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  <c r="AQ287" s="72"/>
      <c r="AR287" s="72"/>
      <c r="AS287" s="72"/>
      <c r="AT287" s="72"/>
      <c r="AU287" s="72"/>
      <c r="AV287" s="72"/>
      <c r="AW287" s="72"/>
      <c r="AX287" s="72"/>
      <c r="AY287" s="72"/>
      <c r="AZ287" s="72"/>
      <c r="BA287" s="72"/>
      <c r="BB287" s="72"/>
      <c r="BC287" s="72"/>
      <c r="BD287" s="72"/>
      <c r="BE287" s="72"/>
      <c r="BF287" s="72"/>
      <c r="BG287" s="72"/>
      <c r="BH287" s="72"/>
      <c r="BI287" s="72"/>
      <c r="BJ287" s="72"/>
      <c r="BK287" s="72"/>
      <c r="BL287" s="72"/>
      <c r="BM287" s="72"/>
      <c r="BN287" s="72"/>
      <c r="BO287" s="72"/>
      <c r="BP287" s="72"/>
      <c r="BQ287" s="72"/>
      <c r="BR287" s="72"/>
      <c r="BS287" s="72"/>
      <c r="BT287" s="72"/>
      <c r="BU287" s="72"/>
      <c r="BV287" s="72"/>
      <c r="BW287" s="72"/>
      <c r="BX287" s="72"/>
      <c r="BY287" s="72"/>
      <c r="BZ287" s="72"/>
      <c r="CA287" s="72"/>
      <c r="CB287" s="72"/>
      <c r="CC287" s="72"/>
      <c r="CD287" s="72"/>
      <c r="CE287" s="72"/>
      <c r="CF287" s="72"/>
      <c r="CG287" s="72"/>
      <c r="CH287" s="72"/>
    </row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mergeCells count="26">
    <mergeCell ref="A1:CH1"/>
    <mergeCell ref="A2:CH2"/>
    <mergeCell ref="A5:CH5"/>
    <mergeCell ref="A7:CH7"/>
    <mergeCell ref="A8:CH8"/>
    <mergeCell ref="A19:CH19"/>
    <mergeCell ref="A20:CH20"/>
    <mergeCell ref="A44:CH44"/>
    <mergeCell ref="A45:H45"/>
    <mergeCell ref="A46:H46"/>
    <mergeCell ref="A47:H47"/>
    <mergeCell ref="A48:H48"/>
    <mergeCell ref="A49:H49"/>
    <mergeCell ref="A50:H50"/>
    <mergeCell ref="A84:H84"/>
    <mergeCell ref="A85:H85"/>
    <mergeCell ref="A86:H86"/>
    <mergeCell ref="A87:H87"/>
    <mergeCell ref="A88:CH88"/>
    <mergeCell ref="A51:H51"/>
    <mergeCell ref="A52:CH52"/>
    <mergeCell ref="A53:CH53"/>
    <mergeCell ref="A80:CH80"/>
    <mergeCell ref="A81:H81"/>
    <mergeCell ref="A82:H82"/>
    <mergeCell ref="A83:H83"/>
  </mergeCells>
  <conditionalFormatting sqref="I5:CD88">
    <cfRule type="cellIs" dxfId="0" priority="1" operator="equal">
      <formula>"Present"</formula>
    </cfRule>
  </conditionalFormatting>
  <conditionalFormatting sqref="I5:CD88">
    <cfRule type="cellIs" dxfId="1" priority="2" operator="equal">
      <formula>"Absent"</formula>
    </cfRule>
  </conditionalFormatting>
  <conditionalFormatting sqref="I5:CD88">
    <cfRule type="cellIs" dxfId="2" priority="3" operator="equal">
      <formula>"Leave"</formula>
    </cfRule>
  </conditionalFormatting>
  <conditionalFormatting sqref="I5:CD88">
    <cfRule type="cellIs" dxfId="3" priority="4" operator="equal">
      <formula>"Late"</formula>
    </cfRule>
  </conditionalFormatting>
  <conditionalFormatting sqref="I5:CD88">
    <cfRule type="cellIs" dxfId="4" priority="5" operator="equal">
      <formula>"Sat Off"</formula>
    </cfRule>
  </conditionalFormatting>
  <conditionalFormatting sqref="I5:CD88">
    <cfRule type="cellIs" dxfId="5" priority="6" operator="equal">
      <formula>"N/A"</formula>
    </cfRule>
  </conditionalFormatting>
  <conditionalFormatting sqref="I5:CD88">
    <cfRule type="cellIs" dxfId="6" priority="7" operator="equal">
      <formula>"Dropout"</formula>
    </cfRule>
  </conditionalFormatting>
  <conditionalFormatting sqref="I5:CD88">
    <cfRule type="cellIs" dxfId="7" priority="8" operator="equal">
      <formula>"OFF"</formula>
    </cfRule>
  </conditionalFormatting>
  <dataValidations>
    <dataValidation type="list" allowBlank="1" sqref="F6 F9:F18 F21:F43 F54:F79">
      <formula1>"✓,—"</formula1>
    </dataValidation>
    <dataValidation type="list" allowBlank="1" sqref="I6:CD6 I9:CD18 I21:CD43 I54:CD79">
      <formula1>"Present,Absent,Leave,Late,Sat Off,N/A,Dropout"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5C38"/>
    <pageSetUpPr/>
  </sheetPr>
  <sheetViews>
    <sheetView workbookViewId="0">
      <pane xSplit="8.0" ySplit="4.0" topLeftCell="I5" activePane="bottomRight" state="frozen"/>
      <selection activeCell="I1" sqref="I1" pane="topRight"/>
      <selection activeCell="A5" sqref="A5" pane="bottomLeft"/>
      <selection activeCell="I5" sqref="I5" pane="bottomRight"/>
    </sheetView>
  </sheetViews>
  <sheetFormatPr customHeight="1" defaultColWidth="14.43" defaultRowHeight="15.0"/>
  <cols>
    <col customWidth="1" min="1" max="1" width="5.0"/>
    <col customWidth="1" min="2" max="2" width="32.0"/>
    <col customWidth="1" min="3" max="3" width="18.0"/>
    <col customWidth="1" min="4" max="4" width="10.0"/>
    <col customWidth="1" min="5" max="5" width="13.0"/>
    <col customWidth="1" min="6" max="6" width="7.0"/>
    <col customWidth="1" min="7" max="7" width="5.0"/>
    <col customWidth="1" min="8" max="8" width="14.0"/>
    <col customWidth="1" min="9" max="82" width="13.0"/>
    <col customWidth="1" min="83" max="84" width="8.0"/>
    <col customWidth="1" min="85" max="85" width="7.0"/>
    <col customWidth="1" min="86" max="86" width="8.0"/>
  </cols>
  <sheetData>
    <row r="1" ht="27.75" customHeight="1">
      <c r="A1" s="4" t="s">
        <v>700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3"/>
    </row>
    <row r="2" ht="15.75" customHeight="1">
      <c r="A2" s="18" t="s">
        <v>701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3"/>
    </row>
    <row r="3" ht="15.75" customHeight="1">
      <c r="A3" s="5" t="s">
        <v>3</v>
      </c>
      <c r="B3" s="5" t="s">
        <v>6</v>
      </c>
      <c r="C3" s="5" t="s">
        <v>7</v>
      </c>
      <c r="D3" s="5" t="s">
        <v>39</v>
      </c>
      <c r="E3" s="5" t="s">
        <v>40</v>
      </c>
      <c r="F3" s="5" t="s">
        <v>11</v>
      </c>
      <c r="G3" s="5" t="s">
        <v>12</v>
      </c>
      <c r="H3" s="5" t="s">
        <v>41</v>
      </c>
      <c r="I3" s="5" t="s">
        <v>42</v>
      </c>
      <c r="J3" s="5" t="s">
        <v>43</v>
      </c>
      <c r="K3" s="5" t="s">
        <v>44</v>
      </c>
      <c r="L3" s="5" t="s">
        <v>45</v>
      </c>
      <c r="M3" s="5" t="s">
        <v>46</v>
      </c>
      <c r="N3" s="5" t="s">
        <v>47</v>
      </c>
      <c r="O3" s="5" t="s">
        <v>48</v>
      </c>
      <c r="P3" s="5" t="s">
        <v>49</v>
      </c>
      <c r="Q3" s="5" t="s">
        <v>50</v>
      </c>
      <c r="R3" s="5" t="s">
        <v>51</v>
      </c>
      <c r="S3" s="5" t="s">
        <v>52</v>
      </c>
      <c r="T3" s="5" t="s">
        <v>53</v>
      </c>
      <c r="U3" s="5" t="s">
        <v>54</v>
      </c>
      <c r="V3" s="5" t="s">
        <v>55</v>
      </c>
      <c r="W3" s="5" t="s">
        <v>56</v>
      </c>
      <c r="X3" s="5" t="s">
        <v>57</v>
      </c>
      <c r="Y3" s="5" t="s">
        <v>58</v>
      </c>
      <c r="Z3" s="5" t="s">
        <v>59</v>
      </c>
      <c r="AA3" s="5" t="s">
        <v>60</v>
      </c>
      <c r="AB3" s="5" t="s">
        <v>61</v>
      </c>
      <c r="AC3" s="5" t="s">
        <v>62</v>
      </c>
      <c r="AD3" s="5" t="s">
        <v>63</v>
      </c>
      <c r="AE3" s="5" t="s">
        <v>64</v>
      </c>
      <c r="AF3" s="5" t="s">
        <v>65</v>
      </c>
      <c r="AG3" s="5" t="s">
        <v>66</v>
      </c>
      <c r="AH3" s="5" t="s">
        <v>67</v>
      </c>
      <c r="AI3" s="5" t="s">
        <v>68</v>
      </c>
      <c r="AJ3" s="5" t="s">
        <v>69</v>
      </c>
      <c r="AK3" s="5" t="s">
        <v>70</v>
      </c>
      <c r="AL3" s="5" t="s">
        <v>71</v>
      </c>
      <c r="AM3" s="5" t="s">
        <v>72</v>
      </c>
      <c r="AN3" s="5" t="s">
        <v>73</v>
      </c>
      <c r="AO3" s="5" t="s">
        <v>75</v>
      </c>
      <c r="AP3" s="5" t="s">
        <v>77</v>
      </c>
      <c r="AQ3" s="5" t="s">
        <v>78</v>
      </c>
      <c r="AR3" s="5" t="s">
        <v>79</v>
      </c>
      <c r="AS3" s="5" t="s">
        <v>80</v>
      </c>
      <c r="AT3" s="5" t="s">
        <v>81</v>
      </c>
      <c r="AU3" s="5" t="s">
        <v>82</v>
      </c>
      <c r="AV3" s="5" t="s">
        <v>83</v>
      </c>
      <c r="AW3" s="5" t="s">
        <v>84</v>
      </c>
      <c r="AX3" s="5" t="s">
        <v>85</v>
      </c>
      <c r="AY3" s="5" t="s">
        <v>86</v>
      </c>
      <c r="AZ3" s="5" t="s">
        <v>87</v>
      </c>
      <c r="BA3" s="5" t="s">
        <v>88</v>
      </c>
      <c r="BB3" s="5" t="s">
        <v>89</v>
      </c>
      <c r="BC3" s="5" t="s">
        <v>90</v>
      </c>
      <c r="BD3" s="5" t="s">
        <v>91</v>
      </c>
      <c r="BE3" s="5" t="s">
        <v>92</v>
      </c>
      <c r="BF3" s="5" t="s">
        <v>93</v>
      </c>
      <c r="BG3" s="5" t="s">
        <v>94</v>
      </c>
      <c r="BH3" s="5" t="s">
        <v>95</v>
      </c>
      <c r="BI3" s="5" t="s">
        <v>96</v>
      </c>
      <c r="BJ3" s="5" t="s">
        <v>97</v>
      </c>
      <c r="BK3" s="5" t="s">
        <v>98</v>
      </c>
      <c r="BL3" s="5" t="s">
        <v>99</v>
      </c>
      <c r="BM3" s="5" t="s">
        <v>100</v>
      </c>
      <c r="BN3" s="5" t="s">
        <v>101</v>
      </c>
      <c r="BO3" s="5" t="s">
        <v>102</v>
      </c>
      <c r="BP3" s="5" t="s">
        <v>103</v>
      </c>
      <c r="BQ3" s="5" t="s">
        <v>104</v>
      </c>
      <c r="BR3" s="5" t="s">
        <v>105</v>
      </c>
      <c r="BS3" s="5" t="s">
        <v>106</v>
      </c>
      <c r="BT3" s="5" t="s">
        <v>107</v>
      </c>
      <c r="BU3" s="5" t="s">
        <v>108</v>
      </c>
      <c r="BV3" s="5" t="s">
        <v>109</v>
      </c>
      <c r="BW3" s="5" t="s">
        <v>110</v>
      </c>
      <c r="BX3" s="5" t="s">
        <v>111</v>
      </c>
      <c r="BY3" s="5" t="s">
        <v>112</v>
      </c>
      <c r="BZ3" s="5" t="s">
        <v>113</v>
      </c>
      <c r="CA3" s="5" t="s">
        <v>114</v>
      </c>
      <c r="CB3" s="5" t="s">
        <v>115</v>
      </c>
      <c r="CC3" s="5" t="s">
        <v>116</v>
      </c>
      <c r="CD3" s="5" t="s">
        <v>117</v>
      </c>
      <c r="CE3" s="5" t="s">
        <v>19</v>
      </c>
      <c r="CF3" s="5" t="s">
        <v>21</v>
      </c>
      <c r="CG3" s="5" t="s">
        <v>25</v>
      </c>
      <c r="CH3" s="5" t="s">
        <v>14</v>
      </c>
    </row>
    <row r="4" ht="15.75" customHeight="1">
      <c r="A4" s="38"/>
      <c r="B4" s="38"/>
      <c r="C4" s="38"/>
      <c r="D4" s="38"/>
      <c r="E4" s="38"/>
      <c r="F4" s="38"/>
      <c r="G4" s="38"/>
      <c r="H4" s="38"/>
      <c r="I4" s="39" t="s">
        <v>118</v>
      </c>
      <c r="J4" s="39" t="s">
        <v>119</v>
      </c>
      <c r="K4" s="39" t="s">
        <v>120</v>
      </c>
      <c r="L4" s="39" t="s">
        <v>121</v>
      </c>
      <c r="M4" s="39" t="s">
        <v>122</v>
      </c>
      <c r="N4" s="39" t="s">
        <v>123</v>
      </c>
      <c r="O4" s="39" t="s">
        <v>124</v>
      </c>
      <c r="P4" s="39" t="s">
        <v>125</v>
      </c>
      <c r="Q4" s="39" t="s">
        <v>126</v>
      </c>
      <c r="R4" s="39" t="s">
        <v>127</v>
      </c>
      <c r="S4" s="39" t="s">
        <v>128</v>
      </c>
      <c r="T4" s="39" t="s">
        <v>129</v>
      </c>
      <c r="U4" s="39" t="s">
        <v>130</v>
      </c>
      <c r="V4" s="39" t="s">
        <v>131</v>
      </c>
      <c r="W4" s="39" t="s">
        <v>132</v>
      </c>
      <c r="X4" s="39" t="s">
        <v>133</v>
      </c>
      <c r="Y4" s="39" t="s">
        <v>134</v>
      </c>
      <c r="Z4" s="39" t="s">
        <v>135</v>
      </c>
      <c r="AA4" s="39" t="s">
        <v>136</v>
      </c>
      <c r="AB4" s="39" t="s">
        <v>137</v>
      </c>
      <c r="AC4" s="39" t="s">
        <v>138</v>
      </c>
      <c r="AD4" s="39" t="s">
        <v>139</v>
      </c>
      <c r="AE4" s="39" t="s">
        <v>140</v>
      </c>
      <c r="AF4" s="39" t="s">
        <v>141</v>
      </c>
      <c r="AG4" s="39" t="s">
        <v>142</v>
      </c>
      <c r="AH4" s="39" t="s">
        <v>143</v>
      </c>
      <c r="AI4" s="39" t="s">
        <v>144</v>
      </c>
      <c r="AJ4" s="39" t="s">
        <v>145</v>
      </c>
      <c r="AK4" s="39" t="s">
        <v>146</v>
      </c>
      <c r="AL4" s="39" t="s">
        <v>147</v>
      </c>
      <c r="AM4" s="39" t="s">
        <v>148</v>
      </c>
      <c r="AN4" s="39" t="s">
        <v>149</v>
      </c>
      <c r="AO4" s="39" t="s">
        <v>150</v>
      </c>
      <c r="AP4" s="39" t="s">
        <v>151</v>
      </c>
      <c r="AQ4" s="39" t="s">
        <v>152</v>
      </c>
      <c r="AR4" s="39" t="s">
        <v>153</v>
      </c>
      <c r="AS4" s="39" t="s">
        <v>154</v>
      </c>
      <c r="AT4" s="39" t="s">
        <v>155</v>
      </c>
      <c r="AU4" s="39" t="s">
        <v>156</v>
      </c>
      <c r="AV4" s="39" t="s">
        <v>157</v>
      </c>
      <c r="AW4" s="39" t="s">
        <v>158</v>
      </c>
      <c r="AX4" s="39" t="s">
        <v>159</v>
      </c>
      <c r="AY4" s="39" t="s">
        <v>160</v>
      </c>
      <c r="AZ4" s="39" t="s">
        <v>161</v>
      </c>
      <c r="BA4" s="39" t="s">
        <v>162</v>
      </c>
      <c r="BB4" s="39" t="s">
        <v>163</v>
      </c>
      <c r="BC4" s="39" t="s">
        <v>164</v>
      </c>
      <c r="BD4" s="39" t="s">
        <v>165</v>
      </c>
      <c r="BE4" s="39" t="s">
        <v>166</v>
      </c>
      <c r="BF4" s="39" t="s">
        <v>167</v>
      </c>
      <c r="BG4" s="39" t="s">
        <v>168</v>
      </c>
      <c r="BH4" s="39" t="s">
        <v>169</v>
      </c>
      <c r="BI4" s="39" t="s">
        <v>170</v>
      </c>
      <c r="BJ4" s="39" t="s">
        <v>171</v>
      </c>
      <c r="BK4" s="39" t="s">
        <v>172</v>
      </c>
      <c r="BL4" s="39" t="s">
        <v>173</v>
      </c>
      <c r="BM4" s="39" t="s">
        <v>174</v>
      </c>
      <c r="BN4" s="39" t="s">
        <v>175</v>
      </c>
      <c r="BO4" s="39" t="s">
        <v>176</v>
      </c>
      <c r="BP4" s="39" t="s">
        <v>177</v>
      </c>
      <c r="BQ4" s="39" t="s">
        <v>178</v>
      </c>
      <c r="BR4" s="39" t="s">
        <v>179</v>
      </c>
      <c r="BS4" s="39" t="s">
        <v>180</v>
      </c>
      <c r="BT4" s="39" t="s">
        <v>181</v>
      </c>
      <c r="BU4" s="39" t="s">
        <v>182</v>
      </c>
      <c r="BV4" s="39" t="s">
        <v>183</v>
      </c>
      <c r="BW4" s="39" t="s">
        <v>184</v>
      </c>
      <c r="BX4" s="39" t="s">
        <v>185</v>
      </c>
      <c r="BY4" s="39" t="s">
        <v>186</v>
      </c>
      <c r="BZ4" s="39" t="s">
        <v>187</v>
      </c>
      <c r="CA4" s="39" t="s">
        <v>188</v>
      </c>
      <c r="CB4" s="39" t="s">
        <v>189</v>
      </c>
      <c r="CC4" s="39" t="s">
        <v>190</v>
      </c>
      <c r="CD4" s="39" t="s">
        <v>191</v>
      </c>
      <c r="CE4" s="38"/>
      <c r="CF4" s="38"/>
      <c r="CG4" s="38"/>
      <c r="CH4" s="38"/>
    </row>
    <row r="5" ht="18.0" customHeight="1">
      <c r="A5" s="11" t="s">
        <v>192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3"/>
    </row>
    <row r="6" ht="18.0" customHeight="1">
      <c r="A6" s="42">
        <v>1.0</v>
      </c>
      <c r="B6" s="43" t="s">
        <v>704</v>
      </c>
      <c r="C6" s="97"/>
      <c r="D6" s="45" t="str">
        <f>IF(C6&lt;&gt;"",HYPERLINK("tel:"&amp;SUBSTITUTE(SUBSTITUTE(C6," ",""),"+","+"),"📞 Call"),"")</f>
        <v/>
      </c>
      <c r="E6" s="115" t="str">
        <f>IF(C6&lt;&gt;"",HYPERLINK("https://wa.me/"&amp;SUBSTITUTE(SUBSTITUTE(C6,"+","")," ",""),"💬 WhatsApp"),"")</f>
        <v/>
      </c>
      <c r="F6" s="47"/>
      <c r="G6" s="47"/>
      <c r="H6" s="47" t="s">
        <v>195</v>
      </c>
      <c r="I6" s="48" t="s">
        <v>196</v>
      </c>
      <c r="J6" s="48" t="s">
        <v>196</v>
      </c>
      <c r="K6" s="49" t="s">
        <v>197</v>
      </c>
      <c r="L6" s="48" t="s">
        <v>196</v>
      </c>
      <c r="M6" s="48" t="s">
        <v>196</v>
      </c>
      <c r="N6" s="48" t="s">
        <v>196</v>
      </c>
      <c r="O6" s="48" t="s">
        <v>196</v>
      </c>
      <c r="P6" s="48" t="s">
        <v>196</v>
      </c>
      <c r="Q6" s="48" t="s">
        <v>196</v>
      </c>
      <c r="R6" s="56" t="str">
        <f>IF('⚙ OFF Weekends'!$D$13="OFF","OFF","")</f>
        <v/>
      </c>
      <c r="S6" s="54" t="str">
        <f>IF('⚙ OFF Weekends'!$D$14="OFF","OFF","")</f>
        <v/>
      </c>
      <c r="T6" s="56" t="str">
        <f>IF('⚙ OFF Weekends'!$D$15="OFF","OFF","")</f>
        <v/>
      </c>
      <c r="U6" s="54" t="str">
        <f>IF('⚙ OFF Weekends'!$D$16="OFF","OFF","")</f>
        <v/>
      </c>
      <c r="V6" s="56" t="str">
        <f>IF('⚙ OFF Weekends'!$D$17="OFF","OFF","")</f>
        <v/>
      </c>
      <c r="W6" s="54" t="str">
        <f>IF('⚙ OFF Weekends'!$D$18="OFF","OFF","")</f>
        <v>OFF</v>
      </c>
      <c r="X6" s="56" t="str">
        <f>IF('⚙ OFF Weekends'!$D$19="OFF","OFF","")</f>
        <v/>
      </c>
      <c r="Y6" s="54" t="str">
        <f>IF('⚙ OFF Weekends'!$D$20="OFF","OFF","")</f>
        <v/>
      </c>
      <c r="Z6" s="56" t="str">
        <f>IF('⚙ OFF Weekends'!$D$21="OFF","OFF","")</f>
        <v/>
      </c>
      <c r="AA6" s="54" t="str">
        <f>IF('⚙ OFF Weekends'!$D$22="OFF","OFF","")</f>
        <v/>
      </c>
      <c r="AB6" s="56" t="str">
        <f>IF('⚙ OFF Weekends'!$D$23="OFF","OFF","")</f>
        <v/>
      </c>
      <c r="AC6" s="54" t="str">
        <f>IF('⚙ OFF Weekends'!$D$24="OFF","OFF","")</f>
        <v/>
      </c>
      <c r="AD6" s="56" t="str">
        <f>IF('⚙ OFF Weekends'!$D$25="OFF","OFF","")</f>
        <v/>
      </c>
      <c r="AE6" s="54" t="str">
        <f>IF('⚙ OFF Weekends'!$D$26="OFF","OFF","")</f>
        <v/>
      </c>
      <c r="AF6" s="56" t="str">
        <f>IF('⚙ OFF Weekends'!$D$27="OFF","OFF","")</f>
        <v/>
      </c>
      <c r="AG6" s="54" t="str">
        <f>IF('⚙ OFF Weekends'!$D$28="OFF","OFF","")</f>
        <v/>
      </c>
      <c r="AH6" s="56" t="str">
        <f>IF('⚙ OFF Weekends'!$D$29="OFF","OFF","")</f>
        <v/>
      </c>
      <c r="AI6" s="54" t="str">
        <f>IF('⚙ OFF Weekends'!$D$30="OFF","OFF","")</f>
        <v/>
      </c>
      <c r="AJ6" s="56" t="str">
        <f>IF('⚙ OFF Weekends'!$D$31="OFF","OFF","")</f>
        <v/>
      </c>
      <c r="AK6" s="54" t="str">
        <f>IF('⚙ OFF Weekends'!$D$32="OFF","OFF","")</f>
        <v/>
      </c>
      <c r="AL6" s="56" t="str">
        <f>IF('⚙ OFF Weekends'!$D$33="OFF","OFF","")</f>
        <v/>
      </c>
      <c r="AM6" s="54" t="str">
        <f>IF('⚙ OFF Weekends'!$D$34="OFF","OFF","")</f>
        <v/>
      </c>
      <c r="AN6" s="56" t="str">
        <f>IF('⚙ OFF Weekends'!$D$35="OFF","OFF","")</f>
        <v/>
      </c>
      <c r="AO6" s="54" t="str">
        <f>IF('⚙ OFF Weekends'!$D$36="OFF","OFF","")</f>
        <v/>
      </c>
      <c r="AP6" s="56" t="str">
        <f>IF('⚙ OFF Weekends'!$D$37="OFF","OFF","")</f>
        <v/>
      </c>
      <c r="AQ6" s="54" t="str">
        <f>IF('⚙ OFF Weekends'!$D$38="OFF","OFF","")</f>
        <v/>
      </c>
      <c r="AR6" s="56" t="str">
        <f>IF('⚙ OFF Weekends'!$D$39="OFF","OFF","")</f>
        <v/>
      </c>
      <c r="AS6" s="54" t="str">
        <f>IF('⚙ OFF Weekends'!$D$40="OFF","OFF","")</f>
        <v/>
      </c>
      <c r="AT6" s="56" t="str">
        <f>IF('⚙ OFF Weekends'!$D$41="OFF","OFF","")</f>
        <v/>
      </c>
      <c r="AU6" s="54" t="str">
        <f>IF('⚙ OFF Weekends'!$D$42="OFF","OFF","")</f>
        <v/>
      </c>
      <c r="AV6" s="56" t="str">
        <f>IF('⚙ OFF Weekends'!$D$43="OFF","OFF","")</f>
        <v/>
      </c>
      <c r="AW6" s="54" t="str">
        <f>IF('⚙ OFF Weekends'!$D$44="OFF","OFF","")</f>
        <v/>
      </c>
      <c r="AX6" s="56" t="str">
        <f>IF('⚙ OFF Weekends'!$D$45="OFF","OFF","")</f>
        <v/>
      </c>
      <c r="AY6" s="54" t="str">
        <f>IF('⚙ OFF Weekends'!$D$46="OFF","OFF","")</f>
        <v/>
      </c>
      <c r="AZ6" s="56" t="str">
        <f>IF('⚙ OFF Weekends'!$D$47="OFF","OFF","")</f>
        <v/>
      </c>
      <c r="BA6" s="54" t="str">
        <f>IF('⚙ OFF Weekends'!$D$48="OFF","OFF","")</f>
        <v/>
      </c>
      <c r="BB6" s="56" t="str">
        <f>IF('⚙ OFF Weekends'!$D$49="OFF","OFF","")</f>
        <v/>
      </c>
      <c r="BC6" s="54" t="str">
        <f>IF('⚙ OFF Weekends'!$D$50="OFF","OFF","")</f>
        <v/>
      </c>
      <c r="BD6" s="56" t="str">
        <f>IF('⚙ OFF Weekends'!$D$51="OFF","OFF","")</f>
        <v/>
      </c>
      <c r="BE6" s="54" t="str">
        <f>IF('⚙ OFF Weekends'!$D$52="OFF","OFF","")</f>
        <v/>
      </c>
      <c r="BF6" s="56" t="str">
        <f>IF('⚙ OFF Weekends'!$D$53="OFF","OFF","")</f>
        <v/>
      </c>
      <c r="BG6" s="54" t="str">
        <f>IF('⚙ OFF Weekends'!$D$54="OFF","OFF","")</f>
        <v/>
      </c>
      <c r="BH6" s="56" t="str">
        <f>IF('⚙ OFF Weekends'!$D$55="OFF","OFF","")</f>
        <v/>
      </c>
      <c r="BI6" s="54" t="str">
        <f>IF('⚙ OFF Weekends'!$D$56="OFF","OFF","")</f>
        <v/>
      </c>
      <c r="BJ6" s="56" t="str">
        <f>IF('⚙ OFF Weekends'!$D$57="OFF","OFF","")</f>
        <v/>
      </c>
      <c r="BK6" s="54" t="str">
        <f>IF('⚙ OFF Weekends'!$D$58="OFF","OFF","")</f>
        <v/>
      </c>
      <c r="BL6" s="56" t="str">
        <f>IF('⚙ OFF Weekends'!$D$59="OFF","OFF","")</f>
        <v/>
      </c>
      <c r="BM6" s="54" t="str">
        <f>IF('⚙ OFF Weekends'!$D$60="OFF","OFF","")</f>
        <v/>
      </c>
      <c r="BN6" s="56" t="str">
        <f>IF('⚙ OFF Weekends'!$D$61="OFF","OFF","")</f>
        <v/>
      </c>
      <c r="BO6" s="54" t="str">
        <f>IF('⚙ OFF Weekends'!$D$62="OFF","OFF","")</f>
        <v/>
      </c>
      <c r="BP6" s="56" t="str">
        <f>IF('⚙ OFF Weekends'!$D$63="OFF","OFF","")</f>
        <v/>
      </c>
      <c r="BQ6" s="54" t="str">
        <f>IF('⚙ OFF Weekends'!$D$64="OFF","OFF","")</f>
        <v/>
      </c>
      <c r="BR6" s="56" t="str">
        <f>IF('⚙ OFF Weekends'!$D$65="OFF","OFF","")</f>
        <v/>
      </c>
      <c r="BS6" s="54" t="str">
        <f>IF('⚙ OFF Weekends'!$D$66="OFF","OFF","")</f>
        <v/>
      </c>
      <c r="BT6" s="56" t="str">
        <f>IF('⚙ OFF Weekends'!$D$67="OFF","OFF","")</f>
        <v/>
      </c>
      <c r="BU6" s="54" t="str">
        <f>IF('⚙ OFF Weekends'!$D$68="OFF","OFF","")</f>
        <v/>
      </c>
      <c r="BV6" s="56" t="str">
        <f>IF('⚙ OFF Weekends'!$D$69="OFF","OFF","")</f>
        <v/>
      </c>
      <c r="BW6" s="54" t="str">
        <f>IF('⚙ OFF Weekends'!$D$70="OFF","OFF","")</f>
        <v/>
      </c>
      <c r="BX6" s="56" t="str">
        <f>IF('⚙ OFF Weekends'!$D$71="OFF","OFF","")</f>
        <v/>
      </c>
      <c r="BY6" s="54" t="str">
        <f>IF('⚙ OFF Weekends'!$D$72="OFF","OFF","")</f>
        <v/>
      </c>
      <c r="BZ6" s="56" t="str">
        <f>IF('⚙ OFF Weekends'!$D$73="OFF","OFF","")</f>
        <v/>
      </c>
      <c r="CA6" s="54" t="str">
        <f>IF('⚙ OFF Weekends'!$D$74="OFF","OFF","")</f>
        <v/>
      </c>
      <c r="CB6" s="56" t="str">
        <f>IF('⚙ OFF Weekends'!$D$75="OFF","OFF","")</f>
        <v/>
      </c>
      <c r="CC6" s="54" t="str">
        <f>IF('⚙ OFF Weekends'!$D$76="OFF","OFF","")</f>
        <v/>
      </c>
      <c r="CD6" s="56" t="str">
        <f>IF('⚙ OFF Weekends'!$D$77="OFF","OFF","")</f>
        <v/>
      </c>
      <c r="CE6" s="42">
        <f>COUNTIF(I6:CD6,"Present")+COUNTIF(I6:CD6,"Late")</f>
        <v>8</v>
      </c>
      <c r="CF6" s="42">
        <f>COUNTIF(I6:CD6,"Absent")</f>
        <v>0</v>
      </c>
      <c r="CG6" s="42">
        <f>COUNTIF(I6:CD6,"Leave")</f>
        <v>0</v>
      </c>
      <c r="CH6" s="42" t="str">
        <f>IF(CE6+CF6=0,"0%",TEXT(CE6/(CE6+CF6),"0%"))</f>
        <v>100%</v>
      </c>
    </row>
    <row r="7" ht="6.0" customHeight="1">
      <c r="A7" s="67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3"/>
    </row>
    <row r="8" ht="18.0" customHeight="1">
      <c r="A8" s="9" t="s">
        <v>204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3"/>
    </row>
    <row r="9" ht="18.0" customHeight="1">
      <c r="A9" s="68">
        <v>1.0</v>
      </c>
      <c r="B9" s="25" t="s">
        <v>709</v>
      </c>
      <c r="C9" s="69"/>
      <c r="D9" s="70" t="str">
        <f t="shared" ref="D9:D20" si="1">IF(C9&lt;&gt;"",HYPERLINK("tel:"&amp;SUBSTITUTE(SUBSTITUTE(C9," ",""),"+","+"),"📞 Call"),"")</f>
        <v/>
      </c>
      <c r="E9" s="99" t="str">
        <f t="shared" ref="E9:E20" si="2">IF(C9&lt;&gt;"",HYPERLINK("https://wa.me/"&amp;SUBSTITUTE(SUBSTITUTE(C9,"+","")," ",""),"💬 WhatsApp"),"")</f>
        <v/>
      </c>
      <c r="F9" s="21" t="s">
        <v>423</v>
      </c>
      <c r="G9" s="21"/>
      <c r="H9" s="21" t="s">
        <v>268</v>
      </c>
      <c r="I9" s="48" t="s">
        <v>196</v>
      </c>
      <c r="J9" s="50" t="s">
        <v>37</v>
      </c>
      <c r="K9" s="49" t="s">
        <v>197</v>
      </c>
      <c r="L9" s="48" t="s">
        <v>196</v>
      </c>
      <c r="M9" s="77" t="s">
        <v>198</v>
      </c>
      <c r="N9" s="48" t="s">
        <v>196</v>
      </c>
      <c r="O9" s="48" t="s">
        <v>196</v>
      </c>
      <c r="P9" s="48" t="s">
        <v>196</v>
      </c>
      <c r="Q9" s="48" t="s">
        <v>196</v>
      </c>
      <c r="R9" s="48" t="s">
        <v>196</v>
      </c>
      <c r="S9" s="52" t="s">
        <v>196</v>
      </c>
      <c r="T9" s="56" t="str">
        <f>IF('⚙ OFF Weekends'!$D$15="OFF","OFF","")</f>
        <v/>
      </c>
      <c r="U9" s="52" t="s">
        <v>196</v>
      </c>
      <c r="V9" s="53" t="s">
        <v>196</v>
      </c>
      <c r="W9" s="54" t="str">
        <f>IF('⚙ OFF Weekends'!$D$18="OFF","OFF","")</f>
        <v>OFF</v>
      </c>
      <c r="X9" s="53" t="s">
        <v>196</v>
      </c>
      <c r="Y9" s="52" t="s">
        <v>196</v>
      </c>
      <c r="Z9" s="53" t="s">
        <v>196</v>
      </c>
      <c r="AA9" s="52" t="s">
        <v>196</v>
      </c>
      <c r="AB9" s="53" t="s">
        <v>196</v>
      </c>
      <c r="AC9" s="54" t="str">
        <f>IF('⚙ OFF Weekends'!$D$24="OFF","OFF","")</f>
        <v/>
      </c>
      <c r="AD9" s="56" t="str">
        <f>IF('⚙ OFF Weekends'!$D$25="OFF","OFF","")</f>
        <v/>
      </c>
      <c r="AE9" s="54" t="str">
        <f>IF('⚙ OFF Weekends'!$D$26="OFF","OFF","")</f>
        <v/>
      </c>
      <c r="AF9" s="56" t="str">
        <f>IF('⚙ OFF Weekends'!$D$27="OFF","OFF","")</f>
        <v/>
      </c>
      <c r="AG9" s="54" t="str">
        <f>IF('⚙ OFF Weekends'!$D$28="OFF","OFF","")</f>
        <v/>
      </c>
      <c r="AH9" s="56" t="str">
        <f>IF('⚙ OFF Weekends'!$D$29="OFF","OFF","")</f>
        <v/>
      </c>
      <c r="AI9" s="54" t="str">
        <f>IF('⚙ OFF Weekends'!$D$30="OFF","OFF","")</f>
        <v/>
      </c>
      <c r="AJ9" s="56" t="str">
        <f>IF('⚙ OFF Weekends'!$D$31="OFF","OFF","")</f>
        <v/>
      </c>
      <c r="AK9" s="54" t="str">
        <f>IF('⚙ OFF Weekends'!$D$32="OFF","OFF","")</f>
        <v/>
      </c>
      <c r="AL9" s="56" t="str">
        <f>IF('⚙ OFF Weekends'!$D$33="OFF","OFF","")</f>
        <v/>
      </c>
      <c r="AM9" s="54" t="str">
        <f>IF('⚙ OFF Weekends'!$D$34="OFF","OFF","")</f>
        <v/>
      </c>
      <c r="AN9" s="56" t="str">
        <f>IF('⚙ OFF Weekends'!$D$35="OFF","OFF","")</f>
        <v/>
      </c>
      <c r="AO9" s="54" t="str">
        <f>IF('⚙ OFF Weekends'!$D$36="OFF","OFF","")</f>
        <v/>
      </c>
      <c r="AP9" s="56" t="str">
        <f>IF('⚙ OFF Weekends'!$D$37="OFF","OFF","")</f>
        <v/>
      </c>
      <c r="AQ9" s="54" t="str">
        <f>IF('⚙ OFF Weekends'!$D$38="OFF","OFF","")</f>
        <v/>
      </c>
      <c r="AR9" s="56" t="str">
        <f>IF('⚙ OFF Weekends'!$D$39="OFF","OFF","")</f>
        <v/>
      </c>
      <c r="AS9" s="54" t="str">
        <f>IF('⚙ OFF Weekends'!$D$40="OFF","OFF","")</f>
        <v/>
      </c>
      <c r="AT9" s="56" t="str">
        <f>IF('⚙ OFF Weekends'!$D$41="OFF","OFF","")</f>
        <v/>
      </c>
      <c r="AU9" s="54" t="str">
        <f>IF('⚙ OFF Weekends'!$D$42="OFF","OFF","")</f>
        <v/>
      </c>
      <c r="AV9" s="56" t="str">
        <f>IF('⚙ OFF Weekends'!$D$43="OFF","OFF","")</f>
        <v/>
      </c>
      <c r="AW9" s="54" t="str">
        <f>IF('⚙ OFF Weekends'!$D$44="OFF","OFF","")</f>
        <v/>
      </c>
      <c r="AX9" s="56" t="str">
        <f>IF('⚙ OFF Weekends'!$D$45="OFF","OFF","")</f>
        <v/>
      </c>
      <c r="AY9" s="54" t="str">
        <f>IF('⚙ OFF Weekends'!$D$46="OFF","OFF","")</f>
        <v/>
      </c>
      <c r="AZ9" s="56" t="str">
        <f>IF('⚙ OFF Weekends'!$D$47="OFF","OFF","")</f>
        <v/>
      </c>
      <c r="BA9" s="54" t="str">
        <f>IF('⚙ OFF Weekends'!$D$48="OFF","OFF","")</f>
        <v/>
      </c>
      <c r="BB9" s="56" t="str">
        <f>IF('⚙ OFF Weekends'!$D$49="OFF","OFF","")</f>
        <v/>
      </c>
      <c r="BC9" s="54" t="str">
        <f>IF('⚙ OFF Weekends'!$D$50="OFF","OFF","")</f>
        <v/>
      </c>
      <c r="BD9" s="56" t="str">
        <f>IF('⚙ OFF Weekends'!$D$51="OFF","OFF","")</f>
        <v/>
      </c>
      <c r="BE9" s="54" t="str">
        <f>IF('⚙ OFF Weekends'!$D$52="OFF","OFF","")</f>
        <v/>
      </c>
      <c r="BF9" s="56" t="str">
        <f>IF('⚙ OFF Weekends'!$D$53="OFF","OFF","")</f>
        <v/>
      </c>
      <c r="BG9" s="54" t="str">
        <f>IF('⚙ OFF Weekends'!$D$54="OFF","OFF","")</f>
        <v/>
      </c>
      <c r="BH9" s="56" t="str">
        <f>IF('⚙ OFF Weekends'!$D$55="OFF","OFF","")</f>
        <v/>
      </c>
      <c r="BI9" s="54" t="str">
        <f>IF('⚙ OFF Weekends'!$D$56="OFF","OFF","")</f>
        <v/>
      </c>
      <c r="BJ9" s="56" t="str">
        <f>IF('⚙ OFF Weekends'!$D$57="OFF","OFF","")</f>
        <v/>
      </c>
      <c r="BK9" s="54" t="str">
        <f>IF('⚙ OFF Weekends'!$D$58="OFF","OFF","")</f>
        <v/>
      </c>
      <c r="BL9" s="56" t="str">
        <f>IF('⚙ OFF Weekends'!$D$59="OFF","OFF","")</f>
        <v/>
      </c>
      <c r="BM9" s="54" t="str">
        <f>IF('⚙ OFF Weekends'!$D$60="OFF","OFF","")</f>
        <v/>
      </c>
      <c r="BN9" s="56" t="str">
        <f>IF('⚙ OFF Weekends'!$D$61="OFF","OFF","")</f>
        <v/>
      </c>
      <c r="BO9" s="54" t="str">
        <f>IF('⚙ OFF Weekends'!$D$62="OFF","OFF","")</f>
        <v/>
      </c>
      <c r="BP9" s="56" t="str">
        <f>IF('⚙ OFF Weekends'!$D$63="OFF","OFF","")</f>
        <v/>
      </c>
      <c r="BQ9" s="54" t="str">
        <f>IF('⚙ OFF Weekends'!$D$64="OFF","OFF","")</f>
        <v/>
      </c>
      <c r="BR9" s="56" t="str">
        <f>IF('⚙ OFF Weekends'!$D$65="OFF","OFF","")</f>
        <v/>
      </c>
      <c r="BS9" s="54" t="str">
        <f>IF('⚙ OFF Weekends'!$D$66="OFF","OFF","")</f>
        <v/>
      </c>
      <c r="BT9" s="56" t="str">
        <f>IF('⚙ OFF Weekends'!$D$67="OFF","OFF","")</f>
        <v/>
      </c>
      <c r="BU9" s="54" t="str">
        <f>IF('⚙ OFF Weekends'!$D$68="OFF","OFF","")</f>
        <v/>
      </c>
      <c r="BV9" s="56" t="str">
        <f>IF('⚙ OFF Weekends'!$D$69="OFF","OFF","")</f>
        <v/>
      </c>
      <c r="BW9" s="54" t="str">
        <f>IF('⚙ OFF Weekends'!$D$70="OFF","OFF","")</f>
        <v/>
      </c>
      <c r="BX9" s="56" t="str">
        <f>IF('⚙ OFF Weekends'!$D$71="OFF","OFF","")</f>
        <v/>
      </c>
      <c r="BY9" s="54" t="str">
        <f>IF('⚙ OFF Weekends'!$D$72="OFF","OFF","")</f>
        <v/>
      </c>
      <c r="BZ9" s="56" t="str">
        <f>IF('⚙ OFF Weekends'!$D$73="OFF","OFF","")</f>
        <v/>
      </c>
      <c r="CA9" s="54" t="str">
        <f>IF('⚙ OFF Weekends'!$D$74="OFF","OFF","")</f>
        <v/>
      </c>
      <c r="CB9" s="56" t="str">
        <f>IF('⚙ OFF Weekends'!$D$75="OFF","OFF","")</f>
        <v/>
      </c>
      <c r="CC9" s="54" t="str">
        <f>IF('⚙ OFF Weekends'!$D$76="OFF","OFF","")</f>
        <v/>
      </c>
      <c r="CD9" s="56" t="str">
        <f>IF('⚙ OFF Weekends'!$D$77="OFF","OFF","")</f>
        <v/>
      </c>
      <c r="CE9" s="68">
        <f t="shared" ref="CE9:CE20" si="3">COUNTIF(I9:CD9,"Present")+COUNTIF(I9:CD9,"Late")</f>
        <v>16</v>
      </c>
      <c r="CF9" s="68">
        <f t="shared" ref="CF9:CF20" si="4">COUNTIF(I9:CD9,"Absent")</f>
        <v>0</v>
      </c>
      <c r="CG9" s="68">
        <f t="shared" ref="CG9:CG20" si="5">COUNTIF(I9:CD9,"Leave")</f>
        <v>1</v>
      </c>
      <c r="CH9" s="68" t="str">
        <f t="shared" ref="CH9:CH20" si="6">IF(CE9+CF9=0,"0%",TEXT(CE9/(CE9+CF9),"0%"))</f>
        <v>100%</v>
      </c>
    </row>
    <row r="10" ht="18.0" customHeight="1">
      <c r="A10" s="73">
        <v>2.0</v>
      </c>
      <c r="B10" s="35" t="s">
        <v>715</v>
      </c>
      <c r="C10" s="74" t="s">
        <v>716</v>
      </c>
      <c r="D10" s="75" t="str">
        <f t="shared" si="1"/>
        <v>📞 Call</v>
      </c>
      <c r="E10" s="76" t="str">
        <f t="shared" si="2"/>
        <v>💬 WhatsApp</v>
      </c>
      <c r="F10" s="34" t="s">
        <v>423</v>
      </c>
      <c r="G10" s="34"/>
      <c r="H10" s="34" t="s">
        <v>268</v>
      </c>
      <c r="I10" s="48" t="s">
        <v>196</v>
      </c>
      <c r="J10" s="48" t="s">
        <v>196</v>
      </c>
      <c r="K10" s="49" t="s">
        <v>197</v>
      </c>
      <c r="L10" s="48" t="s">
        <v>196</v>
      </c>
      <c r="M10" s="48" t="s">
        <v>196</v>
      </c>
      <c r="N10" s="48" t="s">
        <v>196</v>
      </c>
      <c r="O10" s="48" t="s">
        <v>196</v>
      </c>
      <c r="P10" s="50" t="s">
        <v>37</v>
      </c>
      <c r="Q10" s="48" t="s">
        <v>196</v>
      </c>
      <c r="R10" s="48" t="s">
        <v>196</v>
      </c>
      <c r="S10" s="52" t="s">
        <v>198</v>
      </c>
      <c r="T10" s="56" t="str">
        <f>IF('⚙ OFF Weekends'!$D$15="OFF","OFF","")</f>
        <v/>
      </c>
      <c r="U10" s="52" t="s">
        <v>196</v>
      </c>
      <c r="V10" s="53" t="s">
        <v>37</v>
      </c>
      <c r="W10" s="54" t="str">
        <f>IF('⚙ OFF Weekends'!$D$18="OFF","OFF","")</f>
        <v>OFF</v>
      </c>
      <c r="X10" s="53" t="s">
        <v>37</v>
      </c>
      <c r="Y10" s="52" t="s">
        <v>196</v>
      </c>
      <c r="Z10" s="53" t="s">
        <v>37</v>
      </c>
      <c r="AA10" s="52" t="s">
        <v>196</v>
      </c>
      <c r="AB10" s="53" t="s">
        <v>37</v>
      </c>
      <c r="AC10" s="54" t="str">
        <f>IF('⚙ OFF Weekends'!$D$24="OFF","OFF","")</f>
        <v/>
      </c>
      <c r="AD10" s="56" t="str">
        <f>IF('⚙ OFF Weekends'!$D$25="OFF","OFF","")</f>
        <v/>
      </c>
      <c r="AE10" s="54" t="str">
        <f>IF('⚙ OFF Weekends'!$D$26="OFF","OFF","")</f>
        <v/>
      </c>
      <c r="AF10" s="56" t="str">
        <f>IF('⚙ OFF Weekends'!$D$27="OFF","OFF","")</f>
        <v/>
      </c>
      <c r="AG10" s="54" t="str">
        <f>IF('⚙ OFF Weekends'!$D$28="OFF","OFF","")</f>
        <v/>
      </c>
      <c r="AH10" s="56" t="str">
        <f>IF('⚙ OFF Weekends'!$D$29="OFF","OFF","")</f>
        <v/>
      </c>
      <c r="AI10" s="54" t="str">
        <f>IF('⚙ OFF Weekends'!$D$30="OFF","OFF","")</f>
        <v/>
      </c>
      <c r="AJ10" s="56" t="str">
        <f>IF('⚙ OFF Weekends'!$D$31="OFF","OFF","")</f>
        <v/>
      </c>
      <c r="AK10" s="54" t="str">
        <f>IF('⚙ OFF Weekends'!$D$32="OFF","OFF","")</f>
        <v/>
      </c>
      <c r="AL10" s="56" t="str">
        <f>IF('⚙ OFF Weekends'!$D$33="OFF","OFF","")</f>
        <v/>
      </c>
      <c r="AM10" s="54" t="str">
        <f>IF('⚙ OFF Weekends'!$D$34="OFF","OFF","")</f>
        <v/>
      </c>
      <c r="AN10" s="56" t="str">
        <f>IF('⚙ OFF Weekends'!$D$35="OFF","OFF","")</f>
        <v/>
      </c>
      <c r="AO10" s="54" t="str">
        <f>IF('⚙ OFF Weekends'!$D$36="OFF","OFF","")</f>
        <v/>
      </c>
      <c r="AP10" s="56" t="str">
        <f>IF('⚙ OFF Weekends'!$D$37="OFF","OFF","")</f>
        <v/>
      </c>
      <c r="AQ10" s="54" t="str">
        <f>IF('⚙ OFF Weekends'!$D$38="OFF","OFF","")</f>
        <v/>
      </c>
      <c r="AR10" s="56" t="str">
        <f>IF('⚙ OFF Weekends'!$D$39="OFF","OFF","")</f>
        <v/>
      </c>
      <c r="AS10" s="54" t="str">
        <f>IF('⚙ OFF Weekends'!$D$40="OFF","OFF","")</f>
        <v/>
      </c>
      <c r="AT10" s="56" t="str">
        <f>IF('⚙ OFF Weekends'!$D$41="OFF","OFF","")</f>
        <v/>
      </c>
      <c r="AU10" s="54" t="str">
        <f>IF('⚙ OFF Weekends'!$D$42="OFF","OFF","")</f>
        <v/>
      </c>
      <c r="AV10" s="56" t="str">
        <f>IF('⚙ OFF Weekends'!$D$43="OFF","OFF","")</f>
        <v/>
      </c>
      <c r="AW10" s="54" t="str">
        <f>IF('⚙ OFF Weekends'!$D$44="OFF","OFF","")</f>
        <v/>
      </c>
      <c r="AX10" s="56" t="str">
        <f>IF('⚙ OFF Weekends'!$D$45="OFF","OFF","")</f>
        <v/>
      </c>
      <c r="AY10" s="54" t="str">
        <f>IF('⚙ OFF Weekends'!$D$46="OFF","OFF","")</f>
        <v/>
      </c>
      <c r="AZ10" s="56" t="str">
        <f>IF('⚙ OFF Weekends'!$D$47="OFF","OFF","")</f>
        <v/>
      </c>
      <c r="BA10" s="54" t="str">
        <f>IF('⚙ OFF Weekends'!$D$48="OFF","OFF","")</f>
        <v/>
      </c>
      <c r="BB10" s="56" t="str">
        <f>IF('⚙ OFF Weekends'!$D$49="OFF","OFF","")</f>
        <v/>
      </c>
      <c r="BC10" s="54" t="str">
        <f>IF('⚙ OFF Weekends'!$D$50="OFF","OFF","")</f>
        <v/>
      </c>
      <c r="BD10" s="56" t="str">
        <f>IF('⚙ OFF Weekends'!$D$51="OFF","OFF","")</f>
        <v/>
      </c>
      <c r="BE10" s="54" t="str">
        <f>IF('⚙ OFF Weekends'!$D$52="OFF","OFF","")</f>
        <v/>
      </c>
      <c r="BF10" s="56" t="str">
        <f>IF('⚙ OFF Weekends'!$D$53="OFF","OFF","")</f>
        <v/>
      </c>
      <c r="BG10" s="54" t="str">
        <f>IF('⚙ OFF Weekends'!$D$54="OFF","OFF","")</f>
        <v/>
      </c>
      <c r="BH10" s="56" t="str">
        <f>IF('⚙ OFF Weekends'!$D$55="OFF","OFF","")</f>
        <v/>
      </c>
      <c r="BI10" s="54" t="str">
        <f>IF('⚙ OFF Weekends'!$D$56="OFF","OFF","")</f>
        <v/>
      </c>
      <c r="BJ10" s="56" t="str">
        <f>IF('⚙ OFF Weekends'!$D$57="OFF","OFF","")</f>
        <v/>
      </c>
      <c r="BK10" s="54" t="str">
        <f>IF('⚙ OFF Weekends'!$D$58="OFF","OFF","")</f>
        <v/>
      </c>
      <c r="BL10" s="56" t="str">
        <f>IF('⚙ OFF Weekends'!$D$59="OFF","OFF","")</f>
        <v/>
      </c>
      <c r="BM10" s="54" t="str">
        <f>IF('⚙ OFF Weekends'!$D$60="OFF","OFF","")</f>
        <v/>
      </c>
      <c r="BN10" s="56" t="str">
        <f>IF('⚙ OFF Weekends'!$D$61="OFF","OFF","")</f>
        <v/>
      </c>
      <c r="BO10" s="54" t="str">
        <f>IF('⚙ OFF Weekends'!$D$62="OFF","OFF","")</f>
        <v/>
      </c>
      <c r="BP10" s="56" t="str">
        <f>IF('⚙ OFF Weekends'!$D$63="OFF","OFF","")</f>
        <v/>
      </c>
      <c r="BQ10" s="54" t="str">
        <f>IF('⚙ OFF Weekends'!$D$64="OFF","OFF","")</f>
        <v/>
      </c>
      <c r="BR10" s="56" t="str">
        <f>IF('⚙ OFF Weekends'!$D$65="OFF","OFF","")</f>
        <v/>
      </c>
      <c r="BS10" s="54" t="str">
        <f>IF('⚙ OFF Weekends'!$D$66="OFF","OFF","")</f>
        <v/>
      </c>
      <c r="BT10" s="56" t="str">
        <f>IF('⚙ OFF Weekends'!$D$67="OFF","OFF","")</f>
        <v/>
      </c>
      <c r="BU10" s="54" t="str">
        <f>IF('⚙ OFF Weekends'!$D$68="OFF","OFF","")</f>
        <v/>
      </c>
      <c r="BV10" s="56" t="str">
        <f>IF('⚙ OFF Weekends'!$D$69="OFF","OFF","")</f>
        <v/>
      </c>
      <c r="BW10" s="54" t="str">
        <f>IF('⚙ OFF Weekends'!$D$70="OFF","OFF","")</f>
        <v/>
      </c>
      <c r="BX10" s="56" t="str">
        <f>IF('⚙ OFF Weekends'!$D$71="OFF","OFF","")</f>
        <v/>
      </c>
      <c r="BY10" s="54" t="str">
        <f>IF('⚙ OFF Weekends'!$D$72="OFF","OFF","")</f>
        <v/>
      </c>
      <c r="BZ10" s="56" t="str">
        <f>IF('⚙ OFF Weekends'!$D$73="OFF","OFF","")</f>
        <v/>
      </c>
      <c r="CA10" s="54" t="str">
        <f>IF('⚙ OFF Weekends'!$D$74="OFF","OFF","")</f>
        <v/>
      </c>
      <c r="CB10" s="56" t="str">
        <f>IF('⚙ OFF Weekends'!$D$75="OFF","OFF","")</f>
        <v/>
      </c>
      <c r="CC10" s="54" t="str">
        <f>IF('⚙ OFF Weekends'!$D$76="OFF","OFF","")</f>
        <v/>
      </c>
      <c r="CD10" s="56" t="str">
        <f>IF('⚙ OFF Weekends'!$D$77="OFF","OFF","")</f>
        <v/>
      </c>
      <c r="CE10" s="73">
        <f t="shared" si="3"/>
        <v>16</v>
      </c>
      <c r="CF10" s="73">
        <f t="shared" si="4"/>
        <v>0</v>
      </c>
      <c r="CG10" s="73">
        <f t="shared" si="5"/>
        <v>1</v>
      </c>
      <c r="CH10" s="73" t="str">
        <f t="shared" si="6"/>
        <v>100%</v>
      </c>
    </row>
    <row r="11" ht="18.0" customHeight="1">
      <c r="A11" s="68">
        <v>3.0</v>
      </c>
      <c r="B11" s="25" t="s">
        <v>719</v>
      </c>
      <c r="C11" s="69"/>
      <c r="D11" s="70" t="str">
        <f t="shared" si="1"/>
        <v/>
      </c>
      <c r="E11" s="99" t="str">
        <f t="shared" si="2"/>
        <v/>
      </c>
      <c r="F11" s="21"/>
      <c r="G11" s="21"/>
      <c r="H11" s="21" t="s">
        <v>720</v>
      </c>
      <c r="I11" s="48" t="s">
        <v>196</v>
      </c>
      <c r="J11" s="50" t="s">
        <v>37</v>
      </c>
      <c r="K11" s="49" t="s">
        <v>197</v>
      </c>
      <c r="L11" s="79" t="s">
        <v>223</v>
      </c>
      <c r="M11" s="79" t="s">
        <v>223</v>
      </c>
      <c r="N11" s="79" t="s">
        <v>223</v>
      </c>
      <c r="O11" s="48" t="s">
        <v>196</v>
      </c>
      <c r="P11" s="48" t="s">
        <v>196</v>
      </c>
      <c r="Q11" s="48" t="s">
        <v>196</v>
      </c>
      <c r="R11" s="48" t="s">
        <v>196</v>
      </c>
      <c r="S11" s="52" t="s">
        <v>37</v>
      </c>
      <c r="T11" s="56" t="str">
        <f>IF('⚙ OFF Weekends'!$D$15="OFF","OFF","")</f>
        <v/>
      </c>
      <c r="U11" s="52" t="s">
        <v>198</v>
      </c>
      <c r="V11" s="53" t="s">
        <v>198</v>
      </c>
      <c r="W11" s="54" t="str">
        <f>IF('⚙ OFF Weekends'!$D$18="OFF","OFF","")</f>
        <v>OFF</v>
      </c>
      <c r="X11" s="53" t="s">
        <v>198</v>
      </c>
      <c r="Y11" s="52" t="s">
        <v>198</v>
      </c>
      <c r="Z11" s="53" t="s">
        <v>198</v>
      </c>
      <c r="AA11" s="52" t="s">
        <v>196</v>
      </c>
      <c r="AB11" s="53" t="s">
        <v>223</v>
      </c>
      <c r="AC11" s="54" t="str">
        <f>IF('⚙ OFF Weekends'!$D$24="OFF","OFF","")</f>
        <v/>
      </c>
      <c r="AD11" s="56" t="str">
        <f>IF('⚙ OFF Weekends'!$D$25="OFF","OFF","")</f>
        <v/>
      </c>
      <c r="AE11" s="54" t="str">
        <f>IF('⚙ OFF Weekends'!$D$26="OFF","OFF","")</f>
        <v/>
      </c>
      <c r="AF11" s="56" t="str">
        <f>IF('⚙ OFF Weekends'!$D$27="OFF","OFF","")</f>
        <v/>
      </c>
      <c r="AG11" s="54" t="str">
        <f>IF('⚙ OFF Weekends'!$D$28="OFF","OFF","")</f>
        <v/>
      </c>
      <c r="AH11" s="56" t="str">
        <f>IF('⚙ OFF Weekends'!$D$29="OFF","OFF","")</f>
        <v/>
      </c>
      <c r="AI11" s="54" t="str">
        <f>IF('⚙ OFF Weekends'!$D$30="OFF","OFF","")</f>
        <v/>
      </c>
      <c r="AJ11" s="56" t="str">
        <f>IF('⚙ OFF Weekends'!$D$31="OFF","OFF","")</f>
        <v/>
      </c>
      <c r="AK11" s="54" t="str">
        <f>IF('⚙ OFF Weekends'!$D$32="OFF","OFF","")</f>
        <v/>
      </c>
      <c r="AL11" s="56" t="str">
        <f>IF('⚙ OFF Weekends'!$D$33="OFF","OFF","")</f>
        <v/>
      </c>
      <c r="AM11" s="54" t="str">
        <f>IF('⚙ OFF Weekends'!$D$34="OFF","OFF","")</f>
        <v/>
      </c>
      <c r="AN11" s="56" t="str">
        <f>IF('⚙ OFF Weekends'!$D$35="OFF","OFF","")</f>
        <v/>
      </c>
      <c r="AO11" s="54" t="str">
        <f>IF('⚙ OFF Weekends'!$D$36="OFF","OFF","")</f>
        <v/>
      </c>
      <c r="AP11" s="56" t="str">
        <f>IF('⚙ OFF Weekends'!$D$37="OFF","OFF","")</f>
        <v/>
      </c>
      <c r="AQ11" s="54" t="str">
        <f>IF('⚙ OFF Weekends'!$D$38="OFF","OFF","")</f>
        <v/>
      </c>
      <c r="AR11" s="56" t="str">
        <f>IF('⚙ OFF Weekends'!$D$39="OFF","OFF","")</f>
        <v/>
      </c>
      <c r="AS11" s="54" t="str">
        <f>IF('⚙ OFF Weekends'!$D$40="OFF","OFF","")</f>
        <v/>
      </c>
      <c r="AT11" s="56" t="str">
        <f>IF('⚙ OFF Weekends'!$D$41="OFF","OFF","")</f>
        <v/>
      </c>
      <c r="AU11" s="54" t="str">
        <f>IF('⚙ OFF Weekends'!$D$42="OFF","OFF","")</f>
        <v/>
      </c>
      <c r="AV11" s="56" t="str">
        <f>IF('⚙ OFF Weekends'!$D$43="OFF","OFF","")</f>
        <v/>
      </c>
      <c r="AW11" s="54" t="str">
        <f>IF('⚙ OFF Weekends'!$D$44="OFF","OFF","")</f>
        <v/>
      </c>
      <c r="AX11" s="56" t="str">
        <f>IF('⚙ OFF Weekends'!$D$45="OFF","OFF","")</f>
        <v/>
      </c>
      <c r="AY11" s="54" t="str">
        <f>IF('⚙ OFF Weekends'!$D$46="OFF","OFF","")</f>
        <v/>
      </c>
      <c r="AZ11" s="56" t="str">
        <f>IF('⚙ OFF Weekends'!$D$47="OFF","OFF","")</f>
        <v/>
      </c>
      <c r="BA11" s="54" t="str">
        <f>IF('⚙ OFF Weekends'!$D$48="OFF","OFF","")</f>
        <v/>
      </c>
      <c r="BB11" s="56" t="str">
        <f>IF('⚙ OFF Weekends'!$D$49="OFF","OFF","")</f>
        <v/>
      </c>
      <c r="BC11" s="54" t="str">
        <f>IF('⚙ OFF Weekends'!$D$50="OFF","OFF","")</f>
        <v/>
      </c>
      <c r="BD11" s="56" t="str">
        <f>IF('⚙ OFF Weekends'!$D$51="OFF","OFF","")</f>
        <v/>
      </c>
      <c r="BE11" s="54" t="str">
        <f>IF('⚙ OFF Weekends'!$D$52="OFF","OFF","")</f>
        <v/>
      </c>
      <c r="BF11" s="56" t="str">
        <f>IF('⚙ OFF Weekends'!$D$53="OFF","OFF","")</f>
        <v/>
      </c>
      <c r="BG11" s="54" t="str">
        <f>IF('⚙ OFF Weekends'!$D$54="OFF","OFF","")</f>
        <v/>
      </c>
      <c r="BH11" s="56" t="str">
        <f>IF('⚙ OFF Weekends'!$D$55="OFF","OFF","")</f>
        <v/>
      </c>
      <c r="BI11" s="54" t="str">
        <f>IF('⚙ OFF Weekends'!$D$56="OFF","OFF","")</f>
        <v/>
      </c>
      <c r="BJ11" s="56" t="str">
        <f>IF('⚙ OFF Weekends'!$D$57="OFF","OFF","")</f>
        <v/>
      </c>
      <c r="BK11" s="54" t="str">
        <f>IF('⚙ OFF Weekends'!$D$58="OFF","OFF","")</f>
        <v/>
      </c>
      <c r="BL11" s="56" t="str">
        <f>IF('⚙ OFF Weekends'!$D$59="OFF","OFF","")</f>
        <v/>
      </c>
      <c r="BM11" s="54" t="str">
        <f>IF('⚙ OFF Weekends'!$D$60="OFF","OFF","")</f>
        <v/>
      </c>
      <c r="BN11" s="56" t="str">
        <f>IF('⚙ OFF Weekends'!$D$61="OFF","OFF","")</f>
        <v/>
      </c>
      <c r="BO11" s="54" t="str">
        <f>IF('⚙ OFF Weekends'!$D$62="OFF","OFF","")</f>
        <v/>
      </c>
      <c r="BP11" s="56" t="str">
        <f>IF('⚙ OFF Weekends'!$D$63="OFF","OFF","")</f>
        <v/>
      </c>
      <c r="BQ11" s="54" t="str">
        <f>IF('⚙ OFF Weekends'!$D$64="OFF","OFF","")</f>
        <v/>
      </c>
      <c r="BR11" s="56" t="str">
        <f>IF('⚙ OFF Weekends'!$D$65="OFF","OFF","")</f>
        <v/>
      </c>
      <c r="BS11" s="54" t="str">
        <f>IF('⚙ OFF Weekends'!$D$66="OFF","OFF","")</f>
        <v/>
      </c>
      <c r="BT11" s="56" t="str">
        <f>IF('⚙ OFF Weekends'!$D$67="OFF","OFF","")</f>
        <v/>
      </c>
      <c r="BU11" s="54" t="str">
        <f>IF('⚙ OFF Weekends'!$D$68="OFF","OFF","")</f>
        <v/>
      </c>
      <c r="BV11" s="56" t="str">
        <f>IF('⚙ OFF Weekends'!$D$69="OFF","OFF","")</f>
        <v/>
      </c>
      <c r="BW11" s="54" t="str">
        <f>IF('⚙ OFF Weekends'!$D$70="OFF","OFF","")</f>
        <v/>
      </c>
      <c r="BX11" s="56" t="str">
        <f>IF('⚙ OFF Weekends'!$D$71="OFF","OFF","")</f>
        <v/>
      </c>
      <c r="BY11" s="54" t="str">
        <f>IF('⚙ OFF Weekends'!$D$72="OFF","OFF","")</f>
        <v/>
      </c>
      <c r="BZ11" s="56" t="str">
        <f>IF('⚙ OFF Weekends'!$D$73="OFF","OFF","")</f>
        <v/>
      </c>
      <c r="CA11" s="54" t="str">
        <f>IF('⚙ OFF Weekends'!$D$74="OFF","OFF","")</f>
        <v/>
      </c>
      <c r="CB11" s="56" t="str">
        <f>IF('⚙ OFF Weekends'!$D$75="OFF","OFF","")</f>
        <v/>
      </c>
      <c r="CC11" s="54" t="str">
        <f>IF('⚙ OFF Weekends'!$D$76="OFF","OFF","")</f>
        <v/>
      </c>
      <c r="CD11" s="56" t="str">
        <f>IF('⚙ OFF Weekends'!$D$77="OFF","OFF","")</f>
        <v/>
      </c>
      <c r="CE11" s="68">
        <f t="shared" si="3"/>
        <v>8</v>
      </c>
      <c r="CF11" s="68">
        <f t="shared" si="4"/>
        <v>4</v>
      </c>
      <c r="CG11" s="68">
        <f t="shared" si="5"/>
        <v>5</v>
      </c>
      <c r="CH11" s="68" t="str">
        <f t="shared" si="6"/>
        <v>67%</v>
      </c>
    </row>
    <row r="12" ht="18.0" customHeight="1">
      <c r="A12" s="73">
        <v>4.0</v>
      </c>
      <c r="B12" s="35" t="s">
        <v>723</v>
      </c>
      <c r="C12" s="74"/>
      <c r="D12" s="75" t="str">
        <f t="shared" si="1"/>
        <v/>
      </c>
      <c r="E12" s="80" t="str">
        <f t="shared" si="2"/>
        <v/>
      </c>
      <c r="F12" s="34"/>
      <c r="G12" s="34"/>
      <c r="H12" s="34" t="s">
        <v>268</v>
      </c>
      <c r="I12" s="48" t="s">
        <v>196</v>
      </c>
      <c r="J12" s="79" t="s">
        <v>223</v>
      </c>
      <c r="K12" s="49" t="s">
        <v>197</v>
      </c>
      <c r="L12" s="79" t="s">
        <v>223</v>
      </c>
      <c r="M12" s="77" t="s">
        <v>198</v>
      </c>
      <c r="N12" s="48" t="s">
        <v>196</v>
      </c>
      <c r="O12" s="48" t="s">
        <v>196</v>
      </c>
      <c r="P12" s="48" t="s">
        <v>196</v>
      </c>
      <c r="Q12" s="48" t="s">
        <v>196</v>
      </c>
      <c r="R12" s="48" t="s">
        <v>196</v>
      </c>
      <c r="S12" s="52" t="s">
        <v>196</v>
      </c>
      <c r="T12" s="56" t="str">
        <f>IF('⚙ OFF Weekends'!$D$15="OFF","OFF","")</f>
        <v/>
      </c>
      <c r="U12" s="52" t="s">
        <v>198</v>
      </c>
      <c r="V12" s="53" t="s">
        <v>196</v>
      </c>
      <c r="W12" s="54" t="str">
        <f>IF('⚙ OFF Weekends'!$D$18="OFF","OFF","")</f>
        <v>OFF</v>
      </c>
      <c r="X12" s="53" t="s">
        <v>196</v>
      </c>
      <c r="Y12" s="52" t="s">
        <v>196</v>
      </c>
      <c r="Z12" s="53" t="s">
        <v>196</v>
      </c>
      <c r="AA12" s="52" t="s">
        <v>196</v>
      </c>
      <c r="AB12" s="53" t="s">
        <v>198</v>
      </c>
      <c r="AC12" s="54" t="str">
        <f>IF('⚙ OFF Weekends'!$D$24="OFF","OFF","")</f>
        <v/>
      </c>
      <c r="AD12" s="56" t="str">
        <f>IF('⚙ OFF Weekends'!$D$25="OFF","OFF","")</f>
        <v/>
      </c>
      <c r="AE12" s="54" t="str">
        <f>IF('⚙ OFF Weekends'!$D$26="OFF","OFF","")</f>
        <v/>
      </c>
      <c r="AF12" s="56" t="str">
        <f>IF('⚙ OFF Weekends'!$D$27="OFF","OFF","")</f>
        <v/>
      </c>
      <c r="AG12" s="54" t="str">
        <f>IF('⚙ OFF Weekends'!$D$28="OFF","OFF","")</f>
        <v/>
      </c>
      <c r="AH12" s="56" t="str">
        <f>IF('⚙ OFF Weekends'!$D$29="OFF","OFF","")</f>
        <v/>
      </c>
      <c r="AI12" s="54" t="str">
        <f>IF('⚙ OFF Weekends'!$D$30="OFF","OFF","")</f>
        <v/>
      </c>
      <c r="AJ12" s="56" t="str">
        <f>IF('⚙ OFF Weekends'!$D$31="OFF","OFF","")</f>
        <v/>
      </c>
      <c r="AK12" s="54" t="str">
        <f>IF('⚙ OFF Weekends'!$D$32="OFF","OFF","")</f>
        <v/>
      </c>
      <c r="AL12" s="56" t="str">
        <f>IF('⚙ OFF Weekends'!$D$33="OFF","OFF","")</f>
        <v/>
      </c>
      <c r="AM12" s="54" t="str">
        <f>IF('⚙ OFF Weekends'!$D$34="OFF","OFF","")</f>
        <v/>
      </c>
      <c r="AN12" s="56" t="str">
        <f>IF('⚙ OFF Weekends'!$D$35="OFF","OFF","")</f>
        <v/>
      </c>
      <c r="AO12" s="54" t="str">
        <f>IF('⚙ OFF Weekends'!$D$36="OFF","OFF","")</f>
        <v/>
      </c>
      <c r="AP12" s="56" t="str">
        <f>IF('⚙ OFF Weekends'!$D$37="OFF","OFF","")</f>
        <v/>
      </c>
      <c r="AQ12" s="54" t="str">
        <f>IF('⚙ OFF Weekends'!$D$38="OFF","OFF","")</f>
        <v/>
      </c>
      <c r="AR12" s="56" t="str">
        <f>IF('⚙ OFF Weekends'!$D$39="OFF","OFF","")</f>
        <v/>
      </c>
      <c r="AS12" s="54" t="str">
        <f>IF('⚙ OFF Weekends'!$D$40="OFF","OFF","")</f>
        <v/>
      </c>
      <c r="AT12" s="56" t="str">
        <f>IF('⚙ OFF Weekends'!$D$41="OFF","OFF","")</f>
        <v/>
      </c>
      <c r="AU12" s="54" t="str">
        <f>IF('⚙ OFF Weekends'!$D$42="OFF","OFF","")</f>
        <v/>
      </c>
      <c r="AV12" s="56" t="str">
        <f>IF('⚙ OFF Weekends'!$D$43="OFF","OFF","")</f>
        <v/>
      </c>
      <c r="AW12" s="54" t="str">
        <f>IF('⚙ OFF Weekends'!$D$44="OFF","OFF","")</f>
        <v/>
      </c>
      <c r="AX12" s="56" t="str">
        <f>IF('⚙ OFF Weekends'!$D$45="OFF","OFF","")</f>
        <v/>
      </c>
      <c r="AY12" s="54" t="str">
        <f>IF('⚙ OFF Weekends'!$D$46="OFF","OFF","")</f>
        <v/>
      </c>
      <c r="AZ12" s="56" t="str">
        <f>IF('⚙ OFF Weekends'!$D$47="OFF","OFF","")</f>
        <v/>
      </c>
      <c r="BA12" s="54" t="str">
        <f>IF('⚙ OFF Weekends'!$D$48="OFF","OFF","")</f>
        <v/>
      </c>
      <c r="BB12" s="56" t="str">
        <f>IF('⚙ OFF Weekends'!$D$49="OFF","OFF","")</f>
        <v/>
      </c>
      <c r="BC12" s="54" t="str">
        <f>IF('⚙ OFF Weekends'!$D$50="OFF","OFF","")</f>
        <v/>
      </c>
      <c r="BD12" s="56" t="str">
        <f>IF('⚙ OFF Weekends'!$D$51="OFF","OFF","")</f>
        <v/>
      </c>
      <c r="BE12" s="54" t="str">
        <f>IF('⚙ OFF Weekends'!$D$52="OFF","OFF","")</f>
        <v/>
      </c>
      <c r="BF12" s="56" t="str">
        <f>IF('⚙ OFF Weekends'!$D$53="OFF","OFF","")</f>
        <v/>
      </c>
      <c r="BG12" s="54" t="str">
        <f>IF('⚙ OFF Weekends'!$D$54="OFF","OFF","")</f>
        <v/>
      </c>
      <c r="BH12" s="56" t="str">
        <f>IF('⚙ OFF Weekends'!$D$55="OFF","OFF","")</f>
        <v/>
      </c>
      <c r="BI12" s="54" t="str">
        <f>IF('⚙ OFF Weekends'!$D$56="OFF","OFF","")</f>
        <v/>
      </c>
      <c r="BJ12" s="56" t="str">
        <f>IF('⚙ OFF Weekends'!$D$57="OFF","OFF","")</f>
        <v/>
      </c>
      <c r="BK12" s="54" t="str">
        <f>IF('⚙ OFF Weekends'!$D$58="OFF","OFF","")</f>
        <v/>
      </c>
      <c r="BL12" s="56" t="str">
        <f>IF('⚙ OFF Weekends'!$D$59="OFF","OFF","")</f>
        <v/>
      </c>
      <c r="BM12" s="54" t="str">
        <f>IF('⚙ OFF Weekends'!$D$60="OFF","OFF","")</f>
        <v/>
      </c>
      <c r="BN12" s="56" t="str">
        <f>IF('⚙ OFF Weekends'!$D$61="OFF","OFF","")</f>
        <v/>
      </c>
      <c r="BO12" s="54" t="str">
        <f>IF('⚙ OFF Weekends'!$D$62="OFF","OFF","")</f>
        <v/>
      </c>
      <c r="BP12" s="56" t="str">
        <f>IF('⚙ OFF Weekends'!$D$63="OFF","OFF","")</f>
        <v/>
      </c>
      <c r="BQ12" s="54" t="str">
        <f>IF('⚙ OFF Weekends'!$D$64="OFF","OFF","")</f>
        <v/>
      </c>
      <c r="BR12" s="56" t="str">
        <f>IF('⚙ OFF Weekends'!$D$65="OFF","OFF","")</f>
        <v/>
      </c>
      <c r="BS12" s="54" t="str">
        <f>IF('⚙ OFF Weekends'!$D$66="OFF","OFF","")</f>
        <v/>
      </c>
      <c r="BT12" s="56" t="str">
        <f>IF('⚙ OFF Weekends'!$D$67="OFF","OFF","")</f>
        <v/>
      </c>
      <c r="BU12" s="54" t="str">
        <f>IF('⚙ OFF Weekends'!$D$68="OFF","OFF","")</f>
        <v/>
      </c>
      <c r="BV12" s="56" t="str">
        <f>IF('⚙ OFF Weekends'!$D$69="OFF","OFF","")</f>
        <v/>
      </c>
      <c r="BW12" s="54" t="str">
        <f>IF('⚙ OFF Weekends'!$D$70="OFF","OFF","")</f>
        <v/>
      </c>
      <c r="BX12" s="56" t="str">
        <f>IF('⚙ OFF Weekends'!$D$71="OFF","OFF","")</f>
        <v/>
      </c>
      <c r="BY12" s="54" t="str">
        <f>IF('⚙ OFF Weekends'!$D$72="OFF","OFF","")</f>
        <v/>
      </c>
      <c r="BZ12" s="56" t="str">
        <f>IF('⚙ OFF Weekends'!$D$73="OFF","OFF","")</f>
        <v/>
      </c>
      <c r="CA12" s="54" t="str">
        <f>IF('⚙ OFF Weekends'!$D$74="OFF","OFF","")</f>
        <v/>
      </c>
      <c r="CB12" s="56" t="str">
        <f>IF('⚙ OFF Weekends'!$D$75="OFF","OFF","")</f>
        <v/>
      </c>
      <c r="CC12" s="54" t="str">
        <f>IF('⚙ OFF Weekends'!$D$76="OFF","OFF","")</f>
        <v/>
      </c>
      <c r="CD12" s="56" t="str">
        <f>IF('⚙ OFF Weekends'!$D$77="OFF","OFF","")</f>
        <v/>
      </c>
      <c r="CE12" s="73">
        <f t="shared" si="3"/>
        <v>12</v>
      </c>
      <c r="CF12" s="73">
        <f t="shared" si="4"/>
        <v>2</v>
      </c>
      <c r="CG12" s="73">
        <f t="shared" si="5"/>
        <v>3</v>
      </c>
      <c r="CH12" s="73" t="str">
        <f t="shared" si="6"/>
        <v>86%</v>
      </c>
    </row>
    <row r="13" ht="18.0" customHeight="1">
      <c r="A13" s="68">
        <v>5.0</v>
      </c>
      <c r="B13" s="25" t="s">
        <v>724</v>
      </c>
      <c r="C13" s="69"/>
      <c r="D13" s="70" t="str">
        <f t="shared" si="1"/>
        <v/>
      </c>
      <c r="E13" s="99" t="str">
        <f t="shared" si="2"/>
        <v/>
      </c>
      <c r="F13" s="21"/>
      <c r="G13" s="21"/>
      <c r="H13" s="21" t="s">
        <v>268</v>
      </c>
      <c r="I13" s="48" t="s">
        <v>196</v>
      </c>
      <c r="J13" s="50" t="s">
        <v>37</v>
      </c>
      <c r="K13" s="49" t="s">
        <v>197</v>
      </c>
      <c r="L13" s="48" t="s">
        <v>196</v>
      </c>
      <c r="M13" s="48" t="s">
        <v>196</v>
      </c>
      <c r="N13" s="48" t="s">
        <v>196</v>
      </c>
      <c r="O13" s="77" t="s">
        <v>198</v>
      </c>
      <c r="P13" s="77" t="s">
        <v>198</v>
      </c>
      <c r="Q13" s="77" t="s">
        <v>198</v>
      </c>
      <c r="R13" s="77" t="s">
        <v>198</v>
      </c>
      <c r="S13" s="52" t="s">
        <v>37</v>
      </c>
      <c r="T13" s="56" t="str">
        <f>IF('⚙ OFF Weekends'!$D$15="OFF","OFF","")</f>
        <v/>
      </c>
      <c r="U13" s="52" t="s">
        <v>196</v>
      </c>
      <c r="V13" s="53" t="s">
        <v>196</v>
      </c>
      <c r="W13" s="54" t="str">
        <f>IF('⚙ OFF Weekends'!$D$18="OFF","OFF","")</f>
        <v>OFF</v>
      </c>
      <c r="X13" s="53" t="s">
        <v>196</v>
      </c>
      <c r="Y13" s="52" t="s">
        <v>196</v>
      </c>
      <c r="Z13" s="53" t="s">
        <v>198</v>
      </c>
      <c r="AA13" s="52" t="s">
        <v>196</v>
      </c>
      <c r="AB13" s="53" t="s">
        <v>223</v>
      </c>
      <c r="AC13" s="54" t="str">
        <f>IF('⚙ OFF Weekends'!$D$24="OFF","OFF","")</f>
        <v/>
      </c>
      <c r="AD13" s="56" t="str">
        <f>IF('⚙ OFF Weekends'!$D$25="OFF","OFF","")</f>
        <v/>
      </c>
      <c r="AE13" s="54" t="str">
        <f>IF('⚙ OFF Weekends'!$D$26="OFF","OFF","")</f>
        <v/>
      </c>
      <c r="AF13" s="56" t="str">
        <f>IF('⚙ OFF Weekends'!$D$27="OFF","OFF","")</f>
        <v/>
      </c>
      <c r="AG13" s="54" t="str">
        <f>IF('⚙ OFF Weekends'!$D$28="OFF","OFF","")</f>
        <v/>
      </c>
      <c r="AH13" s="56" t="str">
        <f>IF('⚙ OFF Weekends'!$D$29="OFF","OFF","")</f>
        <v/>
      </c>
      <c r="AI13" s="54" t="str">
        <f>IF('⚙ OFF Weekends'!$D$30="OFF","OFF","")</f>
        <v/>
      </c>
      <c r="AJ13" s="56" t="str">
        <f>IF('⚙ OFF Weekends'!$D$31="OFF","OFF","")</f>
        <v/>
      </c>
      <c r="AK13" s="54" t="str">
        <f>IF('⚙ OFF Weekends'!$D$32="OFF","OFF","")</f>
        <v/>
      </c>
      <c r="AL13" s="56" t="str">
        <f>IF('⚙ OFF Weekends'!$D$33="OFF","OFF","")</f>
        <v/>
      </c>
      <c r="AM13" s="54" t="str">
        <f>IF('⚙ OFF Weekends'!$D$34="OFF","OFF","")</f>
        <v/>
      </c>
      <c r="AN13" s="56" t="str">
        <f>IF('⚙ OFF Weekends'!$D$35="OFF","OFF","")</f>
        <v/>
      </c>
      <c r="AO13" s="54" t="str">
        <f>IF('⚙ OFF Weekends'!$D$36="OFF","OFF","")</f>
        <v/>
      </c>
      <c r="AP13" s="56" t="str">
        <f>IF('⚙ OFF Weekends'!$D$37="OFF","OFF","")</f>
        <v/>
      </c>
      <c r="AQ13" s="54" t="str">
        <f>IF('⚙ OFF Weekends'!$D$38="OFF","OFF","")</f>
        <v/>
      </c>
      <c r="AR13" s="56" t="str">
        <f>IF('⚙ OFF Weekends'!$D$39="OFF","OFF","")</f>
        <v/>
      </c>
      <c r="AS13" s="54" t="str">
        <f>IF('⚙ OFF Weekends'!$D$40="OFF","OFF","")</f>
        <v/>
      </c>
      <c r="AT13" s="56" t="str">
        <f>IF('⚙ OFF Weekends'!$D$41="OFF","OFF","")</f>
        <v/>
      </c>
      <c r="AU13" s="54" t="str">
        <f>IF('⚙ OFF Weekends'!$D$42="OFF","OFF","")</f>
        <v/>
      </c>
      <c r="AV13" s="56" t="str">
        <f>IF('⚙ OFF Weekends'!$D$43="OFF","OFF","")</f>
        <v/>
      </c>
      <c r="AW13" s="54" t="str">
        <f>IF('⚙ OFF Weekends'!$D$44="OFF","OFF","")</f>
        <v/>
      </c>
      <c r="AX13" s="56" t="str">
        <f>IF('⚙ OFF Weekends'!$D$45="OFF","OFF","")</f>
        <v/>
      </c>
      <c r="AY13" s="54" t="str">
        <f>IF('⚙ OFF Weekends'!$D$46="OFF","OFF","")</f>
        <v/>
      </c>
      <c r="AZ13" s="56" t="str">
        <f>IF('⚙ OFF Weekends'!$D$47="OFF","OFF","")</f>
        <v/>
      </c>
      <c r="BA13" s="54" t="str">
        <f>IF('⚙ OFF Weekends'!$D$48="OFF","OFF","")</f>
        <v/>
      </c>
      <c r="BB13" s="56" t="str">
        <f>IF('⚙ OFF Weekends'!$D$49="OFF","OFF","")</f>
        <v/>
      </c>
      <c r="BC13" s="54" t="str">
        <f>IF('⚙ OFF Weekends'!$D$50="OFF","OFF","")</f>
        <v/>
      </c>
      <c r="BD13" s="56" t="str">
        <f>IF('⚙ OFF Weekends'!$D$51="OFF","OFF","")</f>
        <v/>
      </c>
      <c r="BE13" s="54" t="str">
        <f>IF('⚙ OFF Weekends'!$D$52="OFF","OFF","")</f>
        <v/>
      </c>
      <c r="BF13" s="56" t="str">
        <f>IF('⚙ OFF Weekends'!$D$53="OFF","OFF","")</f>
        <v/>
      </c>
      <c r="BG13" s="54" t="str">
        <f>IF('⚙ OFF Weekends'!$D$54="OFF","OFF","")</f>
        <v/>
      </c>
      <c r="BH13" s="56" t="str">
        <f>IF('⚙ OFF Weekends'!$D$55="OFF","OFF","")</f>
        <v/>
      </c>
      <c r="BI13" s="54" t="str">
        <f>IF('⚙ OFF Weekends'!$D$56="OFF","OFF","")</f>
        <v/>
      </c>
      <c r="BJ13" s="56" t="str">
        <f>IF('⚙ OFF Weekends'!$D$57="OFF","OFF","")</f>
        <v/>
      </c>
      <c r="BK13" s="54" t="str">
        <f>IF('⚙ OFF Weekends'!$D$58="OFF","OFF","")</f>
        <v/>
      </c>
      <c r="BL13" s="56" t="str">
        <f>IF('⚙ OFF Weekends'!$D$59="OFF","OFF","")</f>
        <v/>
      </c>
      <c r="BM13" s="54" t="str">
        <f>IF('⚙ OFF Weekends'!$D$60="OFF","OFF","")</f>
        <v/>
      </c>
      <c r="BN13" s="56" t="str">
        <f>IF('⚙ OFF Weekends'!$D$61="OFF","OFF","")</f>
        <v/>
      </c>
      <c r="BO13" s="54" t="str">
        <f>IF('⚙ OFF Weekends'!$D$62="OFF","OFF","")</f>
        <v/>
      </c>
      <c r="BP13" s="56" t="str">
        <f>IF('⚙ OFF Weekends'!$D$63="OFF","OFF","")</f>
        <v/>
      </c>
      <c r="BQ13" s="54" t="str">
        <f>IF('⚙ OFF Weekends'!$D$64="OFF","OFF","")</f>
        <v/>
      </c>
      <c r="BR13" s="56" t="str">
        <f>IF('⚙ OFF Weekends'!$D$65="OFF","OFF","")</f>
        <v/>
      </c>
      <c r="BS13" s="54" t="str">
        <f>IF('⚙ OFF Weekends'!$D$66="OFF","OFF","")</f>
        <v/>
      </c>
      <c r="BT13" s="56" t="str">
        <f>IF('⚙ OFF Weekends'!$D$67="OFF","OFF","")</f>
        <v/>
      </c>
      <c r="BU13" s="54" t="str">
        <f>IF('⚙ OFF Weekends'!$D$68="OFF","OFF","")</f>
        <v/>
      </c>
      <c r="BV13" s="56" t="str">
        <f>IF('⚙ OFF Weekends'!$D$69="OFF","OFF","")</f>
        <v/>
      </c>
      <c r="BW13" s="54" t="str">
        <f>IF('⚙ OFF Weekends'!$D$70="OFF","OFF","")</f>
        <v/>
      </c>
      <c r="BX13" s="56" t="str">
        <f>IF('⚙ OFF Weekends'!$D$71="OFF","OFF","")</f>
        <v/>
      </c>
      <c r="BY13" s="54" t="str">
        <f>IF('⚙ OFF Weekends'!$D$72="OFF","OFF","")</f>
        <v/>
      </c>
      <c r="BZ13" s="56" t="str">
        <f>IF('⚙ OFF Weekends'!$D$73="OFF","OFF","")</f>
        <v/>
      </c>
      <c r="CA13" s="54" t="str">
        <f>IF('⚙ OFF Weekends'!$D$74="OFF","OFF","")</f>
        <v/>
      </c>
      <c r="CB13" s="56" t="str">
        <f>IF('⚙ OFF Weekends'!$D$75="OFF","OFF","")</f>
        <v/>
      </c>
      <c r="CC13" s="54" t="str">
        <f>IF('⚙ OFF Weekends'!$D$76="OFF","OFF","")</f>
        <v/>
      </c>
      <c r="CD13" s="56" t="str">
        <f>IF('⚙ OFF Weekends'!$D$77="OFF","OFF","")</f>
        <v/>
      </c>
      <c r="CE13" s="68">
        <f t="shared" si="3"/>
        <v>11</v>
      </c>
      <c r="CF13" s="68">
        <f t="shared" si="4"/>
        <v>1</v>
      </c>
      <c r="CG13" s="68">
        <f t="shared" si="5"/>
        <v>5</v>
      </c>
      <c r="CH13" s="68" t="str">
        <f t="shared" si="6"/>
        <v>92%</v>
      </c>
    </row>
    <row r="14" ht="18.0" customHeight="1">
      <c r="A14" s="73">
        <v>6.0</v>
      </c>
      <c r="B14" s="35" t="s">
        <v>727</v>
      </c>
      <c r="C14" s="74"/>
      <c r="D14" s="75" t="str">
        <f t="shared" si="1"/>
        <v/>
      </c>
      <c r="E14" s="80" t="str">
        <f t="shared" si="2"/>
        <v/>
      </c>
      <c r="F14" s="34"/>
      <c r="G14" s="34"/>
      <c r="H14" s="34" t="s">
        <v>268</v>
      </c>
      <c r="I14" s="48" t="s">
        <v>196</v>
      </c>
      <c r="J14" s="79" t="s">
        <v>223</v>
      </c>
      <c r="K14" s="49" t="s">
        <v>197</v>
      </c>
      <c r="L14" s="79" t="s">
        <v>223</v>
      </c>
      <c r="M14" s="77" t="s">
        <v>198</v>
      </c>
      <c r="N14" s="77" t="s">
        <v>198</v>
      </c>
      <c r="O14" s="79" t="s">
        <v>223</v>
      </c>
      <c r="P14" s="79" t="s">
        <v>223</v>
      </c>
      <c r="Q14" s="79" t="s">
        <v>223</v>
      </c>
      <c r="R14" s="79" t="s">
        <v>223</v>
      </c>
      <c r="S14" s="52" t="s">
        <v>223</v>
      </c>
      <c r="T14" s="56" t="str">
        <f>IF('⚙ OFF Weekends'!$D$15="OFF","OFF","")</f>
        <v/>
      </c>
      <c r="U14" s="52" t="s">
        <v>196</v>
      </c>
      <c r="V14" s="53" t="s">
        <v>196</v>
      </c>
      <c r="W14" s="54" t="str">
        <f>IF('⚙ OFF Weekends'!$D$18="OFF","OFF","")</f>
        <v>OFF</v>
      </c>
      <c r="X14" s="53" t="s">
        <v>223</v>
      </c>
      <c r="Y14" s="52" t="s">
        <v>223</v>
      </c>
      <c r="Z14" s="53" t="s">
        <v>223</v>
      </c>
      <c r="AA14" s="52" t="s">
        <v>223</v>
      </c>
      <c r="AB14" s="53" t="s">
        <v>223</v>
      </c>
      <c r="AC14" s="54" t="str">
        <f>IF('⚙ OFF Weekends'!$D$24="OFF","OFF","")</f>
        <v/>
      </c>
      <c r="AD14" s="56" t="str">
        <f>IF('⚙ OFF Weekends'!$D$25="OFF","OFF","")</f>
        <v/>
      </c>
      <c r="AE14" s="54" t="str">
        <f>IF('⚙ OFF Weekends'!$D$26="OFF","OFF","")</f>
        <v/>
      </c>
      <c r="AF14" s="56" t="str">
        <f>IF('⚙ OFF Weekends'!$D$27="OFF","OFF","")</f>
        <v/>
      </c>
      <c r="AG14" s="54" t="str">
        <f>IF('⚙ OFF Weekends'!$D$28="OFF","OFF","")</f>
        <v/>
      </c>
      <c r="AH14" s="56" t="str">
        <f>IF('⚙ OFF Weekends'!$D$29="OFF","OFF","")</f>
        <v/>
      </c>
      <c r="AI14" s="54" t="str">
        <f>IF('⚙ OFF Weekends'!$D$30="OFF","OFF","")</f>
        <v/>
      </c>
      <c r="AJ14" s="56" t="str">
        <f>IF('⚙ OFF Weekends'!$D$31="OFF","OFF","")</f>
        <v/>
      </c>
      <c r="AK14" s="54" t="str">
        <f>IF('⚙ OFF Weekends'!$D$32="OFF","OFF","")</f>
        <v/>
      </c>
      <c r="AL14" s="56" t="str">
        <f>IF('⚙ OFF Weekends'!$D$33="OFF","OFF","")</f>
        <v/>
      </c>
      <c r="AM14" s="54" t="str">
        <f>IF('⚙ OFF Weekends'!$D$34="OFF","OFF","")</f>
        <v/>
      </c>
      <c r="AN14" s="56" t="str">
        <f>IF('⚙ OFF Weekends'!$D$35="OFF","OFF","")</f>
        <v/>
      </c>
      <c r="AO14" s="54" t="str">
        <f>IF('⚙ OFF Weekends'!$D$36="OFF","OFF","")</f>
        <v/>
      </c>
      <c r="AP14" s="56" t="str">
        <f>IF('⚙ OFF Weekends'!$D$37="OFF","OFF","")</f>
        <v/>
      </c>
      <c r="AQ14" s="54" t="str">
        <f>IF('⚙ OFF Weekends'!$D$38="OFF","OFF","")</f>
        <v/>
      </c>
      <c r="AR14" s="56" t="str">
        <f>IF('⚙ OFF Weekends'!$D$39="OFF","OFF","")</f>
        <v/>
      </c>
      <c r="AS14" s="54" t="str">
        <f>IF('⚙ OFF Weekends'!$D$40="OFF","OFF","")</f>
        <v/>
      </c>
      <c r="AT14" s="56" t="str">
        <f>IF('⚙ OFF Weekends'!$D$41="OFF","OFF","")</f>
        <v/>
      </c>
      <c r="AU14" s="54" t="str">
        <f>IF('⚙ OFF Weekends'!$D$42="OFF","OFF","")</f>
        <v/>
      </c>
      <c r="AV14" s="56" t="str">
        <f>IF('⚙ OFF Weekends'!$D$43="OFF","OFF","")</f>
        <v/>
      </c>
      <c r="AW14" s="54" t="str">
        <f>IF('⚙ OFF Weekends'!$D$44="OFF","OFF","")</f>
        <v/>
      </c>
      <c r="AX14" s="56" t="str">
        <f>IF('⚙ OFF Weekends'!$D$45="OFF","OFF","")</f>
        <v/>
      </c>
      <c r="AY14" s="54" t="str">
        <f>IF('⚙ OFF Weekends'!$D$46="OFF","OFF","")</f>
        <v/>
      </c>
      <c r="AZ14" s="56" t="str">
        <f>IF('⚙ OFF Weekends'!$D$47="OFF","OFF","")</f>
        <v/>
      </c>
      <c r="BA14" s="54" t="str">
        <f>IF('⚙ OFF Weekends'!$D$48="OFF","OFF","")</f>
        <v/>
      </c>
      <c r="BB14" s="56" t="str">
        <f>IF('⚙ OFF Weekends'!$D$49="OFF","OFF","")</f>
        <v/>
      </c>
      <c r="BC14" s="54" t="str">
        <f>IF('⚙ OFF Weekends'!$D$50="OFF","OFF","")</f>
        <v/>
      </c>
      <c r="BD14" s="56" t="str">
        <f>IF('⚙ OFF Weekends'!$D$51="OFF","OFF","")</f>
        <v/>
      </c>
      <c r="BE14" s="54" t="str">
        <f>IF('⚙ OFF Weekends'!$D$52="OFF","OFF","")</f>
        <v/>
      </c>
      <c r="BF14" s="56" t="str">
        <f>IF('⚙ OFF Weekends'!$D$53="OFF","OFF","")</f>
        <v/>
      </c>
      <c r="BG14" s="54" t="str">
        <f>IF('⚙ OFF Weekends'!$D$54="OFF","OFF","")</f>
        <v/>
      </c>
      <c r="BH14" s="56" t="str">
        <f>IF('⚙ OFF Weekends'!$D$55="OFF","OFF","")</f>
        <v/>
      </c>
      <c r="BI14" s="54" t="str">
        <f>IF('⚙ OFF Weekends'!$D$56="OFF","OFF","")</f>
        <v/>
      </c>
      <c r="BJ14" s="56" t="str">
        <f>IF('⚙ OFF Weekends'!$D$57="OFF","OFF","")</f>
        <v/>
      </c>
      <c r="BK14" s="54" t="str">
        <f>IF('⚙ OFF Weekends'!$D$58="OFF","OFF","")</f>
        <v/>
      </c>
      <c r="BL14" s="56" t="str">
        <f>IF('⚙ OFF Weekends'!$D$59="OFF","OFF","")</f>
        <v/>
      </c>
      <c r="BM14" s="54" t="str">
        <f>IF('⚙ OFF Weekends'!$D$60="OFF","OFF","")</f>
        <v/>
      </c>
      <c r="BN14" s="56" t="str">
        <f>IF('⚙ OFF Weekends'!$D$61="OFF","OFF","")</f>
        <v/>
      </c>
      <c r="BO14" s="54" t="str">
        <f>IF('⚙ OFF Weekends'!$D$62="OFF","OFF","")</f>
        <v/>
      </c>
      <c r="BP14" s="56" t="str">
        <f>IF('⚙ OFF Weekends'!$D$63="OFF","OFF","")</f>
        <v/>
      </c>
      <c r="BQ14" s="54" t="str">
        <f>IF('⚙ OFF Weekends'!$D$64="OFF","OFF","")</f>
        <v/>
      </c>
      <c r="BR14" s="56" t="str">
        <f>IF('⚙ OFF Weekends'!$D$65="OFF","OFF","")</f>
        <v/>
      </c>
      <c r="BS14" s="54" t="str">
        <f>IF('⚙ OFF Weekends'!$D$66="OFF","OFF","")</f>
        <v/>
      </c>
      <c r="BT14" s="56" t="str">
        <f>IF('⚙ OFF Weekends'!$D$67="OFF","OFF","")</f>
        <v/>
      </c>
      <c r="BU14" s="54" t="str">
        <f>IF('⚙ OFF Weekends'!$D$68="OFF","OFF","")</f>
        <v/>
      </c>
      <c r="BV14" s="56" t="str">
        <f>IF('⚙ OFF Weekends'!$D$69="OFF","OFF","")</f>
        <v/>
      </c>
      <c r="BW14" s="54" t="str">
        <f>IF('⚙ OFF Weekends'!$D$70="OFF","OFF","")</f>
        <v/>
      </c>
      <c r="BX14" s="56" t="str">
        <f>IF('⚙ OFF Weekends'!$D$71="OFF","OFF","")</f>
        <v/>
      </c>
      <c r="BY14" s="54" t="str">
        <f>IF('⚙ OFF Weekends'!$D$72="OFF","OFF","")</f>
        <v/>
      </c>
      <c r="BZ14" s="56" t="str">
        <f>IF('⚙ OFF Weekends'!$D$73="OFF","OFF","")</f>
        <v/>
      </c>
      <c r="CA14" s="54" t="str">
        <f>IF('⚙ OFF Weekends'!$D$74="OFF","OFF","")</f>
        <v/>
      </c>
      <c r="CB14" s="56" t="str">
        <f>IF('⚙ OFF Weekends'!$D$75="OFF","OFF","")</f>
        <v/>
      </c>
      <c r="CC14" s="54" t="str">
        <f>IF('⚙ OFF Weekends'!$D$76="OFF","OFF","")</f>
        <v/>
      </c>
      <c r="CD14" s="56" t="str">
        <f>IF('⚙ OFF Weekends'!$D$77="OFF","OFF","")</f>
        <v/>
      </c>
      <c r="CE14" s="73">
        <f t="shared" si="3"/>
        <v>3</v>
      </c>
      <c r="CF14" s="73">
        <f t="shared" si="4"/>
        <v>12</v>
      </c>
      <c r="CG14" s="73">
        <f t="shared" si="5"/>
        <v>2</v>
      </c>
      <c r="CH14" s="73" t="str">
        <f t="shared" si="6"/>
        <v>20%</v>
      </c>
    </row>
    <row r="15" ht="18.0" customHeight="1">
      <c r="A15" s="68">
        <v>7.0</v>
      </c>
      <c r="B15" s="25" t="s">
        <v>730</v>
      </c>
      <c r="C15" s="69"/>
      <c r="D15" s="70" t="str">
        <f t="shared" si="1"/>
        <v/>
      </c>
      <c r="E15" s="99" t="str">
        <f t="shared" si="2"/>
        <v/>
      </c>
      <c r="F15" s="21"/>
      <c r="G15" s="21"/>
      <c r="H15" s="21" t="s">
        <v>268</v>
      </c>
      <c r="I15" s="54" t="str">
        <f>IF('⚙ OFF Weekends'!$D$4="OFF","OFF","")</f>
        <v/>
      </c>
      <c r="J15" s="56" t="str">
        <f>IF('⚙ OFF Weekends'!$D$5="OFF","OFF","")</f>
        <v/>
      </c>
      <c r="K15" s="49" t="s">
        <v>197</v>
      </c>
      <c r="L15" s="56" t="str">
        <f>IF('⚙ OFF Weekends'!$D$7="OFF","OFF","")</f>
        <v/>
      </c>
      <c r="M15" s="48" t="s">
        <v>196</v>
      </c>
      <c r="N15" s="48" t="s">
        <v>196</v>
      </c>
      <c r="O15" s="48" t="s">
        <v>196</v>
      </c>
      <c r="P15" s="77" t="s">
        <v>198</v>
      </c>
      <c r="Q15" s="48" t="s">
        <v>196</v>
      </c>
      <c r="R15" s="48" t="s">
        <v>196</v>
      </c>
      <c r="S15" s="52" t="s">
        <v>198</v>
      </c>
      <c r="T15" s="56" t="str">
        <f>IF('⚙ OFF Weekends'!$D$15="OFF","OFF","")</f>
        <v/>
      </c>
      <c r="U15" s="52" t="s">
        <v>196</v>
      </c>
      <c r="V15" s="53" t="s">
        <v>196</v>
      </c>
      <c r="W15" s="54" t="str">
        <f>IF('⚙ OFF Weekends'!$D$18="OFF","OFF","")</f>
        <v>OFF</v>
      </c>
      <c r="X15" s="53" t="s">
        <v>196</v>
      </c>
      <c r="Y15" s="52" t="s">
        <v>37</v>
      </c>
      <c r="Z15" s="53" t="s">
        <v>223</v>
      </c>
      <c r="AA15" s="52" t="s">
        <v>223</v>
      </c>
      <c r="AB15" s="53" t="s">
        <v>223</v>
      </c>
      <c r="AC15" s="54" t="str">
        <f>IF('⚙ OFF Weekends'!$D$24="OFF","OFF","")</f>
        <v/>
      </c>
      <c r="AD15" s="56" t="str">
        <f>IF('⚙ OFF Weekends'!$D$25="OFF","OFF","")</f>
        <v/>
      </c>
      <c r="AE15" s="54" t="str">
        <f>IF('⚙ OFF Weekends'!$D$26="OFF","OFF","")</f>
        <v/>
      </c>
      <c r="AF15" s="56" t="str">
        <f>IF('⚙ OFF Weekends'!$D$27="OFF","OFF","")</f>
        <v/>
      </c>
      <c r="AG15" s="54" t="str">
        <f>IF('⚙ OFF Weekends'!$D$28="OFF","OFF","")</f>
        <v/>
      </c>
      <c r="AH15" s="56" t="str">
        <f>IF('⚙ OFF Weekends'!$D$29="OFF","OFF","")</f>
        <v/>
      </c>
      <c r="AI15" s="54" t="str">
        <f>IF('⚙ OFF Weekends'!$D$30="OFF","OFF","")</f>
        <v/>
      </c>
      <c r="AJ15" s="56" t="str">
        <f>IF('⚙ OFF Weekends'!$D$31="OFF","OFF","")</f>
        <v/>
      </c>
      <c r="AK15" s="54" t="str">
        <f>IF('⚙ OFF Weekends'!$D$32="OFF","OFF","")</f>
        <v/>
      </c>
      <c r="AL15" s="56" t="str">
        <f>IF('⚙ OFF Weekends'!$D$33="OFF","OFF","")</f>
        <v/>
      </c>
      <c r="AM15" s="54" t="str">
        <f>IF('⚙ OFF Weekends'!$D$34="OFF","OFF","")</f>
        <v/>
      </c>
      <c r="AN15" s="56" t="str">
        <f>IF('⚙ OFF Weekends'!$D$35="OFF","OFF","")</f>
        <v/>
      </c>
      <c r="AO15" s="54" t="str">
        <f>IF('⚙ OFF Weekends'!$D$36="OFF","OFF","")</f>
        <v/>
      </c>
      <c r="AP15" s="56" t="str">
        <f>IF('⚙ OFF Weekends'!$D$37="OFF","OFF","")</f>
        <v/>
      </c>
      <c r="AQ15" s="54" t="str">
        <f>IF('⚙ OFF Weekends'!$D$38="OFF","OFF","")</f>
        <v/>
      </c>
      <c r="AR15" s="56" t="str">
        <f>IF('⚙ OFF Weekends'!$D$39="OFF","OFF","")</f>
        <v/>
      </c>
      <c r="AS15" s="54" t="str">
        <f>IF('⚙ OFF Weekends'!$D$40="OFF","OFF","")</f>
        <v/>
      </c>
      <c r="AT15" s="56" t="str">
        <f>IF('⚙ OFF Weekends'!$D$41="OFF","OFF","")</f>
        <v/>
      </c>
      <c r="AU15" s="54" t="str">
        <f>IF('⚙ OFF Weekends'!$D$42="OFF","OFF","")</f>
        <v/>
      </c>
      <c r="AV15" s="56" t="str">
        <f>IF('⚙ OFF Weekends'!$D$43="OFF","OFF","")</f>
        <v/>
      </c>
      <c r="AW15" s="54" t="str">
        <f>IF('⚙ OFF Weekends'!$D$44="OFF","OFF","")</f>
        <v/>
      </c>
      <c r="AX15" s="56" t="str">
        <f>IF('⚙ OFF Weekends'!$D$45="OFF","OFF","")</f>
        <v/>
      </c>
      <c r="AY15" s="54" t="str">
        <f>IF('⚙ OFF Weekends'!$D$46="OFF","OFF","")</f>
        <v/>
      </c>
      <c r="AZ15" s="56" t="str">
        <f>IF('⚙ OFF Weekends'!$D$47="OFF","OFF","")</f>
        <v/>
      </c>
      <c r="BA15" s="54" t="str">
        <f>IF('⚙ OFF Weekends'!$D$48="OFF","OFF","")</f>
        <v/>
      </c>
      <c r="BB15" s="56" t="str">
        <f>IF('⚙ OFF Weekends'!$D$49="OFF","OFF","")</f>
        <v/>
      </c>
      <c r="BC15" s="54" t="str">
        <f>IF('⚙ OFF Weekends'!$D$50="OFF","OFF","")</f>
        <v/>
      </c>
      <c r="BD15" s="56" t="str">
        <f>IF('⚙ OFF Weekends'!$D$51="OFF","OFF","")</f>
        <v/>
      </c>
      <c r="BE15" s="54" t="str">
        <f>IF('⚙ OFF Weekends'!$D$52="OFF","OFF","")</f>
        <v/>
      </c>
      <c r="BF15" s="56" t="str">
        <f>IF('⚙ OFF Weekends'!$D$53="OFF","OFF","")</f>
        <v/>
      </c>
      <c r="BG15" s="54" t="str">
        <f>IF('⚙ OFF Weekends'!$D$54="OFF","OFF","")</f>
        <v/>
      </c>
      <c r="BH15" s="56" t="str">
        <f>IF('⚙ OFF Weekends'!$D$55="OFF","OFF","")</f>
        <v/>
      </c>
      <c r="BI15" s="54" t="str">
        <f>IF('⚙ OFF Weekends'!$D$56="OFF","OFF","")</f>
        <v/>
      </c>
      <c r="BJ15" s="56" t="str">
        <f>IF('⚙ OFF Weekends'!$D$57="OFF","OFF","")</f>
        <v/>
      </c>
      <c r="BK15" s="54" t="str">
        <f>IF('⚙ OFF Weekends'!$D$58="OFF","OFF","")</f>
        <v/>
      </c>
      <c r="BL15" s="56" t="str">
        <f>IF('⚙ OFF Weekends'!$D$59="OFF","OFF","")</f>
        <v/>
      </c>
      <c r="BM15" s="54" t="str">
        <f>IF('⚙ OFF Weekends'!$D$60="OFF","OFF","")</f>
        <v/>
      </c>
      <c r="BN15" s="56" t="str">
        <f>IF('⚙ OFF Weekends'!$D$61="OFF","OFF","")</f>
        <v/>
      </c>
      <c r="BO15" s="54" t="str">
        <f>IF('⚙ OFF Weekends'!$D$62="OFF","OFF","")</f>
        <v/>
      </c>
      <c r="BP15" s="56" t="str">
        <f>IF('⚙ OFF Weekends'!$D$63="OFF","OFF","")</f>
        <v/>
      </c>
      <c r="BQ15" s="54" t="str">
        <f>IF('⚙ OFF Weekends'!$D$64="OFF","OFF","")</f>
        <v/>
      </c>
      <c r="BR15" s="56" t="str">
        <f>IF('⚙ OFF Weekends'!$D$65="OFF","OFF","")</f>
        <v/>
      </c>
      <c r="BS15" s="54" t="str">
        <f>IF('⚙ OFF Weekends'!$D$66="OFF","OFF","")</f>
        <v/>
      </c>
      <c r="BT15" s="56" t="str">
        <f>IF('⚙ OFF Weekends'!$D$67="OFF","OFF","")</f>
        <v/>
      </c>
      <c r="BU15" s="54" t="str">
        <f>IF('⚙ OFF Weekends'!$D$68="OFF","OFF","")</f>
        <v/>
      </c>
      <c r="BV15" s="56" t="str">
        <f>IF('⚙ OFF Weekends'!$D$69="OFF","OFF","")</f>
        <v/>
      </c>
      <c r="BW15" s="54" t="str">
        <f>IF('⚙ OFF Weekends'!$D$70="OFF","OFF","")</f>
        <v/>
      </c>
      <c r="BX15" s="56" t="str">
        <f>IF('⚙ OFF Weekends'!$D$71="OFF","OFF","")</f>
        <v/>
      </c>
      <c r="BY15" s="54" t="str">
        <f>IF('⚙ OFF Weekends'!$D$72="OFF","OFF","")</f>
        <v/>
      </c>
      <c r="BZ15" s="56" t="str">
        <f>IF('⚙ OFF Weekends'!$D$73="OFF","OFF","")</f>
        <v/>
      </c>
      <c r="CA15" s="54" t="str">
        <f>IF('⚙ OFF Weekends'!$D$74="OFF","OFF","")</f>
        <v/>
      </c>
      <c r="CB15" s="56" t="str">
        <f>IF('⚙ OFF Weekends'!$D$75="OFF","OFF","")</f>
        <v/>
      </c>
      <c r="CC15" s="54" t="str">
        <f>IF('⚙ OFF Weekends'!$D$76="OFF","OFF","")</f>
        <v/>
      </c>
      <c r="CD15" s="56" t="str">
        <f>IF('⚙ OFF Weekends'!$D$77="OFF","OFF","")</f>
        <v/>
      </c>
      <c r="CE15" s="68">
        <f t="shared" si="3"/>
        <v>9</v>
      </c>
      <c r="CF15" s="68">
        <f t="shared" si="4"/>
        <v>3</v>
      </c>
      <c r="CG15" s="68">
        <f t="shared" si="5"/>
        <v>2</v>
      </c>
      <c r="CH15" s="68" t="str">
        <f t="shared" si="6"/>
        <v>75%</v>
      </c>
    </row>
    <row r="16" ht="18.0" customHeight="1">
      <c r="A16" s="73">
        <v>8.0</v>
      </c>
      <c r="B16" s="35" t="s">
        <v>731</v>
      </c>
      <c r="C16" s="74"/>
      <c r="D16" s="75" t="str">
        <f t="shared" si="1"/>
        <v/>
      </c>
      <c r="E16" s="80" t="str">
        <f t="shared" si="2"/>
        <v/>
      </c>
      <c r="F16" s="34"/>
      <c r="G16" s="34"/>
      <c r="H16" s="34" t="s">
        <v>268</v>
      </c>
      <c r="I16" s="54" t="str">
        <f>IF('⚙ OFF Weekends'!$D$4="OFF","OFF","")</f>
        <v/>
      </c>
      <c r="J16" s="56" t="str">
        <f>IF('⚙ OFF Weekends'!$D$5="OFF","OFF","")</f>
        <v/>
      </c>
      <c r="K16" s="49" t="s">
        <v>197</v>
      </c>
      <c r="L16" s="56" t="str">
        <f>IF('⚙ OFF Weekends'!$D$7="OFF","OFF","")</f>
        <v/>
      </c>
      <c r="M16" s="48" t="s">
        <v>196</v>
      </c>
      <c r="N16" s="48" t="s">
        <v>196</v>
      </c>
      <c r="O16" s="48" t="s">
        <v>196</v>
      </c>
      <c r="P16" s="48" t="s">
        <v>196</v>
      </c>
      <c r="Q16" s="48" t="s">
        <v>196</v>
      </c>
      <c r="R16" s="48" t="s">
        <v>196</v>
      </c>
      <c r="S16" s="52" t="s">
        <v>198</v>
      </c>
      <c r="T16" s="56" t="str">
        <f>IF('⚙ OFF Weekends'!$D$15="OFF","OFF","")</f>
        <v/>
      </c>
      <c r="U16" s="52" t="s">
        <v>196</v>
      </c>
      <c r="V16" s="53" t="s">
        <v>196</v>
      </c>
      <c r="W16" s="54" t="str">
        <f>IF('⚙ OFF Weekends'!$D$18="OFF","OFF","")</f>
        <v>OFF</v>
      </c>
      <c r="X16" s="53" t="s">
        <v>198</v>
      </c>
      <c r="Y16" s="52" t="s">
        <v>37</v>
      </c>
      <c r="Z16" s="53" t="s">
        <v>196</v>
      </c>
      <c r="AA16" s="52" t="s">
        <v>223</v>
      </c>
      <c r="AB16" s="53" t="s">
        <v>223</v>
      </c>
      <c r="AC16" s="54" t="str">
        <f>IF('⚙ OFF Weekends'!$D$24="OFF","OFF","")</f>
        <v/>
      </c>
      <c r="AD16" s="56" t="str">
        <f>IF('⚙ OFF Weekends'!$D$25="OFF","OFF","")</f>
        <v/>
      </c>
      <c r="AE16" s="54" t="str">
        <f>IF('⚙ OFF Weekends'!$D$26="OFF","OFF","")</f>
        <v/>
      </c>
      <c r="AF16" s="56" t="str">
        <f>IF('⚙ OFF Weekends'!$D$27="OFF","OFF","")</f>
        <v/>
      </c>
      <c r="AG16" s="54" t="str">
        <f>IF('⚙ OFF Weekends'!$D$28="OFF","OFF","")</f>
        <v/>
      </c>
      <c r="AH16" s="56" t="str">
        <f>IF('⚙ OFF Weekends'!$D$29="OFF","OFF","")</f>
        <v/>
      </c>
      <c r="AI16" s="54" t="str">
        <f>IF('⚙ OFF Weekends'!$D$30="OFF","OFF","")</f>
        <v/>
      </c>
      <c r="AJ16" s="56" t="str">
        <f>IF('⚙ OFF Weekends'!$D$31="OFF","OFF","")</f>
        <v/>
      </c>
      <c r="AK16" s="54" t="str">
        <f>IF('⚙ OFF Weekends'!$D$32="OFF","OFF","")</f>
        <v/>
      </c>
      <c r="AL16" s="56" t="str">
        <f>IF('⚙ OFF Weekends'!$D$33="OFF","OFF","")</f>
        <v/>
      </c>
      <c r="AM16" s="54" t="str">
        <f>IF('⚙ OFF Weekends'!$D$34="OFF","OFF","")</f>
        <v/>
      </c>
      <c r="AN16" s="56" t="str">
        <f>IF('⚙ OFF Weekends'!$D$35="OFF","OFF","")</f>
        <v/>
      </c>
      <c r="AO16" s="54" t="str">
        <f>IF('⚙ OFF Weekends'!$D$36="OFF","OFF","")</f>
        <v/>
      </c>
      <c r="AP16" s="56" t="str">
        <f>IF('⚙ OFF Weekends'!$D$37="OFF","OFF","")</f>
        <v/>
      </c>
      <c r="AQ16" s="54" t="str">
        <f>IF('⚙ OFF Weekends'!$D$38="OFF","OFF","")</f>
        <v/>
      </c>
      <c r="AR16" s="56" t="str">
        <f>IF('⚙ OFF Weekends'!$D$39="OFF","OFF","")</f>
        <v/>
      </c>
      <c r="AS16" s="54" t="str">
        <f>IF('⚙ OFF Weekends'!$D$40="OFF","OFF","")</f>
        <v/>
      </c>
      <c r="AT16" s="56" t="str">
        <f>IF('⚙ OFF Weekends'!$D$41="OFF","OFF","")</f>
        <v/>
      </c>
      <c r="AU16" s="54" t="str">
        <f>IF('⚙ OFF Weekends'!$D$42="OFF","OFF","")</f>
        <v/>
      </c>
      <c r="AV16" s="56" t="str">
        <f>IF('⚙ OFF Weekends'!$D$43="OFF","OFF","")</f>
        <v/>
      </c>
      <c r="AW16" s="54" t="str">
        <f>IF('⚙ OFF Weekends'!$D$44="OFF","OFF","")</f>
        <v/>
      </c>
      <c r="AX16" s="56" t="str">
        <f>IF('⚙ OFF Weekends'!$D$45="OFF","OFF","")</f>
        <v/>
      </c>
      <c r="AY16" s="54" t="str">
        <f>IF('⚙ OFF Weekends'!$D$46="OFF","OFF","")</f>
        <v/>
      </c>
      <c r="AZ16" s="56" t="str">
        <f>IF('⚙ OFF Weekends'!$D$47="OFF","OFF","")</f>
        <v/>
      </c>
      <c r="BA16" s="54" t="str">
        <f>IF('⚙ OFF Weekends'!$D$48="OFF","OFF","")</f>
        <v/>
      </c>
      <c r="BB16" s="56" t="str">
        <f>IF('⚙ OFF Weekends'!$D$49="OFF","OFF","")</f>
        <v/>
      </c>
      <c r="BC16" s="54" t="str">
        <f>IF('⚙ OFF Weekends'!$D$50="OFF","OFF","")</f>
        <v/>
      </c>
      <c r="BD16" s="56" t="str">
        <f>IF('⚙ OFF Weekends'!$D$51="OFF","OFF","")</f>
        <v/>
      </c>
      <c r="BE16" s="54" t="str">
        <f>IF('⚙ OFF Weekends'!$D$52="OFF","OFF","")</f>
        <v/>
      </c>
      <c r="BF16" s="56" t="str">
        <f>IF('⚙ OFF Weekends'!$D$53="OFF","OFF","")</f>
        <v/>
      </c>
      <c r="BG16" s="54" t="str">
        <f>IF('⚙ OFF Weekends'!$D$54="OFF","OFF","")</f>
        <v/>
      </c>
      <c r="BH16" s="56" t="str">
        <f>IF('⚙ OFF Weekends'!$D$55="OFF","OFF","")</f>
        <v/>
      </c>
      <c r="BI16" s="54" t="str">
        <f>IF('⚙ OFF Weekends'!$D$56="OFF","OFF","")</f>
        <v/>
      </c>
      <c r="BJ16" s="56" t="str">
        <f>IF('⚙ OFF Weekends'!$D$57="OFF","OFF","")</f>
        <v/>
      </c>
      <c r="BK16" s="54" t="str">
        <f>IF('⚙ OFF Weekends'!$D$58="OFF","OFF","")</f>
        <v/>
      </c>
      <c r="BL16" s="56" t="str">
        <f>IF('⚙ OFF Weekends'!$D$59="OFF","OFF","")</f>
        <v/>
      </c>
      <c r="BM16" s="54" t="str">
        <f>IF('⚙ OFF Weekends'!$D$60="OFF","OFF","")</f>
        <v/>
      </c>
      <c r="BN16" s="56" t="str">
        <f>IF('⚙ OFF Weekends'!$D$61="OFF","OFF","")</f>
        <v/>
      </c>
      <c r="BO16" s="54" t="str">
        <f>IF('⚙ OFF Weekends'!$D$62="OFF","OFF","")</f>
        <v/>
      </c>
      <c r="BP16" s="56" t="str">
        <f>IF('⚙ OFF Weekends'!$D$63="OFF","OFF","")</f>
        <v/>
      </c>
      <c r="BQ16" s="54" t="str">
        <f>IF('⚙ OFF Weekends'!$D$64="OFF","OFF","")</f>
        <v/>
      </c>
      <c r="BR16" s="56" t="str">
        <f>IF('⚙ OFF Weekends'!$D$65="OFF","OFF","")</f>
        <v/>
      </c>
      <c r="BS16" s="54" t="str">
        <f>IF('⚙ OFF Weekends'!$D$66="OFF","OFF","")</f>
        <v/>
      </c>
      <c r="BT16" s="56" t="str">
        <f>IF('⚙ OFF Weekends'!$D$67="OFF","OFF","")</f>
        <v/>
      </c>
      <c r="BU16" s="54" t="str">
        <f>IF('⚙ OFF Weekends'!$D$68="OFF","OFF","")</f>
        <v/>
      </c>
      <c r="BV16" s="56" t="str">
        <f>IF('⚙ OFF Weekends'!$D$69="OFF","OFF","")</f>
        <v/>
      </c>
      <c r="BW16" s="54" t="str">
        <f>IF('⚙ OFF Weekends'!$D$70="OFF","OFF","")</f>
        <v/>
      </c>
      <c r="BX16" s="56" t="str">
        <f>IF('⚙ OFF Weekends'!$D$71="OFF","OFF","")</f>
        <v/>
      </c>
      <c r="BY16" s="54" t="str">
        <f>IF('⚙ OFF Weekends'!$D$72="OFF","OFF","")</f>
        <v/>
      </c>
      <c r="BZ16" s="56" t="str">
        <f>IF('⚙ OFF Weekends'!$D$73="OFF","OFF","")</f>
        <v/>
      </c>
      <c r="CA16" s="54" t="str">
        <f>IF('⚙ OFF Weekends'!$D$74="OFF","OFF","")</f>
        <v/>
      </c>
      <c r="CB16" s="56" t="str">
        <f>IF('⚙ OFF Weekends'!$D$75="OFF","OFF","")</f>
        <v/>
      </c>
      <c r="CC16" s="54" t="str">
        <f>IF('⚙ OFF Weekends'!$D$76="OFF","OFF","")</f>
        <v/>
      </c>
      <c r="CD16" s="56" t="str">
        <f>IF('⚙ OFF Weekends'!$D$77="OFF","OFF","")</f>
        <v/>
      </c>
      <c r="CE16" s="73">
        <f t="shared" si="3"/>
        <v>10</v>
      </c>
      <c r="CF16" s="73">
        <f t="shared" si="4"/>
        <v>2</v>
      </c>
      <c r="CG16" s="73">
        <f t="shared" si="5"/>
        <v>2</v>
      </c>
      <c r="CH16" s="73" t="str">
        <f t="shared" si="6"/>
        <v>83%</v>
      </c>
    </row>
    <row r="17" ht="18.0" customHeight="1">
      <c r="A17" s="68">
        <v>9.0</v>
      </c>
      <c r="B17" s="25" t="s">
        <v>734</v>
      </c>
      <c r="C17" s="69"/>
      <c r="D17" s="70" t="str">
        <f t="shared" si="1"/>
        <v/>
      </c>
      <c r="E17" s="99" t="str">
        <f t="shared" si="2"/>
        <v/>
      </c>
      <c r="F17" s="21"/>
      <c r="G17" s="21"/>
      <c r="H17" s="21" t="s">
        <v>268</v>
      </c>
      <c r="I17" s="102" t="s">
        <v>348</v>
      </c>
      <c r="J17" s="102" t="s">
        <v>348</v>
      </c>
      <c r="K17" s="49" t="s">
        <v>197</v>
      </c>
      <c r="L17" s="102" t="s">
        <v>348</v>
      </c>
      <c r="M17" s="102" t="s">
        <v>348</v>
      </c>
      <c r="N17" s="102" t="s">
        <v>348</v>
      </c>
      <c r="O17" s="48" t="s">
        <v>196</v>
      </c>
      <c r="P17" s="48" t="s">
        <v>196</v>
      </c>
      <c r="Q17" s="48" t="s">
        <v>196</v>
      </c>
      <c r="R17" s="48" t="s">
        <v>196</v>
      </c>
      <c r="S17" s="52" t="s">
        <v>196</v>
      </c>
      <c r="T17" s="56" t="str">
        <f>IF('⚙ OFF Weekends'!$D$15="OFF","OFF","")</f>
        <v/>
      </c>
      <c r="U17" s="52" t="s">
        <v>196</v>
      </c>
      <c r="V17" s="53" t="s">
        <v>196</v>
      </c>
      <c r="W17" s="54" t="str">
        <f>IF('⚙ OFF Weekends'!$D$18="OFF","OFF","")</f>
        <v>OFF</v>
      </c>
      <c r="X17" s="53" t="s">
        <v>196</v>
      </c>
      <c r="Y17" s="52" t="s">
        <v>223</v>
      </c>
      <c r="Z17" s="53" t="s">
        <v>196</v>
      </c>
      <c r="AA17" s="52" t="s">
        <v>196</v>
      </c>
      <c r="AB17" s="53" t="s">
        <v>196</v>
      </c>
      <c r="AC17" s="54" t="str">
        <f>IF('⚙ OFF Weekends'!$D$24="OFF","OFF","")</f>
        <v/>
      </c>
      <c r="AD17" s="56" t="str">
        <f>IF('⚙ OFF Weekends'!$D$25="OFF","OFF","")</f>
        <v/>
      </c>
      <c r="AE17" s="54" t="str">
        <f>IF('⚙ OFF Weekends'!$D$26="OFF","OFF","")</f>
        <v/>
      </c>
      <c r="AF17" s="56" t="str">
        <f>IF('⚙ OFF Weekends'!$D$27="OFF","OFF","")</f>
        <v/>
      </c>
      <c r="AG17" s="54" t="str">
        <f>IF('⚙ OFF Weekends'!$D$28="OFF","OFF","")</f>
        <v/>
      </c>
      <c r="AH17" s="56" t="str">
        <f>IF('⚙ OFF Weekends'!$D$29="OFF","OFF","")</f>
        <v/>
      </c>
      <c r="AI17" s="54" t="str">
        <f>IF('⚙ OFF Weekends'!$D$30="OFF","OFF","")</f>
        <v/>
      </c>
      <c r="AJ17" s="56" t="str">
        <f>IF('⚙ OFF Weekends'!$D$31="OFF","OFF","")</f>
        <v/>
      </c>
      <c r="AK17" s="54" t="str">
        <f>IF('⚙ OFF Weekends'!$D$32="OFF","OFF","")</f>
        <v/>
      </c>
      <c r="AL17" s="56" t="str">
        <f>IF('⚙ OFF Weekends'!$D$33="OFF","OFF","")</f>
        <v/>
      </c>
      <c r="AM17" s="54" t="str">
        <f>IF('⚙ OFF Weekends'!$D$34="OFF","OFF","")</f>
        <v/>
      </c>
      <c r="AN17" s="56" t="str">
        <f>IF('⚙ OFF Weekends'!$D$35="OFF","OFF","")</f>
        <v/>
      </c>
      <c r="AO17" s="54" t="str">
        <f>IF('⚙ OFF Weekends'!$D$36="OFF","OFF","")</f>
        <v/>
      </c>
      <c r="AP17" s="56" t="str">
        <f>IF('⚙ OFF Weekends'!$D$37="OFF","OFF","")</f>
        <v/>
      </c>
      <c r="AQ17" s="54" t="str">
        <f>IF('⚙ OFF Weekends'!$D$38="OFF","OFF","")</f>
        <v/>
      </c>
      <c r="AR17" s="56" t="str">
        <f>IF('⚙ OFF Weekends'!$D$39="OFF","OFF","")</f>
        <v/>
      </c>
      <c r="AS17" s="54" t="str">
        <f>IF('⚙ OFF Weekends'!$D$40="OFF","OFF","")</f>
        <v/>
      </c>
      <c r="AT17" s="56" t="str">
        <f>IF('⚙ OFF Weekends'!$D$41="OFF","OFF","")</f>
        <v/>
      </c>
      <c r="AU17" s="54" t="str">
        <f>IF('⚙ OFF Weekends'!$D$42="OFF","OFF","")</f>
        <v/>
      </c>
      <c r="AV17" s="56" t="str">
        <f>IF('⚙ OFF Weekends'!$D$43="OFF","OFF","")</f>
        <v/>
      </c>
      <c r="AW17" s="54" t="str">
        <f>IF('⚙ OFF Weekends'!$D$44="OFF","OFF","")</f>
        <v/>
      </c>
      <c r="AX17" s="56" t="str">
        <f>IF('⚙ OFF Weekends'!$D$45="OFF","OFF","")</f>
        <v/>
      </c>
      <c r="AY17" s="54" t="str">
        <f>IF('⚙ OFF Weekends'!$D$46="OFF","OFF","")</f>
        <v/>
      </c>
      <c r="AZ17" s="56" t="str">
        <f>IF('⚙ OFF Weekends'!$D$47="OFF","OFF","")</f>
        <v/>
      </c>
      <c r="BA17" s="54" t="str">
        <f>IF('⚙ OFF Weekends'!$D$48="OFF","OFF","")</f>
        <v/>
      </c>
      <c r="BB17" s="56" t="str">
        <f>IF('⚙ OFF Weekends'!$D$49="OFF","OFF","")</f>
        <v/>
      </c>
      <c r="BC17" s="54" t="str">
        <f>IF('⚙ OFF Weekends'!$D$50="OFF","OFF","")</f>
        <v/>
      </c>
      <c r="BD17" s="56" t="str">
        <f>IF('⚙ OFF Weekends'!$D$51="OFF","OFF","")</f>
        <v/>
      </c>
      <c r="BE17" s="54" t="str">
        <f>IF('⚙ OFF Weekends'!$D$52="OFF","OFF","")</f>
        <v/>
      </c>
      <c r="BF17" s="56" t="str">
        <f>IF('⚙ OFF Weekends'!$D$53="OFF","OFF","")</f>
        <v/>
      </c>
      <c r="BG17" s="54" t="str">
        <f>IF('⚙ OFF Weekends'!$D$54="OFF","OFF","")</f>
        <v/>
      </c>
      <c r="BH17" s="56" t="str">
        <f>IF('⚙ OFF Weekends'!$D$55="OFF","OFF","")</f>
        <v/>
      </c>
      <c r="BI17" s="54" t="str">
        <f>IF('⚙ OFF Weekends'!$D$56="OFF","OFF","")</f>
        <v/>
      </c>
      <c r="BJ17" s="56" t="str">
        <f>IF('⚙ OFF Weekends'!$D$57="OFF","OFF","")</f>
        <v/>
      </c>
      <c r="BK17" s="54" t="str">
        <f>IF('⚙ OFF Weekends'!$D$58="OFF","OFF","")</f>
        <v/>
      </c>
      <c r="BL17" s="56" t="str">
        <f>IF('⚙ OFF Weekends'!$D$59="OFF","OFF","")</f>
        <v/>
      </c>
      <c r="BM17" s="54" t="str">
        <f>IF('⚙ OFF Weekends'!$D$60="OFF","OFF","")</f>
        <v/>
      </c>
      <c r="BN17" s="56" t="str">
        <f>IF('⚙ OFF Weekends'!$D$61="OFF","OFF","")</f>
        <v/>
      </c>
      <c r="BO17" s="54" t="str">
        <f>IF('⚙ OFF Weekends'!$D$62="OFF","OFF","")</f>
        <v/>
      </c>
      <c r="BP17" s="56" t="str">
        <f>IF('⚙ OFF Weekends'!$D$63="OFF","OFF","")</f>
        <v/>
      </c>
      <c r="BQ17" s="54" t="str">
        <f>IF('⚙ OFF Weekends'!$D$64="OFF","OFF","")</f>
        <v/>
      </c>
      <c r="BR17" s="56" t="str">
        <f>IF('⚙ OFF Weekends'!$D$65="OFF","OFF","")</f>
        <v/>
      </c>
      <c r="BS17" s="54" t="str">
        <f>IF('⚙ OFF Weekends'!$D$66="OFF","OFF","")</f>
        <v/>
      </c>
      <c r="BT17" s="56" t="str">
        <f>IF('⚙ OFF Weekends'!$D$67="OFF","OFF","")</f>
        <v/>
      </c>
      <c r="BU17" s="54" t="str">
        <f>IF('⚙ OFF Weekends'!$D$68="OFF","OFF","")</f>
        <v/>
      </c>
      <c r="BV17" s="56" t="str">
        <f>IF('⚙ OFF Weekends'!$D$69="OFF","OFF","")</f>
        <v/>
      </c>
      <c r="BW17" s="54" t="str">
        <f>IF('⚙ OFF Weekends'!$D$70="OFF","OFF","")</f>
        <v/>
      </c>
      <c r="BX17" s="56" t="str">
        <f>IF('⚙ OFF Weekends'!$D$71="OFF","OFF","")</f>
        <v/>
      </c>
      <c r="BY17" s="54" t="str">
        <f>IF('⚙ OFF Weekends'!$D$72="OFF","OFF","")</f>
        <v/>
      </c>
      <c r="BZ17" s="56" t="str">
        <f>IF('⚙ OFF Weekends'!$D$73="OFF","OFF","")</f>
        <v/>
      </c>
      <c r="CA17" s="54" t="str">
        <f>IF('⚙ OFF Weekends'!$D$74="OFF","OFF","")</f>
        <v/>
      </c>
      <c r="CB17" s="56" t="str">
        <f>IF('⚙ OFF Weekends'!$D$75="OFF","OFF","")</f>
        <v/>
      </c>
      <c r="CC17" s="54" t="str">
        <f>IF('⚙ OFF Weekends'!$D$76="OFF","OFF","")</f>
        <v/>
      </c>
      <c r="CD17" s="56" t="str">
        <f>IF('⚙ OFF Weekends'!$D$77="OFF","OFF","")</f>
        <v/>
      </c>
      <c r="CE17" s="68">
        <f t="shared" si="3"/>
        <v>11</v>
      </c>
      <c r="CF17" s="68">
        <f t="shared" si="4"/>
        <v>1</v>
      </c>
      <c r="CG17" s="68">
        <f t="shared" si="5"/>
        <v>0</v>
      </c>
      <c r="CH17" s="68" t="str">
        <f t="shared" si="6"/>
        <v>92%</v>
      </c>
    </row>
    <row r="18" ht="18.0" customHeight="1">
      <c r="A18" s="84">
        <v>10.0</v>
      </c>
      <c r="B18" s="94" t="s">
        <v>735</v>
      </c>
      <c r="C18" s="89"/>
      <c r="D18" s="87" t="str">
        <f t="shared" si="1"/>
        <v/>
      </c>
      <c r="E18" s="93" t="str">
        <f t="shared" si="2"/>
        <v/>
      </c>
      <c r="F18" s="89"/>
      <c r="G18" s="89"/>
      <c r="H18" s="89"/>
      <c r="I18" s="90" t="str">
        <f>IF('⚙ OFF Weekends'!$D$4="OFF","OFF","")</f>
        <v/>
      </c>
      <c r="J18" s="90" t="str">
        <f>IF('⚙ OFF Weekends'!$D$5="OFF","OFF","")</f>
        <v/>
      </c>
      <c r="K18" s="90" t="str">
        <f>IF('⚙ OFF Weekends'!$D$6="OFF","OFF","")</f>
        <v/>
      </c>
      <c r="L18" s="90" t="str">
        <f>IF('⚙ OFF Weekends'!$D$7="OFF","OFF","")</f>
        <v/>
      </c>
      <c r="M18" s="90" t="str">
        <f>IF('⚙ OFF Weekends'!$D$8="OFF","OFF","")</f>
        <v/>
      </c>
      <c r="N18" s="90" t="str">
        <f>IF('⚙ OFF Weekends'!$D$9="OFF","OFF","")</f>
        <v/>
      </c>
      <c r="O18" s="90" t="str">
        <f>IF('⚙ OFF Weekends'!$D$10="OFF","OFF","")</f>
        <v/>
      </c>
      <c r="P18" s="90" t="str">
        <f>IF('⚙ OFF Weekends'!$D$11="OFF","OFF","")</f>
        <v/>
      </c>
      <c r="Q18" s="90" t="str">
        <f>IF('⚙ OFF Weekends'!$D$12="OFF","OFF","")</f>
        <v/>
      </c>
      <c r="R18" s="90" t="str">
        <f>IF('⚙ OFF Weekends'!$D$13="OFF","OFF","")</f>
        <v/>
      </c>
      <c r="S18" s="90" t="str">
        <f>IF('⚙ OFF Weekends'!$D$14="OFF","OFF","")</f>
        <v/>
      </c>
      <c r="T18" s="90" t="str">
        <f>IF('⚙ OFF Weekends'!$D$15="OFF","OFF","")</f>
        <v/>
      </c>
      <c r="U18" s="90" t="str">
        <f>IF('⚙ OFF Weekends'!$D$16="OFF","OFF","")</f>
        <v/>
      </c>
      <c r="V18" s="90" t="str">
        <f>IF('⚙ OFF Weekends'!$D$17="OFF","OFF","")</f>
        <v/>
      </c>
      <c r="W18" s="90" t="str">
        <f>IF('⚙ OFF Weekends'!$D$18="OFF","OFF","")</f>
        <v>OFF</v>
      </c>
      <c r="X18" s="91" t="s">
        <v>37</v>
      </c>
      <c r="Y18" s="91" t="s">
        <v>37</v>
      </c>
      <c r="Z18" s="91" t="s">
        <v>223</v>
      </c>
      <c r="AA18" s="91" t="s">
        <v>223</v>
      </c>
      <c r="AB18" s="91" t="s">
        <v>223</v>
      </c>
      <c r="AC18" s="90" t="str">
        <f>IF('⚙ OFF Weekends'!$D$24="OFF","OFF","")</f>
        <v/>
      </c>
      <c r="AD18" s="90" t="str">
        <f>IF('⚙ OFF Weekends'!$D$25="OFF","OFF","")</f>
        <v/>
      </c>
      <c r="AE18" s="90" t="str">
        <f>IF('⚙ OFF Weekends'!$D$26="OFF","OFF","")</f>
        <v/>
      </c>
      <c r="AF18" s="90" t="str">
        <f>IF('⚙ OFF Weekends'!$D$27="OFF","OFF","")</f>
        <v/>
      </c>
      <c r="AG18" s="90" t="str">
        <f>IF('⚙ OFF Weekends'!$D$28="OFF","OFF","")</f>
        <v/>
      </c>
      <c r="AH18" s="90" t="str">
        <f>IF('⚙ OFF Weekends'!$D$29="OFF","OFF","")</f>
        <v/>
      </c>
      <c r="AI18" s="90" t="str">
        <f>IF('⚙ OFF Weekends'!$D$30="OFF","OFF","")</f>
        <v/>
      </c>
      <c r="AJ18" s="90" t="str">
        <f>IF('⚙ OFF Weekends'!$D$31="OFF","OFF","")</f>
        <v/>
      </c>
      <c r="AK18" s="90" t="str">
        <f>IF('⚙ OFF Weekends'!$D$32="OFF","OFF","")</f>
        <v/>
      </c>
      <c r="AL18" s="90" t="str">
        <f>IF('⚙ OFF Weekends'!$D$33="OFF","OFF","")</f>
        <v/>
      </c>
      <c r="AM18" s="90" t="str">
        <f>IF('⚙ OFF Weekends'!$D$34="OFF","OFF","")</f>
        <v/>
      </c>
      <c r="AN18" s="90" t="str">
        <f>IF('⚙ OFF Weekends'!$D$35="OFF","OFF","")</f>
        <v/>
      </c>
      <c r="AO18" s="90" t="str">
        <f>IF('⚙ OFF Weekends'!$D$36="OFF","OFF","")</f>
        <v/>
      </c>
      <c r="AP18" s="90" t="str">
        <f>IF('⚙ OFF Weekends'!$D$37="OFF","OFF","")</f>
        <v/>
      </c>
      <c r="AQ18" s="90" t="str">
        <f>IF('⚙ OFF Weekends'!$D$38="OFF","OFF","")</f>
        <v/>
      </c>
      <c r="AR18" s="90" t="str">
        <f>IF('⚙ OFF Weekends'!$D$39="OFF","OFF","")</f>
        <v/>
      </c>
      <c r="AS18" s="90" t="str">
        <f>IF('⚙ OFF Weekends'!$D$40="OFF","OFF","")</f>
        <v/>
      </c>
      <c r="AT18" s="90" t="str">
        <f>IF('⚙ OFF Weekends'!$D$41="OFF","OFF","")</f>
        <v/>
      </c>
      <c r="AU18" s="90" t="str">
        <f>IF('⚙ OFF Weekends'!$D$42="OFF","OFF","")</f>
        <v/>
      </c>
      <c r="AV18" s="90" t="str">
        <f>IF('⚙ OFF Weekends'!$D$43="OFF","OFF","")</f>
        <v/>
      </c>
      <c r="AW18" s="90" t="str">
        <f>IF('⚙ OFF Weekends'!$D$44="OFF","OFF","")</f>
        <v/>
      </c>
      <c r="AX18" s="90" t="str">
        <f>IF('⚙ OFF Weekends'!$D$45="OFF","OFF","")</f>
        <v/>
      </c>
      <c r="AY18" s="90" t="str">
        <f>IF('⚙ OFF Weekends'!$D$46="OFF","OFF","")</f>
        <v/>
      </c>
      <c r="AZ18" s="90" t="str">
        <f>IF('⚙ OFF Weekends'!$D$47="OFF","OFF","")</f>
        <v/>
      </c>
      <c r="BA18" s="90" t="str">
        <f>IF('⚙ OFF Weekends'!$D$48="OFF","OFF","")</f>
        <v/>
      </c>
      <c r="BB18" s="90" t="str">
        <f>IF('⚙ OFF Weekends'!$D$49="OFF","OFF","")</f>
        <v/>
      </c>
      <c r="BC18" s="90" t="str">
        <f>IF('⚙ OFF Weekends'!$D$50="OFF","OFF","")</f>
        <v/>
      </c>
      <c r="BD18" s="90" t="str">
        <f>IF('⚙ OFF Weekends'!$D$51="OFF","OFF","")</f>
        <v/>
      </c>
      <c r="BE18" s="90" t="str">
        <f>IF('⚙ OFF Weekends'!$D$52="OFF","OFF","")</f>
        <v/>
      </c>
      <c r="BF18" s="90" t="str">
        <f>IF('⚙ OFF Weekends'!$D$53="OFF","OFF","")</f>
        <v/>
      </c>
      <c r="BG18" s="90" t="str">
        <f>IF('⚙ OFF Weekends'!$D$54="OFF","OFF","")</f>
        <v/>
      </c>
      <c r="BH18" s="90" t="str">
        <f>IF('⚙ OFF Weekends'!$D$55="OFF","OFF","")</f>
        <v/>
      </c>
      <c r="BI18" s="90" t="str">
        <f>IF('⚙ OFF Weekends'!$D$56="OFF","OFF","")</f>
        <v/>
      </c>
      <c r="BJ18" s="90" t="str">
        <f>IF('⚙ OFF Weekends'!$D$57="OFF","OFF","")</f>
        <v/>
      </c>
      <c r="BK18" s="90" t="str">
        <f>IF('⚙ OFF Weekends'!$D$58="OFF","OFF","")</f>
        <v/>
      </c>
      <c r="BL18" s="90" t="str">
        <f>IF('⚙ OFF Weekends'!$D$59="OFF","OFF","")</f>
        <v/>
      </c>
      <c r="BM18" s="90" t="str">
        <f>IF('⚙ OFF Weekends'!$D$60="OFF","OFF","")</f>
        <v/>
      </c>
      <c r="BN18" s="90" t="str">
        <f>IF('⚙ OFF Weekends'!$D$61="OFF","OFF","")</f>
        <v/>
      </c>
      <c r="BO18" s="90" t="str">
        <f>IF('⚙ OFF Weekends'!$D$62="OFF","OFF","")</f>
        <v/>
      </c>
      <c r="BP18" s="90" t="str">
        <f>IF('⚙ OFF Weekends'!$D$63="OFF","OFF","")</f>
        <v/>
      </c>
      <c r="BQ18" s="90" t="str">
        <f>IF('⚙ OFF Weekends'!$D$64="OFF","OFF","")</f>
        <v/>
      </c>
      <c r="BR18" s="90" t="str">
        <f>IF('⚙ OFF Weekends'!$D$65="OFF","OFF","")</f>
        <v/>
      </c>
      <c r="BS18" s="90" t="str">
        <f>IF('⚙ OFF Weekends'!$D$66="OFF","OFF","")</f>
        <v/>
      </c>
      <c r="BT18" s="90" t="str">
        <f>IF('⚙ OFF Weekends'!$D$67="OFF","OFF","")</f>
        <v/>
      </c>
      <c r="BU18" s="90" t="str">
        <f>IF('⚙ OFF Weekends'!$D$68="OFF","OFF","")</f>
        <v/>
      </c>
      <c r="BV18" s="90" t="str">
        <f>IF('⚙ OFF Weekends'!$D$69="OFF","OFF","")</f>
        <v/>
      </c>
      <c r="BW18" s="90" t="str">
        <f>IF('⚙ OFF Weekends'!$D$70="OFF","OFF","")</f>
        <v/>
      </c>
      <c r="BX18" s="90" t="str">
        <f>IF('⚙ OFF Weekends'!$D$71="OFF","OFF","")</f>
        <v/>
      </c>
      <c r="BY18" s="90" t="str">
        <f>IF('⚙ OFF Weekends'!$D$72="OFF","OFF","")</f>
        <v/>
      </c>
      <c r="BZ18" s="90" t="str">
        <f>IF('⚙ OFF Weekends'!$D$73="OFF","OFF","")</f>
        <v/>
      </c>
      <c r="CA18" s="90" t="str">
        <f>IF('⚙ OFF Weekends'!$D$74="OFF","OFF","")</f>
        <v/>
      </c>
      <c r="CB18" s="90" t="str">
        <f>IF('⚙ OFF Weekends'!$D$75="OFF","OFF","")</f>
        <v/>
      </c>
      <c r="CC18" s="90" t="str">
        <f>IF('⚙ OFF Weekends'!$D$76="OFF","OFF","")</f>
        <v/>
      </c>
      <c r="CD18" s="90" t="str">
        <f>IF('⚙ OFF Weekends'!$D$77="OFF","OFF","")</f>
        <v/>
      </c>
      <c r="CE18" s="92">
        <f t="shared" si="3"/>
        <v>2</v>
      </c>
      <c r="CF18" s="92">
        <f t="shared" si="4"/>
        <v>3</v>
      </c>
      <c r="CG18" s="92">
        <f t="shared" si="5"/>
        <v>0</v>
      </c>
      <c r="CH18" s="92" t="str">
        <f t="shared" si="6"/>
        <v>40%</v>
      </c>
    </row>
    <row r="19" ht="18.0" customHeight="1">
      <c r="A19" s="84">
        <v>11.0</v>
      </c>
      <c r="B19" s="89"/>
      <c r="C19" s="89"/>
      <c r="D19" s="87" t="str">
        <f t="shared" si="1"/>
        <v/>
      </c>
      <c r="E19" s="93" t="str">
        <f t="shared" si="2"/>
        <v/>
      </c>
      <c r="F19" s="89"/>
      <c r="G19" s="89"/>
      <c r="H19" s="89"/>
      <c r="I19" s="90" t="str">
        <f>IF('⚙ OFF Weekends'!$D$4="OFF","OFF","")</f>
        <v/>
      </c>
      <c r="J19" s="90" t="str">
        <f>IF('⚙ OFF Weekends'!$D$5="OFF","OFF","")</f>
        <v/>
      </c>
      <c r="K19" s="90" t="str">
        <f>IF('⚙ OFF Weekends'!$D$6="OFF","OFF","")</f>
        <v/>
      </c>
      <c r="L19" s="90" t="str">
        <f>IF('⚙ OFF Weekends'!$D$7="OFF","OFF","")</f>
        <v/>
      </c>
      <c r="M19" s="90" t="str">
        <f>IF('⚙ OFF Weekends'!$D$8="OFF","OFF","")</f>
        <v/>
      </c>
      <c r="N19" s="90" t="str">
        <f>IF('⚙ OFF Weekends'!$D$9="OFF","OFF","")</f>
        <v/>
      </c>
      <c r="O19" s="90" t="str">
        <f>IF('⚙ OFF Weekends'!$D$10="OFF","OFF","")</f>
        <v/>
      </c>
      <c r="P19" s="90" t="str">
        <f>IF('⚙ OFF Weekends'!$D$11="OFF","OFF","")</f>
        <v/>
      </c>
      <c r="Q19" s="90" t="str">
        <f>IF('⚙ OFF Weekends'!$D$12="OFF","OFF","")</f>
        <v/>
      </c>
      <c r="R19" s="90" t="str">
        <f>IF('⚙ OFF Weekends'!$D$13="OFF","OFF","")</f>
        <v/>
      </c>
      <c r="S19" s="90" t="str">
        <f>IF('⚙ OFF Weekends'!$D$14="OFF","OFF","")</f>
        <v/>
      </c>
      <c r="T19" s="90" t="str">
        <f>IF('⚙ OFF Weekends'!$D$15="OFF","OFF","")</f>
        <v/>
      </c>
      <c r="U19" s="90" t="str">
        <f>IF('⚙ OFF Weekends'!$D$16="OFF","OFF","")</f>
        <v/>
      </c>
      <c r="V19" s="90" t="str">
        <f>IF('⚙ OFF Weekends'!$D$17="OFF","OFF","")</f>
        <v/>
      </c>
      <c r="W19" s="90" t="str">
        <f>IF('⚙ OFF Weekends'!$D$18="OFF","OFF","")</f>
        <v>OFF</v>
      </c>
      <c r="X19" s="90" t="str">
        <f>IF('⚙ OFF Weekends'!$D$19="OFF","OFF","")</f>
        <v/>
      </c>
      <c r="Y19" s="90" t="str">
        <f>IF('⚙ OFF Weekends'!$D$20="OFF","OFF","")</f>
        <v/>
      </c>
      <c r="Z19" s="90" t="str">
        <f>IF('⚙ OFF Weekends'!$D$21="OFF","OFF","")</f>
        <v/>
      </c>
      <c r="AA19" s="90" t="str">
        <f>IF('⚙ OFF Weekends'!$D$22="OFF","OFF","")</f>
        <v/>
      </c>
      <c r="AB19" s="90" t="str">
        <f>IF('⚙ OFF Weekends'!$D$23="OFF","OFF","")</f>
        <v/>
      </c>
      <c r="AC19" s="90" t="str">
        <f>IF('⚙ OFF Weekends'!$D$24="OFF","OFF","")</f>
        <v/>
      </c>
      <c r="AD19" s="90" t="str">
        <f>IF('⚙ OFF Weekends'!$D$25="OFF","OFF","")</f>
        <v/>
      </c>
      <c r="AE19" s="90" t="str">
        <f>IF('⚙ OFF Weekends'!$D$26="OFF","OFF","")</f>
        <v/>
      </c>
      <c r="AF19" s="90" t="str">
        <f>IF('⚙ OFF Weekends'!$D$27="OFF","OFF","")</f>
        <v/>
      </c>
      <c r="AG19" s="90" t="str">
        <f>IF('⚙ OFF Weekends'!$D$28="OFF","OFF","")</f>
        <v/>
      </c>
      <c r="AH19" s="90" t="str">
        <f>IF('⚙ OFF Weekends'!$D$29="OFF","OFF","")</f>
        <v/>
      </c>
      <c r="AI19" s="90" t="str">
        <f>IF('⚙ OFF Weekends'!$D$30="OFF","OFF","")</f>
        <v/>
      </c>
      <c r="AJ19" s="90" t="str">
        <f>IF('⚙ OFF Weekends'!$D$31="OFF","OFF","")</f>
        <v/>
      </c>
      <c r="AK19" s="90" t="str">
        <f>IF('⚙ OFF Weekends'!$D$32="OFF","OFF","")</f>
        <v/>
      </c>
      <c r="AL19" s="90" t="str">
        <f>IF('⚙ OFF Weekends'!$D$33="OFF","OFF","")</f>
        <v/>
      </c>
      <c r="AM19" s="90" t="str">
        <f>IF('⚙ OFF Weekends'!$D$34="OFF","OFF","")</f>
        <v/>
      </c>
      <c r="AN19" s="90" t="str">
        <f>IF('⚙ OFF Weekends'!$D$35="OFF","OFF","")</f>
        <v/>
      </c>
      <c r="AO19" s="90" t="str">
        <f>IF('⚙ OFF Weekends'!$D$36="OFF","OFF","")</f>
        <v/>
      </c>
      <c r="AP19" s="90" t="str">
        <f>IF('⚙ OFF Weekends'!$D$37="OFF","OFF","")</f>
        <v/>
      </c>
      <c r="AQ19" s="90" t="str">
        <f>IF('⚙ OFF Weekends'!$D$38="OFF","OFF","")</f>
        <v/>
      </c>
      <c r="AR19" s="90" t="str">
        <f>IF('⚙ OFF Weekends'!$D$39="OFF","OFF","")</f>
        <v/>
      </c>
      <c r="AS19" s="90" t="str">
        <f>IF('⚙ OFF Weekends'!$D$40="OFF","OFF","")</f>
        <v/>
      </c>
      <c r="AT19" s="90" t="str">
        <f>IF('⚙ OFF Weekends'!$D$41="OFF","OFF","")</f>
        <v/>
      </c>
      <c r="AU19" s="90" t="str">
        <f>IF('⚙ OFF Weekends'!$D$42="OFF","OFF","")</f>
        <v/>
      </c>
      <c r="AV19" s="90" t="str">
        <f>IF('⚙ OFF Weekends'!$D$43="OFF","OFF","")</f>
        <v/>
      </c>
      <c r="AW19" s="90" t="str">
        <f>IF('⚙ OFF Weekends'!$D$44="OFF","OFF","")</f>
        <v/>
      </c>
      <c r="AX19" s="90" t="str">
        <f>IF('⚙ OFF Weekends'!$D$45="OFF","OFF","")</f>
        <v/>
      </c>
      <c r="AY19" s="90" t="str">
        <f>IF('⚙ OFF Weekends'!$D$46="OFF","OFF","")</f>
        <v/>
      </c>
      <c r="AZ19" s="90" t="str">
        <f>IF('⚙ OFF Weekends'!$D$47="OFF","OFF","")</f>
        <v/>
      </c>
      <c r="BA19" s="90" t="str">
        <f>IF('⚙ OFF Weekends'!$D$48="OFF","OFF","")</f>
        <v/>
      </c>
      <c r="BB19" s="90" t="str">
        <f>IF('⚙ OFF Weekends'!$D$49="OFF","OFF","")</f>
        <v/>
      </c>
      <c r="BC19" s="90" t="str">
        <f>IF('⚙ OFF Weekends'!$D$50="OFF","OFF","")</f>
        <v/>
      </c>
      <c r="BD19" s="90" t="str">
        <f>IF('⚙ OFF Weekends'!$D$51="OFF","OFF","")</f>
        <v/>
      </c>
      <c r="BE19" s="90" t="str">
        <f>IF('⚙ OFF Weekends'!$D$52="OFF","OFF","")</f>
        <v/>
      </c>
      <c r="BF19" s="90" t="str">
        <f>IF('⚙ OFF Weekends'!$D$53="OFF","OFF","")</f>
        <v/>
      </c>
      <c r="BG19" s="90" t="str">
        <f>IF('⚙ OFF Weekends'!$D$54="OFF","OFF","")</f>
        <v/>
      </c>
      <c r="BH19" s="90" t="str">
        <f>IF('⚙ OFF Weekends'!$D$55="OFF","OFF","")</f>
        <v/>
      </c>
      <c r="BI19" s="90" t="str">
        <f>IF('⚙ OFF Weekends'!$D$56="OFF","OFF","")</f>
        <v/>
      </c>
      <c r="BJ19" s="90" t="str">
        <f>IF('⚙ OFF Weekends'!$D$57="OFF","OFF","")</f>
        <v/>
      </c>
      <c r="BK19" s="90" t="str">
        <f>IF('⚙ OFF Weekends'!$D$58="OFF","OFF","")</f>
        <v/>
      </c>
      <c r="BL19" s="90" t="str">
        <f>IF('⚙ OFF Weekends'!$D$59="OFF","OFF","")</f>
        <v/>
      </c>
      <c r="BM19" s="90" t="str">
        <f>IF('⚙ OFF Weekends'!$D$60="OFF","OFF","")</f>
        <v/>
      </c>
      <c r="BN19" s="90" t="str">
        <f>IF('⚙ OFF Weekends'!$D$61="OFF","OFF","")</f>
        <v/>
      </c>
      <c r="BO19" s="90" t="str">
        <f>IF('⚙ OFF Weekends'!$D$62="OFF","OFF","")</f>
        <v/>
      </c>
      <c r="BP19" s="90" t="str">
        <f>IF('⚙ OFF Weekends'!$D$63="OFF","OFF","")</f>
        <v/>
      </c>
      <c r="BQ19" s="90" t="str">
        <f>IF('⚙ OFF Weekends'!$D$64="OFF","OFF","")</f>
        <v/>
      </c>
      <c r="BR19" s="90" t="str">
        <f>IF('⚙ OFF Weekends'!$D$65="OFF","OFF","")</f>
        <v/>
      </c>
      <c r="BS19" s="90" t="str">
        <f>IF('⚙ OFF Weekends'!$D$66="OFF","OFF","")</f>
        <v/>
      </c>
      <c r="BT19" s="90" t="str">
        <f>IF('⚙ OFF Weekends'!$D$67="OFF","OFF","")</f>
        <v/>
      </c>
      <c r="BU19" s="90" t="str">
        <f>IF('⚙ OFF Weekends'!$D$68="OFF","OFF","")</f>
        <v/>
      </c>
      <c r="BV19" s="90" t="str">
        <f>IF('⚙ OFF Weekends'!$D$69="OFF","OFF","")</f>
        <v/>
      </c>
      <c r="BW19" s="90" t="str">
        <f>IF('⚙ OFF Weekends'!$D$70="OFF","OFF","")</f>
        <v/>
      </c>
      <c r="BX19" s="90" t="str">
        <f>IF('⚙ OFF Weekends'!$D$71="OFF","OFF","")</f>
        <v/>
      </c>
      <c r="BY19" s="90" t="str">
        <f>IF('⚙ OFF Weekends'!$D$72="OFF","OFF","")</f>
        <v/>
      </c>
      <c r="BZ19" s="90" t="str">
        <f>IF('⚙ OFF Weekends'!$D$73="OFF","OFF","")</f>
        <v/>
      </c>
      <c r="CA19" s="90" t="str">
        <f>IF('⚙ OFF Weekends'!$D$74="OFF","OFF","")</f>
        <v/>
      </c>
      <c r="CB19" s="90" t="str">
        <f>IF('⚙ OFF Weekends'!$D$75="OFF","OFF","")</f>
        <v/>
      </c>
      <c r="CC19" s="90" t="str">
        <f>IF('⚙ OFF Weekends'!$D$76="OFF","OFF","")</f>
        <v/>
      </c>
      <c r="CD19" s="90" t="str">
        <f>IF('⚙ OFF Weekends'!$D$77="OFF","OFF","")</f>
        <v/>
      </c>
      <c r="CE19" s="92">
        <f t="shared" si="3"/>
        <v>0</v>
      </c>
      <c r="CF19" s="92">
        <f t="shared" si="4"/>
        <v>0</v>
      </c>
      <c r="CG19" s="92">
        <f t="shared" si="5"/>
        <v>0</v>
      </c>
      <c r="CH19" s="92" t="str">
        <f t="shared" si="6"/>
        <v>0%</v>
      </c>
    </row>
    <row r="20" ht="18.0" customHeight="1">
      <c r="A20" s="84">
        <v>12.0</v>
      </c>
      <c r="B20" s="89"/>
      <c r="C20" s="89"/>
      <c r="D20" s="87" t="str">
        <f t="shared" si="1"/>
        <v/>
      </c>
      <c r="E20" s="93" t="str">
        <f t="shared" si="2"/>
        <v/>
      </c>
      <c r="F20" s="89"/>
      <c r="G20" s="89"/>
      <c r="H20" s="89"/>
      <c r="I20" s="90" t="str">
        <f>IF('⚙ OFF Weekends'!$D$4="OFF","OFF","")</f>
        <v/>
      </c>
      <c r="J20" s="90" t="str">
        <f>IF('⚙ OFF Weekends'!$D$5="OFF","OFF","")</f>
        <v/>
      </c>
      <c r="K20" s="90" t="str">
        <f>IF('⚙ OFF Weekends'!$D$6="OFF","OFF","")</f>
        <v/>
      </c>
      <c r="L20" s="90" t="str">
        <f>IF('⚙ OFF Weekends'!$D$7="OFF","OFF","")</f>
        <v/>
      </c>
      <c r="M20" s="90" t="str">
        <f>IF('⚙ OFF Weekends'!$D$8="OFF","OFF","")</f>
        <v/>
      </c>
      <c r="N20" s="90" t="str">
        <f>IF('⚙ OFF Weekends'!$D$9="OFF","OFF","")</f>
        <v/>
      </c>
      <c r="O20" s="90" t="str">
        <f>IF('⚙ OFF Weekends'!$D$10="OFF","OFF","")</f>
        <v/>
      </c>
      <c r="P20" s="90" t="str">
        <f>IF('⚙ OFF Weekends'!$D$11="OFF","OFF","")</f>
        <v/>
      </c>
      <c r="Q20" s="90" t="str">
        <f>IF('⚙ OFF Weekends'!$D$12="OFF","OFF","")</f>
        <v/>
      </c>
      <c r="R20" s="90" t="str">
        <f>IF('⚙ OFF Weekends'!$D$13="OFF","OFF","")</f>
        <v/>
      </c>
      <c r="S20" s="90" t="str">
        <f>IF('⚙ OFF Weekends'!$D$14="OFF","OFF","")</f>
        <v/>
      </c>
      <c r="T20" s="90" t="str">
        <f>IF('⚙ OFF Weekends'!$D$15="OFF","OFF","")</f>
        <v/>
      </c>
      <c r="U20" s="90" t="str">
        <f>IF('⚙ OFF Weekends'!$D$16="OFF","OFF","")</f>
        <v/>
      </c>
      <c r="V20" s="90" t="str">
        <f>IF('⚙ OFF Weekends'!$D$17="OFF","OFF","")</f>
        <v/>
      </c>
      <c r="W20" s="90" t="str">
        <f>IF('⚙ OFF Weekends'!$D$18="OFF","OFF","")</f>
        <v>OFF</v>
      </c>
      <c r="X20" s="90" t="str">
        <f>IF('⚙ OFF Weekends'!$D$19="OFF","OFF","")</f>
        <v/>
      </c>
      <c r="Y20" s="90" t="str">
        <f>IF('⚙ OFF Weekends'!$D$20="OFF","OFF","")</f>
        <v/>
      </c>
      <c r="Z20" s="90" t="str">
        <f>IF('⚙ OFF Weekends'!$D$21="OFF","OFF","")</f>
        <v/>
      </c>
      <c r="AA20" s="90" t="str">
        <f>IF('⚙ OFF Weekends'!$D$22="OFF","OFF","")</f>
        <v/>
      </c>
      <c r="AB20" s="90" t="str">
        <f>IF('⚙ OFF Weekends'!$D$23="OFF","OFF","")</f>
        <v/>
      </c>
      <c r="AC20" s="90" t="str">
        <f>IF('⚙ OFF Weekends'!$D$24="OFF","OFF","")</f>
        <v/>
      </c>
      <c r="AD20" s="90" t="str">
        <f>IF('⚙ OFF Weekends'!$D$25="OFF","OFF","")</f>
        <v/>
      </c>
      <c r="AE20" s="90" t="str">
        <f>IF('⚙ OFF Weekends'!$D$26="OFF","OFF","")</f>
        <v/>
      </c>
      <c r="AF20" s="90" t="str">
        <f>IF('⚙ OFF Weekends'!$D$27="OFF","OFF","")</f>
        <v/>
      </c>
      <c r="AG20" s="90" t="str">
        <f>IF('⚙ OFF Weekends'!$D$28="OFF","OFF","")</f>
        <v/>
      </c>
      <c r="AH20" s="90" t="str">
        <f>IF('⚙ OFF Weekends'!$D$29="OFF","OFF","")</f>
        <v/>
      </c>
      <c r="AI20" s="90" t="str">
        <f>IF('⚙ OFF Weekends'!$D$30="OFF","OFF","")</f>
        <v/>
      </c>
      <c r="AJ20" s="90" t="str">
        <f>IF('⚙ OFF Weekends'!$D$31="OFF","OFF","")</f>
        <v/>
      </c>
      <c r="AK20" s="90" t="str">
        <f>IF('⚙ OFF Weekends'!$D$32="OFF","OFF","")</f>
        <v/>
      </c>
      <c r="AL20" s="90" t="str">
        <f>IF('⚙ OFF Weekends'!$D$33="OFF","OFF","")</f>
        <v/>
      </c>
      <c r="AM20" s="90" t="str">
        <f>IF('⚙ OFF Weekends'!$D$34="OFF","OFF","")</f>
        <v/>
      </c>
      <c r="AN20" s="90" t="str">
        <f>IF('⚙ OFF Weekends'!$D$35="OFF","OFF","")</f>
        <v/>
      </c>
      <c r="AO20" s="90" t="str">
        <f>IF('⚙ OFF Weekends'!$D$36="OFF","OFF","")</f>
        <v/>
      </c>
      <c r="AP20" s="90" t="str">
        <f>IF('⚙ OFF Weekends'!$D$37="OFF","OFF","")</f>
        <v/>
      </c>
      <c r="AQ20" s="90" t="str">
        <f>IF('⚙ OFF Weekends'!$D$38="OFF","OFF","")</f>
        <v/>
      </c>
      <c r="AR20" s="90" t="str">
        <f>IF('⚙ OFF Weekends'!$D$39="OFF","OFF","")</f>
        <v/>
      </c>
      <c r="AS20" s="90" t="str">
        <f>IF('⚙ OFF Weekends'!$D$40="OFF","OFF","")</f>
        <v/>
      </c>
      <c r="AT20" s="90" t="str">
        <f>IF('⚙ OFF Weekends'!$D$41="OFF","OFF","")</f>
        <v/>
      </c>
      <c r="AU20" s="90" t="str">
        <f>IF('⚙ OFF Weekends'!$D$42="OFF","OFF","")</f>
        <v/>
      </c>
      <c r="AV20" s="90" t="str">
        <f>IF('⚙ OFF Weekends'!$D$43="OFF","OFF","")</f>
        <v/>
      </c>
      <c r="AW20" s="90" t="str">
        <f>IF('⚙ OFF Weekends'!$D$44="OFF","OFF","")</f>
        <v/>
      </c>
      <c r="AX20" s="90" t="str">
        <f>IF('⚙ OFF Weekends'!$D$45="OFF","OFF","")</f>
        <v/>
      </c>
      <c r="AY20" s="90" t="str">
        <f>IF('⚙ OFF Weekends'!$D$46="OFF","OFF","")</f>
        <v/>
      </c>
      <c r="AZ20" s="90" t="str">
        <f>IF('⚙ OFF Weekends'!$D$47="OFF","OFF","")</f>
        <v/>
      </c>
      <c r="BA20" s="90" t="str">
        <f>IF('⚙ OFF Weekends'!$D$48="OFF","OFF","")</f>
        <v/>
      </c>
      <c r="BB20" s="90" t="str">
        <f>IF('⚙ OFF Weekends'!$D$49="OFF","OFF","")</f>
        <v/>
      </c>
      <c r="BC20" s="90" t="str">
        <f>IF('⚙ OFF Weekends'!$D$50="OFF","OFF","")</f>
        <v/>
      </c>
      <c r="BD20" s="90" t="str">
        <f>IF('⚙ OFF Weekends'!$D$51="OFF","OFF","")</f>
        <v/>
      </c>
      <c r="BE20" s="90" t="str">
        <f>IF('⚙ OFF Weekends'!$D$52="OFF","OFF","")</f>
        <v/>
      </c>
      <c r="BF20" s="90" t="str">
        <f>IF('⚙ OFF Weekends'!$D$53="OFF","OFF","")</f>
        <v/>
      </c>
      <c r="BG20" s="90" t="str">
        <f>IF('⚙ OFF Weekends'!$D$54="OFF","OFF","")</f>
        <v/>
      </c>
      <c r="BH20" s="90" t="str">
        <f>IF('⚙ OFF Weekends'!$D$55="OFF","OFF","")</f>
        <v/>
      </c>
      <c r="BI20" s="90" t="str">
        <f>IF('⚙ OFF Weekends'!$D$56="OFF","OFF","")</f>
        <v/>
      </c>
      <c r="BJ20" s="90" t="str">
        <f>IF('⚙ OFF Weekends'!$D$57="OFF","OFF","")</f>
        <v/>
      </c>
      <c r="BK20" s="90" t="str">
        <f>IF('⚙ OFF Weekends'!$D$58="OFF","OFF","")</f>
        <v/>
      </c>
      <c r="BL20" s="90" t="str">
        <f>IF('⚙ OFF Weekends'!$D$59="OFF","OFF","")</f>
        <v/>
      </c>
      <c r="BM20" s="90" t="str">
        <f>IF('⚙ OFF Weekends'!$D$60="OFF","OFF","")</f>
        <v/>
      </c>
      <c r="BN20" s="90" t="str">
        <f>IF('⚙ OFF Weekends'!$D$61="OFF","OFF","")</f>
        <v/>
      </c>
      <c r="BO20" s="90" t="str">
        <f>IF('⚙ OFF Weekends'!$D$62="OFF","OFF","")</f>
        <v/>
      </c>
      <c r="BP20" s="90" t="str">
        <f>IF('⚙ OFF Weekends'!$D$63="OFF","OFF","")</f>
        <v/>
      </c>
      <c r="BQ20" s="90" t="str">
        <f>IF('⚙ OFF Weekends'!$D$64="OFF","OFF","")</f>
        <v/>
      </c>
      <c r="BR20" s="90" t="str">
        <f>IF('⚙ OFF Weekends'!$D$65="OFF","OFF","")</f>
        <v/>
      </c>
      <c r="BS20" s="90" t="str">
        <f>IF('⚙ OFF Weekends'!$D$66="OFF","OFF","")</f>
        <v/>
      </c>
      <c r="BT20" s="90" t="str">
        <f>IF('⚙ OFF Weekends'!$D$67="OFF","OFF","")</f>
        <v/>
      </c>
      <c r="BU20" s="90" t="str">
        <f>IF('⚙ OFF Weekends'!$D$68="OFF","OFF","")</f>
        <v/>
      </c>
      <c r="BV20" s="90" t="str">
        <f>IF('⚙ OFF Weekends'!$D$69="OFF","OFF","")</f>
        <v/>
      </c>
      <c r="BW20" s="90" t="str">
        <f>IF('⚙ OFF Weekends'!$D$70="OFF","OFF","")</f>
        <v/>
      </c>
      <c r="BX20" s="90" t="str">
        <f>IF('⚙ OFF Weekends'!$D$71="OFF","OFF","")</f>
        <v/>
      </c>
      <c r="BY20" s="90" t="str">
        <f>IF('⚙ OFF Weekends'!$D$72="OFF","OFF","")</f>
        <v/>
      </c>
      <c r="BZ20" s="90" t="str">
        <f>IF('⚙ OFF Weekends'!$D$73="OFF","OFF","")</f>
        <v/>
      </c>
      <c r="CA20" s="90" t="str">
        <f>IF('⚙ OFF Weekends'!$D$74="OFF","OFF","")</f>
        <v/>
      </c>
      <c r="CB20" s="90" t="str">
        <f>IF('⚙ OFF Weekends'!$D$75="OFF","OFF","")</f>
        <v/>
      </c>
      <c r="CC20" s="90" t="str">
        <f>IF('⚙ OFF Weekends'!$D$76="OFF","OFF","")</f>
        <v/>
      </c>
      <c r="CD20" s="90" t="str">
        <f>IF('⚙ OFF Weekends'!$D$77="OFF","OFF","")</f>
        <v/>
      </c>
      <c r="CE20" s="92">
        <f t="shared" si="3"/>
        <v>0</v>
      </c>
      <c r="CF20" s="92">
        <f t="shared" si="4"/>
        <v>0</v>
      </c>
      <c r="CG20" s="92">
        <f t="shared" si="5"/>
        <v>0</v>
      </c>
      <c r="CH20" s="92" t="str">
        <f t="shared" si="6"/>
        <v>0%</v>
      </c>
    </row>
    <row r="21" ht="6.0" customHeight="1">
      <c r="A21" s="67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3"/>
    </row>
    <row r="22" ht="19.5" customHeight="1">
      <c r="A22" s="8" t="s">
        <v>740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3"/>
    </row>
    <row r="23" ht="18.0" customHeight="1">
      <c r="A23" s="95">
        <v>1.0</v>
      </c>
      <c r="B23" s="12" t="s">
        <v>741</v>
      </c>
      <c r="C23" s="14" t="s">
        <v>742</v>
      </c>
      <c r="D23" s="17" t="str">
        <f t="shared" ref="D23:D45" si="7">IF(C23&lt;&gt;"",HYPERLINK("tel:"&amp;SUBSTITUTE(SUBSTITUTE(C23," ",""),"+","+"),"📞 Call"),"")</f>
        <v>📞 Call</v>
      </c>
      <c r="E23" s="19" t="str">
        <f t="shared" ref="E23:E45" si="8">IF(C23&lt;&gt;"",HYPERLINK("https://wa.me/"&amp;SUBSTITUTE(SUBSTITUTE(C23,"+","")," ",""),"💬 WhatsApp"),"")</f>
        <v>💬 WhatsApp</v>
      </c>
      <c r="F23" s="10"/>
      <c r="G23" s="10" t="s">
        <v>501</v>
      </c>
      <c r="H23" s="10"/>
      <c r="I23" s="79" t="s">
        <v>223</v>
      </c>
      <c r="J23" s="79" t="s">
        <v>223</v>
      </c>
      <c r="K23" s="49" t="s">
        <v>197</v>
      </c>
      <c r="L23" s="50" t="s">
        <v>37</v>
      </c>
      <c r="M23" s="50" t="s">
        <v>37</v>
      </c>
      <c r="N23" s="48" t="s">
        <v>196</v>
      </c>
      <c r="O23" s="50" t="s">
        <v>37</v>
      </c>
      <c r="P23" s="50" t="s">
        <v>37</v>
      </c>
      <c r="Q23" s="50" t="s">
        <v>37</v>
      </c>
      <c r="R23" s="48" t="s">
        <v>196</v>
      </c>
      <c r="S23" s="52" t="s">
        <v>196</v>
      </c>
      <c r="T23" s="53" t="s">
        <v>196</v>
      </c>
      <c r="U23" s="52" t="s">
        <v>196</v>
      </c>
      <c r="V23" s="53" t="s">
        <v>196</v>
      </c>
      <c r="W23" s="54" t="str">
        <f>IF('⚙ OFF Weekends'!$D$18="OFF","OFF","")</f>
        <v>OFF</v>
      </c>
      <c r="X23" s="53" t="s">
        <v>223</v>
      </c>
      <c r="Y23" s="52" t="s">
        <v>196</v>
      </c>
      <c r="Z23" s="53" t="s">
        <v>198</v>
      </c>
      <c r="AA23" s="52" t="s">
        <v>223</v>
      </c>
      <c r="AB23" s="53" t="s">
        <v>223</v>
      </c>
      <c r="AC23" s="54" t="str">
        <f>IF('⚙ OFF Weekends'!$D$24="OFF","OFF","")</f>
        <v/>
      </c>
      <c r="AD23" s="56" t="str">
        <f>IF('⚙ OFF Weekends'!$D$25="OFF","OFF","")</f>
        <v/>
      </c>
      <c r="AE23" s="54" t="str">
        <f>IF('⚙ OFF Weekends'!$D$26="OFF","OFF","")</f>
        <v/>
      </c>
      <c r="AF23" s="56" t="str">
        <f>IF('⚙ OFF Weekends'!$D$27="OFF","OFF","")</f>
        <v/>
      </c>
      <c r="AG23" s="54" t="str">
        <f>IF('⚙ OFF Weekends'!$D$28="OFF","OFF","")</f>
        <v/>
      </c>
      <c r="AH23" s="56" t="str">
        <f>IF('⚙ OFF Weekends'!$D$29="OFF","OFF","")</f>
        <v/>
      </c>
      <c r="AI23" s="54" t="str">
        <f>IF('⚙ OFF Weekends'!$D$30="OFF","OFF","")</f>
        <v/>
      </c>
      <c r="AJ23" s="56" t="str">
        <f>IF('⚙ OFF Weekends'!$D$31="OFF","OFF","")</f>
        <v/>
      </c>
      <c r="AK23" s="54" t="str">
        <f>IF('⚙ OFF Weekends'!$D$32="OFF","OFF","")</f>
        <v/>
      </c>
      <c r="AL23" s="56" t="str">
        <f>IF('⚙ OFF Weekends'!$D$33="OFF","OFF","")</f>
        <v/>
      </c>
      <c r="AM23" s="54" t="str">
        <f>IF('⚙ OFF Weekends'!$D$34="OFF","OFF","")</f>
        <v/>
      </c>
      <c r="AN23" s="56" t="str">
        <f>IF('⚙ OFF Weekends'!$D$35="OFF","OFF","")</f>
        <v/>
      </c>
      <c r="AO23" s="54" t="str">
        <f>IF('⚙ OFF Weekends'!$D$36="OFF","OFF","")</f>
        <v/>
      </c>
      <c r="AP23" s="56" t="str">
        <f>IF('⚙ OFF Weekends'!$D$37="OFF","OFF","")</f>
        <v/>
      </c>
      <c r="AQ23" s="54" t="str">
        <f>IF('⚙ OFF Weekends'!$D$38="OFF","OFF","")</f>
        <v/>
      </c>
      <c r="AR23" s="56" t="str">
        <f>IF('⚙ OFF Weekends'!$D$39="OFF","OFF","")</f>
        <v/>
      </c>
      <c r="AS23" s="54" t="str">
        <f>IF('⚙ OFF Weekends'!$D$40="OFF","OFF","")</f>
        <v/>
      </c>
      <c r="AT23" s="56" t="str">
        <f>IF('⚙ OFF Weekends'!$D$41="OFF","OFF","")</f>
        <v/>
      </c>
      <c r="AU23" s="54" t="str">
        <f>IF('⚙ OFF Weekends'!$D$42="OFF","OFF","")</f>
        <v/>
      </c>
      <c r="AV23" s="56" t="str">
        <f>IF('⚙ OFF Weekends'!$D$43="OFF","OFF","")</f>
        <v/>
      </c>
      <c r="AW23" s="54" t="str">
        <f>IF('⚙ OFF Weekends'!$D$44="OFF","OFF","")</f>
        <v/>
      </c>
      <c r="AX23" s="56" t="str">
        <f>IF('⚙ OFF Weekends'!$D$45="OFF","OFF","")</f>
        <v/>
      </c>
      <c r="AY23" s="54" t="str">
        <f>IF('⚙ OFF Weekends'!$D$46="OFF","OFF","")</f>
        <v/>
      </c>
      <c r="AZ23" s="56" t="str">
        <f>IF('⚙ OFF Weekends'!$D$47="OFF","OFF","")</f>
        <v/>
      </c>
      <c r="BA23" s="54" t="str">
        <f>IF('⚙ OFF Weekends'!$D$48="OFF","OFF","")</f>
        <v/>
      </c>
      <c r="BB23" s="56" t="str">
        <f>IF('⚙ OFF Weekends'!$D$49="OFF","OFF","")</f>
        <v/>
      </c>
      <c r="BC23" s="54" t="str">
        <f>IF('⚙ OFF Weekends'!$D$50="OFF","OFF","")</f>
        <v/>
      </c>
      <c r="BD23" s="56" t="str">
        <f>IF('⚙ OFF Weekends'!$D$51="OFF","OFF","")</f>
        <v/>
      </c>
      <c r="BE23" s="54" t="str">
        <f>IF('⚙ OFF Weekends'!$D$52="OFF","OFF","")</f>
        <v/>
      </c>
      <c r="BF23" s="56" t="str">
        <f>IF('⚙ OFF Weekends'!$D$53="OFF","OFF","")</f>
        <v/>
      </c>
      <c r="BG23" s="54" t="str">
        <f>IF('⚙ OFF Weekends'!$D$54="OFF","OFF","")</f>
        <v/>
      </c>
      <c r="BH23" s="56" t="str">
        <f>IF('⚙ OFF Weekends'!$D$55="OFF","OFF","")</f>
        <v/>
      </c>
      <c r="BI23" s="54" t="str">
        <f>IF('⚙ OFF Weekends'!$D$56="OFF","OFF","")</f>
        <v/>
      </c>
      <c r="BJ23" s="56" t="str">
        <f>IF('⚙ OFF Weekends'!$D$57="OFF","OFF","")</f>
        <v/>
      </c>
      <c r="BK23" s="54" t="str">
        <f>IF('⚙ OFF Weekends'!$D$58="OFF","OFF","")</f>
        <v/>
      </c>
      <c r="BL23" s="56" t="str">
        <f>IF('⚙ OFF Weekends'!$D$59="OFF","OFF","")</f>
        <v/>
      </c>
      <c r="BM23" s="54" t="str">
        <f>IF('⚙ OFF Weekends'!$D$60="OFF","OFF","")</f>
        <v/>
      </c>
      <c r="BN23" s="56" t="str">
        <f>IF('⚙ OFF Weekends'!$D$61="OFF","OFF","")</f>
        <v/>
      </c>
      <c r="BO23" s="54" t="str">
        <f>IF('⚙ OFF Weekends'!$D$62="OFF","OFF","")</f>
        <v/>
      </c>
      <c r="BP23" s="56" t="str">
        <f>IF('⚙ OFF Weekends'!$D$63="OFF","OFF","")</f>
        <v/>
      </c>
      <c r="BQ23" s="54" t="str">
        <f>IF('⚙ OFF Weekends'!$D$64="OFF","OFF","")</f>
        <v/>
      </c>
      <c r="BR23" s="56" t="str">
        <f>IF('⚙ OFF Weekends'!$D$65="OFF","OFF","")</f>
        <v/>
      </c>
      <c r="BS23" s="54" t="str">
        <f>IF('⚙ OFF Weekends'!$D$66="OFF","OFF","")</f>
        <v/>
      </c>
      <c r="BT23" s="56" t="str">
        <f>IF('⚙ OFF Weekends'!$D$67="OFF","OFF","")</f>
        <v/>
      </c>
      <c r="BU23" s="54" t="str">
        <f>IF('⚙ OFF Weekends'!$D$68="OFF","OFF","")</f>
        <v/>
      </c>
      <c r="BV23" s="56" t="str">
        <f>IF('⚙ OFF Weekends'!$D$69="OFF","OFF","")</f>
        <v/>
      </c>
      <c r="BW23" s="54" t="str">
        <f>IF('⚙ OFF Weekends'!$D$70="OFF","OFF","")</f>
        <v/>
      </c>
      <c r="BX23" s="56" t="str">
        <f>IF('⚙ OFF Weekends'!$D$71="OFF","OFF","")</f>
        <v/>
      </c>
      <c r="BY23" s="54" t="str">
        <f>IF('⚙ OFF Weekends'!$D$72="OFF","OFF","")</f>
        <v/>
      </c>
      <c r="BZ23" s="56" t="str">
        <f>IF('⚙ OFF Weekends'!$D$73="OFF","OFF","")</f>
        <v/>
      </c>
      <c r="CA23" s="54" t="str">
        <f>IF('⚙ OFF Weekends'!$D$74="OFF","OFF","")</f>
        <v/>
      </c>
      <c r="CB23" s="56" t="str">
        <f>IF('⚙ OFF Weekends'!$D$75="OFF","OFF","")</f>
        <v/>
      </c>
      <c r="CC23" s="54" t="str">
        <f>IF('⚙ OFF Weekends'!$D$76="OFF","OFF","")</f>
        <v/>
      </c>
      <c r="CD23" s="56" t="str">
        <f>IF('⚙ OFF Weekends'!$D$77="OFF","OFF","")</f>
        <v/>
      </c>
      <c r="CE23" s="95">
        <f t="shared" ref="CE23:CE45" si="9">COUNTIF(I23:CD23,"Present")+COUNTIF(I23:CD23,"Late")</f>
        <v>12</v>
      </c>
      <c r="CF23" s="95">
        <f t="shared" ref="CF23:CF45" si="10">COUNTIF(I23:CD23,"Absent")</f>
        <v>5</v>
      </c>
      <c r="CG23" s="95">
        <f t="shared" ref="CG23:CG45" si="11">COUNTIF(I23:CD23,"Leave")</f>
        <v>1</v>
      </c>
      <c r="CH23" s="95" t="str">
        <f t="shared" ref="CH23:CH45" si="12">IF(CE23+CF23=0,"0%",TEXT(CE23/(CE23+CF23),"0%"))</f>
        <v>71%</v>
      </c>
    </row>
    <row r="24" ht="18.0" customHeight="1">
      <c r="A24" s="96">
        <v>2.0</v>
      </c>
      <c r="B24" s="22" t="s">
        <v>745</v>
      </c>
      <c r="C24" s="23" t="s">
        <v>746</v>
      </c>
      <c r="D24" s="24" t="str">
        <f t="shared" si="7"/>
        <v>📞 Call</v>
      </c>
      <c r="E24" s="41" t="str">
        <f t="shared" si="8"/>
        <v>💬 WhatsApp</v>
      </c>
      <c r="F24" s="20"/>
      <c r="G24" s="20" t="s">
        <v>528</v>
      </c>
      <c r="H24" s="20"/>
      <c r="I24" s="79" t="s">
        <v>223</v>
      </c>
      <c r="J24" s="79" t="s">
        <v>223</v>
      </c>
      <c r="K24" s="49" t="s">
        <v>197</v>
      </c>
      <c r="L24" s="50" t="s">
        <v>37</v>
      </c>
      <c r="M24" s="79" t="s">
        <v>223</v>
      </c>
      <c r="N24" s="79" t="s">
        <v>223</v>
      </c>
      <c r="O24" s="79" t="s">
        <v>223</v>
      </c>
      <c r="P24" s="79" t="s">
        <v>223</v>
      </c>
      <c r="Q24" s="79" t="s">
        <v>223</v>
      </c>
      <c r="R24" s="79" t="s">
        <v>223</v>
      </c>
      <c r="S24" s="52" t="s">
        <v>223</v>
      </c>
      <c r="T24" s="56" t="str">
        <f>IF('⚙ OFF Weekends'!$D$15="OFF","OFF","")</f>
        <v/>
      </c>
      <c r="U24" s="52" t="s">
        <v>223</v>
      </c>
      <c r="V24" s="53" t="s">
        <v>296</v>
      </c>
      <c r="W24" s="54" t="str">
        <f>IF('⚙ OFF Weekends'!$D$18="OFF","OFF","")</f>
        <v>OFF</v>
      </c>
      <c r="X24" s="53" t="s">
        <v>223</v>
      </c>
      <c r="Y24" s="54" t="str">
        <f>IF('⚙ OFF Weekends'!$D$20="OFF","OFF","")</f>
        <v/>
      </c>
      <c r="Z24" s="56" t="str">
        <f>IF('⚙ OFF Weekends'!$D$21="OFF","OFF","")</f>
        <v/>
      </c>
      <c r="AA24" s="52" t="s">
        <v>296</v>
      </c>
      <c r="AB24" s="53" t="s">
        <v>296</v>
      </c>
      <c r="AC24" s="52" t="s">
        <v>296</v>
      </c>
      <c r="AD24" s="53" t="s">
        <v>296</v>
      </c>
      <c r="AE24" s="54" t="str">
        <f>IF('⚙ OFF Weekends'!$D$26="OFF","OFF","")</f>
        <v/>
      </c>
      <c r="AF24" s="56" t="str">
        <f>IF('⚙ OFF Weekends'!$D$27="OFF","OFF","")</f>
        <v/>
      </c>
      <c r="AG24" s="54" t="str">
        <f>IF('⚙ OFF Weekends'!$D$28="OFF","OFF","")</f>
        <v/>
      </c>
      <c r="AH24" s="56" t="str">
        <f>IF('⚙ OFF Weekends'!$D$29="OFF","OFF","")</f>
        <v/>
      </c>
      <c r="AI24" s="54" t="str">
        <f>IF('⚙ OFF Weekends'!$D$30="OFF","OFF","")</f>
        <v/>
      </c>
      <c r="AJ24" s="56" t="str">
        <f>IF('⚙ OFF Weekends'!$D$31="OFF","OFF","")</f>
        <v/>
      </c>
      <c r="AK24" s="54" t="str">
        <f>IF('⚙ OFF Weekends'!$D$32="OFF","OFF","")</f>
        <v/>
      </c>
      <c r="AL24" s="56" t="str">
        <f>IF('⚙ OFF Weekends'!$D$33="OFF","OFF","")</f>
        <v/>
      </c>
      <c r="AM24" s="54" t="str">
        <f>IF('⚙ OFF Weekends'!$D$34="OFF","OFF","")</f>
        <v/>
      </c>
      <c r="AN24" s="56" t="str">
        <f>IF('⚙ OFF Weekends'!$D$35="OFF","OFF","")</f>
        <v/>
      </c>
      <c r="AO24" s="54" t="str">
        <f>IF('⚙ OFF Weekends'!$D$36="OFF","OFF","")</f>
        <v/>
      </c>
      <c r="AP24" s="56" t="str">
        <f>IF('⚙ OFF Weekends'!$D$37="OFF","OFF","")</f>
        <v/>
      </c>
      <c r="AQ24" s="54" t="str">
        <f>IF('⚙ OFF Weekends'!$D$38="OFF","OFF","")</f>
        <v/>
      </c>
      <c r="AR24" s="56" t="str">
        <f>IF('⚙ OFF Weekends'!$D$39="OFF","OFF","")</f>
        <v/>
      </c>
      <c r="AS24" s="54" t="str">
        <f>IF('⚙ OFF Weekends'!$D$40="OFF","OFF","")</f>
        <v/>
      </c>
      <c r="AT24" s="56" t="str">
        <f>IF('⚙ OFF Weekends'!$D$41="OFF","OFF","")</f>
        <v/>
      </c>
      <c r="AU24" s="54" t="str">
        <f>IF('⚙ OFF Weekends'!$D$42="OFF","OFF","")</f>
        <v/>
      </c>
      <c r="AV24" s="56" t="str">
        <f>IF('⚙ OFF Weekends'!$D$43="OFF","OFF","")</f>
        <v/>
      </c>
      <c r="AW24" s="54" t="str">
        <f>IF('⚙ OFF Weekends'!$D$44="OFF","OFF","")</f>
        <v/>
      </c>
      <c r="AX24" s="56" t="str">
        <f>IF('⚙ OFF Weekends'!$D$45="OFF","OFF","")</f>
        <v/>
      </c>
      <c r="AY24" s="54" t="str">
        <f>IF('⚙ OFF Weekends'!$D$46="OFF","OFF","")</f>
        <v/>
      </c>
      <c r="AZ24" s="56" t="str">
        <f>IF('⚙ OFF Weekends'!$D$47="OFF","OFF","")</f>
        <v/>
      </c>
      <c r="BA24" s="54" t="str">
        <f>IF('⚙ OFF Weekends'!$D$48="OFF","OFF","")</f>
        <v/>
      </c>
      <c r="BB24" s="56" t="str">
        <f>IF('⚙ OFF Weekends'!$D$49="OFF","OFF","")</f>
        <v/>
      </c>
      <c r="BC24" s="54" t="str">
        <f>IF('⚙ OFF Weekends'!$D$50="OFF","OFF","")</f>
        <v/>
      </c>
      <c r="BD24" s="56" t="str">
        <f>IF('⚙ OFF Weekends'!$D$51="OFF","OFF","")</f>
        <v/>
      </c>
      <c r="BE24" s="54" t="str">
        <f>IF('⚙ OFF Weekends'!$D$52="OFF","OFF","")</f>
        <v/>
      </c>
      <c r="BF24" s="56" t="str">
        <f>IF('⚙ OFF Weekends'!$D$53="OFF","OFF","")</f>
        <v/>
      </c>
      <c r="BG24" s="54" t="str">
        <f>IF('⚙ OFF Weekends'!$D$54="OFF","OFF","")</f>
        <v/>
      </c>
      <c r="BH24" s="56" t="str">
        <f>IF('⚙ OFF Weekends'!$D$55="OFF","OFF","")</f>
        <v/>
      </c>
      <c r="BI24" s="54" t="str">
        <f>IF('⚙ OFF Weekends'!$D$56="OFF","OFF","")</f>
        <v/>
      </c>
      <c r="BJ24" s="56" t="str">
        <f>IF('⚙ OFF Weekends'!$D$57="OFF","OFF","")</f>
        <v/>
      </c>
      <c r="BK24" s="54" t="str">
        <f>IF('⚙ OFF Weekends'!$D$58="OFF","OFF","")</f>
        <v/>
      </c>
      <c r="BL24" s="56" t="str">
        <f>IF('⚙ OFF Weekends'!$D$59="OFF","OFF","")</f>
        <v/>
      </c>
      <c r="BM24" s="54" t="str">
        <f>IF('⚙ OFF Weekends'!$D$60="OFF","OFF","")</f>
        <v/>
      </c>
      <c r="BN24" s="56" t="str">
        <f>IF('⚙ OFF Weekends'!$D$61="OFF","OFF","")</f>
        <v/>
      </c>
      <c r="BO24" s="54" t="str">
        <f>IF('⚙ OFF Weekends'!$D$62="OFF","OFF","")</f>
        <v/>
      </c>
      <c r="BP24" s="56" t="str">
        <f>IF('⚙ OFF Weekends'!$D$63="OFF","OFF","")</f>
        <v/>
      </c>
      <c r="BQ24" s="54" t="str">
        <f>IF('⚙ OFF Weekends'!$D$64="OFF","OFF","")</f>
        <v/>
      </c>
      <c r="BR24" s="56" t="str">
        <f>IF('⚙ OFF Weekends'!$D$65="OFF","OFF","")</f>
        <v/>
      </c>
      <c r="BS24" s="54" t="str">
        <f>IF('⚙ OFF Weekends'!$D$66="OFF","OFF","")</f>
        <v/>
      </c>
      <c r="BT24" s="56" t="str">
        <f>IF('⚙ OFF Weekends'!$D$67="OFF","OFF","")</f>
        <v/>
      </c>
      <c r="BU24" s="54" t="str">
        <f>IF('⚙ OFF Weekends'!$D$68="OFF","OFF","")</f>
        <v/>
      </c>
      <c r="BV24" s="56" t="str">
        <f>IF('⚙ OFF Weekends'!$D$69="OFF","OFF","")</f>
        <v/>
      </c>
      <c r="BW24" s="54" t="str">
        <f>IF('⚙ OFF Weekends'!$D$70="OFF","OFF","")</f>
        <v/>
      </c>
      <c r="BX24" s="56" t="str">
        <f>IF('⚙ OFF Weekends'!$D$71="OFF","OFF","")</f>
        <v/>
      </c>
      <c r="BY24" s="54" t="str">
        <f>IF('⚙ OFF Weekends'!$D$72="OFF","OFF","")</f>
        <v/>
      </c>
      <c r="BZ24" s="56" t="str">
        <f>IF('⚙ OFF Weekends'!$D$73="OFF","OFF","")</f>
        <v/>
      </c>
      <c r="CA24" s="54" t="str">
        <f>IF('⚙ OFF Weekends'!$D$74="OFF","OFF","")</f>
        <v/>
      </c>
      <c r="CB24" s="56" t="str">
        <f>IF('⚙ OFF Weekends'!$D$75="OFF","OFF","")</f>
        <v/>
      </c>
      <c r="CC24" s="54" t="str">
        <f>IF('⚙ OFF Weekends'!$D$76="OFF","OFF","")</f>
        <v/>
      </c>
      <c r="CD24" s="56" t="str">
        <f>IF('⚙ OFF Weekends'!$D$77="OFF","OFF","")</f>
        <v/>
      </c>
      <c r="CE24" s="96">
        <f t="shared" si="9"/>
        <v>1</v>
      </c>
      <c r="CF24" s="96">
        <f t="shared" si="10"/>
        <v>11</v>
      </c>
      <c r="CG24" s="96">
        <f t="shared" si="11"/>
        <v>0</v>
      </c>
      <c r="CH24" s="96" t="str">
        <f t="shared" si="12"/>
        <v>8%</v>
      </c>
    </row>
    <row r="25" ht="18.0" customHeight="1">
      <c r="A25" s="95">
        <v>3.0</v>
      </c>
      <c r="B25" s="12" t="s">
        <v>749</v>
      </c>
      <c r="C25" s="14" t="s">
        <v>750</v>
      </c>
      <c r="D25" s="17" t="str">
        <f t="shared" si="7"/>
        <v>📞 Call</v>
      </c>
      <c r="E25" s="19" t="str">
        <f t="shared" si="8"/>
        <v>💬 WhatsApp</v>
      </c>
      <c r="F25" s="10"/>
      <c r="G25" s="10" t="s">
        <v>528</v>
      </c>
      <c r="H25" s="10"/>
      <c r="I25" s="79" t="s">
        <v>223</v>
      </c>
      <c r="J25" s="79" t="s">
        <v>223</v>
      </c>
      <c r="K25" s="49" t="s">
        <v>197</v>
      </c>
      <c r="L25" s="48" t="s">
        <v>196</v>
      </c>
      <c r="M25" s="48" t="s">
        <v>196</v>
      </c>
      <c r="N25" s="48" t="s">
        <v>196</v>
      </c>
      <c r="O25" s="48" t="s">
        <v>196</v>
      </c>
      <c r="P25" s="48" t="s">
        <v>196</v>
      </c>
      <c r="Q25" s="48" t="s">
        <v>196</v>
      </c>
      <c r="R25" s="48" t="s">
        <v>196</v>
      </c>
      <c r="S25" s="52" t="s">
        <v>196</v>
      </c>
      <c r="T25" s="53" t="s">
        <v>196</v>
      </c>
      <c r="U25" s="52" t="s">
        <v>196</v>
      </c>
      <c r="V25" s="53" t="s">
        <v>196</v>
      </c>
      <c r="W25" s="54" t="str">
        <f>IF('⚙ OFF Weekends'!$D$18="OFF","OFF","")</f>
        <v>OFF</v>
      </c>
      <c r="X25" s="53" t="s">
        <v>196</v>
      </c>
      <c r="Y25" s="52" t="s">
        <v>196</v>
      </c>
      <c r="Z25" s="53" t="s">
        <v>196</v>
      </c>
      <c r="AA25" s="52" t="s">
        <v>223</v>
      </c>
      <c r="AB25" s="53" t="s">
        <v>223</v>
      </c>
      <c r="AC25" s="54" t="str">
        <f>IF('⚙ OFF Weekends'!$D$24="OFF","OFF","")</f>
        <v/>
      </c>
      <c r="AD25" s="56" t="str">
        <f>IF('⚙ OFF Weekends'!$D$25="OFF","OFF","")</f>
        <v/>
      </c>
      <c r="AE25" s="54" t="str">
        <f>IF('⚙ OFF Weekends'!$D$26="OFF","OFF","")</f>
        <v/>
      </c>
      <c r="AF25" s="56" t="str">
        <f>IF('⚙ OFF Weekends'!$D$27="OFF","OFF","")</f>
        <v/>
      </c>
      <c r="AG25" s="54" t="str">
        <f>IF('⚙ OFF Weekends'!$D$28="OFF","OFF","")</f>
        <v/>
      </c>
      <c r="AH25" s="56" t="str">
        <f>IF('⚙ OFF Weekends'!$D$29="OFF","OFF","")</f>
        <v/>
      </c>
      <c r="AI25" s="54" t="str">
        <f>IF('⚙ OFF Weekends'!$D$30="OFF","OFF","")</f>
        <v/>
      </c>
      <c r="AJ25" s="56" t="str">
        <f>IF('⚙ OFF Weekends'!$D$31="OFF","OFF","")</f>
        <v/>
      </c>
      <c r="AK25" s="54" t="str">
        <f>IF('⚙ OFF Weekends'!$D$32="OFF","OFF","")</f>
        <v/>
      </c>
      <c r="AL25" s="56" t="str">
        <f>IF('⚙ OFF Weekends'!$D$33="OFF","OFF","")</f>
        <v/>
      </c>
      <c r="AM25" s="54" t="str">
        <f>IF('⚙ OFF Weekends'!$D$34="OFF","OFF","")</f>
        <v/>
      </c>
      <c r="AN25" s="56" t="str">
        <f>IF('⚙ OFF Weekends'!$D$35="OFF","OFF","")</f>
        <v/>
      </c>
      <c r="AO25" s="54" t="str">
        <f>IF('⚙ OFF Weekends'!$D$36="OFF","OFF","")</f>
        <v/>
      </c>
      <c r="AP25" s="56" t="str">
        <f>IF('⚙ OFF Weekends'!$D$37="OFF","OFF","")</f>
        <v/>
      </c>
      <c r="AQ25" s="54" t="str">
        <f>IF('⚙ OFF Weekends'!$D$38="OFF","OFF","")</f>
        <v/>
      </c>
      <c r="AR25" s="56" t="str">
        <f>IF('⚙ OFF Weekends'!$D$39="OFF","OFF","")</f>
        <v/>
      </c>
      <c r="AS25" s="54" t="str">
        <f>IF('⚙ OFF Weekends'!$D$40="OFF","OFF","")</f>
        <v/>
      </c>
      <c r="AT25" s="56" t="str">
        <f>IF('⚙ OFF Weekends'!$D$41="OFF","OFF","")</f>
        <v/>
      </c>
      <c r="AU25" s="54" t="str">
        <f>IF('⚙ OFF Weekends'!$D$42="OFF","OFF","")</f>
        <v/>
      </c>
      <c r="AV25" s="56" t="str">
        <f>IF('⚙ OFF Weekends'!$D$43="OFF","OFF","")</f>
        <v/>
      </c>
      <c r="AW25" s="54" t="str">
        <f>IF('⚙ OFF Weekends'!$D$44="OFF","OFF","")</f>
        <v/>
      </c>
      <c r="AX25" s="56" t="str">
        <f>IF('⚙ OFF Weekends'!$D$45="OFF","OFF","")</f>
        <v/>
      </c>
      <c r="AY25" s="54" t="str">
        <f>IF('⚙ OFF Weekends'!$D$46="OFF","OFF","")</f>
        <v/>
      </c>
      <c r="AZ25" s="56" t="str">
        <f>IF('⚙ OFF Weekends'!$D$47="OFF","OFF","")</f>
        <v/>
      </c>
      <c r="BA25" s="54" t="str">
        <f>IF('⚙ OFF Weekends'!$D$48="OFF","OFF","")</f>
        <v/>
      </c>
      <c r="BB25" s="56" t="str">
        <f>IF('⚙ OFF Weekends'!$D$49="OFF","OFF","")</f>
        <v/>
      </c>
      <c r="BC25" s="54" t="str">
        <f>IF('⚙ OFF Weekends'!$D$50="OFF","OFF","")</f>
        <v/>
      </c>
      <c r="BD25" s="56" t="str">
        <f>IF('⚙ OFF Weekends'!$D$51="OFF","OFF","")</f>
        <v/>
      </c>
      <c r="BE25" s="54" t="str">
        <f>IF('⚙ OFF Weekends'!$D$52="OFF","OFF","")</f>
        <v/>
      </c>
      <c r="BF25" s="56" t="str">
        <f>IF('⚙ OFF Weekends'!$D$53="OFF","OFF","")</f>
        <v/>
      </c>
      <c r="BG25" s="54" t="str">
        <f>IF('⚙ OFF Weekends'!$D$54="OFF","OFF","")</f>
        <v/>
      </c>
      <c r="BH25" s="56" t="str">
        <f>IF('⚙ OFF Weekends'!$D$55="OFF","OFF","")</f>
        <v/>
      </c>
      <c r="BI25" s="54" t="str">
        <f>IF('⚙ OFF Weekends'!$D$56="OFF","OFF","")</f>
        <v/>
      </c>
      <c r="BJ25" s="56" t="str">
        <f>IF('⚙ OFF Weekends'!$D$57="OFF","OFF","")</f>
        <v/>
      </c>
      <c r="BK25" s="54" t="str">
        <f>IF('⚙ OFF Weekends'!$D$58="OFF","OFF","")</f>
        <v/>
      </c>
      <c r="BL25" s="56" t="str">
        <f>IF('⚙ OFF Weekends'!$D$59="OFF","OFF","")</f>
        <v/>
      </c>
      <c r="BM25" s="54" t="str">
        <f>IF('⚙ OFF Weekends'!$D$60="OFF","OFF","")</f>
        <v/>
      </c>
      <c r="BN25" s="56" t="str">
        <f>IF('⚙ OFF Weekends'!$D$61="OFF","OFF","")</f>
        <v/>
      </c>
      <c r="BO25" s="54" t="str">
        <f>IF('⚙ OFF Weekends'!$D$62="OFF","OFF","")</f>
        <v/>
      </c>
      <c r="BP25" s="56" t="str">
        <f>IF('⚙ OFF Weekends'!$D$63="OFF","OFF","")</f>
        <v/>
      </c>
      <c r="BQ25" s="54" t="str">
        <f>IF('⚙ OFF Weekends'!$D$64="OFF","OFF","")</f>
        <v/>
      </c>
      <c r="BR25" s="56" t="str">
        <f>IF('⚙ OFF Weekends'!$D$65="OFF","OFF","")</f>
        <v/>
      </c>
      <c r="BS25" s="54" t="str">
        <f>IF('⚙ OFF Weekends'!$D$66="OFF","OFF","")</f>
        <v/>
      </c>
      <c r="BT25" s="56" t="str">
        <f>IF('⚙ OFF Weekends'!$D$67="OFF","OFF","")</f>
        <v/>
      </c>
      <c r="BU25" s="54" t="str">
        <f>IF('⚙ OFF Weekends'!$D$68="OFF","OFF","")</f>
        <v/>
      </c>
      <c r="BV25" s="56" t="str">
        <f>IF('⚙ OFF Weekends'!$D$69="OFF","OFF","")</f>
        <v/>
      </c>
      <c r="BW25" s="54" t="str">
        <f>IF('⚙ OFF Weekends'!$D$70="OFF","OFF","")</f>
        <v/>
      </c>
      <c r="BX25" s="56" t="str">
        <f>IF('⚙ OFF Weekends'!$D$71="OFF","OFF","")</f>
        <v/>
      </c>
      <c r="BY25" s="54" t="str">
        <f>IF('⚙ OFF Weekends'!$D$72="OFF","OFF","")</f>
        <v/>
      </c>
      <c r="BZ25" s="56" t="str">
        <f>IF('⚙ OFF Weekends'!$D$73="OFF","OFF","")</f>
        <v/>
      </c>
      <c r="CA25" s="54" t="str">
        <f>IF('⚙ OFF Weekends'!$D$74="OFF","OFF","")</f>
        <v/>
      </c>
      <c r="CB25" s="56" t="str">
        <f>IF('⚙ OFF Weekends'!$D$75="OFF","OFF","")</f>
        <v/>
      </c>
      <c r="CC25" s="54" t="str">
        <f>IF('⚙ OFF Weekends'!$D$76="OFF","OFF","")</f>
        <v/>
      </c>
      <c r="CD25" s="56" t="str">
        <f>IF('⚙ OFF Weekends'!$D$77="OFF","OFF","")</f>
        <v/>
      </c>
      <c r="CE25" s="95">
        <f t="shared" si="9"/>
        <v>14</v>
      </c>
      <c r="CF25" s="95">
        <f t="shared" si="10"/>
        <v>4</v>
      </c>
      <c r="CG25" s="95">
        <f t="shared" si="11"/>
        <v>0</v>
      </c>
      <c r="CH25" s="95" t="str">
        <f t="shared" si="12"/>
        <v>78%</v>
      </c>
    </row>
    <row r="26" ht="18.0" customHeight="1">
      <c r="A26" s="96">
        <v>4.0</v>
      </c>
      <c r="B26" s="22" t="s">
        <v>752</v>
      </c>
      <c r="C26" s="23" t="s">
        <v>753</v>
      </c>
      <c r="D26" s="24" t="str">
        <f t="shared" si="7"/>
        <v>📞 Call</v>
      </c>
      <c r="E26" s="41" t="str">
        <f t="shared" si="8"/>
        <v>💬 WhatsApp</v>
      </c>
      <c r="F26" s="20"/>
      <c r="G26" s="20" t="s">
        <v>528</v>
      </c>
      <c r="H26" s="20"/>
      <c r="I26" s="48" t="s">
        <v>196</v>
      </c>
      <c r="J26" s="48" t="s">
        <v>196</v>
      </c>
      <c r="K26" s="49" t="s">
        <v>197</v>
      </c>
      <c r="L26" s="79" t="s">
        <v>223</v>
      </c>
      <c r="M26" s="50" t="s">
        <v>37</v>
      </c>
      <c r="N26" s="50" t="s">
        <v>37</v>
      </c>
      <c r="O26" s="48" t="s">
        <v>196</v>
      </c>
      <c r="P26" s="50" t="s">
        <v>37</v>
      </c>
      <c r="Q26" s="48" t="s">
        <v>196</v>
      </c>
      <c r="R26" s="48" t="s">
        <v>196</v>
      </c>
      <c r="S26" s="52" t="s">
        <v>223</v>
      </c>
      <c r="T26" s="56" t="str">
        <f>IF('⚙ OFF Weekends'!$D$15="OFF","OFF","")</f>
        <v/>
      </c>
      <c r="U26" s="52" t="s">
        <v>223</v>
      </c>
      <c r="V26" s="53" t="s">
        <v>296</v>
      </c>
      <c r="W26" s="54" t="str">
        <f>IF('⚙ OFF Weekends'!$D$18="OFF","OFF","")</f>
        <v>OFF</v>
      </c>
      <c r="X26" s="53" t="s">
        <v>223</v>
      </c>
      <c r="Y26" s="52" t="s">
        <v>296</v>
      </c>
      <c r="Z26" s="53" t="s">
        <v>37</v>
      </c>
      <c r="AA26" s="52" t="s">
        <v>223</v>
      </c>
      <c r="AB26" s="53" t="s">
        <v>223</v>
      </c>
      <c r="AC26" s="54" t="str">
        <f>IF('⚙ OFF Weekends'!$D$24="OFF","OFF","")</f>
        <v/>
      </c>
      <c r="AD26" s="56" t="str">
        <f>IF('⚙ OFF Weekends'!$D$25="OFF","OFF","")</f>
        <v/>
      </c>
      <c r="AE26" s="54" t="str">
        <f>IF('⚙ OFF Weekends'!$D$26="OFF","OFF","")</f>
        <v/>
      </c>
      <c r="AF26" s="56" t="str">
        <f>IF('⚙ OFF Weekends'!$D$27="OFF","OFF","")</f>
        <v/>
      </c>
      <c r="AG26" s="54" t="str">
        <f>IF('⚙ OFF Weekends'!$D$28="OFF","OFF","")</f>
        <v/>
      </c>
      <c r="AH26" s="56" t="str">
        <f>IF('⚙ OFF Weekends'!$D$29="OFF","OFF","")</f>
        <v/>
      </c>
      <c r="AI26" s="54" t="str">
        <f>IF('⚙ OFF Weekends'!$D$30="OFF","OFF","")</f>
        <v/>
      </c>
      <c r="AJ26" s="56" t="str">
        <f>IF('⚙ OFF Weekends'!$D$31="OFF","OFF","")</f>
        <v/>
      </c>
      <c r="AK26" s="54" t="str">
        <f>IF('⚙ OFF Weekends'!$D$32="OFF","OFF","")</f>
        <v/>
      </c>
      <c r="AL26" s="56" t="str">
        <f>IF('⚙ OFF Weekends'!$D$33="OFF","OFF","")</f>
        <v/>
      </c>
      <c r="AM26" s="54" t="str">
        <f>IF('⚙ OFF Weekends'!$D$34="OFF","OFF","")</f>
        <v/>
      </c>
      <c r="AN26" s="56" t="str">
        <f>IF('⚙ OFF Weekends'!$D$35="OFF","OFF","")</f>
        <v/>
      </c>
      <c r="AO26" s="54" t="str">
        <f>IF('⚙ OFF Weekends'!$D$36="OFF","OFF","")</f>
        <v/>
      </c>
      <c r="AP26" s="56" t="str">
        <f>IF('⚙ OFF Weekends'!$D$37="OFF","OFF","")</f>
        <v/>
      </c>
      <c r="AQ26" s="54" t="str">
        <f>IF('⚙ OFF Weekends'!$D$38="OFF","OFF","")</f>
        <v/>
      </c>
      <c r="AR26" s="56" t="str">
        <f>IF('⚙ OFF Weekends'!$D$39="OFF","OFF","")</f>
        <v/>
      </c>
      <c r="AS26" s="54" t="str">
        <f>IF('⚙ OFF Weekends'!$D$40="OFF","OFF","")</f>
        <v/>
      </c>
      <c r="AT26" s="56" t="str">
        <f>IF('⚙ OFF Weekends'!$D$41="OFF","OFF","")</f>
        <v/>
      </c>
      <c r="AU26" s="54" t="str">
        <f>IF('⚙ OFF Weekends'!$D$42="OFF","OFF","")</f>
        <v/>
      </c>
      <c r="AV26" s="56" t="str">
        <f>IF('⚙ OFF Weekends'!$D$43="OFF","OFF","")</f>
        <v/>
      </c>
      <c r="AW26" s="54" t="str">
        <f>IF('⚙ OFF Weekends'!$D$44="OFF","OFF","")</f>
        <v/>
      </c>
      <c r="AX26" s="56" t="str">
        <f>IF('⚙ OFF Weekends'!$D$45="OFF","OFF","")</f>
        <v/>
      </c>
      <c r="AY26" s="54" t="str">
        <f>IF('⚙ OFF Weekends'!$D$46="OFF","OFF","")</f>
        <v/>
      </c>
      <c r="AZ26" s="56" t="str">
        <f>IF('⚙ OFF Weekends'!$D$47="OFF","OFF","")</f>
        <v/>
      </c>
      <c r="BA26" s="54" t="str">
        <f>IF('⚙ OFF Weekends'!$D$48="OFF","OFF","")</f>
        <v/>
      </c>
      <c r="BB26" s="56" t="str">
        <f>IF('⚙ OFF Weekends'!$D$49="OFF","OFF","")</f>
        <v/>
      </c>
      <c r="BC26" s="54" t="str">
        <f>IF('⚙ OFF Weekends'!$D$50="OFF","OFF","")</f>
        <v/>
      </c>
      <c r="BD26" s="56" t="str">
        <f>IF('⚙ OFF Weekends'!$D$51="OFF","OFF","")</f>
        <v/>
      </c>
      <c r="BE26" s="54" t="str">
        <f>IF('⚙ OFF Weekends'!$D$52="OFF","OFF","")</f>
        <v/>
      </c>
      <c r="BF26" s="56" t="str">
        <f>IF('⚙ OFF Weekends'!$D$53="OFF","OFF","")</f>
        <v/>
      </c>
      <c r="BG26" s="54" t="str">
        <f>IF('⚙ OFF Weekends'!$D$54="OFF","OFF","")</f>
        <v/>
      </c>
      <c r="BH26" s="56" t="str">
        <f>IF('⚙ OFF Weekends'!$D$55="OFF","OFF","")</f>
        <v/>
      </c>
      <c r="BI26" s="54" t="str">
        <f>IF('⚙ OFF Weekends'!$D$56="OFF","OFF","")</f>
        <v/>
      </c>
      <c r="BJ26" s="56" t="str">
        <f>IF('⚙ OFF Weekends'!$D$57="OFF","OFF","")</f>
        <v/>
      </c>
      <c r="BK26" s="54" t="str">
        <f>IF('⚙ OFF Weekends'!$D$58="OFF","OFF","")</f>
        <v/>
      </c>
      <c r="BL26" s="56" t="str">
        <f>IF('⚙ OFF Weekends'!$D$59="OFF","OFF","")</f>
        <v/>
      </c>
      <c r="BM26" s="54" t="str">
        <f>IF('⚙ OFF Weekends'!$D$60="OFF","OFF","")</f>
        <v/>
      </c>
      <c r="BN26" s="56" t="str">
        <f>IF('⚙ OFF Weekends'!$D$61="OFF","OFF","")</f>
        <v/>
      </c>
      <c r="BO26" s="54" t="str">
        <f>IF('⚙ OFF Weekends'!$D$62="OFF","OFF","")</f>
        <v/>
      </c>
      <c r="BP26" s="56" t="str">
        <f>IF('⚙ OFF Weekends'!$D$63="OFF","OFF","")</f>
        <v/>
      </c>
      <c r="BQ26" s="54" t="str">
        <f>IF('⚙ OFF Weekends'!$D$64="OFF","OFF","")</f>
        <v/>
      </c>
      <c r="BR26" s="56" t="str">
        <f>IF('⚙ OFF Weekends'!$D$65="OFF","OFF","")</f>
        <v/>
      </c>
      <c r="BS26" s="54" t="str">
        <f>IF('⚙ OFF Weekends'!$D$66="OFF","OFF","")</f>
        <v/>
      </c>
      <c r="BT26" s="56" t="str">
        <f>IF('⚙ OFF Weekends'!$D$67="OFF","OFF","")</f>
        <v/>
      </c>
      <c r="BU26" s="54" t="str">
        <f>IF('⚙ OFF Weekends'!$D$68="OFF","OFF","")</f>
        <v/>
      </c>
      <c r="BV26" s="56" t="str">
        <f>IF('⚙ OFF Weekends'!$D$69="OFF","OFF","")</f>
        <v/>
      </c>
      <c r="BW26" s="54" t="str">
        <f>IF('⚙ OFF Weekends'!$D$70="OFF","OFF","")</f>
        <v/>
      </c>
      <c r="BX26" s="56" t="str">
        <f>IF('⚙ OFF Weekends'!$D$71="OFF","OFF","")</f>
        <v/>
      </c>
      <c r="BY26" s="54" t="str">
        <f>IF('⚙ OFF Weekends'!$D$72="OFF","OFF","")</f>
        <v/>
      </c>
      <c r="BZ26" s="56" t="str">
        <f>IF('⚙ OFF Weekends'!$D$73="OFF","OFF","")</f>
        <v/>
      </c>
      <c r="CA26" s="54" t="str">
        <f>IF('⚙ OFF Weekends'!$D$74="OFF","OFF","")</f>
        <v/>
      </c>
      <c r="CB26" s="56" t="str">
        <f>IF('⚙ OFF Weekends'!$D$75="OFF","OFF","")</f>
        <v/>
      </c>
      <c r="CC26" s="54" t="str">
        <f>IF('⚙ OFF Weekends'!$D$76="OFF","OFF","")</f>
        <v/>
      </c>
      <c r="CD26" s="56" t="str">
        <f>IF('⚙ OFF Weekends'!$D$77="OFF","OFF","")</f>
        <v/>
      </c>
      <c r="CE26" s="96">
        <f t="shared" si="9"/>
        <v>9</v>
      </c>
      <c r="CF26" s="96">
        <f t="shared" si="10"/>
        <v>6</v>
      </c>
      <c r="CG26" s="96">
        <f t="shared" si="11"/>
        <v>0</v>
      </c>
      <c r="CH26" s="96" t="str">
        <f t="shared" si="12"/>
        <v>60%</v>
      </c>
    </row>
    <row r="27" ht="18.0" customHeight="1">
      <c r="A27" s="95">
        <v>5.0</v>
      </c>
      <c r="B27" s="12" t="s">
        <v>756</v>
      </c>
      <c r="C27" s="14" t="s">
        <v>757</v>
      </c>
      <c r="D27" s="17" t="str">
        <f t="shared" si="7"/>
        <v>📞 Call</v>
      </c>
      <c r="E27" s="19" t="str">
        <f t="shared" si="8"/>
        <v>💬 WhatsApp</v>
      </c>
      <c r="F27" s="10"/>
      <c r="G27" s="10" t="s">
        <v>528</v>
      </c>
      <c r="H27" s="10"/>
      <c r="I27" s="79" t="s">
        <v>223</v>
      </c>
      <c r="J27" s="79" t="s">
        <v>223</v>
      </c>
      <c r="K27" s="49" t="s">
        <v>197</v>
      </c>
      <c r="L27" s="79" t="s">
        <v>223</v>
      </c>
      <c r="M27" s="50" t="s">
        <v>37</v>
      </c>
      <c r="N27" s="50" t="s">
        <v>37</v>
      </c>
      <c r="O27" s="79" t="s">
        <v>223</v>
      </c>
      <c r="P27" s="79" t="s">
        <v>223</v>
      </c>
      <c r="Q27" s="48" t="s">
        <v>196</v>
      </c>
      <c r="R27" s="50" t="s">
        <v>37</v>
      </c>
      <c r="S27" s="52" t="s">
        <v>223</v>
      </c>
      <c r="T27" s="53" t="s">
        <v>223</v>
      </c>
      <c r="U27" s="52" t="s">
        <v>223</v>
      </c>
      <c r="V27" s="53" t="s">
        <v>223</v>
      </c>
      <c r="W27" s="54" t="str">
        <f>IF('⚙ OFF Weekends'!$D$18="OFF","OFF","")</f>
        <v>OFF</v>
      </c>
      <c r="X27" s="53" t="s">
        <v>223</v>
      </c>
      <c r="Y27" s="54" t="str">
        <f>IF('⚙ OFF Weekends'!$D$20="OFF","OFF","")</f>
        <v/>
      </c>
      <c r="Z27" s="53" t="s">
        <v>196</v>
      </c>
      <c r="AA27" s="52" t="s">
        <v>223</v>
      </c>
      <c r="AB27" s="53" t="s">
        <v>196</v>
      </c>
      <c r="AC27" s="54" t="str">
        <f>IF('⚙ OFF Weekends'!$D$24="OFF","OFF","")</f>
        <v/>
      </c>
      <c r="AD27" s="56" t="str">
        <f>IF('⚙ OFF Weekends'!$D$25="OFF","OFF","")</f>
        <v/>
      </c>
      <c r="AE27" s="54" t="str">
        <f>IF('⚙ OFF Weekends'!$D$26="OFF","OFF","")</f>
        <v/>
      </c>
      <c r="AF27" s="56" t="str">
        <f>IF('⚙ OFF Weekends'!$D$27="OFF","OFF","")</f>
        <v/>
      </c>
      <c r="AG27" s="54" t="str">
        <f>IF('⚙ OFF Weekends'!$D$28="OFF","OFF","")</f>
        <v/>
      </c>
      <c r="AH27" s="56" t="str">
        <f>IF('⚙ OFF Weekends'!$D$29="OFF","OFF","")</f>
        <v/>
      </c>
      <c r="AI27" s="54" t="str">
        <f>IF('⚙ OFF Weekends'!$D$30="OFF","OFF","")</f>
        <v/>
      </c>
      <c r="AJ27" s="56" t="str">
        <f>IF('⚙ OFF Weekends'!$D$31="OFF","OFF","")</f>
        <v/>
      </c>
      <c r="AK27" s="54" t="str">
        <f>IF('⚙ OFF Weekends'!$D$32="OFF","OFF","")</f>
        <v/>
      </c>
      <c r="AL27" s="56" t="str">
        <f>IF('⚙ OFF Weekends'!$D$33="OFF","OFF","")</f>
        <v/>
      </c>
      <c r="AM27" s="54" t="str">
        <f>IF('⚙ OFF Weekends'!$D$34="OFF","OFF","")</f>
        <v/>
      </c>
      <c r="AN27" s="56" t="str">
        <f>IF('⚙ OFF Weekends'!$D$35="OFF","OFF","")</f>
        <v/>
      </c>
      <c r="AO27" s="54" t="str">
        <f>IF('⚙ OFF Weekends'!$D$36="OFF","OFF","")</f>
        <v/>
      </c>
      <c r="AP27" s="56" t="str">
        <f>IF('⚙ OFF Weekends'!$D$37="OFF","OFF","")</f>
        <v/>
      </c>
      <c r="AQ27" s="54" t="str">
        <f>IF('⚙ OFF Weekends'!$D$38="OFF","OFF","")</f>
        <v/>
      </c>
      <c r="AR27" s="56" t="str">
        <f>IF('⚙ OFF Weekends'!$D$39="OFF","OFF","")</f>
        <v/>
      </c>
      <c r="AS27" s="54" t="str">
        <f>IF('⚙ OFF Weekends'!$D$40="OFF","OFF","")</f>
        <v/>
      </c>
      <c r="AT27" s="56" t="str">
        <f>IF('⚙ OFF Weekends'!$D$41="OFF","OFF","")</f>
        <v/>
      </c>
      <c r="AU27" s="54" t="str">
        <f>IF('⚙ OFF Weekends'!$D$42="OFF","OFF","")</f>
        <v/>
      </c>
      <c r="AV27" s="56" t="str">
        <f>IF('⚙ OFF Weekends'!$D$43="OFF","OFF","")</f>
        <v/>
      </c>
      <c r="AW27" s="54" t="str">
        <f>IF('⚙ OFF Weekends'!$D$44="OFF","OFF","")</f>
        <v/>
      </c>
      <c r="AX27" s="56" t="str">
        <f>IF('⚙ OFF Weekends'!$D$45="OFF","OFF","")</f>
        <v/>
      </c>
      <c r="AY27" s="54" t="str">
        <f>IF('⚙ OFF Weekends'!$D$46="OFF","OFF","")</f>
        <v/>
      </c>
      <c r="AZ27" s="56" t="str">
        <f>IF('⚙ OFF Weekends'!$D$47="OFF","OFF","")</f>
        <v/>
      </c>
      <c r="BA27" s="54" t="str">
        <f>IF('⚙ OFF Weekends'!$D$48="OFF","OFF","")</f>
        <v/>
      </c>
      <c r="BB27" s="56" t="str">
        <f>IF('⚙ OFF Weekends'!$D$49="OFF","OFF","")</f>
        <v/>
      </c>
      <c r="BC27" s="54" t="str">
        <f>IF('⚙ OFF Weekends'!$D$50="OFF","OFF","")</f>
        <v/>
      </c>
      <c r="BD27" s="56" t="str">
        <f>IF('⚙ OFF Weekends'!$D$51="OFF","OFF","")</f>
        <v/>
      </c>
      <c r="BE27" s="54" t="str">
        <f>IF('⚙ OFF Weekends'!$D$52="OFF","OFF","")</f>
        <v/>
      </c>
      <c r="BF27" s="56" t="str">
        <f>IF('⚙ OFF Weekends'!$D$53="OFF","OFF","")</f>
        <v/>
      </c>
      <c r="BG27" s="54" t="str">
        <f>IF('⚙ OFF Weekends'!$D$54="OFF","OFF","")</f>
        <v/>
      </c>
      <c r="BH27" s="56" t="str">
        <f>IF('⚙ OFF Weekends'!$D$55="OFF","OFF","")</f>
        <v/>
      </c>
      <c r="BI27" s="54" t="str">
        <f>IF('⚙ OFF Weekends'!$D$56="OFF","OFF","")</f>
        <v/>
      </c>
      <c r="BJ27" s="56" t="str">
        <f>IF('⚙ OFF Weekends'!$D$57="OFF","OFF","")</f>
        <v/>
      </c>
      <c r="BK27" s="54" t="str">
        <f>IF('⚙ OFF Weekends'!$D$58="OFF","OFF","")</f>
        <v/>
      </c>
      <c r="BL27" s="56" t="str">
        <f>IF('⚙ OFF Weekends'!$D$59="OFF","OFF","")</f>
        <v/>
      </c>
      <c r="BM27" s="54" t="str">
        <f>IF('⚙ OFF Weekends'!$D$60="OFF","OFF","")</f>
        <v/>
      </c>
      <c r="BN27" s="56" t="str">
        <f>IF('⚙ OFF Weekends'!$D$61="OFF","OFF","")</f>
        <v/>
      </c>
      <c r="BO27" s="54" t="str">
        <f>IF('⚙ OFF Weekends'!$D$62="OFF","OFF","")</f>
        <v/>
      </c>
      <c r="BP27" s="56" t="str">
        <f>IF('⚙ OFF Weekends'!$D$63="OFF","OFF","")</f>
        <v/>
      </c>
      <c r="BQ27" s="54" t="str">
        <f>IF('⚙ OFF Weekends'!$D$64="OFF","OFF","")</f>
        <v/>
      </c>
      <c r="BR27" s="56" t="str">
        <f>IF('⚙ OFF Weekends'!$D$65="OFF","OFF","")</f>
        <v/>
      </c>
      <c r="BS27" s="54" t="str">
        <f>IF('⚙ OFF Weekends'!$D$66="OFF","OFF","")</f>
        <v/>
      </c>
      <c r="BT27" s="56" t="str">
        <f>IF('⚙ OFF Weekends'!$D$67="OFF","OFF","")</f>
        <v/>
      </c>
      <c r="BU27" s="54" t="str">
        <f>IF('⚙ OFF Weekends'!$D$68="OFF","OFF","")</f>
        <v/>
      </c>
      <c r="BV27" s="56" t="str">
        <f>IF('⚙ OFF Weekends'!$D$69="OFF","OFF","")</f>
        <v/>
      </c>
      <c r="BW27" s="54" t="str">
        <f>IF('⚙ OFF Weekends'!$D$70="OFF","OFF","")</f>
        <v/>
      </c>
      <c r="BX27" s="56" t="str">
        <f>IF('⚙ OFF Weekends'!$D$71="OFF","OFF","")</f>
        <v/>
      </c>
      <c r="BY27" s="54" t="str">
        <f>IF('⚙ OFF Weekends'!$D$72="OFF","OFF","")</f>
        <v/>
      </c>
      <c r="BZ27" s="56" t="str">
        <f>IF('⚙ OFF Weekends'!$D$73="OFF","OFF","")</f>
        <v/>
      </c>
      <c r="CA27" s="54" t="str">
        <f>IF('⚙ OFF Weekends'!$D$74="OFF","OFF","")</f>
        <v/>
      </c>
      <c r="CB27" s="56" t="str">
        <f>IF('⚙ OFF Weekends'!$D$75="OFF","OFF","")</f>
        <v/>
      </c>
      <c r="CC27" s="54" t="str">
        <f>IF('⚙ OFF Weekends'!$D$76="OFF","OFF","")</f>
        <v/>
      </c>
      <c r="CD27" s="56" t="str">
        <f>IF('⚙ OFF Weekends'!$D$77="OFF","OFF","")</f>
        <v/>
      </c>
      <c r="CE27" s="95">
        <f t="shared" si="9"/>
        <v>6</v>
      </c>
      <c r="CF27" s="95">
        <f t="shared" si="10"/>
        <v>11</v>
      </c>
      <c r="CG27" s="95">
        <f t="shared" si="11"/>
        <v>0</v>
      </c>
      <c r="CH27" s="95" t="str">
        <f t="shared" si="12"/>
        <v>35%</v>
      </c>
    </row>
    <row r="28" ht="18.0" customHeight="1">
      <c r="A28" s="96">
        <v>6.0</v>
      </c>
      <c r="B28" s="22" t="s">
        <v>760</v>
      </c>
      <c r="C28" s="23" t="s">
        <v>761</v>
      </c>
      <c r="D28" s="24" t="str">
        <f t="shared" si="7"/>
        <v>📞 Call</v>
      </c>
      <c r="E28" s="41" t="str">
        <f t="shared" si="8"/>
        <v>💬 WhatsApp</v>
      </c>
      <c r="F28" s="20"/>
      <c r="G28" s="20" t="s">
        <v>584</v>
      </c>
      <c r="H28" s="20"/>
      <c r="I28" s="79" t="s">
        <v>223</v>
      </c>
      <c r="J28" s="79" t="s">
        <v>223</v>
      </c>
      <c r="K28" s="49" t="s">
        <v>197</v>
      </c>
      <c r="L28" s="50" t="s">
        <v>37</v>
      </c>
      <c r="M28" s="50" t="s">
        <v>37</v>
      </c>
      <c r="N28" s="48" t="s">
        <v>196</v>
      </c>
      <c r="O28" s="50" t="s">
        <v>37</v>
      </c>
      <c r="P28" s="50" t="s">
        <v>37</v>
      </c>
      <c r="Q28" s="50" t="s">
        <v>37</v>
      </c>
      <c r="R28" s="48" t="s">
        <v>196</v>
      </c>
      <c r="S28" s="52" t="s">
        <v>196</v>
      </c>
      <c r="T28" s="53" t="s">
        <v>196</v>
      </c>
      <c r="U28" s="52" t="s">
        <v>196</v>
      </c>
      <c r="V28" s="53" t="s">
        <v>196</v>
      </c>
      <c r="W28" s="54" t="str">
        <f>IF('⚙ OFF Weekends'!$D$18="OFF","OFF","")</f>
        <v>OFF</v>
      </c>
      <c r="X28" s="53" t="s">
        <v>223</v>
      </c>
      <c r="Y28" s="52" t="s">
        <v>196</v>
      </c>
      <c r="Z28" s="53" t="s">
        <v>196</v>
      </c>
      <c r="AA28" s="52" t="s">
        <v>223</v>
      </c>
      <c r="AB28" s="53" t="s">
        <v>223</v>
      </c>
      <c r="AC28" s="54" t="str">
        <f>IF('⚙ OFF Weekends'!$D$24="OFF","OFF","")</f>
        <v/>
      </c>
      <c r="AD28" s="56" t="str">
        <f>IF('⚙ OFF Weekends'!$D$25="OFF","OFF","")</f>
        <v/>
      </c>
      <c r="AE28" s="54" t="str">
        <f>IF('⚙ OFF Weekends'!$D$26="OFF","OFF","")</f>
        <v/>
      </c>
      <c r="AF28" s="56" t="str">
        <f>IF('⚙ OFF Weekends'!$D$27="OFF","OFF","")</f>
        <v/>
      </c>
      <c r="AG28" s="54" t="str">
        <f>IF('⚙ OFF Weekends'!$D$28="OFF","OFF","")</f>
        <v/>
      </c>
      <c r="AH28" s="56" t="str">
        <f>IF('⚙ OFF Weekends'!$D$29="OFF","OFF","")</f>
        <v/>
      </c>
      <c r="AI28" s="54" t="str">
        <f>IF('⚙ OFF Weekends'!$D$30="OFF","OFF","")</f>
        <v/>
      </c>
      <c r="AJ28" s="56" t="str">
        <f>IF('⚙ OFF Weekends'!$D$31="OFF","OFF","")</f>
        <v/>
      </c>
      <c r="AK28" s="54" t="str">
        <f>IF('⚙ OFF Weekends'!$D$32="OFF","OFF","")</f>
        <v/>
      </c>
      <c r="AL28" s="56" t="str">
        <f>IF('⚙ OFF Weekends'!$D$33="OFF","OFF","")</f>
        <v/>
      </c>
      <c r="AM28" s="54" t="str">
        <f>IF('⚙ OFF Weekends'!$D$34="OFF","OFF","")</f>
        <v/>
      </c>
      <c r="AN28" s="56" t="str">
        <f>IF('⚙ OFF Weekends'!$D$35="OFF","OFF","")</f>
        <v/>
      </c>
      <c r="AO28" s="54" t="str">
        <f>IF('⚙ OFF Weekends'!$D$36="OFF","OFF","")</f>
        <v/>
      </c>
      <c r="AP28" s="56" t="str">
        <f>IF('⚙ OFF Weekends'!$D$37="OFF","OFF","")</f>
        <v/>
      </c>
      <c r="AQ28" s="54" t="str">
        <f>IF('⚙ OFF Weekends'!$D$38="OFF","OFF","")</f>
        <v/>
      </c>
      <c r="AR28" s="56" t="str">
        <f>IF('⚙ OFF Weekends'!$D$39="OFF","OFF","")</f>
        <v/>
      </c>
      <c r="AS28" s="54" t="str">
        <f>IF('⚙ OFF Weekends'!$D$40="OFF","OFF","")</f>
        <v/>
      </c>
      <c r="AT28" s="56" t="str">
        <f>IF('⚙ OFF Weekends'!$D$41="OFF","OFF","")</f>
        <v/>
      </c>
      <c r="AU28" s="54" t="str">
        <f>IF('⚙ OFF Weekends'!$D$42="OFF","OFF","")</f>
        <v/>
      </c>
      <c r="AV28" s="56" t="str">
        <f>IF('⚙ OFF Weekends'!$D$43="OFF","OFF","")</f>
        <v/>
      </c>
      <c r="AW28" s="54" t="str">
        <f>IF('⚙ OFF Weekends'!$D$44="OFF","OFF","")</f>
        <v/>
      </c>
      <c r="AX28" s="56" t="str">
        <f>IF('⚙ OFF Weekends'!$D$45="OFF","OFF","")</f>
        <v/>
      </c>
      <c r="AY28" s="54" t="str">
        <f>IF('⚙ OFF Weekends'!$D$46="OFF","OFF","")</f>
        <v/>
      </c>
      <c r="AZ28" s="56" t="str">
        <f>IF('⚙ OFF Weekends'!$D$47="OFF","OFF","")</f>
        <v/>
      </c>
      <c r="BA28" s="54" t="str">
        <f>IF('⚙ OFF Weekends'!$D$48="OFF","OFF","")</f>
        <v/>
      </c>
      <c r="BB28" s="56" t="str">
        <f>IF('⚙ OFF Weekends'!$D$49="OFF","OFF","")</f>
        <v/>
      </c>
      <c r="BC28" s="54" t="str">
        <f>IF('⚙ OFF Weekends'!$D$50="OFF","OFF","")</f>
        <v/>
      </c>
      <c r="BD28" s="56" t="str">
        <f>IF('⚙ OFF Weekends'!$D$51="OFF","OFF","")</f>
        <v/>
      </c>
      <c r="BE28" s="54" t="str">
        <f>IF('⚙ OFF Weekends'!$D$52="OFF","OFF","")</f>
        <v/>
      </c>
      <c r="BF28" s="56" t="str">
        <f>IF('⚙ OFF Weekends'!$D$53="OFF","OFF","")</f>
        <v/>
      </c>
      <c r="BG28" s="54" t="str">
        <f>IF('⚙ OFF Weekends'!$D$54="OFF","OFF","")</f>
        <v/>
      </c>
      <c r="BH28" s="56" t="str">
        <f>IF('⚙ OFF Weekends'!$D$55="OFF","OFF","")</f>
        <v/>
      </c>
      <c r="BI28" s="54" t="str">
        <f>IF('⚙ OFF Weekends'!$D$56="OFF","OFF","")</f>
        <v/>
      </c>
      <c r="BJ28" s="56" t="str">
        <f>IF('⚙ OFF Weekends'!$D$57="OFF","OFF","")</f>
        <v/>
      </c>
      <c r="BK28" s="54" t="str">
        <f>IF('⚙ OFF Weekends'!$D$58="OFF","OFF","")</f>
        <v/>
      </c>
      <c r="BL28" s="56" t="str">
        <f>IF('⚙ OFF Weekends'!$D$59="OFF","OFF","")</f>
        <v/>
      </c>
      <c r="BM28" s="54" t="str">
        <f>IF('⚙ OFF Weekends'!$D$60="OFF","OFF","")</f>
        <v/>
      </c>
      <c r="BN28" s="56" t="str">
        <f>IF('⚙ OFF Weekends'!$D$61="OFF","OFF","")</f>
        <v/>
      </c>
      <c r="BO28" s="54" t="str">
        <f>IF('⚙ OFF Weekends'!$D$62="OFF","OFF","")</f>
        <v/>
      </c>
      <c r="BP28" s="56" t="str">
        <f>IF('⚙ OFF Weekends'!$D$63="OFF","OFF","")</f>
        <v/>
      </c>
      <c r="BQ28" s="54" t="str">
        <f>IF('⚙ OFF Weekends'!$D$64="OFF","OFF","")</f>
        <v/>
      </c>
      <c r="BR28" s="56" t="str">
        <f>IF('⚙ OFF Weekends'!$D$65="OFF","OFF","")</f>
        <v/>
      </c>
      <c r="BS28" s="54" t="str">
        <f>IF('⚙ OFF Weekends'!$D$66="OFF","OFF","")</f>
        <v/>
      </c>
      <c r="BT28" s="56" t="str">
        <f>IF('⚙ OFF Weekends'!$D$67="OFF","OFF","")</f>
        <v/>
      </c>
      <c r="BU28" s="54" t="str">
        <f>IF('⚙ OFF Weekends'!$D$68="OFF","OFF","")</f>
        <v/>
      </c>
      <c r="BV28" s="56" t="str">
        <f>IF('⚙ OFF Weekends'!$D$69="OFF","OFF","")</f>
        <v/>
      </c>
      <c r="BW28" s="54" t="str">
        <f>IF('⚙ OFF Weekends'!$D$70="OFF","OFF","")</f>
        <v/>
      </c>
      <c r="BX28" s="56" t="str">
        <f>IF('⚙ OFF Weekends'!$D$71="OFF","OFF","")</f>
        <v/>
      </c>
      <c r="BY28" s="54" t="str">
        <f>IF('⚙ OFF Weekends'!$D$72="OFF","OFF","")</f>
        <v/>
      </c>
      <c r="BZ28" s="56" t="str">
        <f>IF('⚙ OFF Weekends'!$D$73="OFF","OFF","")</f>
        <v/>
      </c>
      <c r="CA28" s="54" t="str">
        <f>IF('⚙ OFF Weekends'!$D$74="OFF","OFF","")</f>
        <v/>
      </c>
      <c r="CB28" s="56" t="str">
        <f>IF('⚙ OFF Weekends'!$D$75="OFF","OFF","")</f>
        <v/>
      </c>
      <c r="CC28" s="54" t="str">
        <f>IF('⚙ OFF Weekends'!$D$76="OFF","OFF","")</f>
        <v/>
      </c>
      <c r="CD28" s="56" t="str">
        <f>IF('⚙ OFF Weekends'!$D$77="OFF","OFF","")</f>
        <v/>
      </c>
      <c r="CE28" s="96">
        <f t="shared" si="9"/>
        <v>13</v>
      </c>
      <c r="CF28" s="96">
        <f t="shared" si="10"/>
        <v>5</v>
      </c>
      <c r="CG28" s="96">
        <f t="shared" si="11"/>
        <v>0</v>
      </c>
      <c r="CH28" s="96" t="str">
        <f t="shared" si="12"/>
        <v>72%</v>
      </c>
    </row>
    <row r="29" ht="18.0" customHeight="1">
      <c r="A29" s="95">
        <v>7.0</v>
      </c>
      <c r="B29" s="12" t="s">
        <v>766</v>
      </c>
      <c r="C29" s="14" t="s">
        <v>767</v>
      </c>
      <c r="D29" s="17" t="str">
        <f t="shared" si="7"/>
        <v>📞 Call</v>
      </c>
      <c r="E29" s="19" t="str">
        <f t="shared" si="8"/>
        <v>💬 WhatsApp</v>
      </c>
      <c r="F29" s="10"/>
      <c r="G29" s="10" t="s">
        <v>584</v>
      </c>
      <c r="H29" s="10"/>
      <c r="I29" s="48" t="s">
        <v>196</v>
      </c>
      <c r="J29" s="79" t="s">
        <v>223</v>
      </c>
      <c r="K29" s="49" t="s">
        <v>197</v>
      </c>
      <c r="L29" s="48" t="s">
        <v>196</v>
      </c>
      <c r="M29" s="48" t="s">
        <v>196</v>
      </c>
      <c r="N29" s="50" t="s">
        <v>37</v>
      </c>
      <c r="O29" s="79" t="s">
        <v>223</v>
      </c>
      <c r="P29" s="50" t="s">
        <v>37</v>
      </c>
      <c r="Q29" s="50" t="s">
        <v>37</v>
      </c>
      <c r="R29" s="48" t="s">
        <v>196</v>
      </c>
      <c r="S29" s="52" t="s">
        <v>37</v>
      </c>
      <c r="T29" s="53" t="s">
        <v>196</v>
      </c>
      <c r="U29" s="52" t="s">
        <v>223</v>
      </c>
      <c r="V29" s="53" t="s">
        <v>196</v>
      </c>
      <c r="W29" s="54" t="str">
        <f>IF('⚙ OFF Weekends'!$D$18="OFF","OFF","")</f>
        <v>OFF</v>
      </c>
      <c r="X29" s="53" t="s">
        <v>223</v>
      </c>
      <c r="Y29" s="52" t="s">
        <v>223</v>
      </c>
      <c r="Z29" s="53" t="s">
        <v>37</v>
      </c>
      <c r="AA29" s="52" t="s">
        <v>223</v>
      </c>
      <c r="AB29" s="53" t="s">
        <v>196</v>
      </c>
      <c r="AC29" s="54" t="str">
        <f>IF('⚙ OFF Weekends'!$D$24="OFF","OFF","")</f>
        <v/>
      </c>
      <c r="AD29" s="56" t="str">
        <f>IF('⚙ OFF Weekends'!$D$25="OFF","OFF","")</f>
        <v/>
      </c>
      <c r="AE29" s="54" t="str">
        <f>IF('⚙ OFF Weekends'!$D$26="OFF","OFF","")</f>
        <v/>
      </c>
      <c r="AF29" s="56" t="str">
        <f>IF('⚙ OFF Weekends'!$D$27="OFF","OFF","")</f>
        <v/>
      </c>
      <c r="AG29" s="54" t="str">
        <f>IF('⚙ OFF Weekends'!$D$28="OFF","OFF","")</f>
        <v/>
      </c>
      <c r="AH29" s="56" t="str">
        <f>IF('⚙ OFF Weekends'!$D$29="OFF","OFF","")</f>
        <v/>
      </c>
      <c r="AI29" s="54" t="str">
        <f>IF('⚙ OFF Weekends'!$D$30="OFF","OFF","")</f>
        <v/>
      </c>
      <c r="AJ29" s="56" t="str">
        <f>IF('⚙ OFF Weekends'!$D$31="OFF","OFF","")</f>
        <v/>
      </c>
      <c r="AK29" s="54" t="str">
        <f>IF('⚙ OFF Weekends'!$D$32="OFF","OFF","")</f>
        <v/>
      </c>
      <c r="AL29" s="56" t="str">
        <f>IF('⚙ OFF Weekends'!$D$33="OFF","OFF","")</f>
        <v/>
      </c>
      <c r="AM29" s="54" t="str">
        <f>IF('⚙ OFF Weekends'!$D$34="OFF","OFF","")</f>
        <v/>
      </c>
      <c r="AN29" s="56" t="str">
        <f>IF('⚙ OFF Weekends'!$D$35="OFF","OFF","")</f>
        <v/>
      </c>
      <c r="AO29" s="54" t="str">
        <f>IF('⚙ OFF Weekends'!$D$36="OFF","OFF","")</f>
        <v/>
      </c>
      <c r="AP29" s="56" t="str">
        <f>IF('⚙ OFF Weekends'!$D$37="OFF","OFF","")</f>
        <v/>
      </c>
      <c r="AQ29" s="54" t="str">
        <f>IF('⚙ OFF Weekends'!$D$38="OFF","OFF","")</f>
        <v/>
      </c>
      <c r="AR29" s="56" t="str">
        <f>IF('⚙ OFF Weekends'!$D$39="OFF","OFF","")</f>
        <v/>
      </c>
      <c r="AS29" s="54" t="str">
        <f>IF('⚙ OFF Weekends'!$D$40="OFF","OFF","")</f>
        <v/>
      </c>
      <c r="AT29" s="56" t="str">
        <f>IF('⚙ OFF Weekends'!$D$41="OFF","OFF","")</f>
        <v/>
      </c>
      <c r="AU29" s="54" t="str">
        <f>IF('⚙ OFF Weekends'!$D$42="OFF","OFF","")</f>
        <v/>
      </c>
      <c r="AV29" s="56" t="str">
        <f>IF('⚙ OFF Weekends'!$D$43="OFF","OFF","")</f>
        <v/>
      </c>
      <c r="AW29" s="54" t="str">
        <f>IF('⚙ OFF Weekends'!$D$44="OFF","OFF","")</f>
        <v/>
      </c>
      <c r="AX29" s="56" t="str">
        <f>IF('⚙ OFF Weekends'!$D$45="OFF","OFF","")</f>
        <v/>
      </c>
      <c r="AY29" s="54" t="str">
        <f>IF('⚙ OFF Weekends'!$D$46="OFF","OFF","")</f>
        <v/>
      </c>
      <c r="AZ29" s="56" t="str">
        <f>IF('⚙ OFF Weekends'!$D$47="OFF","OFF","")</f>
        <v/>
      </c>
      <c r="BA29" s="54" t="str">
        <f>IF('⚙ OFF Weekends'!$D$48="OFF","OFF","")</f>
        <v/>
      </c>
      <c r="BB29" s="56" t="str">
        <f>IF('⚙ OFF Weekends'!$D$49="OFF","OFF","")</f>
        <v/>
      </c>
      <c r="BC29" s="54" t="str">
        <f>IF('⚙ OFF Weekends'!$D$50="OFF","OFF","")</f>
        <v/>
      </c>
      <c r="BD29" s="56" t="str">
        <f>IF('⚙ OFF Weekends'!$D$51="OFF","OFF","")</f>
        <v/>
      </c>
      <c r="BE29" s="54" t="str">
        <f>IF('⚙ OFF Weekends'!$D$52="OFF","OFF","")</f>
        <v/>
      </c>
      <c r="BF29" s="56" t="str">
        <f>IF('⚙ OFF Weekends'!$D$53="OFF","OFF","")</f>
        <v/>
      </c>
      <c r="BG29" s="54" t="str">
        <f>IF('⚙ OFF Weekends'!$D$54="OFF","OFF","")</f>
        <v/>
      </c>
      <c r="BH29" s="56" t="str">
        <f>IF('⚙ OFF Weekends'!$D$55="OFF","OFF","")</f>
        <v/>
      </c>
      <c r="BI29" s="54" t="str">
        <f>IF('⚙ OFF Weekends'!$D$56="OFF","OFF","")</f>
        <v/>
      </c>
      <c r="BJ29" s="56" t="str">
        <f>IF('⚙ OFF Weekends'!$D$57="OFF","OFF","")</f>
        <v/>
      </c>
      <c r="BK29" s="54" t="str">
        <f>IF('⚙ OFF Weekends'!$D$58="OFF","OFF","")</f>
        <v/>
      </c>
      <c r="BL29" s="56" t="str">
        <f>IF('⚙ OFF Weekends'!$D$59="OFF","OFF","")</f>
        <v/>
      </c>
      <c r="BM29" s="54" t="str">
        <f>IF('⚙ OFF Weekends'!$D$60="OFF","OFF","")</f>
        <v/>
      </c>
      <c r="BN29" s="56" t="str">
        <f>IF('⚙ OFF Weekends'!$D$61="OFF","OFF","")</f>
        <v/>
      </c>
      <c r="BO29" s="54" t="str">
        <f>IF('⚙ OFF Weekends'!$D$62="OFF","OFF","")</f>
        <v/>
      </c>
      <c r="BP29" s="56" t="str">
        <f>IF('⚙ OFF Weekends'!$D$63="OFF","OFF","")</f>
        <v/>
      </c>
      <c r="BQ29" s="54" t="str">
        <f>IF('⚙ OFF Weekends'!$D$64="OFF","OFF","")</f>
        <v/>
      </c>
      <c r="BR29" s="56" t="str">
        <f>IF('⚙ OFF Weekends'!$D$65="OFF","OFF","")</f>
        <v/>
      </c>
      <c r="BS29" s="54" t="str">
        <f>IF('⚙ OFF Weekends'!$D$66="OFF","OFF","")</f>
        <v/>
      </c>
      <c r="BT29" s="56" t="str">
        <f>IF('⚙ OFF Weekends'!$D$67="OFF","OFF","")</f>
        <v/>
      </c>
      <c r="BU29" s="54" t="str">
        <f>IF('⚙ OFF Weekends'!$D$68="OFF","OFF","")</f>
        <v/>
      </c>
      <c r="BV29" s="56" t="str">
        <f>IF('⚙ OFF Weekends'!$D$69="OFF","OFF","")</f>
        <v/>
      </c>
      <c r="BW29" s="54" t="str">
        <f>IF('⚙ OFF Weekends'!$D$70="OFF","OFF","")</f>
        <v/>
      </c>
      <c r="BX29" s="56" t="str">
        <f>IF('⚙ OFF Weekends'!$D$71="OFF","OFF","")</f>
        <v/>
      </c>
      <c r="BY29" s="54" t="str">
        <f>IF('⚙ OFF Weekends'!$D$72="OFF","OFF","")</f>
        <v/>
      </c>
      <c r="BZ29" s="56" t="str">
        <f>IF('⚙ OFF Weekends'!$D$73="OFF","OFF","")</f>
        <v/>
      </c>
      <c r="CA29" s="54" t="str">
        <f>IF('⚙ OFF Weekends'!$D$74="OFF","OFF","")</f>
        <v/>
      </c>
      <c r="CB29" s="56" t="str">
        <f>IF('⚙ OFF Weekends'!$D$75="OFF","OFF","")</f>
        <v/>
      </c>
      <c r="CC29" s="54" t="str">
        <f>IF('⚙ OFF Weekends'!$D$76="OFF","OFF","")</f>
        <v/>
      </c>
      <c r="CD29" s="56" t="str">
        <f>IF('⚙ OFF Weekends'!$D$77="OFF","OFF","")</f>
        <v/>
      </c>
      <c r="CE29" s="95">
        <f t="shared" si="9"/>
        <v>12</v>
      </c>
      <c r="CF29" s="95">
        <f t="shared" si="10"/>
        <v>6</v>
      </c>
      <c r="CG29" s="95">
        <f t="shared" si="11"/>
        <v>0</v>
      </c>
      <c r="CH29" s="95" t="str">
        <f t="shared" si="12"/>
        <v>67%</v>
      </c>
    </row>
    <row r="30" ht="18.0" customHeight="1">
      <c r="A30" s="96">
        <v>8.0</v>
      </c>
      <c r="B30" s="22" t="s">
        <v>770</v>
      </c>
      <c r="C30" s="23" t="s">
        <v>771</v>
      </c>
      <c r="D30" s="24" t="str">
        <f t="shared" si="7"/>
        <v>📞 Call</v>
      </c>
      <c r="E30" s="41" t="str">
        <f t="shared" si="8"/>
        <v>💬 WhatsApp</v>
      </c>
      <c r="F30" s="20"/>
      <c r="G30" s="20" t="s">
        <v>584</v>
      </c>
      <c r="H30" s="20"/>
      <c r="I30" s="48" t="s">
        <v>196</v>
      </c>
      <c r="J30" s="79" t="s">
        <v>223</v>
      </c>
      <c r="K30" s="49" t="s">
        <v>197</v>
      </c>
      <c r="L30" s="48" t="s">
        <v>196</v>
      </c>
      <c r="M30" s="48" t="s">
        <v>196</v>
      </c>
      <c r="N30" s="48" t="s">
        <v>196</v>
      </c>
      <c r="O30" s="48" t="s">
        <v>196</v>
      </c>
      <c r="P30" s="48" t="s">
        <v>196</v>
      </c>
      <c r="Q30" s="48" t="s">
        <v>196</v>
      </c>
      <c r="R30" s="48" t="s">
        <v>196</v>
      </c>
      <c r="S30" s="52" t="s">
        <v>223</v>
      </c>
      <c r="T30" s="53" t="s">
        <v>198</v>
      </c>
      <c r="U30" s="52" t="s">
        <v>223</v>
      </c>
      <c r="V30" s="53" t="s">
        <v>223</v>
      </c>
      <c r="W30" s="54" t="str">
        <f>IF('⚙ OFF Weekends'!$D$18="OFF","OFF","")</f>
        <v>OFF</v>
      </c>
      <c r="X30" s="53" t="s">
        <v>198</v>
      </c>
      <c r="Y30" s="52" t="s">
        <v>198</v>
      </c>
      <c r="Z30" s="53" t="s">
        <v>198</v>
      </c>
      <c r="AA30" s="52" t="s">
        <v>198</v>
      </c>
      <c r="AB30" s="53" t="s">
        <v>196</v>
      </c>
      <c r="AC30" s="54" t="str">
        <f>IF('⚙ OFF Weekends'!$D$24="OFF","OFF","")</f>
        <v/>
      </c>
      <c r="AD30" s="56" t="str">
        <f>IF('⚙ OFF Weekends'!$D$25="OFF","OFF","")</f>
        <v/>
      </c>
      <c r="AE30" s="54" t="str">
        <f>IF('⚙ OFF Weekends'!$D$26="OFF","OFF","")</f>
        <v/>
      </c>
      <c r="AF30" s="56" t="str">
        <f>IF('⚙ OFF Weekends'!$D$27="OFF","OFF","")</f>
        <v/>
      </c>
      <c r="AG30" s="54" t="str">
        <f>IF('⚙ OFF Weekends'!$D$28="OFF","OFF","")</f>
        <v/>
      </c>
      <c r="AH30" s="56" t="str">
        <f>IF('⚙ OFF Weekends'!$D$29="OFF","OFF","")</f>
        <v/>
      </c>
      <c r="AI30" s="54" t="str">
        <f>IF('⚙ OFF Weekends'!$D$30="OFF","OFF","")</f>
        <v/>
      </c>
      <c r="AJ30" s="56" t="str">
        <f>IF('⚙ OFF Weekends'!$D$31="OFF","OFF","")</f>
        <v/>
      </c>
      <c r="AK30" s="54" t="str">
        <f>IF('⚙ OFF Weekends'!$D$32="OFF","OFF","")</f>
        <v/>
      </c>
      <c r="AL30" s="56" t="str">
        <f>IF('⚙ OFF Weekends'!$D$33="OFF","OFF","")</f>
        <v/>
      </c>
      <c r="AM30" s="54" t="str">
        <f>IF('⚙ OFF Weekends'!$D$34="OFF","OFF","")</f>
        <v/>
      </c>
      <c r="AN30" s="56" t="str">
        <f>IF('⚙ OFF Weekends'!$D$35="OFF","OFF","")</f>
        <v/>
      </c>
      <c r="AO30" s="54" t="str">
        <f>IF('⚙ OFF Weekends'!$D$36="OFF","OFF","")</f>
        <v/>
      </c>
      <c r="AP30" s="56" t="str">
        <f>IF('⚙ OFF Weekends'!$D$37="OFF","OFF","")</f>
        <v/>
      </c>
      <c r="AQ30" s="54" t="str">
        <f>IF('⚙ OFF Weekends'!$D$38="OFF","OFF","")</f>
        <v/>
      </c>
      <c r="AR30" s="56" t="str">
        <f>IF('⚙ OFF Weekends'!$D$39="OFF","OFF","")</f>
        <v/>
      </c>
      <c r="AS30" s="54" t="str">
        <f>IF('⚙ OFF Weekends'!$D$40="OFF","OFF","")</f>
        <v/>
      </c>
      <c r="AT30" s="56" t="str">
        <f>IF('⚙ OFF Weekends'!$D$41="OFF","OFF","")</f>
        <v/>
      </c>
      <c r="AU30" s="54" t="str">
        <f>IF('⚙ OFF Weekends'!$D$42="OFF","OFF","")</f>
        <v/>
      </c>
      <c r="AV30" s="56" t="str">
        <f>IF('⚙ OFF Weekends'!$D$43="OFF","OFF","")</f>
        <v/>
      </c>
      <c r="AW30" s="54" t="str">
        <f>IF('⚙ OFF Weekends'!$D$44="OFF","OFF","")</f>
        <v/>
      </c>
      <c r="AX30" s="56" t="str">
        <f>IF('⚙ OFF Weekends'!$D$45="OFF","OFF","")</f>
        <v/>
      </c>
      <c r="AY30" s="54" t="str">
        <f>IF('⚙ OFF Weekends'!$D$46="OFF","OFF","")</f>
        <v/>
      </c>
      <c r="AZ30" s="56" t="str">
        <f>IF('⚙ OFF Weekends'!$D$47="OFF","OFF","")</f>
        <v/>
      </c>
      <c r="BA30" s="54" t="str">
        <f>IF('⚙ OFF Weekends'!$D$48="OFF","OFF","")</f>
        <v/>
      </c>
      <c r="BB30" s="56" t="str">
        <f>IF('⚙ OFF Weekends'!$D$49="OFF","OFF","")</f>
        <v/>
      </c>
      <c r="BC30" s="54" t="str">
        <f>IF('⚙ OFF Weekends'!$D$50="OFF","OFF","")</f>
        <v/>
      </c>
      <c r="BD30" s="56" t="str">
        <f>IF('⚙ OFF Weekends'!$D$51="OFF","OFF","")</f>
        <v/>
      </c>
      <c r="BE30" s="54" t="str">
        <f>IF('⚙ OFF Weekends'!$D$52="OFF","OFF","")</f>
        <v/>
      </c>
      <c r="BF30" s="56" t="str">
        <f>IF('⚙ OFF Weekends'!$D$53="OFF","OFF","")</f>
        <v/>
      </c>
      <c r="BG30" s="54" t="str">
        <f>IF('⚙ OFF Weekends'!$D$54="OFF","OFF","")</f>
        <v/>
      </c>
      <c r="BH30" s="56" t="str">
        <f>IF('⚙ OFF Weekends'!$D$55="OFF","OFF","")</f>
        <v/>
      </c>
      <c r="BI30" s="54" t="str">
        <f>IF('⚙ OFF Weekends'!$D$56="OFF","OFF","")</f>
        <v/>
      </c>
      <c r="BJ30" s="56" t="str">
        <f>IF('⚙ OFF Weekends'!$D$57="OFF","OFF","")</f>
        <v/>
      </c>
      <c r="BK30" s="54" t="str">
        <f>IF('⚙ OFF Weekends'!$D$58="OFF","OFF","")</f>
        <v/>
      </c>
      <c r="BL30" s="56" t="str">
        <f>IF('⚙ OFF Weekends'!$D$59="OFF","OFF","")</f>
        <v/>
      </c>
      <c r="BM30" s="54" t="str">
        <f>IF('⚙ OFF Weekends'!$D$60="OFF","OFF","")</f>
        <v/>
      </c>
      <c r="BN30" s="56" t="str">
        <f>IF('⚙ OFF Weekends'!$D$61="OFF","OFF","")</f>
        <v/>
      </c>
      <c r="BO30" s="54" t="str">
        <f>IF('⚙ OFF Weekends'!$D$62="OFF","OFF","")</f>
        <v/>
      </c>
      <c r="BP30" s="56" t="str">
        <f>IF('⚙ OFF Weekends'!$D$63="OFF","OFF","")</f>
        <v/>
      </c>
      <c r="BQ30" s="54" t="str">
        <f>IF('⚙ OFF Weekends'!$D$64="OFF","OFF","")</f>
        <v/>
      </c>
      <c r="BR30" s="56" t="str">
        <f>IF('⚙ OFF Weekends'!$D$65="OFF","OFF","")</f>
        <v/>
      </c>
      <c r="BS30" s="54" t="str">
        <f>IF('⚙ OFF Weekends'!$D$66="OFF","OFF","")</f>
        <v/>
      </c>
      <c r="BT30" s="56" t="str">
        <f>IF('⚙ OFF Weekends'!$D$67="OFF","OFF","")</f>
        <v/>
      </c>
      <c r="BU30" s="54" t="str">
        <f>IF('⚙ OFF Weekends'!$D$68="OFF","OFF","")</f>
        <v/>
      </c>
      <c r="BV30" s="56" t="str">
        <f>IF('⚙ OFF Weekends'!$D$69="OFF","OFF","")</f>
        <v/>
      </c>
      <c r="BW30" s="54" t="str">
        <f>IF('⚙ OFF Weekends'!$D$70="OFF","OFF","")</f>
        <v/>
      </c>
      <c r="BX30" s="56" t="str">
        <f>IF('⚙ OFF Weekends'!$D$71="OFF","OFF","")</f>
        <v/>
      </c>
      <c r="BY30" s="54" t="str">
        <f>IF('⚙ OFF Weekends'!$D$72="OFF","OFF","")</f>
        <v/>
      </c>
      <c r="BZ30" s="56" t="str">
        <f>IF('⚙ OFF Weekends'!$D$73="OFF","OFF","")</f>
        <v/>
      </c>
      <c r="CA30" s="54" t="str">
        <f>IF('⚙ OFF Weekends'!$D$74="OFF","OFF","")</f>
        <v/>
      </c>
      <c r="CB30" s="56" t="str">
        <f>IF('⚙ OFF Weekends'!$D$75="OFF","OFF","")</f>
        <v/>
      </c>
      <c r="CC30" s="54" t="str">
        <f>IF('⚙ OFF Weekends'!$D$76="OFF","OFF","")</f>
        <v/>
      </c>
      <c r="CD30" s="56" t="str">
        <f>IF('⚙ OFF Weekends'!$D$77="OFF","OFF","")</f>
        <v/>
      </c>
      <c r="CE30" s="96">
        <f t="shared" si="9"/>
        <v>9</v>
      </c>
      <c r="CF30" s="96">
        <f t="shared" si="10"/>
        <v>4</v>
      </c>
      <c r="CG30" s="96">
        <f t="shared" si="11"/>
        <v>5</v>
      </c>
      <c r="CH30" s="96" t="str">
        <f t="shared" si="12"/>
        <v>69%</v>
      </c>
    </row>
    <row r="31" ht="18.0" customHeight="1">
      <c r="A31" s="95">
        <v>9.0</v>
      </c>
      <c r="B31" s="12" t="s">
        <v>774</v>
      </c>
      <c r="C31" s="14" t="s">
        <v>775</v>
      </c>
      <c r="D31" s="17" t="str">
        <f t="shared" si="7"/>
        <v>📞 Call</v>
      </c>
      <c r="E31" s="19" t="str">
        <f t="shared" si="8"/>
        <v>💬 WhatsApp</v>
      </c>
      <c r="F31" s="10"/>
      <c r="G31" s="10" t="s">
        <v>584</v>
      </c>
      <c r="H31" s="10"/>
      <c r="I31" s="48" t="s">
        <v>196</v>
      </c>
      <c r="J31" s="79" t="s">
        <v>223</v>
      </c>
      <c r="K31" s="49" t="s">
        <v>197</v>
      </c>
      <c r="L31" s="48" t="s">
        <v>196</v>
      </c>
      <c r="M31" s="48" t="s">
        <v>196</v>
      </c>
      <c r="N31" s="48" t="s">
        <v>196</v>
      </c>
      <c r="O31" s="48" t="s">
        <v>196</v>
      </c>
      <c r="P31" s="48" t="s">
        <v>196</v>
      </c>
      <c r="Q31" s="79" t="s">
        <v>223</v>
      </c>
      <c r="R31" s="50" t="s">
        <v>37</v>
      </c>
      <c r="S31" s="52" t="s">
        <v>223</v>
      </c>
      <c r="T31" s="53" t="s">
        <v>196</v>
      </c>
      <c r="U31" s="52" t="s">
        <v>196</v>
      </c>
      <c r="V31" s="53" t="s">
        <v>196</v>
      </c>
      <c r="W31" s="54" t="str">
        <f>IF('⚙ OFF Weekends'!$D$18="OFF","OFF","")</f>
        <v>OFF</v>
      </c>
      <c r="X31" s="53" t="s">
        <v>223</v>
      </c>
      <c r="Y31" s="52" t="s">
        <v>223</v>
      </c>
      <c r="Z31" s="53" t="s">
        <v>196</v>
      </c>
      <c r="AA31" s="52" t="s">
        <v>223</v>
      </c>
      <c r="AB31" s="53" t="s">
        <v>223</v>
      </c>
      <c r="AC31" s="54" t="str">
        <f>IF('⚙ OFF Weekends'!$D$24="OFF","OFF","")</f>
        <v/>
      </c>
      <c r="AD31" s="56" t="str">
        <f>IF('⚙ OFF Weekends'!$D$25="OFF","OFF","")</f>
        <v/>
      </c>
      <c r="AE31" s="54" t="str">
        <f>IF('⚙ OFF Weekends'!$D$26="OFF","OFF","")</f>
        <v/>
      </c>
      <c r="AF31" s="56" t="str">
        <f>IF('⚙ OFF Weekends'!$D$27="OFF","OFF","")</f>
        <v/>
      </c>
      <c r="AG31" s="54" t="str">
        <f>IF('⚙ OFF Weekends'!$D$28="OFF","OFF","")</f>
        <v/>
      </c>
      <c r="AH31" s="56" t="str">
        <f>IF('⚙ OFF Weekends'!$D$29="OFF","OFF","")</f>
        <v/>
      </c>
      <c r="AI31" s="54" t="str">
        <f>IF('⚙ OFF Weekends'!$D$30="OFF","OFF","")</f>
        <v/>
      </c>
      <c r="AJ31" s="56" t="str">
        <f>IF('⚙ OFF Weekends'!$D$31="OFF","OFF","")</f>
        <v/>
      </c>
      <c r="AK31" s="54" t="str">
        <f>IF('⚙ OFF Weekends'!$D$32="OFF","OFF","")</f>
        <v/>
      </c>
      <c r="AL31" s="56" t="str">
        <f>IF('⚙ OFF Weekends'!$D$33="OFF","OFF","")</f>
        <v/>
      </c>
      <c r="AM31" s="54" t="str">
        <f>IF('⚙ OFF Weekends'!$D$34="OFF","OFF","")</f>
        <v/>
      </c>
      <c r="AN31" s="56" t="str">
        <f>IF('⚙ OFF Weekends'!$D$35="OFF","OFF","")</f>
        <v/>
      </c>
      <c r="AO31" s="54" t="str">
        <f>IF('⚙ OFF Weekends'!$D$36="OFF","OFF","")</f>
        <v/>
      </c>
      <c r="AP31" s="56" t="str">
        <f>IF('⚙ OFF Weekends'!$D$37="OFF","OFF","")</f>
        <v/>
      </c>
      <c r="AQ31" s="54" t="str">
        <f>IF('⚙ OFF Weekends'!$D$38="OFF","OFF","")</f>
        <v/>
      </c>
      <c r="AR31" s="56" t="str">
        <f>IF('⚙ OFF Weekends'!$D$39="OFF","OFF","")</f>
        <v/>
      </c>
      <c r="AS31" s="54" t="str">
        <f>IF('⚙ OFF Weekends'!$D$40="OFF","OFF","")</f>
        <v/>
      </c>
      <c r="AT31" s="56" t="str">
        <f>IF('⚙ OFF Weekends'!$D$41="OFF","OFF","")</f>
        <v/>
      </c>
      <c r="AU31" s="54" t="str">
        <f>IF('⚙ OFF Weekends'!$D$42="OFF","OFF","")</f>
        <v/>
      </c>
      <c r="AV31" s="56" t="str">
        <f>IF('⚙ OFF Weekends'!$D$43="OFF","OFF","")</f>
        <v/>
      </c>
      <c r="AW31" s="54" t="str">
        <f>IF('⚙ OFF Weekends'!$D$44="OFF","OFF","")</f>
        <v/>
      </c>
      <c r="AX31" s="56" t="str">
        <f>IF('⚙ OFF Weekends'!$D$45="OFF","OFF","")</f>
        <v/>
      </c>
      <c r="AY31" s="54" t="str">
        <f>IF('⚙ OFF Weekends'!$D$46="OFF","OFF","")</f>
        <v/>
      </c>
      <c r="AZ31" s="56" t="str">
        <f>IF('⚙ OFF Weekends'!$D$47="OFF","OFF","")</f>
        <v/>
      </c>
      <c r="BA31" s="54" t="str">
        <f>IF('⚙ OFF Weekends'!$D$48="OFF","OFF","")</f>
        <v/>
      </c>
      <c r="BB31" s="56" t="str">
        <f>IF('⚙ OFF Weekends'!$D$49="OFF","OFF","")</f>
        <v/>
      </c>
      <c r="BC31" s="54" t="str">
        <f>IF('⚙ OFF Weekends'!$D$50="OFF","OFF","")</f>
        <v/>
      </c>
      <c r="BD31" s="56" t="str">
        <f>IF('⚙ OFF Weekends'!$D$51="OFF","OFF","")</f>
        <v/>
      </c>
      <c r="BE31" s="54" t="str">
        <f>IF('⚙ OFF Weekends'!$D$52="OFF","OFF","")</f>
        <v/>
      </c>
      <c r="BF31" s="56" t="str">
        <f>IF('⚙ OFF Weekends'!$D$53="OFF","OFF","")</f>
        <v/>
      </c>
      <c r="BG31" s="54" t="str">
        <f>IF('⚙ OFF Weekends'!$D$54="OFF","OFF","")</f>
        <v/>
      </c>
      <c r="BH31" s="56" t="str">
        <f>IF('⚙ OFF Weekends'!$D$55="OFF","OFF","")</f>
        <v/>
      </c>
      <c r="BI31" s="54" t="str">
        <f>IF('⚙ OFF Weekends'!$D$56="OFF","OFF","")</f>
        <v/>
      </c>
      <c r="BJ31" s="56" t="str">
        <f>IF('⚙ OFF Weekends'!$D$57="OFF","OFF","")</f>
        <v/>
      </c>
      <c r="BK31" s="54" t="str">
        <f>IF('⚙ OFF Weekends'!$D$58="OFF","OFF","")</f>
        <v/>
      </c>
      <c r="BL31" s="56" t="str">
        <f>IF('⚙ OFF Weekends'!$D$59="OFF","OFF","")</f>
        <v/>
      </c>
      <c r="BM31" s="54" t="str">
        <f>IF('⚙ OFF Weekends'!$D$60="OFF","OFF","")</f>
        <v/>
      </c>
      <c r="BN31" s="56" t="str">
        <f>IF('⚙ OFF Weekends'!$D$61="OFF","OFF","")</f>
        <v/>
      </c>
      <c r="BO31" s="54" t="str">
        <f>IF('⚙ OFF Weekends'!$D$62="OFF","OFF","")</f>
        <v/>
      </c>
      <c r="BP31" s="56" t="str">
        <f>IF('⚙ OFF Weekends'!$D$63="OFF","OFF","")</f>
        <v/>
      </c>
      <c r="BQ31" s="54" t="str">
        <f>IF('⚙ OFF Weekends'!$D$64="OFF","OFF","")</f>
        <v/>
      </c>
      <c r="BR31" s="56" t="str">
        <f>IF('⚙ OFF Weekends'!$D$65="OFF","OFF","")</f>
        <v/>
      </c>
      <c r="BS31" s="54" t="str">
        <f>IF('⚙ OFF Weekends'!$D$66="OFF","OFF","")</f>
        <v/>
      </c>
      <c r="BT31" s="56" t="str">
        <f>IF('⚙ OFF Weekends'!$D$67="OFF","OFF","")</f>
        <v/>
      </c>
      <c r="BU31" s="54" t="str">
        <f>IF('⚙ OFF Weekends'!$D$68="OFF","OFF","")</f>
        <v/>
      </c>
      <c r="BV31" s="56" t="str">
        <f>IF('⚙ OFF Weekends'!$D$69="OFF","OFF","")</f>
        <v/>
      </c>
      <c r="BW31" s="54" t="str">
        <f>IF('⚙ OFF Weekends'!$D$70="OFF","OFF","")</f>
        <v/>
      </c>
      <c r="BX31" s="56" t="str">
        <f>IF('⚙ OFF Weekends'!$D$71="OFF","OFF","")</f>
        <v/>
      </c>
      <c r="BY31" s="54" t="str">
        <f>IF('⚙ OFF Weekends'!$D$72="OFF","OFF","")</f>
        <v/>
      </c>
      <c r="BZ31" s="56" t="str">
        <f>IF('⚙ OFF Weekends'!$D$73="OFF","OFF","")</f>
        <v/>
      </c>
      <c r="CA31" s="54" t="str">
        <f>IF('⚙ OFF Weekends'!$D$74="OFF","OFF","")</f>
        <v/>
      </c>
      <c r="CB31" s="56" t="str">
        <f>IF('⚙ OFF Weekends'!$D$75="OFF","OFF","")</f>
        <v/>
      </c>
      <c r="CC31" s="54" t="str">
        <f>IF('⚙ OFF Weekends'!$D$76="OFF","OFF","")</f>
        <v/>
      </c>
      <c r="CD31" s="56" t="str">
        <f>IF('⚙ OFF Weekends'!$D$77="OFF","OFF","")</f>
        <v/>
      </c>
      <c r="CE31" s="95">
        <f t="shared" si="9"/>
        <v>11</v>
      </c>
      <c r="CF31" s="95">
        <f t="shared" si="10"/>
        <v>7</v>
      </c>
      <c r="CG31" s="95">
        <f t="shared" si="11"/>
        <v>0</v>
      </c>
      <c r="CH31" s="95" t="str">
        <f t="shared" si="12"/>
        <v>61%</v>
      </c>
    </row>
    <row r="32" ht="18.0" customHeight="1">
      <c r="A32" s="96">
        <v>10.0</v>
      </c>
      <c r="B32" s="22" t="s">
        <v>778</v>
      </c>
      <c r="C32" s="23" t="s">
        <v>779</v>
      </c>
      <c r="D32" s="24" t="str">
        <f t="shared" si="7"/>
        <v>📞 Call</v>
      </c>
      <c r="E32" s="41" t="str">
        <f t="shared" si="8"/>
        <v>💬 WhatsApp</v>
      </c>
      <c r="F32" s="20"/>
      <c r="G32" s="20" t="s">
        <v>584</v>
      </c>
      <c r="H32" s="20"/>
      <c r="I32" s="79" t="s">
        <v>223</v>
      </c>
      <c r="J32" s="50" t="s">
        <v>37</v>
      </c>
      <c r="K32" s="49" t="s">
        <v>197</v>
      </c>
      <c r="L32" s="79" t="s">
        <v>223</v>
      </c>
      <c r="M32" s="50" t="s">
        <v>37</v>
      </c>
      <c r="N32" s="48" t="s">
        <v>196</v>
      </c>
      <c r="O32" s="79" t="s">
        <v>223</v>
      </c>
      <c r="P32" s="79" t="s">
        <v>223</v>
      </c>
      <c r="Q32" s="48" t="s">
        <v>196</v>
      </c>
      <c r="R32" s="50" t="s">
        <v>37</v>
      </c>
      <c r="S32" s="52" t="s">
        <v>223</v>
      </c>
      <c r="T32" s="53" t="s">
        <v>223</v>
      </c>
      <c r="U32" s="52" t="s">
        <v>223</v>
      </c>
      <c r="V32" s="53" t="s">
        <v>223</v>
      </c>
      <c r="W32" s="54" t="str">
        <f>IF('⚙ OFF Weekends'!$D$18="OFF","OFF","")</f>
        <v>OFF</v>
      </c>
      <c r="X32" s="53" t="s">
        <v>223</v>
      </c>
      <c r="Y32" s="52" t="s">
        <v>296</v>
      </c>
      <c r="Z32" s="53" t="s">
        <v>196</v>
      </c>
      <c r="AA32" s="52" t="s">
        <v>223</v>
      </c>
      <c r="AB32" s="53" t="s">
        <v>196</v>
      </c>
      <c r="AC32" s="54" t="str">
        <f>IF('⚙ OFF Weekends'!$D$24="OFF","OFF","")</f>
        <v/>
      </c>
      <c r="AD32" s="56" t="str">
        <f>IF('⚙ OFF Weekends'!$D$25="OFF","OFF","")</f>
        <v/>
      </c>
      <c r="AE32" s="54" t="str">
        <f>IF('⚙ OFF Weekends'!$D$26="OFF","OFF","")</f>
        <v/>
      </c>
      <c r="AF32" s="56" t="str">
        <f>IF('⚙ OFF Weekends'!$D$27="OFF","OFF","")</f>
        <v/>
      </c>
      <c r="AG32" s="54" t="str">
        <f>IF('⚙ OFF Weekends'!$D$28="OFF","OFF","")</f>
        <v/>
      </c>
      <c r="AH32" s="56" t="str">
        <f>IF('⚙ OFF Weekends'!$D$29="OFF","OFF","")</f>
        <v/>
      </c>
      <c r="AI32" s="54" t="str">
        <f>IF('⚙ OFF Weekends'!$D$30="OFF","OFF","")</f>
        <v/>
      </c>
      <c r="AJ32" s="56" t="str">
        <f>IF('⚙ OFF Weekends'!$D$31="OFF","OFF","")</f>
        <v/>
      </c>
      <c r="AK32" s="54" t="str">
        <f>IF('⚙ OFF Weekends'!$D$32="OFF","OFF","")</f>
        <v/>
      </c>
      <c r="AL32" s="56" t="str">
        <f>IF('⚙ OFF Weekends'!$D$33="OFF","OFF","")</f>
        <v/>
      </c>
      <c r="AM32" s="54" t="str">
        <f>IF('⚙ OFF Weekends'!$D$34="OFF","OFF","")</f>
        <v/>
      </c>
      <c r="AN32" s="56" t="str">
        <f>IF('⚙ OFF Weekends'!$D$35="OFF","OFF","")</f>
        <v/>
      </c>
      <c r="AO32" s="54" t="str">
        <f>IF('⚙ OFF Weekends'!$D$36="OFF","OFF","")</f>
        <v/>
      </c>
      <c r="AP32" s="56" t="str">
        <f>IF('⚙ OFF Weekends'!$D$37="OFF","OFF","")</f>
        <v/>
      </c>
      <c r="AQ32" s="54" t="str">
        <f>IF('⚙ OFF Weekends'!$D$38="OFF","OFF","")</f>
        <v/>
      </c>
      <c r="AR32" s="56" t="str">
        <f>IF('⚙ OFF Weekends'!$D$39="OFF","OFF","")</f>
        <v/>
      </c>
      <c r="AS32" s="54" t="str">
        <f>IF('⚙ OFF Weekends'!$D$40="OFF","OFF","")</f>
        <v/>
      </c>
      <c r="AT32" s="56" t="str">
        <f>IF('⚙ OFF Weekends'!$D$41="OFF","OFF","")</f>
        <v/>
      </c>
      <c r="AU32" s="54" t="str">
        <f>IF('⚙ OFF Weekends'!$D$42="OFF","OFF","")</f>
        <v/>
      </c>
      <c r="AV32" s="56" t="str">
        <f>IF('⚙ OFF Weekends'!$D$43="OFF","OFF","")</f>
        <v/>
      </c>
      <c r="AW32" s="54" t="str">
        <f>IF('⚙ OFF Weekends'!$D$44="OFF","OFF","")</f>
        <v/>
      </c>
      <c r="AX32" s="56" t="str">
        <f>IF('⚙ OFF Weekends'!$D$45="OFF","OFF","")</f>
        <v/>
      </c>
      <c r="AY32" s="54" t="str">
        <f>IF('⚙ OFF Weekends'!$D$46="OFF","OFF","")</f>
        <v/>
      </c>
      <c r="AZ32" s="56" t="str">
        <f>IF('⚙ OFF Weekends'!$D$47="OFF","OFF","")</f>
        <v/>
      </c>
      <c r="BA32" s="54" t="str">
        <f>IF('⚙ OFF Weekends'!$D$48="OFF","OFF","")</f>
        <v/>
      </c>
      <c r="BB32" s="56" t="str">
        <f>IF('⚙ OFF Weekends'!$D$49="OFF","OFF","")</f>
        <v/>
      </c>
      <c r="BC32" s="54" t="str">
        <f>IF('⚙ OFF Weekends'!$D$50="OFF","OFF","")</f>
        <v/>
      </c>
      <c r="BD32" s="56" t="str">
        <f>IF('⚙ OFF Weekends'!$D$51="OFF","OFF","")</f>
        <v/>
      </c>
      <c r="BE32" s="54" t="str">
        <f>IF('⚙ OFF Weekends'!$D$52="OFF","OFF","")</f>
        <v/>
      </c>
      <c r="BF32" s="56" t="str">
        <f>IF('⚙ OFF Weekends'!$D$53="OFF","OFF","")</f>
        <v/>
      </c>
      <c r="BG32" s="54" t="str">
        <f>IF('⚙ OFF Weekends'!$D$54="OFF","OFF","")</f>
        <v/>
      </c>
      <c r="BH32" s="56" t="str">
        <f>IF('⚙ OFF Weekends'!$D$55="OFF","OFF","")</f>
        <v/>
      </c>
      <c r="BI32" s="54" t="str">
        <f>IF('⚙ OFF Weekends'!$D$56="OFF","OFF","")</f>
        <v/>
      </c>
      <c r="BJ32" s="56" t="str">
        <f>IF('⚙ OFF Weekends'!$D$57="OFF","OFF","")</f>
        <v/>
      </c>
      <c r="BK32" s="54" t="str">
        <f>IF('⚙ OFF Weekends'!$D$58="OFF","OFF","")</f>
        <v/>
      </c>
      <c r="BL32" s="56" t="str">
        <f>IF('⚙ OFF Weekends'!$D$59="OFF","OFF","")</f>
        <v/>
      </c>
      <c r="BM32" s="54" t="str">
        <f>IF('⚙ OFF Weekends'!$D$60="OFF","OFF","")</f>
        <v/>
      </c>
      <c r="BN32" s="56" t="str">
        <f>IF('⚙ OFF Weekends'!$D$61="OFF","OFF","")</f>
        <v/>
      </c>
      <c r="BO32" s="54" t="str">
        <f>IF('⚙ OFF Weekends'!$D$62="OFF","OFF","")</f>
        <v/>
      </c>
      <c r="BP32" s="56" t="str">
        <f>IF('⚙ OFF Weekends'!$D$63="OFF","OFF","")</f>
        <v/>
      </c>
      <c r="BQ32" s="54" t="str">
        <f>IF('⚙ OFF Weekends'!$D$64="OFF","OFF","")</f>
        <v/>
      </c>
      <c r="BR32" s="56" t="str">
        <f>IF('⚙ OFF Weekends'!$D$65="OFF","OFF","")</f>
        <v/>
      </c>
      <c r="BS32" s="54" t="str">
        <f>IF('⚙ OFF Weekends'!$D$66="OFF","OFF","")</f>
        <v/>
      </c>
      <c r="BT32" s="56" t="str">
        <f>IF('⚙ OFF Weekends'!$D$67="OFF","OFF","")</f>
        <v/>
      </c>
      <c r="BU32" s="54" t="str">
        <f>IF('⚙ OFF Weekends'!$D$68="OFF","OFF","")</f>
        <v/>
      </c>
      <c r="BV32" s="56" t="str">
        <f>IF('⚙ OFF Weekends'!$D$69="OFF","OFF","")</f>
        <v/>
      </c>
      <c r="BW32" s="54" t="str">
        <f>IF('⚙ OFF Weekends'!$D$70="OFF","OFF","")</f>
        <v/>
      </c>
      <c r="BX32" s="56" t="str">
        <f>IF('⚙ OFF Weekends'!$D$71="OFF","OFF","")</f>
        <v/>
      </c>
      <c r="BY32" s="54" t="str">
        <f>IF('⚙ OFF Weekends'!$D$72="OFF","OFF","")</f>
        <v/>
      </c>
      <c r="BZ32" s="56" t="str">
        <f>IF('⚙ OFF Weekends'!$D$73="OFF","OFF","")</f>
        <v/>
      </c>
      <c r="CA32" s="54" t="str">
        <f>IF('⚙ OFF Weekends'!$D$74="OFF","OFF","")</f>
        <v/>
      </c>
      <c r="CB32" s="56" t="str">
        <f>IF('⚙ OFF Weekends'!$D$75="OFF","OFF","")</f>
        <v/>
      </c>
      <c r="CC32" s="54" t="str">
        <f>IF('⚙ OFF Weekends'!$D$76="OFF","OFF","")</f>
        <v/>
      </c>
      <c r="CD32" s="56" t="str">
        <f>IF('⚙ OFF Weekends'!$D$77="OFF","OFF","")</f>
        <v/>
      </c>
      <c r="CE32" s="96">
        <f t="shared" si="9"/>
        <v>7</v>
      </c>
      <c r="CF32" s="96">
        <f t="shared" si="10"/>
        <v>10</v>
      </c>
      <c r="CG32" s="96">
        <f t="shared" si="11"/>
        <v>0</v>
      </c>
      <c r="CH32" s="96" t="str">
        <f t="shared" si="12"/>
        <v>41%</v>
      </c>
    </row>
    <row r="33" ht="18.0" customHeight="1">
      <c r="A33" s="95">
        <v>11.0</v>
      </c>
      <c r="B33" s="12" t="s">
        <v>782</v>
      </c>
      <c r="C33" s="14"/>
      <c r="D33" s="17" t="str">
        <f t="shared" si="7"/>
        <v/>
      </c>
      <c r="E33" s="28" t="str">
        <f t="shared" si="8"/>
        <v/>
      </c>
      <c r="F33" s="10"/>
      <c r="G33" s="10"/>
      <c r="H33" s="10"/>
      <c r="I33" s="102" t="s">
        <v>348</v>
      </c>
      <c r="J33" s="102" t="s">
        <v>348</v>
      </c>
      <c r="K33" s="49" t="s">
        <v>197</v>
      </c>
      <c r="L33" s="56" t="str">
        <f>IF('⚙ OFF Weekends'!$D$7="OFF","OFF","")</f>
        <v/>
      </c>
      <c r="M33" s="48" t="s">
        <v>196</v>
      </c>
      <c r="N33" s="79" t="s">
        <v>223</v>
      </c>
      <c r="O33" s="79" t="s">
        <v>223</v>
      </c>
      <c r="P33" s="79" t="s">
        <v>223</v>
      </c>
      <c r="Q33" s="79" t="s">
        <v>223</v>
      </c>
      <c r="R33" s="79" t="s">
        <v>223</v>
      </c>
      <c r="S33" s="52" t="s">
        <v>196</v>
      </c>
      <c r="T33" s="53" t="s">
        <v>196</v>
      </c>
      <c r="U33" s="52" t="s">
        <v>223</v>
      </c>
      <c r="V33" s="53" t="s">
        <v>223</v>
      </c>
      <c r="W33" s="54" t="str">
        <f>IF('⚙ OFF Weekends'!$D$18="OFF","OFF","")</f>
        <v>OFF</v>
      </c>
      <c r="X33" s="53" t="s">
        <v>198</v>
      </c>
      <c r="Y33" s="52" t="s">
        <v>223</v>
      </c>
      <c r="Z33" s="53" t="s">
        <v>223</v>
      </c>
      <c r="AA33" s="52" t="s">
        <v>296</v>
      </c>
      <c r="AB33" s="53" t="s">
        <v>296</v>
      </c>
      <c r="AC33" s="54" t="str">
        <f>IF('⚙ OFF Weekends'!$D$24="OFF","OFF","")</f>
        <v/>
      </c>
      <c r="AD33" s="56" t="str">
        <f>IF('⚙ OFF Weekends'!$D$25="OFF","OFF","")</f>
        <v/>
      </c>
      <c r="AE33" s="54" t="str">
        <f>IF('⚙ OFF Weekends'!$D$26="OFF","OFF","")</f>
        <v/>
      </c>
      <c r="AF33" s="56" t="str">
        <f>IF('⚙ OFF Weekends'!$D$27="OFF","OFF","")</f>
        <v/>
      </c>
      <c r="AG33" s="54" t="str">
        <f>IF('⚙ OFF Weekends'!$D$28="OFF","OFF","")</f>
        <v/>
      </c>
      <c r="AH33" s="56" t="str">
        <f>IF('⚙ OFF Weekends'!$D$29="OFF","OFF","")</f>
        <v/>
      </c>
      <c r="AI33" s="54" t="str">
        <f>IF('⚙ OFF Weekends'!$D$30="OFF","OFF","")</f>
        <v/>
      </c>
      <c r="AJ33" s="56" t="str">
        <f>IF('⚙ OFF Weekends'!$D$31="OFF","OFF","")</f>
        <v/>
      </c>
      <c r="AK33" s="54" t="str">
        <f>IF('⚙ OFF Weekends'!$D$32="OFF","OFF","")</f>
        <v/>
      </c>
      <c r="AL33" s="56" t="str">
        <f>IF('⚙ OFF Weekends'!$D$33="OFF","OFF","")</f>
        <v/>
      </c>
      <c r="AM33" s="54" t="str">
        <f>IF('⚙ OFF Weekends'!$D$34="OFF","OFF","")</f>
        <v/>
      </c>
      <c r="AN33" s="56" t="str">
        <f>IF('⚙ OFF Weekends'!$D$35="OFF","OFF","")</f>
        <v/>
      </c>
      <c r="AO33" s="54" t="str">
        <f>IF('⚙ OFF Weekends'!$D$36="OFF","OFF","")</f>
        <v/>
      </c>
      <c r="AP33" s="56" t="str">
        <f>IF('⚙ OFF Weekends'!$D$37="OFF","OFF","")</f>
        <v/>
      </c>
      <c r="AQ33" s="54" t="str">
        <f>IF('⚙ OFF Weekends'!$D$38="OFF","OFF","")</f>
        <v/>
      </c>
      <c r="AR33" s="56" t="str">
        <f>IF('⚙ OFF Weekends'!$D$39="OFF","OFF","")</f>
        <v/>
      </c>
      <c r="AS33" s="54" t="str">
        <f>IF('⚙ OFF Weekends'!$D$40="OFF","OFF","")</f>
        <v/>
      </c>
      <c r="AT33" s="56" t="str">
        <f>IF('⚙ OFF Weekends'!$D$41="OFF","OFF","")</f>
        <v/>
      </c>
      <c r="AU33" s="54" t="str">
        <f>IF('⚙ OFF Weekends'!$D$42="OFF","OFF","")</f>
        <v/>
      </c>
      <c r="AV33" s="56" t="str">
        <f>IF('⚙ OFF Weekends'!$D$43="OFF","OFF","")</f>
        <v/>
      </c>
      <c r="AW33" s="54" t="str">
        <f>IF('⚙ OFF Weekends'!$D$44="OFF","OFF","")</f>
        <v/>
      </c>
      <c r="AX33" s="56" t="str">
        <f>IF('⚙ OFF Weekends'!$D$45="OFF","OFF","")</f>
        <v/>
      </c>
      <c r="AY33" s="54" t="str">
        <f>IF('⚙ OFF Weekends'!$D$46="OFF","OFF","")</f>
        <v/>
      </c>
      <c r="AZ33" s="56" t="str">
        <f>IF('⚙ OFF Weekends'!$D$47="OFF","OFF","")</f>
        <v/>
      </c>
      <c r="BA33" s="54" t="str">
        <f>IF('⚙ OFF Weekends'!$D$48="OFF","OFF","")</f>
        <v/>
      </c>
      <c r="BB33" s="56" t="str">
        <f>IF('⚙ OFF Weekends'!$D$49="OFF","OFF","")</f>
        <v/>
      </c>
      <c r="BC33" s="54" t="str">
        <f>IF('⚙ OFF Weekends'!$D$50="OFF","OFF","")</f>
        <v/>
      </c>
      <c r="BD33" s="56" t="str">
        <f>IF('⚙ OFF Weekends'!$D$51="OFF","OFF","")</f>
        <v/>
      </c>
      <c r="BE33" s="54" t="str">
        <f>IF('⚙ OFF Weekends'!$D$52="OFF","OFF","")</f>
        <v/>
      </c>
      <c r="BF33" s="56" t="str">
        <f>IF('⚙ OFF Weekends'!$D$53="OFF","OFF","")</f>
        <v/>
      </c>
      <c r="BG33" s="54" t="str">
        <f>IF('⚙ OFF Weekends'!$D$54="OFF","OFF","")</f>
        <v/>
      </c>
      <c r="BH33" s="56" t="str">
        <f>IF('⚙ OFF Weekends'!$D$55="OFF","OFF","")</f>
        <v/>
      </c>
      <c r="BI33" s="54" t="str">
        <f>IF('⚙ OFF Weekends'!$D$56="OFF","OFF","")</f>
        <v/>
      </c>
      <c r="BJ33" s="56" t="str">
        <f>IF('⚙ OFF Weekends'!$D$57="OFF","OFF","")</f>
        <v/>
      </c>
      <c r="BK33" s="54" t="str">
        <f>IF('⚙ OFF Weekends'!$D$58="OFF","OFF","")</f>
        <v/>
      </c>
      <c r="BL33" s="56" t="str">
        <f>IF('⚙ OFF Weekends'!$D$59="OFF","OFF","")</f>
        <v/>
      </c>
      <c r="BM33" s="54" t="str">
        <f>IF('⚙ OFF Weekends'!$D$60="OFF","OFF","")</f>
        <v/>
      </c>
      <c r="BN33" s="56" t="str">
        <f>IF('⚙ OFF Weekends'!$D$61="OFF","OFF","")</f>
        <v/>
      </c>
      <c r="BO33" s="54" t="str">
        <f>IF('⚙ OFF Weekends'!$D$62="OFF","OFF","")</f>
        <v/>
      </c>
      <c r="BP33" s="56" t="str">
        <f>IF('⚙ OFF Weekends'!$D$63="OFF","OFF","")</f>
        <v/>
      </c>
      <c r="BQ33" s="54" t="str">
        <f>IF('⚙ OFF Weekends'!$D$64="OFF","OFF","")</f>
        <v/>
      </c>
      <c r="BR33" s="56" t="str">
        <f>IF('⚙ OFF Weekends'!$D$65="OFF","OFF","")</f>
        <v/>
      </c>
      <c r="BS33" s="54" t="str">
        <f>IF('⚙ OFF Weekends'!$D$66="OFF","OFF","")</f>
        <v/>
      </c>
      <c r="BT33" s="56" t="str">
        <f>IF('⚙ OFF Weekends'!$D$67="OFF","OFF","")</f>
        <v/>
      </c>
      <c r="BU33" s="54" t="str">
        <f>IF('⚙ OFF Weekends'!$D$68="OFF","OFF","")</f>
        <v/>
      </c>
      <c r="BV33" s="56" t="str">
        <f>IF('⚙ OFF Weekends'!$D$69="OFF","OFF","")</f>
        <v/>
      </c>
      <c r="BW33" s="54" t="str">
        <f>IF('⚙ OFF Weekends'!$D$70="OFF","OFF","")</f>
        <v/>
      </c>
      <c r="BX33" s="56" t="str">
        <f>IF('⚙ OFF Weekends'!$D$71="OFF","OFF","")</f>
        <v/>
      </c>
      <c r="BY33" s="54" t="str">
        <f>IF('⚙ OFF Weekends'!$D$72="OFF","OFF","")</f>
        <v/>
      </c>
      <c r="BZ33" s="56" t="str">
        <f>IF('⚙ OFF Weekends'!$D$73="OFF","OFF","")</f>
        <v/>
      </c>
      <c r="CA33" s="54" t="str">
        <f>IF('⚙ OFF Weekends'!$D$74="OFF","OFF","")</f>
        <v/>
      </c>
      <c r="CB33" s="56" t="str">
        <f>IF('⚙ OFF Weekends'!$D$75="OFF","OFF","")</f>
        <v/>
      </c>
      <c r="CC33" s="54" t="str">
        <f>IF('⚙ OFF Weekends'!$D$76="OFF","OFF","")</f>
        <v/>
      </c>
      <c r="CD33" s="56" t="str">
        <f>IF('⚙ OFF Weekends'!$D$77="OFF","OFF","")</f>
        <v/>
      </c>
      <c r="CE33" s="95">
        <f t="shared" si="9"/>
        <v>3</v>
      </c>
      <c r="CF33" s="95">
        <f t="shared" si="10"/>
        <v>9</v>
      </c>
      <c r="CG33" s="95">
        <f t="shared" si="11"/>
        <v>1</v>
      </c>
      <c r="CH33" s="95" t="str">
        <f t="shared" si="12"/>
        <v>25%</v>
      </c>
    </row>
    <row r="34" ht="18.0" customHeight="1">
      <c r="A34" s="96">
        <v>12.0</v>
      </c>
      <c r="B34" s="22" t="s">
        <v>785</v>
      </c>
      <c r="C34" s="23"/>
      <c r="D34" s="24" t="str">
        <f t="shared" si="7"/>
        <v/>
      </c>
      <c r="E34" s="26" t="str">
        <f t="shared" si="8"/>
        <v/>
      </c>
      <c r="F34" s="20"/>
      <c r="G34" s="20"/>
      <c r="H34" s="20"/>
      <c r="I34" s="102" t="s">
        <v>348</v>
      </c>
      <c r="J34" s="102" t="s">
        <v>348</v>
      </c>
      <c r="K34" s="49" t="s">
        <v>197</v>
      </c>
      <c r="L34" s="56" t="str">
        <f>IF('⚙ OFF Weekends'!$D$7="OFF","OFF","")</f>
        <v/>
      </c>
      <c r="M34" s="48" t="s">
        <v>196</v>
      </c>
      <c r="N34" s="79" t="s">
        <v>223</v>
      </c>
      <c r="O34" s="77" t="s">
        <v>198</v>
      </c>
      <c r="P34" s="79" t="s">
        <v>223</v>
      </c>
      <c r="Q34" s="77" t="s">
        <v>198</v>
      </c>
      <c r="R34" s="48" t="s">
        <v>196</v>
      </c>
      <c r="S34" s="52" t="s">
        <v>223</v>
      </c>
      <c r="T34" s="53" t="s">
        <v>196</v>
      </c>
      <c r="U34" s="52" t="s">
        <v>223</v>
      </c>
      <c r="V34" s="53" t="s">
        <v>223</v>
      </c>
      <c r="W34" s="54" t="str">
        <f>IF('⚙ OFF Weekends'!$D$18="OFF","OFF","")</f>
        <v>OFF</v>
      </c>
      <c r="X34" s="53" t="s">
        <v>223</v>
      </c>
      <c r="Y34" s="52" t="s">
        <v>223</v>
      </c>
      <c r="Z34" s="53" t="s">
        <v>196</v>
      </c>
      <c r="AA34" s="52" t="s">
        <v>223</v>
      </c>
      <c r="AB34" s="53" t="s">
        <v>223</v>
      </c>
      <c r="AC34" s="54" t="str">
        <f>IF('⚙ OFF Weekends'!$D$24="OFF","OFF","")</f>
        <v/>
      </c>
      <c r="AD34" s="56" t="str">
        <f>IF('⚙ OFF Weekends'!$D$25="OFF","OFF","")</f>
        <v/>
      </c>
      <c r="AE34" s="54" t="str">
        <f>IF('⚙ OFF Weekends'!$D$26="OFF","OFF","")</f>
        <v/>
      </c>
      <c r="AF34" s="56" t="str">
        <f>IF('⚙ OFF Weekends'!$D$27="OFF","OFF","")</f>
        <v/>
      </c>
      <c r="AG34" s="54" t="str">
        <f>IF('⚙ OFF Weekends'!$D$28="OFF","OFF","")</f>
        <v/>
      </c>
      <c r="AH34" s="56" t="str">
        <f>IF('⚙ OFF Weekends'!$D$29="OFF","OFF","")</f>
        <v/>
      </c>
      <c r="AI34" s="54" t="str">
        <f>IF('⚙ OFF Weekends'!$D$30="OFF","OFF","")</f>
        <v/>
      </c>
      <c r="AJ34" s="56" t="str">
        <f>IF('⚙ OFF Weekends'!$D$31="OFF","OFF","")</f>
        <v/>
      </c>
      <c r="AK34" s="54" t="str">
        <f>IF('⚙ OFF Weekends'!$D$32="OFF","OFF","")</f>
        <v/>
      </c>
      <c r="AL34" s="56" t="str">
        <f>IF('⚙ OFF Weekends'!$D$33="OFF","OFF","")</f>
        <v/>
      </c>
      <c r="AM34" s="54" t="str">
        <f>IF('⚙ OFF Weekends'!$D$34="OFF","OFF","")</f>
        <v/>
      </c>
      <c r="AN34" s="56" t="str">
        <f>IF('⚙ OFF Weekends'!$D$35="OFF","OFF","")</f>
        <v/>
      </c>
      <c r="AO34" s="54" t="str">
        <f>IF('⚙ OFF Weekends'!$D$36="OFF","OFF","")</f>
        <v/>
      </c>
      <c r="AP34" s="56" t="str">
        <f>IF('⚙ OFF Weekends'!$D$37="OFF","OFF","")</f>
        <v/>
      </c>
      <c r="AQ34" s="54" t="str">
        <f>IF('⚙ OFF Weekends'!$D$38="OFF","OFF","")</f>
        <v/>
      </c>
      <c r="AR34" s="56" t="str">
        <f>IF('⚙ OFF Weekends'!$D$39="OFF","OFF","")</f>
        <v/>
      </c>
      <c r="AS34" s="54" t="str">
        <f>IF('⚙ OFF Weekends'!$D$40="OFF","OFF","")</f>
        <v/>
      </c>
      <c r="AT34" s="56" t="str">
        <f>IF('⚙ OFF Weekends'!$D$41="OFF","OFF","")</f>
        <v/>
      </c>
      <c r="AU34" s="54" t="str">
        <f>IF('⚙ OFF Weekends'!$D$42="OFF","OFF","")</f>
        <v/>
      </c>
      <c r="AV34" s="56" t="str">
        <f>IF('⚙ OFF Weekends'!$D$43="OFF","OFF","")</f>
        <v/>
      </c>
      <c r="AW34" s="54" t="str">
        <f>IF('⚙ OFF Weekends'!$D$44="OFF","OFF","")</f>
        <v/>
      </c>
      <c r="AX34" s="56" t="str">
        <f>IF('⚙ OFF Weekends'!$D$45="OFF","OFF","")</f>
        <v/>
      </c>
      <c r="AY34" s="54" t="str">
        <f>IF('⚙ OFF Weekends'!$D$46="OFF","OFF","")</f>
        <v/>
      </c>
      <c r="AZ34" s="56" t="str">
        <f>IF('⚙ OFF Weekends'!$D$47="OFF","OFF","")</f>
        <v/>
      </c>
      <c r="BA34" s="54" t="str">
        <f>IF('⚙ OFF Weekends'!$D$48="OFF","OFF","")</f>
        <v/>
      </c>
      <c r="BB34" s="56" t="str">
        <f>IF('⚙ OFF Weekends'!$D$49="OFF","OFF","")</f>
        <v/>
      </c>
      <c r="BC34" s="54" t="str">
        <f>IF('⚙ OFF Weekends'!$D$50="OFF","OFF","")</f>
        <v/>
      </c>
      <c r="BD34" s="56" t="str">
        <f>IF('⚙ OFF Weekends'!$D$51="OFF","OFF","")</f>
        <v/>
      </c>
      <c r="BE34" s="54" t="str">
        <f>IF('⚙ OFF Weekends'!$D$52="OFF","OFF","")</f>
        <v/>
      </c>
      <c r="BF34" s="56" t="str">
        <f>IF('⚙ OFF Weekends'!$D$53="OFF","OFF","")</f>
        <v/>
      </c>
      <c r="BG34" s="54" t="str">
        <f>IF('⚙ OFF Weekends'!$D$54="OFF","OFF","")</f>
        <v/>
      </c>
      <c r="BH34" s="56" t="str">
        <f>IF('⚙ OFF Weekends'!$D$55="OFF","OFF","")</f>
        <v/>
      </c>
      <c r="BI34" s="54" t="str">
        <f>IF('⚙ OFF Weekends'!$D$56="OFF","OFF","")</f>
        <v/>
      </c>
      <c r="BJ34" s="56" t="str">
        <f>IF('⚙ OFF Weekends'!$D$57="OFF","OFF","")</f>
        <v/>
      </c>
      <c r="BK34" s="54" t="str">
        <f>IF('⚙ OFF Weekends'!$D$58="OFF","OFF","")</f>
        <v/>
      </c>
      <c r="BL34" s="56" t="str">
        <f>IF('⚙ OFF Weekends'!$D$59="OFF","OFF","")</f>
        <v/>
      </c>
      <c r="BM34" s="54" t="str">
        <f>IF('⚙ OFF Weekends'!$D$60="OFF","OFF","")</f>
        <v/>
      </c>
      <c r="BN34" s="56" t="str">
        <f>IF('⚙ OFF Weekends'!$D$61="OFF","OFF","")</f>
        <v/>
      </c>
      <c r="BO34" s="54" t="str">
        <f>IF('⚙ OFF Weekends'!$D$62="OFF","OFF","")</f>
        <v/>
      </c>
      <c r="BP34" s="56" t="str">
        <f>IF('⚙ OFF Weekends'!$D$63="OFF","OFF","")</f>
        <v/>
      </c>
      <c r="BQ34" s="54" t="str">
        <f>IF('⚙ OFF Weekends'!$D$64="OFF","OFF","")</f>
        <v/>
      </c>
      <c r="BR34" s="56" t="str">
        <f>IF('⚙ OFF Weekends'!$D$65="OFF","OFF","")</f>
        <v/>
      </c>
      <c r="BS34" s="54" t="str">
        <f>IF('⚙ OFF Weekends'!$D$66="OFF","OFF","")</f>
        <v/>
      </c>
      <c r="BT34" s="56" t="str">
        <f>IF('⚙ OFF Weekends'!$D$67="OFF","OFF","")</f>
        <v/>
      </c>
      <c r="BU34" s="54" t="str">
        <f>IF('⚙ OFF Weekends'!$D$68="OFF","OFF","")</f>
        <v/>
      </c>
      <c r="BV34" s="56" t="str">
        <f>IF('⚙ OFF Weekends'!$D$69="OFF","OFF","")</f>
        <v/>
      </c>
      <c r="BW34" s="54" t="str">
        <f>IF('⚙ OFF Weekends'!$D$70="OFF","OFF","")</f>
        <v/>
      </c>
      <c r="BX34" s="56" t="str">
        <f>IF('⚙ OFF Weekends'!$D$71="OFF","OFF","")</f>
        <v/>
      </c>
      <c r="BY34" s="54" t="str">
        <f>IF('⚙ OFF Weekends'!$D$72="OFF","OFF","")</f>
        <v/>
      </c>
      <c r="BZ34" s="56" t="str">
        <f>IF('⚙ OFF Weekends'!$D$73="OFF","OFF","")</f>
        <v/>
      </c>
      <c r="CA34" s="54" t="str">
        <f>IF('⚙ OFF Weekends'!$D$74="OFF","OFF","")</f>
        <v/>
      </c>
      <c r="CB34" s="56" t="str">
        <f>IF('⚙ OFF Weekends'!$D$75="OFF","OFF","")</f>
        <v/>
      </c>
      <c r="CC34" s="54" t="str">
        <f>IF('⚙ OFF Weekends'!$D$76="OFF","OFF","")</f>
        <v/>
      </c>
      <c r="CD34" s="56" t="str">
        <f>IF('⚙ OFF Weekends'!$D$77="OFF","OFF","")</f>
        <v/>
      </c>
      <c r="CE34" s="96">
        <f t="shared" si="9"/>
        <v>4</v>
      </c>
      <c r="CF34" s="96">
        <f t="shared" si="10"/>
        <v>9</v>
      </c>
      <c r="CG34" s="96">
        <f t="shared" si="11"/>
        <v>2</v>
      </c>
      <c r="CH34" s="96" t="str">
        <f t="shared" si="12"/>
        <v>31%</v>
      </c>
    </row>
    <row r="35" ht="18.0" customHeight="1">
      <c r="A35" s="95">
        <v>13.0</v>
      </c>
      <c r="B35" s="12" t="s">
        <v>786</v>
      </c>
      <c r="C35" s="14"/>
      <c r="D35" s="17" t="str">
        <f t="shared" si="7"/>
        <v/>
      </c>
      <c r="E35" s="28" t="str">
        <f t="shared" si="8"/>
        <v/>
      </c>
      <c r="F35" s="10"/>
      <c r="G35" s="10"/>
      <c r="H35" s="10"/>
      <c r="I35" s="102" t="s">
        <v>348</v>
      </c>
      <c r="J35" s="102" t="s">
        <v>348</v>
      </c>
      <c r="K35" s="49" t="s">
        <v>197</v>
      </c>
      <c r="L35" s="56" t="str">
        <f>IF('⚙ OFF Weekends'!$D$7="OFF","OFF","")</f>
        <v/>
      </c>
      <c r="M35" s="48" t="s">
        <v>196</v>
      </c>
      <c r="N35" s="50" t="s">
        <v>37</v>
      </c>
      <c r="O35" s="48" t="s">
        <v>196</v>
      </c>
      <c r="P35" s="48" t="s">
        <v>196</v>
      </c>
      <c r="Q35" s="48" t="s">
        <v>196</v>
      </c>
      <c r="R35" s="48" t="s">
        <v>196</v>
      </c>
      <c r="S35" s="52" t="s">
        <v>196</v>
      </c>
      <c r="T35" s="53" t="s">
        <v>196</v>
      </c>
      <c r="U35" s="52" t="s">
        <v>196</v>
      </c>
      <c r="V35" s="53" t="s">
        <v>196</v>
      </c>
      <c r="W35" s="54" t="str">
        <f>IF('⚙ OFF Weekends'!$D$18="OFF","OFF","")</f>
        <v>OFF</v>
      </c>
      <c r="X35" s="53" t="s">
        <v>196</v>
      </c>
      <c r="Y35" s="52" t="s">
        <v>196</v>
      </c>
      <c r="Z35" s="53" t="s">
        <v>196</v>
      </c>
      <c r="AA35" s="52" t="s">
        <v>198</v>
      </c>
      <c r="AB35" s="53" t="s">
        <v>198</v>
      </c>
      <c r="AC35" s="54" t="str">
        <f>IF('⚙ OFF Weekends'!$D$24="OFF","OFF","")</f>
        <v/>
      </c>
      <c r="AD35" s="56" t="str">
        <f>IF('⚙ OFF Weekends'!$D$25="OFF","OFF","")</f>
        <v/>
      </c>
      <c r="AE35" s="54" t="str">
        <f>IF('⚙ OFF Weekends'!$D$26="OFF","OFF","")</f>
        <v/>
      </c>
      <c r="AF35" s="56" t="str">
        <f>IF('⚙ OFF Weekends'!$D$27="OFF","OFF","")</f>
        <v/>
      </c>
      <c r="AG35" s="54" t="str">
        <f>IF('⚙ OFF Weekends'!$D$28="OFF","OFF","")</f>
        <v/>
      </c>
      <c r="AH35" s="56" t="str">
        <f>IF('⚙ OFF Weekends'!$D$29="OFF","OFF","")</f>
        <v/>
      </c>
      <c r="AI35" s="54" t="str">
        <f>IF('⚙ OFF Weekends'!$D$30="OFF","OFF","")</f>
        <v/>
      </c>
      <c r="AJ35" s="56" t="str">
        <f>IF('⚙ OFF Weekends'!$D$31="OFF","OFF","")</f>
        <v/>
      </c>
      <c r="AK35" s="54" t="str">
        <f>IF('⚙ OFF Weekends'!$D$32="OFF","OFF","")</f>
        <v/>
      </c>
      <c r="AL35" s="56" t="str">
        <f>IF('⚙ OFF Weekends'!$D$33="OFF","OFF","")</f>
        <v/>
      </c>
      <c r="AM35" s="54" t="str">
        <f>IF('⚙ OFF Weekends'!$D$34="OFF","OFF","")</f>
        <v/>
      </c>
      <c r="AN35" s="56" t="str">
        <f>IF('⚙ OFF Weekends'!$D$35="OFF","OFF","")</f>
        <v/>
      </c>
      <c r="AO35" s="54" t="str">
        <f>IF('⚙ OFF Weekends'!$D$36="OFF","OFF","")</f>
        <v/>
      </c>
      <c r="AP35" s="56" t="str">
        <f>IF('⚙ OFF Weekends'!$D$37="OFF","OFF","")</f>
        <v/>
      </c>
      <c r="AQ35" s="54" t="str">
        <f>IF('⚙ OFF Weekends'!$D$38="OFF","OFF","")</f>
        <v/>
      </c>
      <c r="AR35" s="56" t="str">
        <f>IF('⚙ OFF Weekends'!$D$39="OFF","OFF","")</f>
        <v/>
      </c>
      <c r="AS35" s="54" t="str">
        <f>IF('⚙ OFF Weekends'!$D$40="OFF","OFF","")</f>
        <v/>
      </c>
      <c r="AT35" s="56" t="str">
        <f>IF('⚙ OFF Weekends'!$D$41="OFF","OFF","")</f>
        <v/>
      </c>
      <c r="AU35" s="54" t="str">
        <f>IF('⚙ OFF Weekends'!$D$42="OFF","OFF","")</f>
        <v/>
      </c>
      <c r="AV35" s="56" t="str">
        <f>IF('⚙ OFF Weekends'!$D$43="OFF","OFF","")</f>
        <v/>
      </c>
      <c r="AW35" s="54" t="str">
        <f>IF('⚙ OFF Weekends'!$D$44="OFF","OFF","")</f>
        <v/>
      </c>
      <c r="AX35" s="56" t="str">
        <f>IF('⚙ OFF Weekends'!$D$45="OFF","OFF","")</f>
        <v/>
      </c>
      <c r="AY35" s="54" t="str">
        <f>IF('⚙ OFF Weekends'!$D$46="OFF","OFF","")</f>
        <v/>
      </c>
      <c r="AZ35" s="56" t="str">
        <f>IF('⚙ OFF Weekends'!$D$47="OFF","OFF","")</f>
        <v/>
      </c>
      <c r="BA35" s="54" t="str">
        <f>IF('⚙ OFF Weekends'!$D$48="OFF","OFF","")</f>
        <v/>
      </c>
      <c r="BB35" s="56" t="str">
        <f>IF('⚙ OFF Weekends'!$D$49="OFF","OFF","")</f>
        <v/>
      </c>
      <c r="BC35" s="54" t="str">
        <f>IF('⚙ OFF Weekends'!$D$50="OFF","OFF","")</f>
        <v/>
      </c>
      <c r="BD35" s="56" t="str">
        <f>IF('⚙ OFF Weekends'!$D$51="OFF","OFF","")</f>
        <v/>
      </c>
      <c r="BE35" s="54" t="str">
        <f>IF('⚙ OFF Weekends'!$D$52="OFF","OFF","")</f>
        <v/>
      </c>
      <c r="BF35" s="56" t="str">
        <f>IF('⚙ OFF Weekends'!$D$53="OFF","OFF","")</f>
        <v/>
      </c>
      <c r="BG35" s="54" t="str">
        <f>IF('⚙ OFF Weekends'!$D$54="OFF","OFF","")</f>
        <v/>
      </c>
      <c r="BH35" s="56" t="str">
        <f>IF('⚙ OFF Weekends'!$D$55="OFF","OFF","")</f>
        <v/>
      </c>
      <c r="BI35" s="54" t="str">
        <f>IF('⚙ OFF Weekends'!$D$56="OFF","OFF","")</f>
        <v/>
      </c>
      <c r="BJ35" s="56" t="str">
        <f>IF('⚙ OFF Weekends'!$D$57="OFF","OFF","")</f>
        <v/>
      </c>
      <c r="BK35" s="54" t="str">
        <f>IF('⚙ OFF Weekends'!$D$58="OFF","OFF","")</f>
        <v/>
      </c>
      <c r="BL35" s="56" t="str">
        <f>IF('⚙ OFF Weekends'!$D$59="OFF","OFF","")</f>
        <v/>
      </c>
      <c r="BM35" s="54" t="str">
        <f>IF('⚙ OFF Weekends'!$D$60="OFF","OFF","")</f>
        <v/>
      </c>
      <c r="BN35" s="56" t="str">
        <f>IF('⚙ OFF Weekends'!$D$61="OFF","OFF","")</f>
        <v/>
      </c>
      <c r="BO35" s="54" t="str">
        <f>IF('⚙ OFF Weekends'!$D$62="OFF","OFF","")</f>
        <v/>
      </c>
      <c r="BP35" s="56" t="str">
        <f>IF('⚙ OFF Weekends'!$D$63="OFF","OFF","")</f>
        <v/>
      </c>
      <c r="BQ35" s="54" t="str">
        <f>IF('⚙ OFF Weekends'!$D$64="OFF","OFF","")</f>
        <v/>
      </c>
      <c r="BR35" s="56" t="str">
        <f>IF('⚙ OFF Weekends'!$D$65="OFF","OFF","")</f>
        <v/>
      </c>
      <c r="BS35" s="54" t="str">
        <f>IF('⚙ OFF Weekends'!$D$66="OFF","OFF","")</f>
        <v/>
      </c>
      <c r="BT35" s="56" t="str">
        <f>IF('⚙ OFF Weekends'!$D$67="OFF","OFF","")</f>
        <v/>
      </c>
      <c r="BU35" s="54" t="str">
        <f>IF('⚙ OFF Weekends'!$D$68="OFF","OFF","")</f>
        <v/>
      </c>
      <c r="BV35" s="56" t="str">
        <f>IF('⚙ OFF Weekends'!$D$69="OFF","OFF","")</f>
        <v/>
      </c>
      <c r="BW35" s="54" t="str">
        <f>IF('⚙ OFF Weekends'!$D$70="OFF","OFF","")</f>
        <v/>
      </c>
      <c r="BX35" s="56" t="str">
        <f>IF('⚙ OFF Weekends'!$D$71="OFF","OFF","")</f>
        <v/>
      </c>
      <c r="BY35" s="54" t="str">
        <f>IF('⚙ OFF Weekends'!$D$72="OFF","OFF","")</f>
        <v/>
      </c>
      <c r="BZ35" s="56" t="str">
        <f>IF('⚙ OFF Weekends'!$D$73="OFF","OFF","")</f>
        <v/>
      </c>
      <c r="CA35" s="54" t="str">
        <f>IF('⚙ OFF Weekends'!$D$74="OFF","OFF","")</f>
        <v/>
      </c>
      <c r="CB35" s="56" t="str">
        <f>IF('⚙ OFF Weekends'!$D$75="OFF","OFF","")</f>
        <v/>
      </c>
      <c r="CC35" s="54" t="str">
        <f>IF('⚙ OFF Weekends'!$D$76="OFF","OFF","")</f>
        <v/>
      </c>
      <c r="CD35" s="56" t="str">
        <f>IF('⚙ OFF Weekends'!$D$77="OFF","OFF","")</f>
        <v/>
      </c>
      <c r="CE35" s="95">
        <f t="shared" si="9"/>
        <v>13</v>
      </c>
      <c r="CF35" s="95">
        <f t="shared" si="10"/>
        <v>0</v>
      </c>
      <c r="CG35" s="95">
        <f t="shared" si="11"/>
        <v>2</v>
      </c>
      <c r="CH35" s="95" t="str">
        <f t="shared" si="12"/>
        <v>100%</v>
      </c>
    </row>
    <row r="36" ht="18.0" customHeight="1">
      <c r="A36" s="96">
        <v>14.0</v>
      </c>
      <c r="B36" s="22" t="s">
        <v>787</v>
      </c>
      <c r="C36" s="23"/>
      <c r="D36" s="24" t="str">
        <f t="shared" si="7"/>
        <v/>
      </c>
      <c r="E36" s="26" t="str">
        <f t="shared" si="8"/>
        <v/>
      </c>
      <c r="F36" s="20"/>
      <c r="G36" s="20"/>
      <c r="H36" s="20"/>
      <c r="I36" s="102" t="s">
        <v>348</v>
      </c>
      <c r="J36" s="102" t="s">
        <v>348</v>
      </c>
      <c r="K36" s="49" t="s">
        <v>197</v>
      </c>
      <c r="L36" s="56" t="str">
        <f>IF('⚙ OFF Weekends'!$D$7="OFF","OFF","")</f>
        <v/>
      </c>
      <c r="M36" s="54" t="str">
        <f>IF('⚙ OFF Weekends'!$D$8="OFF","OFF","")</f>
        <v/>
      </c>
      <c r="N36" s="48" t="s">
        <v>196</v>
      </c>
      <c r="O36" s="79" t="s">
        <v>223</v>
      </c>
      <c r="P36" s="79" t="s">
        <v>223</v>
      </c>
      <c r="Q36" s="77" t="s">
        <v>198</v>
      </c>
      <c r="R36" s="77" t="s">
        <v>198</v>
      </c>
      <c r="S36" s="52" t="s">
        <v>196</v>
      </c>
      <c r="T36" s="53" t="s">
        <v>223</v>
      </c>
      <c r="U36" s="52" t="s">
        <v>223</v>
      </c>
      <c r="V36" s="53" t="s">
        <v>223</v>
      </c>
      <c r="W36" s="54" t="str">
        <f>IF('⚙ OFF Weekends'!$D$18="OFF","OFF","")</f>
        <v>OFF</v>
      </c>
      <c r="X36" s="53" t="s">
        <v>223</v>
      </c>
      <c r="Y36" s="52" t="s">
        <v>223</v>
      </c>
      <c r="Z36" s="53" t="s">
        <v>223</v>
      </c>
      <c r="AA36" s="52" t="s">
        <v>223</v>
      </c>
      <c r="AB36" s="53" t="s">
        <v>223</v>
      </c>
      <c r="AC36" s="54" t="str">
        <f>IF('⚙ OFF Weekends'!$D$24="OFF","OFF","")</f>
        <v/>
      </c>
      <c r="AD36" s="56" t="str">
        <f>IF('⚙ OFF Weekends'!$D$25="OFF","OFF","")</f>
        <v/>
      </c>
      <c r="AE36" s="54" t="str">
        <f>IF('⚙ OFF Weekends'!$D$26="OFF","OFF","")</f>
        <v/>
      </c>
      <c r="AF36" s="56" t="str">
        <f>IF('⚙ OFF Weekends'!$D$27="OFF","OFF","")</f>
        <v/>
      </c>
      <c r="AG36" s="54" t="str">
        <f>IF('⚙ OFF Weekends'!$D$28="OFF","OFF","")</f>
        <v/>
      </c>
      <c r="AH36" s="56" t="str">
        <f>IF('⚙ OFF Weekends'!$D$29="OFF","OFF","")</f>
        <v/>
      </c>
      <c r="AI36" s="54" t="str">
        <f>IF('⚙ OFF Weekends'!$D$30="OFF","OFF","")</f>
        <v/>
      </c>
      <c r="AJ36" s="56" t="str">
        <f>IF('⚙ OFF Weekends'!$D$31="OFF","OFF","")</f>
        <v/>
      </c>
      <c r="AK36" s="54" t="str">
        <f>IF('⚙ OFF Weekends'!$D$32="OFF","OFF","")</f>
        <v/>
      </c>
      <c r="AL36" s="56" t="str">
        <f>IF('⚙ OFF Weekends'!$D$33="OFF","OFF","")</f>
        <v/>
      </c>
      <c r="AM36" s="54" t="str">
        <f>IF('⚙ OFF Weekends'!$D$34="OFF","OFF","")</f>
        <v/>
      </c>
      <c r="AN36" s="56" t="str">
        <f>IF('⚙ OFF Weekends'!$D$35="OFF","OFF","")</f>
        <v/>
      </c>
      <c r="AO36" s="54" t="str">
        <f>IF('⚙ OFF Weekends'!$D$36="OFF","OFF","")</f>
        <v/>
      </c>
      <c r="AP36" s="56" t="str">
        <f>IF('⚙ OFF Weekends'!$D$37="OFF","OFF","")</f>
        <v/>
      </c>
      <c r="AQ36" s="54" t="str">
        <f>IF('⚙ OFF Weekends'!$D$38="OFF","OFF","")</f>
        <v/>
      </c>
      <c r="AR36" s="56" t="str">
        <f>IF('⚙ OFF Weekends'!$D$39="OFF","OFF","")</f>
        <v/>
      </c>
      <c r="AS36" s="54" t="str">
        <f>IF('⚙ OFF Weekends'!$D$40="OFF","OFF","")</f>
        <v/>
      </c>
      <c r="AT36" s="56" t="str">
        <f>IF('⚙ OFF Weekends'!$D$41="OFF","OFF","")</f>
        <v/>
      </c>
      <c r="AU36" s="54" t="str">
        <f>IF('⚙ OFF Weekends'!$D$42="OFF","OFF","")</f>
        <v/>
      </c>
      <c r="AV36" s="56" t="str">
        <f>IF('⚙ OFF Weekends'!$D$43="OFF","OFF","")</f>
        <v/>
      </c>
      <c r="AW36" s="54" t="str">
        <f>IF('⚙ OFF Weekends'!$D$44="OFF","OFF","")</f>
        <v/>
      </c>
      <c r="AX36" s="56" t="str">
        <f>IF('⚙ OFF Weekends'!$D$45="OFF","OFF","")</f>
        <v/>
      </c>
      <c r="AY36" s="54" t="str">
        <f>IF('⚙ OFF Weekends'!$D$46="OFF","OFF","")</f>
        <v/>
      </c>
      <c r="AZ36" s="56" t="str">
        <f>IF('⚙ OFF Weekends'!$D$47="OFF","OFF","")</f>
        <v/>
      </c>
      <c r="BA36" s="54" t="str">
        <f>IF('⚙ OFF Weekends'!$D$48="OFF","OFF","")</f>
        <v/>
      </c>
      <c r="BB36" s="56" t="str">
        <f>IF('⚙ OFF Weekends'!$D$49="OFF","OFF","")</f>
        <v/>
      </c>
      <c r="BC36" s="54" t="str">
        <f>IF('⚙ OFF Weekends'!$D$50="OFF","OFF","")</f>
        <v/>
      </c>
      <c r="BD36" s="56" t="str">
        <f>IF('⚙ OFF Weekends'!$D$51="OFF","OFF","")</f>
        <v/>
      </c>
      <c r="BE36" s="54" t="str">
        <f>IF('⚙ OFF Weekends'!$D$52="OFF","OFF","")</f>
        <v/>
      </c>
      <c r="BF36" s="56" t="str">
        <f>IF('⚙ OFF Weekends'!$D$53="OFF","OFF","")</f>
        <v/>
      </c>
      <c r="BG36" s="54" t="str">
        <f>IF('⚙ OFF Weekends'!$D$54="OFF","OFF","")</f>
        <v/>
      </c>
      <c r="BH36" s="56" t="str">
        <f>IF('⚙ OFF Weekends'!$D$55="OFF","OFF","")</f>
        <v/>
      </c>
      <c r="BI36" s="54" t="str">
        <f>IF('⚙ OFF Weekends'!$D$56="OFF","OFF","")</f>
        <v/>
      </c>
      <c r="BJ36" s="56" t="str">
        <f>IF('⚙ OFF Weekends'!$D$57="OFF","OFF","")</f>
        <v/>
      </c>
      <c r="BK36" s="54" t="str">
        <f>IF('⚙ OFF Weekends'!$D$58="OFF","OFF","")</f>
        <v/>
      </c>
      <c r="BL36" s="56" t="str">
        <f>IF('⚙ OFF Weekends'!$D$59="OFF","OFF","")</f>
        <v/>
      </c>
      <c r="BM36" s="54" t="str">
        <f>IF('⚙ OFF Weekends'!$D$60="OFF","OFF","")</f>
        <v/>
      </c>
      <c r="BN36" s="56" t="str">
        <f>IF('⚙ OFF Weekends'!$D$61="OFF","OFF","")</f>
        <v/>
      </c>
      <c r="BO36" s="54" t="str">
        <f>IF('⚙ OFF Weekends'!$D$62="OFF","OFF","")</f>
        <v/>
      </c>
      <c r="BP36" s="56" t="str">
        <f>IF('⚙ OFF Weekends'!$D$63="OFF","OFF","")</f>
        <v/>
      </c>
      <c r="BQ36" s="54" t="str">
        <f>IF('⚙ OFF Weekends'!$D$64="OFF","OFF","")</f>
        <v/>
      </c>
      <c r="BR36" s="56" t="str">
        <f>IF('⚙ OFF Weekends'!$D$65="OFF","OFF","")</f>
        <v/>
      </c>
      <c r="BS36" s="54" t="str">
        <f>IF('⚙ OFF Weekends'!$D$66="OFF","OFF","")</f>
        <v/>
      </c>
      <c r="BT36" s="56" t="str">
        <f>IF('⚙ OFF Weekends'!$D$67="OFF","OFF","")</f>
        <v/>
      </c>
      <c r="BU36" s="54" t="str">
        <f>IF('⚙ OFF Weekends'!$D$68="OFF","OFF","")</f>
        <v/>
      </c>
      <c r="BV36" s="56" t="str">
        <f>IF('⚙ OFF Weekends'!$D$69="OFF","OFF","")</f>
        <v/>
      </c>
      <c r="BW36" s="54" t="str">
        <f>IF('⚙ OFF Weekends'!$D$70="OFF","OFF","")</f>
        <v/>
      </c>
      <c r="BX36" s="56" t="str">
        <f>IF('⚙ OFF Weekends'!$D$71="OFF","OFF","")</f>
        <v/>
      </c>
      <c r="BY36" s="54" t="str">
        <f>IF('⚙ OFF Weekends'!$D$72="OFF","OFF","")</f>
        <v/>
      </c>
      <c r="BZ36" s="56" t="str">
        <f>IF('⚙ OFF Weekends'!$D$73="OFF","OFF","")</f>
        <v/>
      </c>
      <c r="CA36" s="54" t="str">
        <f>IF('⚙ OFF Weekends'!$D$74="OFF","OFF","")</f>
        <v/>
      </c>
      <c r="CB36" s="56" t="str">
        <f>IF('⚙ OFF Weekends'!$D$75="OFF","OFF","")</f>
        <v/>
      </c>
      <c r="CC36" s="54" t="str">
        <f>IF('⚙ OFF Weekends'!$D$76="OFF","OFF","")</f>
        <v/>
      </c>
      <c r="CD36" s="56" t="str">
        <f>IF('⚙ OFF Weekends'!$D$77="OFF","OFF","")</f>
        <v/>
      </c>
      <c r="CE36" s="96">
        <f t="shared" si="9"/>
        <v>2</v>
      </c>
      <c r="CF36" s="96">
        <f t="shared" si="10"/>
        <v>10</v>
      </c>
      <c r="CG36" s="96">
        <f t="shared" si="11"/>
        <v>2</v>
      </c>
      <c r="CH36" s="96" t="str">
        <f t="shared" si="12"/>
        <v>17%</v>
      </c>
    </row>
    <row r="37" ht="18.0" customHeight="1">
      <c r="A37" s="95">
        <v>15.0</v>
      </c>
      <c r="B37" s="12" t="s">
        <v>788</v>
      </c>
      <c r="C37" s="14"/>
      <c r="D37" s="17" t="str">
        <f t="shared" si="7"/>
        <v/>
      </c>
      <c r="E37" s="28" t="str">
        <f t="shared" si="8"/>
        <v/>
      </c>
      <c r="F37" s="10"/>
      <c r="G37" s="10"/>
      <c r="H37" s="10" t="s">
        <v>295</v>
      </c>
      <c r="I37" s="102" t="s">
        <v>348</v>
      </c>
      <c r="J37" s="102" t="s">
        <v>348</v>
      </c>
      <c r="K37" s="49" t="s">
        <v>197</v>
      </c>
      <c r="L37" s="56" t="str">
        <f>IF('⚙ OFF Weekends'!$D$7="OFF","OFF","")</f>
        <v/>
      </c>
      <c r="M37" s="54" t="str">
        <f>IF('⚙ OFF Weekends'!$D$8="OFF","OFF","")</f>
        <v/>
      </c>
      <c r="N37" s="56" t="str">
        <f>IF('⚙ OFF Weekends'!$D$9="OFF","OFF","")</f>
        <v/>
      </c>
      <c r="O37" s="48" t="s">
        <v>196</v>
      </c>
      <c r="P37" s="79" t="s">
        <v>223</v>
      </c>
      <c r="Q37" s="79" t="s">
        <v>223</v>
      </c>
      <c r="R37" s="79" t="s">
        <v>223</v>
      </c>
      <c r="S37" s="52" t="s">
        <v>37</v>
      </c>
      <c r="T37" s="53" t="s">
        <v>196</v>
      </c>
      <c r="U37" s="52" t="s">
        <v>223</v>
      </c>
      <c r="V37" s="53" t="s">
        <v>223</v>
      </c>
      <c r="W37" s="54" t="str">
        <f>IF('⚙ OFF Weekends'!$D$18="OFF","OFF","")</f>
        <v>OFF</v>
      </c>
      <c r="X37" s="53" t="s">
        <v>223</v>
      </c>
      <c r="Y37" s="52" t="s">
        <v>223</v>
      </c>
      <c r="Z37" s="53" t="s">
        <v>223</v>
      </c>
      <c r="AA37" s="52" t="s">
        <v>296</v>
      </c>
      <c r="AB37" s="53" t="s">
        <v>296</v>
      </c>
      <c r="AC37" s="54" t="str">
        <f>IF('⚙ OFF Weekends'!$D$24="OFF","OFF","")</f>
        <v/>
      </c>
      <c r="AD37" s="56" t="str">
        <f>IF('⚙ OFF Weekends'!$D$25="OFF","OFF","")</f>
        <v/>
      </c>
      <c r="AE37" s="54" t="str">
        <f>IF('⚙ OFF Weekends'!$D$26="OFF","OFF","")</f>
        <v/>
      </c>
      <c r="AF37" s="56" t="str">
        <f>IF('⚙ OFF Weekends'!$D$27="OFF","OFF","")</f>
        <v/>
      </c>
      <c r="AG37" s="54" t="str">
        <f>IF('⚙ OFF Weekends'!$D$28="OFF","OFF","")</f>
        <v/>
      </c>
      <c r="AH37" s="56" t="str">
        <f>IF('⚙ OFF Weekends'!$D$29="OFF","OFF","")</f>
        <v/>
      </c>
      <c r="AI37" s="54" t="str">
        <f>IF('⚙ OFF Weekends'!$D$30="OFF","OFF","")</f>
        <v/>
      </c>
      <c r="AJ37" s="56" t="str">
        <f>IF('⚙ OFF Weekends'!$D$31="OFF","OFF","")</f>
        <v/>
      </c>
      <c r="AK37" s="54" t="str">
        <f>IF('⚙ OFF Weekends'!$D$32="OFF","OFF","")</f>
        <v/>
      </c>
      <c r="AL37" s="56" t="str">
        <f>IF('⚙ OFF Weekends'!$D$33="OFF","OFF","")</f>
        <v/>
      </c>
      <c r="AM37" s="54" t="str">
        <f>IF('⚙ OFF Weekends'!$D$34="OFF","OFF","")</f>
        <v/>
      </c>
      <c r="AN37" s="56" t="str">
        <f>IF('⚙ OFF Weekends'!$D$35="OFF","OFF","")</f>
        <v/>
      </c>
      <c r="AO37" s="54" t="str">
        <f>IF('⚙ OFF Weekends'!$D$36="OFF","OFF","")</f>
        <v/>
      </c>
      <c r="AP37" s="56" t="str">
        <f>IF('⚙ OFF Weekends'!$D$37="OFF","OFF","")</f>
        <v/>
      </c>
      <c r="AQ37" s="54" t="str">
        <f>IF('⚙ OFF Weekends'!$D$38="OFF","OFF","")</f>
        <v/>
      </c>
      <c r="AR37" s="56" t="str">
        <f>IF('⚙ OFF Weekends'!$D$39="OFF","OFF","")</f>
        <v/>
      </c>
      <c r="AS37" s="54" t="str">
        <f>IF('⚙ OFF Weekends'!$D$40="OFF","OFF","")</f>
        <v/>
      </c>
      <c r="AT37" s="56" t="str">
        <f>IF('⚙ OFF Weekends'!$D$41="OFF","OFF","")</f>
        <v/>
      </c>
      <c r="AU37" s="54" t="str">
        <f>IF('⚙ OFF Weekends'!$D$42="OFF","OFF","")</f>
        <v/>
      </c>
      <c r="AV37" s="56" t="str">
        <f>IF('⚙ OFF Weekends'!$D$43="OFF","OFF","")</f>
        <v/>
      </c>
      <c r="AW37" s="54" t="str">
        <f>IF('⚙ OFF Weekends'!$D$44="OFF","OFF","")</f>
        <v/>
      </c>
      <c r="AX37" s="56" t="str">
        <f>IF('⚙ OFF Weekends'!$D$45="OFF","OFF","")</f>
        <v/>
      </c>
      <c r="AY37" s="54" t="str">
        <f>IF('⚙ OFF Weekends'!$D$46="OFF","OFF","")</f>
        <v/>
      </c>
      <c r="AZ37" s="56" t="str">
        <f>IF('⚙ OFF Weekends'!$D$47="OFF","OFF","")</f>
        <v/>
      </c>
      <c r="BA37" s="54" t="str">
        <f>IF('⚙ OFF Weekends'!$D$48="OFF","OFF","")</f>
        <v/>
      </c>
      <c r="BB37" s="56" t="str">
        <f>IF('⚙ OFF Weekends'!$D$49="OFF","OFF","")</f>
        <v/>
      </c>
      <c r="BC37" s="54" t="str">
        <f>IF('⚙ OFF Weekends'!$D$50="OFF","OFF","")</f>
        <v/>
      </c>
      <c r="BD37" s="56" t="str">
        <f>IF('⚙ OFF Weekends'!$D$51="OFF","OFF","")</f>
        <v/>
      </c>
      <c r="BE37" s="54" t="str">
        <f>IF('⚙ OFF Weekends'!$D$52="OFF","OFF","")</f>
        <v/>
      </c>
      <c r="BF37" s="56" t="str">
        <f>IF('⚙ OFF Weekends'!$D$53="OFF","OFF","")</f>
        <v/>
      </c>
      <c r="BG37" s="54" t="str">
        <f>IF('⚙ OFF Weekends'!$D$54="OFF","OFF","")</f>
        <v/>
      </c>
      <c r="BH37" s="56" t="str">
        <f>IF('⚙ OFF Weekends'!$D$55="OFF","OFF","")</f>
        <v/>
      </c>
      <c r="BI37" s="54" t="str">
        <f>IF('⚙ OFF Weekends'!$D$56="OFF","OFF","")</f>
        <v/>
      </c>
      <c r="BJ37" s="56" t="str">
        <f>IF('⚙ OFF Weekends'!$D$57="OFF","OFF","")</f>
        <v/>
      </c>
      <c r="BK37" s="54" t="str">
        <f>IF('⚙ OFF Weekends'!$D$58="OFF","OFF","")</f>
        <v/>
      </c>
      <c r="BL37" s="56" t="str">
        <f>IF('⚙ OFF Weekends'!$D$59="OFF","OFF","")</f>
        <v/>
      </c>
      <c r="BM37" s="54" t="str">
        <f>IF('⚙ OFF Weekends'!$D$60="OFF","OFF","")</f>
        <v/>
      </c>
      <c r="BN37" s="56" t="str">
        <f>IF('⚙ OFF Weekends'!$D$61="OFF","OFF","")</f>
        <v/>
      </c>
      <c r="BO37" s="54" t="str">
        <f>IF('⚙ OFF Weekends'!$D$62="OFF","OFF","")</f>
        <v/>
      </c>
      <c r="BP37" s="56" t="str">
        <f>IF('⚙ OFF Weekends'!$D$63="OFF","OFF","")</f>
        <v/>
      </c>
      <c r="BQ37" s="54" t="str">
        <f>IF('⚙ OFF Weekends'!$D$64="OFF","OFF","")</f>
        <v/>
      </c>
      <c r="BR37" s="56" t="str">
        <f>IF('⚙ OFF Weekends'!$D$65="OFF","OFF","")</f>
        <v/>
      </c>
      <c r="BS37" s="54" t="str">
        <f>IF('⚙ OFF Weekends'!$D$66="OFF","OFF","")</f>
        <v/>
      </c>
      <c r="BT37" s="56" t="str">
        <f>IF('⚙ OFF Weekends'!$D$67="OFF","OFF","")</f>
        <v/>
      </c>
      <c r="BU37" s="54" t="str">
        <f>IF('⚙ OFF Weekends'!$D$68="OFF","OFF","")</f>
        <v/>
      </c>
      <c r="BV37" s="56" t="str">
        <f>IF('⚙ OFF Weekends'!$D$69="OFF","OFF","")</f>
        <v/>
      </c>
      <c r="BW37" s="54" t="str">
        <f>IF('⚙ OFF Weekends'!$D$70="OFF","OFF","")</f>
        <v/>
      </c>
      <c r="BX37" s="56" t="str">
        <f>IF('⚙ OFF Weekends'!$D$71="OFF","OFF","")</f>
        <v/>
      </c>
      <c r="BY37" s="54" t="str">
        <f>IF('⚙ OFF Weekends'!$D$72="OFF","OFF","")</f>
        <v/>
      </c>
      <c r="BZ37" s="56" t="str">
        <f>IF('⚙ OFF Weekends'!$D$73="OFF","OFF","")</f>
        <v/>
      </c>
      <c r="CA37" s="54" t="str">
        <f>IF('⚙ OFF Weekends'!$D$74="OFF","OFF","")</f>
        <v/>
      </c>
      <c r="CB37" s="56" t="str">
        <f>IF('⚙ OFF Weekends'!$D$75="OFF","OFF","")</f>
        <v/>
      </c>
      <c r="CC37" s="54" t="str">
        <f>IF('⚙ OFF Weekends'!$D$76="OFF","OFF","")</f>
        <v/>
      </c>
      <c r="CD37" s="56" t="str">
        <f>IF('⚙ OFF Weekends'!$D$77="OFF","OFF","")</f>
        <v/>
      </c>
      <c r="CE37" s="95">
        <f t="shared" si="9"/>
        <v>3</v>
      </c>
      <c r="CF37" s="95">
        <f t="shared" si="10"/>
        <v>8</v>
      </c>
      <c r="CG37" s="95">
        <f t="shared" si="11"/>
        <v>0</v>
      </c>
      <c r="CH37" s="95" t="str">
        <f t="shared" si="12"/>
        <v>27%</v>
      </c>
    </row>
    <row r="38" ht="18.0" customHeight="1">
      <c r="A38" s="96">
        <v>16.0</v>
      </c>
      <c r="B38" s="22" t="s">
        <v>789</v>
      </c>
      <c r="C38" s="23"/>
      <c r="D38" s="24" t="str">
        <f t="shared" si="7"/>
        <v/>
      </c>
      <c r="E38" s="26" t="str">
        <f t="shared" si="8"/>
        <v/>
      </c>
      <c r="F38" s="20"/>
      <c r="G38" s="20"/>
      <c r="H38" s="20" t="s">
        <v>295</v>
      </c>
      <c r="I38" s="102" t="s">
        <v>348</v>
      </c>
      <c r="J38" s="102" t="s">
        <v>348</v>
      </c>
      <c r="K38" s="49" t="s">
        <v>197</v>
      </c>
      <c r="L38" s="56" t="str">
        <f>IF('⚙ OFF Weekends'!$D$7="OFF","OFF","")</f>
        <v/>
      </c>
      <c r="M38" s="54" t="str">
        <f>IF('⚙ OFF Weekends'!$D$8="OFF","OFF","")</f>
        <v/>
      </c>
      <c r="N38" s="56" t="str">
        <f>IF('⚙ OFF Weekends'!$D$9="OFF","OFF","")</f>
        <v/>
      </c>
      <c r="O38" s="48" t="s">
        <v>196</v>
      </c>
      <c r="P38" s="48" t="s">
        <v>196</v>
      </c>
      <c r="Q38" s="79" t="s">
        <v>223</v>
      </c>
      <c r="R38" s="50" t="s">
        <v>37</v>
      </c>
      <c r="S38" s="52" t="s">
        <v>223</v>
      </c>
      <c r="T38" s="53" t="s">
        <v>196</v>
      </c>
      <c r="U38" s="52" t="s">
        <v>198</v>
      </c>
      <c r="V38" s="53" t="s">
        <v>223</v>
      </c>
      <c r="W38" s="54" t="str">
        <f>IF('⚙ OFF Weekends'!$D$18="OFF","OFF","")</f>
        <v>OFF</v>
      </c>
      <c r="X38" s="53" t="s">
        <v>223</v>
      </c>
      <c r="Y38" s="52" t="s">
        <v>198</v>
      </c>
      <c r="Z38" s="53" t="s">
        <v>223</v>
      </c>
      <c r="AA38" s="52" t="s">
        <v>223</v>
      </c>
      <c r="AB38" s="53" t="s">
        <v>223</v>
      </c>
      <c r="AC38" s="54" t="str">
        <f>IF('⚙ OFF Weekends'!$D$24="OFF","OFF","")</f>
        <v/>
      </c>
      <c r="AD38" s="56" t="str">
        <f>IF('⚙ OFF Weekends'!$D$25="OFF","OFF","")</f>
        <v/>
      </c>
      <c r="AE38" s="54" t="str">
        <f>IF('⚙ OFF Weekends'!$D$26="OFF","OFF","")</f>
        <v/>
      </c>
      <c r="AF38" s="56" t="str">
        <f>IF('⚙ OFF Weekends'!$D$27="OFF","OFF","")</f>
        <v/>
      </c>
      <c r="AG38" s="54" t="str">
        <f>IF('⚙ OFF Weekends'!$D$28="OFF","OFF","")</f>
        <v/>
      </c>
      <c r="AH38" s="56" t="str">
        <f>IF('⚙ OFF Weekends'!$D$29="OFF","OFF","")</f>
        <v/>
      </c>
      <c r="AI38" s="54" t="str">
        <f>IF('⚙ OFF Weekends'!$D$30="OFF","OFF","")</f>
        <v/>
      </c>
      <c r="AJ38" s="56" t="str">
        <f>IF('⚙ OFF Weekends'!$D$31="OFF","OFF","")</f>
        <v/>
      </c>
      <c r="AK38" s="54" t="str">
        <f>IF('⚙ OFF Weekends'!$D$32="OFF","OFF","")</f>
        <v/>
      </c>
      <c r="AL38" s="56" t="str">
        <f>IF('⚙ OFF Weekends'!$D$33="OFF","OFF","")</f>
        <v/>
      </c>
      <c r="AM38" s="54" t="str">
        <f>IF('⚙ OFF Weekends'!$D$34="OFF","OFF","")</f>
        <v/>
      </c>
      <c r="AN38" s="56" t="str">
        <f>IF('⚙ OFF Weekends'!$D$35="OFF","OFF","")</f>
        <v/>
      </c>
      <c r="AO38" s="54" t="str">
        <f>IF('⚙ OFF Weekends'!$D$36="OFF","OFF","")</f>
        <v/>
      </c>
      <c r="AP38" s="56" t="str">
        <f>IF('⚙ OFF Weekends'!$D$37="OFF","OFF","")</f>
        <v/>
      </c>
      <c r="AQ38" s="54" t="str">
        <f>IF('⚙ OFF Weekends'!$D$38="OFF","OFF","")</f>
        <v/>
      </c>
      <c r="AR38" s="56" t="str">
        <f>IF('⚙ OFF Weekends'!$D$39="OFF","OFF","")</f>
        <v/>
      </c>
      <c r="AS38" s="54" t="str">
        <f>IF('⚙ OFF Weekends'!$D$40="OFF","OFF","")</f>
        <v/>
      </c>
      <c r="AT38" s="56" t="str">
        <f>IF('⚙ OFF Weekends'!$D$41="OFF","OFF","")</f>
        <v/>
      </c>
      <c r="AU38" s="54" t="str">
        <f>IF('⚙ OFF Weekends'!$D$42="OFF","OFF","")</f>
        <v/>
      </c>
      <c r="AV38" s="56" t="str">
        <f>IF('⚙ OFF Weekends'!$D$43="OFF","OFF","")</f>
        <v/>
      </c>
      <c r="AW38" s="54" t="str">
        <f>IF('⚙ OFF Weekends'!$D$44="OFF","OFF","")</f>
        <v/>
      </c>
      <c r="AX38" s="56" t="str">
        <f>IF('⚙ OFF Weekends'!$D$45="OFF","OFF","")</f>
        <v/>
      </c>
      <c r="AY38" s="54" t="str">
        <f>IF('⚙ OFF Weekends'!$D$46="OFF","OFF","")</f>
        <v/>
      </c>
      <c r="AZ38" s="56" t="str">
        <f>IF('⚙ OFF Weekends'!$D$47="OFF","OFF","")</f>
        <v/>
      </c>
      <c r="BA38" s="54" t="str">
        <f>IF('⚙ OFF Weekends'!$D$48="OFF","OFF","")</f>
        <v/>
      </c>
      <c r="BB38" s="56" t="str">
        <f>IF('⚙ OFF Weekends'!$D$49="OFF","OFF","")</f>
        <v/>
      </c>
      <c r="BC38" s="54" t="str">
        <f>IF('⚙ OFF Weekends'!$D$50="OFF","OFF","")</f>
        <v/>
      </c>
      <c r="BD38" s="56" t="str">
        <f>IF('⚙ OFF Weekends'!$D$51="OFF","OFF","")</f>
        <v/>
      </c>
      <c r="BE38" s="54" t="str">
        <f>IF('⚙ OFF Weekends'!$D$52="OFF","OFF","")</f>
        <v/>
      </c>
      <c r="BF38" s="56" t="str">
        <f>IF('⚙ OFF Weekends'!$D$53="OFF","OFF","")</f>
        <v/>
      </c>
      <c r="BG38" s="54" t="str">
        <f>IF('⚙ OFF Weekends'!$D$54="OFF","OFF","")</f>
        <v/>
      </c>
      <c r="BH38" s="56" t="str">
        <f>IF('⚙ OFF Weekends'!$D$55="OFF","OFF","")</f>
        <v/>
      </c>
      <c r="BI38" s="54" t="str">
        <f>IF('⚙ OFF Weekends'!$D$56="OFF","OFF","")</f>
        <v/>
      </c>
      <c r="BJ38" s="56" t="str">
        <f>IF('⚙ OFF Weekends'!$D$57="OFF","OFF","")</f>
        <v/>
      </c>
      <c r="BK38" s="54" t="str">
        <f>IF('⚙ OFF Weekends'!$D$58="OFF","OFF","")</f>
        <v/>
      </c>
      <c r="BL38" s="56" t="str">
        <f>IF('⚙ OFF Weekends'!$D$59="OFF","OFF","")</f>
        <v/>
      </c>
      <c r="BM38" s="54" t="str">
        <f>IF('⚙ OFF Weekends'!$D$60="OFF","OFF","")</f>
        <v/>
      </c>
      <c r="BN38" s="56" t="str">
        <f>IF('⚙ OFF Weekends'!$D$61="OFF","OFF","")</f>
        <v/>
      </c>
      <c r="BO38" s="54" t="str">
        <f>IF('⚙ OFF Weekends'!$D$62="OFF","OFF","")</f>
        <v/>
      </c>
      <c r="BP38" s="56" t="str">
        <f>IF('⚙ OFF Weekends'!$D$63="OFF","OFF","")</f>
        <v/>
      </c>
      <c r="BQ38" s="54" t="str">
        <f>IF('⚙ OFF Weekends'!$D$64="OFF","OFF","")</f>
        <v/>
      </c>
      <c r="BR38" s="56" t="str">
        <f>IF('⚙ OFF Weekends'!$D$65="OFF","OFF","")</f>
        <v/>
      </c>
      <c r="BS38" s="54" t="str">
        <f>IF('⚙ OFF Weekends'!$D$66="OFF","OFF","")</f>
        <v/>
      </c>
      <c r="BT38" s="56" t="str">
        <f>IF('⚙ OFF Weekends'!$D$67="OFF","OFF","")</f>
        <v/>
      </c>
      <c r="BU38" s="54" t="str">
        <f>IF('⚙ OFF Weekends'!$D$68="OFF","OFF","")</f>
        <v/>
      </c>
      <c r="BV38" s="56" t="str">
        <f>IF('⚙ OFF Weekends'!$D$69="OFF","OFF","")</f>
        <v/>
      </c>
      <c r="BW38" s="54" t="str">
        <f>IF('⚙ OFF Weekends'!$D$70="OFF","OFF","")</f>
        <v/>
      </c>
      <c r="BX38" s="56" t="str">
        <f>IF('⚙ OFF Weekends'!$D$71="OFF","OFF","")</f>
        <v/>
      </c>
      <c r="BY38" s="54" t="str">
        <f>IF('⚙ OFF Weekends'!$D$72="OFF","OFF","")</f>
        <v/>
      </c>
      <c r="BZ38" s="56" t="str">
        <f>IF('⚙ OFF Weekends'!$D$73="OFF","OFF","")</f>
        <v/>
      </c>
      <c r="CA38" s="54" t="str">
        <f>IF('⚙ OFF Weekends'!$D$74="OFF","OFF","")</f>
        <v/>
      </c>
      <c r="CB38" s="56" t="str">
        <f>IF('⚙ OFF Weekends'!$D$75="OFF","OFF","")</f>
        <v/>
      </c>
      <c r="CC38" s="54" t="str">
        <f>IF('⚙ OFF Weekends'!$D$76="OFF","OFF","")</f>
        <v/>
      </c>
      <c r="CD38" s="56" t="str">
        <f>IF('⚙ OFF Weekends'!$D$77="OFF","OFF","")</f>
        <v/>
      </c>
      <c r="CE38" s="96">
        <f t="shared" si="9"/>
        <v>4</v>
      </c>
      <c r="CF38" s="96">
        <f t="shared" si="10"/>
        <v>7</v>
      </c>
      <c r="CG38" s="96">
        <f t="shared" si="11"/>
        <v>2</v>
      </c>
      <c r="CH38" s="96" t="str">
        <f t="shared" si="12"/>
        <v>36%</v>
      </c>
    </row>
    <row r="39" ht="18.0" customHeight="1">
      <c r="A39" s="95">
        <v>17.0</v>
      </c>
      <c r="B39" s="12" t="s">
        <v>793</v>
      </c>
      <c r="C39" s="14"/>
      <c r="D39" s="17" t="str">
        <f t="shared" si="7"/>
        <v/>
      </c>
      <c r="E39" s="28" t="str">
        <f t="shared" si="8"/>
        <v/>
      </c>
      <c r="F39" s="10"/>
      <c r="G39" s="10"/>
      <c r="H39" s="10" t="s">
        <v>600</v>
      </c>
      <c r="I39" s="102" t="s">
        <v>348</v>
      </c>
      <c r="J39" s="102" t="s">
        <v>348</v>
      </c>
      <c r="K39" s="49" t="s">
        <v>197</v>
      </c>
      <c r="L39" s="56" t="str">
        <f>IF('⚙ OFF Weekends'!$D$7="OFF","OFF","")</f>
        <v/>
      </c>
      <c r="M39" s="54" t="str">
        <f>IF('⚙ OFF Weekends'!$D$8="OFF","OFF","")</f>
        <v/>
      </c>
      <c r="N39" s="56" t="str">
        <f>IF('⚙ OFF Weekends'!$D$9="OFF","OFF","")</f>
        <v/>
      </c>
      <c r="O39" s="48" t="s">
        <v>196</v>
      </c>
      <c r="P39" s="50" t="s">
        <v>37</v>
      </c>
      <c r="Q39" s="79" t="s">
        <v>223</v>
      </c>
      <c r="R39" s="79" t="s">
        <v>223</v>
      </c>
      <c r="S39" s="52" t="s">
        <v>223</v>
      </c>
      <c r="T39" s="53" t="s">
        <v>196</v>
      </c>
      <c r="U39" s="52" t="s">
        <v>223</v>
      </c>
      <c r="V39" s="53" t="s">
        <v>223</v>
      </c>
      <c r="W39" s="54" t="str">
        <f>IF('⚙ OFF Weekends'!$D$18="OFF","OFF","")</f>
        <v>OFF</v>
      </c>
      <c r="X39" s="53" t="s">
        <v>223</v>
      </c>
      <c r="Y39" s="52" t="s">
        <v>223</v>
      </c>
      <c r="Z39" s="53" t="s">
        <v>223</v>
      </c>
      <c r="AA39" s="52" t="s">
        <v>296</v>
      </c>
      <c r="AB39" s="53" t="s">
        <v>296</v>
      </c>
      <c r="AC39" s="54" t="str">
        <f>IF('⚙ OFF Weekends'!$D$24="OFF","OFF","")</f>
        <v/>
      </c>
      <c r="AD39" s="56" t="str">
        <f>IF('⚙ OFF Weekends'!$D$25="OFF","OFF","")</f>
        <v/>
      </c>
      <c r="AE39" s="54" t="str">
        <f>IF('⚙ OFF Weekends'!$D$26="OFF","OFF","")</f>
        <v/>
      </c>
      <c r="AF39" s="56" t="str">
        <f>IF('⚙ OFF Weekends'!$D$27="OFF","OFF","")</f>
        <v/>
      </c>
      <c r="AG39" s="54" t="str">
        <f>IF('⚙ OFF Weekends'!$D$28="OFF","OFF","")</f>
        <v/>
      </c>
      <c r="AH39" s="56" t="str">
        <f>IF('⚙ OFF Weekends'!$D$29="OFF","OFF","")</f>
        <v/>
      </c>
      <c r="AI39" s="54" t="str">
        <f>IF('⚙ OFF Weekends'!$D$30="OFF","OFF","")</f>
        <v/>
      </c>
      <c r="AJ39" s="56" t="str">
        <f>IF('⚙ OFF Weekends'!$D$31="OFF","OFF","")</f>
        <v/>
      </c>
      <c r="AK39" s="54" t="str">
        <f>IF('⚙ OFF Weekends'!$D$32="OFF","OFF","")</f>
        <v/>
      </c>
      <c r="AL39" s="56" t="str">
        <f>IF('⚙ OFF Weekends'!$D$33="OFF","OFF","")</f>
        <v/>
      </c>
      <c r="AM39" s="54" t="str">
        <f>IF('⚙ OFF Weekends'!$D$34="OFF","OFF","")</f>
        <v/>
      </c>
      <c r="AN39" s="56" t="str">
        <f>IF('⚙ OFF Weekends'!$D$35="OFF","OFF","")</f>
        <v/>
      </c>
      <c r="AO39" s="54" t="str">
        <f>IF('⚙ OFF Weekends'!$D$36="OFF","OFF","")</f>
        <v/>
      </c>
      <c r="AP39" s="56" t="str">
        <f>IF('⚙ OFF Weekends'!$D$37="OFF","OFF","")</f>
        <v/>
      </c>
      <c r="AQ39" s="54" t="str">
        <f>IF('⚙ OFF Weekends'!$D$38="OFF","OFF","")</f>
        <v/>
      </c>
      <c r="AR39" s="56" t="str">
        <f>IF('⚙ OFF Weekends'!$D$39="OFF","OFF","")</f>
        <v/>
      </c>
      <c r="AS39" s="54" t="str">
        <f>IF('⚙ OFF Weekends'!$D$40="OFF","OFF","")</f>
        <v/>
      </c>
      <c r="AT39" s="56" t="str">
        <f>IF('⚙ OFF Weekends'!$D$41="OFF","OFF","")</f>
        <v/>
      </c>
      <c r="AU39" s="54" t="str">
        <f>IF('⚙ OFF Weekends'!$D$42="OFF","OFF","")</f>
        <v/>
      </c>
      <c r="AV39" s="56" t="str">
        <f>IF('⚙ OFF Weekends'!$D$43="OFF","OFF","")</f>
        <v/>
      </c>
      <c r="AW39" s="54" t="str">
        <f>IF('⚙ OFF Weekends'!$D$44="OFF","OFF","")</f>
        <v/>
      </c>
      <c r="AX39" s="56" t="str">
        <f>IF('⚙ OFF Weekends'!$D$45="OFF","OFF","")</f>
        <v/>
      </c>
      <c r="AY39" s="54" t="str">
        <f>IF('⚙ OFF Weekends'!$D$46="OFF","OFF","")</f>
        <v/>
      </c>
      <c r="AZ39" s="56" t="str">
        <f>IF('⚙ OFF Weekends'!$D$47="OFF","OFF","")</f>
        <v/>
      </c>
      <c r="BA39" s="54" t="str">
        <f>IF('⚙ OFF Weekends'!$D$48="OFF","OFF","")</f>
        <v/>
      </c>
      <c r="BB39" s="56" t="str">
        <f>IF('⚙ OFF Weekends'!$D$49="OFF","OFF","")</f>
        <v/>
      </c>
      <c r="BC39" s="54" t="str">
        <f>IF('⚙ OFF Weekends'!$D$50="OFF","OFF","")</f>
        <v/>
      </c>
      <c r="BD39" s="56" t="str">
        <f>IF('⚙ OFF Weekends'!$D$51="OFF","OFF","")</f>
        <v/>
      </c>
      <c r="BE39" s="54" t="str">
        <f>IF('⚙ OFF Weekends'!$D$52="OFF","OFF","")</f>
        <v/>
      </c>
      <c r="BF39" s="56" t="str">
        <f>IF('⚙ OFF Weekends'!$D$53="OFF","OFF","")</f>
        <v/>
      </c>
      <c r="BG39" s="54" t="str">
        <f>IF('⚙ OFF Weekends'!$D$54="OFF","OFF","")</f>
        <v/>
      </c>
      <c r="BH39" s="56" t="str">
        <f>IF('⚙ OFF Weekends'!$D$55="OFF","OFF","")</f>
        <v/>
      </c>
      <c r="BI39" s="54" t="str">
        <f>IF('⚙ OFF Weekends'!$D$56="OFF","OFF","")</f>
        <v/>
      </c>
      <c r="BJ39" s="56" t="str">
        <f>IF('⚙ OFF Weekends'!$D$57="OFF","OFF","")</f>
        <v/>
      </c>
      <c r="BK39" s="54" t="str">
        <f>IF('⚙ OFF Weekends'!$D$58="OFF","OFF","")</f>
        <v/>
      </c>
      <c r="BL39" s="56" t="str">
        <f>IF('⚙ OFF Weekends'!$D$59="OFF","OFF","")</f>
        <v/>
      </c>
      <c r="BM39" s="54" t="str">
        <f>IF('⚙ OFF Weekends'!$D$60="OFF","OFF","")</f>
        <v/>
      </c>
      <c r="BN39" s="56" t="str">
        <f>IF('⚙ OFF Weekends'!$D$61="OFF","OFF","")</f>
        <v/>
      </c>
      <c r="BO39" s="54" t="str">
        <f>IF('⚙ OFF Weekends'!$D$62="OFF","OFF","")</f>
        <v/>
      </c>
      <c r="BP39" s="56" t="str">
        <f>IF('⚙ OFF Weekends'!$D$63="OFF","OFF","")</f>
        <v/>
      </c>
      <c r="BQ39" s="54" t="str">
        <f>IF('⚙ OFF Weekends'!$D$64="OFF","OFF","")</f>
        <v/>
      </c>
      <c r="BR39" s="56" t="str">
        <f>IF('⚙ OFF Weekends'!$D$65="OFF","OFF","")</f>
        <v/>
      </c>
      <c r="BS39" s="54" t="str">
        <f>IF('⚙ OFF Weekends'!$D$66="OFF","OFF","")</f>
        <v/>
      </c>
      <c r="BT39" s="56" t="str">
        <f>IF('⚙ OFF Weekends'!$D$67="OFF","OFF","")</f>
        <v/>
      </c>
      <c r="BU39" s="54" t="str">
        <f>IF('⚙ OFF Weekends'!$D$68="OFF","OFF","")</f>
        <v/>
      </c>
      <c r="BV39" s="56" t="str">
        <f>IF('⚙ OFF Weekends'!$D$69="OFF","OFF","")</f>
        <v/>
      </c>
      <c r="BW39" s="54" t="str">
        <f>IF('⚙ OFF Weekends'!$D$70="OFF","OFF","")</f>
        <v/>
      </c>
      <c r="BX39" s="56" t="str">
        <f>IF('⚙ OFF Weekends'!$D$71="OFF","OFF","")</f>
        <v/>
      </c>
      <c r="BY39" s="54" t="str">
        <f>IF('⚙ OFF Weekends'!$D$72="OFF","OFF","")</f>
        <v/>
      </c>
      <c r="BZ39" s="56" t="str">
        <f>IF('⚙ OFF Weekends'!$D$73="OFF","OFF","")</f>
        <v/>
      </c>
      <c r="CA39" s="54" t="str">
        <f>IF('⚙ OFF Weekends'!$D$74="OFF","OFF","")</f>
        <v/>
      </c>
      <c r="CB39" s="56" t="str">
        <f>IF('⚙ OFF Weekends'!$D$75="OFF","OFF","")</f>
        <v/>
      </c>
      <c r="CC39" s="54" t="str">
        <f>IF('⚙ OFF Weekends'!$D$76="OFF","OFF","")</f>
        <v/>
      </c>
      <c r="CD39" s="56" t="str">
        <f>IF('⚙ OFF Weekends'!$D$77="OFF","OFF","")</f>
        <v/>
      </c>
      <c r="CE39" s="95">
        <f t="shared" si="9"/>
        <v>3</v>
      </c>
      <c r="CF39" s="95">
        <f t="shared" si="10"/>
        <v>8</v>
      </c>
      <c r="CG39" s="95">
        <f t="shared" si="11"/>
        <v>0</v>
      </c>
      <c r="CH39" s="95" t="str">
        <f t="shared" si="12"/>
        <v>27%</v>
      </c>
    </row>
    <row r="40" ht="18.0" customHeight="1">
      <c r="A40" s="96">
        <v>18.0</v>
      </c>
      <c r="B40" s="22" t="s">
        <v>796</v>
      </c>
      <c r="C40" s="23"/>
      <c r="D40" s="24" t="str">
        <f t="shared" si="7"/>
        <v/>
      </c>
      <c r="E40" s="26" t="str">
        <f t="shared" si="8"/>
        <v/>
      </c>
      <c r="F40" s="20"/>
      <c r="G40" s="20"/>
      <c r="H40" s="20" t="s">
        <v>797</v>
      </c>
      <c r="I40" s="102" t="s">
        <v>348</v>
      </c>
      <c r="J40" s="102" t="s">
        <v>348</v>
      </c>
      <c r="K40" s="49" t="s">
        <v>197</v>
      </c>
      <c r="L40" s="56" t="str">
        <f>IF('⚙ OFF Weekends'!$D$7="OFF","OFF","")</f>
        <v/>
      </c>
      <c r="M40" s="48" t="s">
        <v>196</v>
      </c>
      <c r="N40" s="56" t="str">
        <f>IF('⚙ OFF Weekends'!$D$9="OFF","OFF","")</f>
        <v/>
      </c>
      <c r="O40" s="54" t="str">
        <f>IF('⚙ OFF Weekends'!$D$10="OFF","OFF","")</f>
        <v/>
      </c>
      <c r="P40" s="48" t="s">
        <v>196</v>
      </c>
      <c r="Q40" s="48" t="s">
        <v>196</v>
      </c>
      <c r="R40" s="48" t="s">
        <v>196</v>
      </c>
      <c r="S40" s="52" t="s">
        <v>37</v>
      </c>
      <c r="T40" s="53" t="s">
        <v>196</v>
      </c>
      <c r="U40" s="52" t="s">
        <v>196</v>
      </c>
      <c r="V40" s="53" t="s">
        <v>196</v>
      </c>
      <c r="W40" s="54" t="str">
        <f>IF('⚙ OFF Weekends'!$D$18="OFF","OFF","")</f>
        <v>OFF</v>
      </c>
      <c r="X40" s="53" t="s">
        <v>37</v>
      </c>
      <c r="Y40" s="52" t="s">
        <v>196</v>
      </c>
      <c r="Z40" s="53" t="s">
        <v>196</v>
      </c>
      <c r="AA40" s="52" t="s">
        <v>196</v>
      </c>
      <c r="AB40" s="53" t="s">
        <v>223</v>
      </c>
      <c r="AC40" s="54" t="str">
        <f>IF('⚙ OFF Weekends'!$D$24="OFF","OFF","")</f>
        <v/>
      </c>
      <c r="AD40" s="56" t="str">
        <f>IF('⚙ OFF Weekends'!$D$25="OFF","OFF","")</f>
        <v/>
      </c>
      <c r="AE40" s="54" t="str">
        <f>IF('⚙ OFF Weekends'!$D$26="OFF","OFF","")</f>
        <v/>
      </c>
      <c r="AF40" s="56" t="str">
        <f>IF('⚙ OFF Weekends'!$D$27="OFF","OFF","")</f>
        <v/>
      </c>
      <c r="AG40" s="54" t="str">
        <f>IF('⚙ OFF Weekends'!$D$28="OFF","OFF","")</f>
        <v/>
      </c>
      <c r="AH40" s="56" t="str">
        <f>IF('⚙ OFF Weekends'!$D$29="OFF","OFF","")</f>
        <v/>
      </c>
      <c r="AI40" s="54" t="str">
        <f>IF('⚙ OFF Weekends'!$D$30="OFF","OFF","")</f>
        <v/>
      </c>
      <c r="AJ40" s="56" t="str">
        <f>IF('⚙ OFF Weekends'!$D$31="OFF","OFF","")</f>
        <v/>
      </c>
      <c r="AK40" s="54" t="str">
        <f>IF('⚙ OFF Weekends'!$D$32="OFF","OFF","")</f>
        <v/>
      </c>
      <c r="AL40" s="56" t="str">
        <f>IF('⚙ OFF Weekends'!$D$33="OFF","OFF","")</f>
        <v/>
      </c>
      <c r="AM40" s="54" t="str">
        <f>IF('⚙ OFF Weekends'!$D$34="OFF","OFF","")</f>
        <v/>
      </c>
      <c r="AN40" s="56" t="str">
        <f>IF('⚙ OFF Weekends'!$D$35="OFF","OFF","")</f>
        <v/>
      </c>
      <c r="AO40" s="54" t="str">
        <f>IF('⚙ OFF Weekends'!$D$36="OFF","OFF","")</f>
        <v/>
      </c>
      <c r="AP40" s="56" t="str">
        <f>IF('⚙ OFF Weekends'!$D$37="OFF","OFF","")</f>
        <v/>
      </c>
      <c r="AQ40" s="54" t="str">
        <f>IF('⚙ OFF Weekends'!$D$38="OFF","OFF","")</f>
        <v/>
      </c>
      <c r="AR40" s="56" t="str">
        <f>IF('⚙ OFF Weekends'!$D$39="OFF","OFF","")</f>
        <v/>
      </c>
      <c r="AS40" s="54" t="str">
        <f>IF('⚙ OFF Weekends'!$D$40="OFF","OFF","")</f>
        <v/>
      </c>
      <c r="AT40" s="56" t="str">
        <f>IF('⚙ OFF Weekends'!$D$41="OFF","OFF","")</f>
        <v/>
      </c>
      <c r="AU40" s="54" t="str">
        <f>IF('⚙ OFF Weekends'!$D$42="OFF","OFF","")</f>
        <v/>
      </c>
      <c r="AV40" s="56" t="str">
        <f>IF('⚙ OFF Weekends'!$D$43="OFF","OFF","")</f>
        <v/>
      </c>
      <c r="AW40" s="54" t="str">
        <f>IF('⚙ OFF Weekends'!$D$44="OFF","OFF","")</f>
        <v/>
      </c>
      <c r="AX40" s="56" t="str">
        <f>IF('⚙ OFF Weekends'!$D$45="OFF","OFF","")</f>
        <v/>
      </c>
      <c r="AY40" s="54" t="str">
        <f>IF('⚙ OFF Weekends'!$D$46="OFF","OFF","")</f>
        <v/>
      </c>
      <c r="AZ40" s="56" t="str">
        <f>IF('⚙ OFF Weekends'!$D$47="OFF","OFF","")</f>
        <v/>
      </c>
      <c r="BA40" s="54" t="str">
        <f>IF('⚙ OFF Weekends'!$D$48="OFF","OFF","")</f>
        <v/>
      </c>
      <c r="BB40" s="56" t="str">
        <f>IF('⚙ OFF Weekends'!$D$49="OFF","OFF","")</f>
        <v/>
      </c>
      <c r="BC40" s="54" t="str">
        <f>IF('⚙ OFF Weekends'!$D$50="OFF","OFF","")</f>
        <v/>
      </c>
      <c r="BD40" s="56" t="str">
        <f>IF('⚙ OFF Weekends'!$D$51="OFF","OFF","")</f>
        <v/>
      </c>
      <c r="BE40" s="54" t="str">
        <f>IF('⚙ OFF Weekends'!$D$52="OFF","OFF","")</f>
        <v/>
      </c>
      <c r="BF40" s="56" t="str">
        <f>IF('⚙ OFF Weekends'!$D$53="OFF","OFF","")</f>
        <v/>
      </c>
      <c r="BG40" s="54" t="str">
        <f>IF('⚙ OFF Weekends'!$D$54="OFF","OFF","")</f>
        <v/>
      </c>
      <c r="BH40" s="56" t="str">
        <f>IF('⚙ OFF Weekends'!$D$55="OFF","OFF","")</f>
        <v/>
      </c>
      <c r="BI40" s="54" t="str">
        <f>IF('⚙ OFF Weekends'!$D$56="OFF","OFF","")</f>
        <v/>
      </c>
      <c r="BJ40" s="56" t="str">
        <f>IF('⚙ OFF Weekends'!$D$57="OFF","OFF","")</f>
        <v/>
      </c>
      <c r="BK40" s="54" t="str">
        <f>IF('⚙ OFF Weekends'!$D$58="OFF","OFF","")</f>
        <v/>
      </c>
      <c r="BL40" s="56" t="str">
        <f>IF('⚙ OFF Weekends'!$D$59="OFF","OFF","")</f>
        <v/>
      </c>
      <c r="BM40" s="54" t="str">
        <f>IF('⚙ OFF Weekends'!$D$60="OFF","OFF","")</f>
        <v/>
      </c>
      <c r="BN40" s="56" t="str">
        <f>IF('⚙ OFF Weekends'!$D$61="OFF","OFF","")</f>
        <v/>
      </c>
      <c r="BO40" s="54" t="str">
        <f>IF('⚙ OFF Weekends'!$D$62="OFF","OFF","")</f>
        <v/>
      </c>
      <c r="BP40" s="56" t="str">
        <f>IF('⚙ OFF Weekends'!$D$63="OFF","OFF","")</f>
        <v/>
      </c>
      <c r="BQ40" s="54" t="str">
        <f>IF('⚙ OFF Weekends'!$D$64="OFF","OFF","")</f>
        <v/>
      </c>
      <c r="BR40" s="56" t="str">
        <f>IF('⚙ OFF Weekends'!$D$65="OFF","OFF","")</f>
        <v/>
      </c>
      <c r="BS40" s="54" t="str">
        <f>IF('⚙ OFF Weekends'!$D$66="OFF","OFF","")</f>
        <v/>
      </c>
      <c r="BT40" s="56" t="str">
        <f>IF('⚙ OFF Weekends'!$D$67="OFF","OFF","")</f>
        <v/>
      </c>
      <c r="BU40" s="54" t="str">
        <f>IF('⚙ OFF Weekends'!$D$68="OFF","OFF","")</f>
        <v/>
      </c>
      <c r="BV40" s="56" t="str">
        <f>IF('⚙ OFF Weekends'!$D$69="OFF","OFF","")</f>
        <v/>
      </c>
      <c r="BW40" s="54" t="str">
        <f>IF('⚙ OFF Weekends'!$D$70="OFF","OFF","")</f>
        <v/>
      </c>
      <c r="BX40" s="56" t="str">
        <f>IF('⚙ OFF Weekends'!$D$71="OFF","OFF","")</f>
        <v/>
      </c>
      <c r="BY40" s="54" t="str">
        <f>IF('⚙ OFF Weekends'!$D$72="OFF","OFF","")</f>
        <v/>
      </c>
      <c r="BZ40" s="56" t="str">
        <f>IF('⚙ OFF Weekends'!$D$73="OFF","OFF","")</f>
        <v/>
      </c>
      <c r="CA40" s="54" t="str">
        <f>IF('⚙ OFF Weekends'!$D$74="OFF","OFF","")</f>
        <v/>
      </c>
      <c r="CB40" s="56" t="str">
        <f>IF('⚙ OFF Weekends'!$D$75="OFF","OFF","")</f>
        <v/>
      </c>
      <c r="CC40" s="54" t="str">
        <f>IF('⚙ OFF Weekends'!$D$76="OFF","OFF","")</f>
        <v/>
      </c>
      <c r="CD40" s="56" t="str">
        <f>IF('⚙ OFF Weekends'!$D$77="OFF","OFF","")</f>
        <v/>
      </c>
      <c r="CE40" s="96">
        <f t="shared" si="9"/>
        <v>12</v>
      </c>
      <c r="CF40" s="96">
        <f t="shared" si="10"/>
        <v>1</v>
      </c>
      <c r="CG40" s="96">
        <f t="shared" si="11"/>
        <v>0</v>
      </c>
      <c r="CH40" s="96" t="str">
        <f t="shared" si="12"/>
        <v>92%</v>
      </c>
    </row>
    <row r="41" ht="18.0" customHeight="1">
      <c r="A41" s="107">
        <v>19.0</v>
      </c>
      <c r="B41" s="120" t="s">
        <v>802</v>
      </c>
      <c r="C41" s="108"/>
      <c r="D41" s="109" t="str">
        <f t="shared" si="7"/>
        <v/>
      </c>
      <c r="E41" s="110" t="str">
        <f t="shared" si="8"/>
        <v/>
      </c>
      <c r="F41" s="108"/>
      <c r="G41" s="108"/>
      <c r="H41" s="108"/>
      <c r="I41" s="111" t="str">
        <f>IF('⚙ OFF Weekends'!$D$4="OFF","OFF","")</f>
        <v/>
      </c>
      <c r="J41" s="111" t="str">
        <f>IF('⚙ OFF Weekends'!$D$5="OFF","OFF","")</f>
        <v/>
      </c>
      <c r="K41" s="111" t="str">
        <f>IF('⚙ OFF Weekends'!$D$6="OFF","OFF","")</f>
        <v/>
      </c>
      <c r="L41" s="111" t="str">
        <f>IF('⚙ OFF Weekends'!$D$7="OFF","OFF","")</f>
        <v/>
      </c>
      <c r="M41" s="111" t="str">
        <f>IF('⚙ OFF Weekends'!$D$8="OFF","OFF","")</f>
        <v/>
      </c>
      <c r="N41" s="111" t="str">
        <f>IF('⚙ OFF Weekends'!$D$9="OFF","OFF","")</f>
        <v/>
      </c>
      <c r="O41" s="111" t="str">
        <f>IF('⚙ OFF Weekends'!$D$10="OFF","OFF","")</f>
        <v/>
      </c>
      <c r="P41" s="111" t="str">
        <f>IF('⚙ OFF Weekends'!$D$11="OFF","OFF","")</f>
        <v/>
      </c>
      <c r="Q41" s="111" t="str">
        <f>IF('⚙ OFF Weekends'!$D$12="OFF","OFF","")</f>
        <v/>
      </c>
      <c r="R41" s="111" t="str">
        <f>IF('⚙ OFF Weekends'!$D$13="OFF","OFF","")</f>
        <v/>
      </c>
      <c r="S41" s="121" t="s">
        <v>196</v>
      </c>
      <c r="T41" s="111" t="str">
        <f>IF('⚙ OFF Weekends'!$D$15="OFF","OFF","")</f>
        <v/>
      </c>
      <c r="U41" s="121" t="s">
        <v>223</v>
      </c>
      <c r="V41" s="121" t="s">
        <v>223</v>
      </c>
      <c r="W41" s="111" t="str">
        <f>IF('⚙ OFF Weekends'!$D$18="OFF","OFF","")</f>
        <v>OFF</v>
      </c>
      <c r="X41" s="121" t="s">
        <v>37</v>
      </c>
      <c r="Y41" s="121" t="s">
        <v>223</v>
      </c>
      <c r="Z41" s="121" t="s">
        <v>223</v>
      </c>
      <c r="AA41" s="121" t="s">
        <v>196</v>
      </c>
      <c r="AB41" s="121" t="s">
        <v>196</v>
      </c>
      <c r="AC41" s="111" t="str">
        <f>IF('⚙ OFF Weekends'!$D$24="OFF","OFF","")</f>
        <v/>
      </c>
      <c r="AD41" s="111" t="str">
        <f>IF('⚙ OFF Weekends'!$D$25="OFF","OFF","")</f>
        <v/>
      </c>
      <c r="AE41" s="111" t="str">
        <f>IF('⚙ OFF Weekends'!$D$26="OFF","OFF","")</f>
        <v/>
      </c>
      <c r="AF41" s="111" t="str">
        <f>IF('⚙ OFF Weekends'!$D$27="OFF","OFF","")</f>
        <v/>
      </c>
      <c r="AG41" s="111" t="str">
        <f>IF('⚙ OFF Weekends'!$D$28="OFF","OFF","")</f>
        <v/>
      </c>
      <c r="AH41" s="111" t="str">
        <f>IF('⚙ OFF Weekends'!$D$29="OFF","OFF","")</f>
        <v/>
      </c>
      <c r="AI41" s="111" t="str">
        <f>IF('⚙ OFF Weekends'!$D$30="OFF","OFF","")</f>
        <v/>
      </c>
      <c r="AJ41" s="111" t="str">
        <f>IF('⚙ OFF Weekends'!$D$31="OFF","OFF","")</f>
        <v/>
      </c>
      <c r="AK41" s="111" t="str">
        <f>IF('⚙ OFF Weekends'!$D$32="OFF","OFF","")</f>
        <v/>
      </c>
      <c r="AL41" s="111" t="str">
        <f>IF('⚙ OFF Weekends'!$D$33="OFF","OFF","")</f>
        <v/>
      </c>
      <c r="AM41" s="111" t="str">
        <f>IF('⚙ OFF Weekends'!$D$34="OFF","OFF","")</f>
        <v/>
      </c>
      <c r="AN41" s="111" t="str">
        <f>IF('⚙ OFF Weekends'!$D$35="OFF","OFF","")</f>
        <v/>
      </c>
      <c r="AO41" s="111" t="str">
        <f>IF('⚙ OFF Weekends'!$D$36="OFF","OFF","")</f>
        <v/>
      </c>
      <c r="AP41" s="111" t="str">
        <f>IF('⚙ OFF Weekends'!$D$37="OFF","OFF","")</f>
        <v/>
      </c>
      <c r="AQ41" s="111" t="str">
        <f>IF('⚙ OFF Weekends'!$D$38="OFF","OFF","")</f>
        <v/>
      </c>
      <c r="AR41" s="111" t="str">
        <f>IF('⚙ OFF Weekends'!$D$39="OFF","OFF","")</f>
        <v/>
      </c>
      <c r="AS41" s="111" t="str">
        <f>IF('⚙ OFF Weekends'!$D$40="OFF","OFF","")</f>
        <v/>
      </c>
      <c r="AT41" s="111" t="str">
        <f>IF('⚙ OFF Weekends'!$D$41="OFF","OFF","")</f>
        <v/>
      </c>
      <c r="AU41" s="111" t="str">
        <f>IF('⚙ OFF Weekends'!$D$42="OFF","OFF","")</f>
        <v/>
      </c>
      <c r="AV41" s="111" t="str">
        <f>IF('⚙ OFF Weekends'!$D$43="OFF","OFF","")</f>
        <v/>
      </c>
      <c r="AW41" s="111" t="str">
        <f>IF('⚙ OFF Weekends'!$D$44="OFF","OFF","")</f>
        <v/>
      </c>
      <c r="AX41" s="111" t="str">
        <f>IF('⚙ OFF Weekends'!$D$45="OFF","OFF","")</f>
        <v/>
      </c>
      <c r="AY41" s="111" t="str">
        <f>IF('⚙ OFF Weekends'!$D$46="OFF","OFF","")</f>
        <v/>
      </c>
      <c r="AZ41" s="111" t="str">
        <f>IF('⚙ OFF Weekends'!$D$47="OFF","OFF","")</f>
        <v/>
      </c>
      <c r="BA41" s="111" t="str">
        <f>IF('⚙ OFF Weekends'!$D$48="OFF","OFF","")</f>
        <v/>
      </c>
      <c r="BB41" s="111" t="str">
        <f>IF('⚙ OFF Weekends'!$D$49="OFF","OFF","")</f>
        <v/>
      </c>
      <c r="BC41" s="111" t="str">
        <f>IF('⚙ OFF Weekends'!$D$50="OFF","OFF","")</f>
        <v/>
      </c>
      <c r="BD41" s="111" t="str">
        <f>IF('⚙ OFF Weekends'!$D$51="OFF","OFF","")</f>
        <v/>
      </c>
      <c r="BE41" s="111" t="str">
        <f>IF('⚙ OFF Weekends'!$D$52="OFF","OFF","")</f>
        <v/>
      </c>
      <c r="BF41" s="111" t="str">
        <f>IF('⚙ OFF Weekends'!$D$53="OFF","OFF","")</f>
        <v/>
      </c>
      <c r="BG41" s="111" t="str">
        <f>IF('⚙ OFF Weekends'!$D$54="OFF","OFF","")</f>
        <v/>
      </c>
      <c r="BH41" s="111" t="str">
        <f>IF('⚙ OFF Weekends'!$D$55="OFF","OFF","")</f>
        <v/>
      </c>
      <c r="BI41" s="111" t="str">
        <f>IF('⚙ OFF Weekends'!$D$56="OFF","OFF","")</f>
        <v/>
      </c>
      <c r="BJ41" s="111" t="str">
        <f>IF('⚙ OFF Weekends'!$D$57="OFF","OFF","")</f>
        <v/>
      </c>
      <c r="BK41" s="111" t="str">
        <f>IF('⚙ OFF Weekends'!$D$58="OFF","OFF","")</f>
        <v/>
      </c>
      <c r="BL41" s="111" t="str">
        <f>IF('⚙ OFF Weekends'!$D$59="OFF","OFF","")</f>
        <v/>
      </c>
      <c r="BM41" s="111" t="str">
        <f>IF('⚙ OFF Weekends'!$D$60="OFF","OFF","")</f>
        <v/>
      </c>
      <c r="BN41" s="111" t="str">
        <f>IF('⚙ OFF Weekends'!$D$61="OFF","OFF","")</f>
        <v/>
      </c>
      <c r="BO41" s="111" t="str">
        <f>IF('⚙ OFF Weekends'!$D$62="OFF","OFF","")</f>
        <v/>
      </c>
      <c r="BP41" s="111" t="str">
        <f>IF('⚙ OFF Weekends'!$D$63="OFF","OFF","")</f>
        <v/>
      </c>
      <c r="BQ41" s="111" t="str">
        <f>IF('⚙ OFF Weekends'!$D$64="OFF","OFF","")</f>
        <v/>
      </c>
      <c r="BR41" s="111" t="str">
        <f>IF('⚙ OFF Weekends'!$D$65="OFF","OFF","")</f>
        <v/>
      </c>
      <c r="BS41" s="111" t="str">
        <f>IF('⚙ OFF Weekends'!$D$66="OFF","OFF","")</f>
        <v/>
      </c>
      <c r="BT41" s="111" t="str">
        <f>IF('⚙ OFF Weekends'!$D$67="OFF","OFF","")</f>
        <v/>
      </c>
      <c r="BU41" s="111" t="str">
        <f>IF('⚙ OFF Weekends'!$D$68="OFF","OFF","")</f>
        <v/>
      </c>
      <c r="BV41" s="111" t="str">
        <f>IF('⚙ OFF Weekends'!$D$69="OFF","OFF","")</f>
        <v/>
      </c>
      <c r="BW41" s="111" t="str">
        <f>IF('⚙ OFF Weekends'!$D$70="OFF","OFF","")</f>
        <v/>
      </c>
      <c r="BX41" s="111" t="str">
        <f>IF('⚙ OFF Weekends'!$D$71="OFF","OFF","")</f>
        <v/>
      </c>
      <c r="BY41" s="111" t="str">
        <f>IF('⚙ OFF Weekends'!$D$72="OFF","OFF","")</f>
        <v/>
      </c>
      <c r="BZ41" s="111" t="str">
        <f>IF('⚙ OFF Weekends'!$D$73="OFF","OFF","")</f>
        <v/>
      </c>
      <c r="CA41" s="111" t="str">
        <f>IF('⚙ OFF Weekends'!$D$74="OFF","OFF","")</f>
        <v/>
      </c>
      <c r="CB41" s="111" t="str">
        <f>IF('⚙ OFF Weekends'!$D$75="OFF","OFF","")</f>
        <v/>
      </c>
      <c r="CC41" s="111" t="str">
        <f>IF('⚙ OFF Weekends'!$D$76="OFF","OFF","")</f>
        <v/>
      </c>
      <c r="CD41" s="111" t="str">
        <f>IF('⚙ OFF Weekends'!$D$77="OFF","OFF","")</f>
        <v/>
      </c>
      <c r="CE41" s="112">
        <f t="shared" si="9"/>
        <v>4</v>
      </c>
      <c r="CF41" s="112">
        <f t="shared" si="10"/>
        <v>4</v>
      </c>
      <c r="CG41" s="112">
        <f t="shared" si="11"/>
        <v>0</v>
      </c>
      <c r="CH41" s="112" t="str">
        <f t="shared" si="12"/>
        <v>50%</v>
      </c>
    </row>
    <row r="42" ht="18.0" customHeight="1">
      <c r="A42" s="107">
        <v>20.0</v>
      </c>
      <c r="B42" s="120" t="s">
        <v>805</v>
      </c>
      <c r="C42" s="108"/>
      <c r="D42" s="109" t="str">
        <f t="shared" si="7"/>
        <v/>
      </c>
      <c r="E42" s="110" t="str">
        <f t="shared" si="8"/>
        <v/>
      </c>
      <c r="F42" s="108"/>
      <c r="G42" s="108"/>
      <c r="H42" s="108"/>
      <c r="I42" s="111" t="str">
        <f>IF('⚙ OFF Weekends'!$D$4="OFF","OFF","")</f>
        <v/>
      </c>
      <c r="J42" s="111" t="str">
        <f>IF('⚙ OFF Weekends'!$D$5="OFF","OFF","")</f>
        <v/>
      </c>
      <c r="K42" s="111" t="str">
        <f>IF('⚙ OFF Weekends'!$D$6="OFF","OFF","")</f>
        <v/>
      </c>
      <c r="L42" s="111" t="str">
        <f>IF('⚙ OFF Weekends'!$D$7="OFF","OFF","")</f>
        <v/>
      </c>
      <c r="M42" s="111" t="str">
        <f>IF('⚙ OFF Weekends'!$D$8="OFF","OFF","")</f>
        <v/>
      </c>
      <c r="N42" s="111" t="str">
        <f>IF('⚙ OFF Weekends'!$D$9="OFF","OFF","")</f>
        <v/>
      </c>
      <c r="O42" s="111" t="str">
        <f>IF('⚙ OFF Weekends'!$D$10="OFF","OFF","")</f>
        <v/>
      </c>
      <c r="P42" s="111" t="str">
        <f>IF('⚙ OFF Weekends'!$D$11="OFF","OFF","")</f>
        <v/>
      </c>
      <c r="Q42" s="111" t="str">
        <f>IF('⚙ OFF Weekends'!$D$12="OFF","OFF","")</f>
        <v/>
      </c>
      <c r="R42" s="111" t="str">
        <f>IF('⚙ OFF Weekends'!$D$13="OFF","OFF","")</f>
        <v/>
      </c>
      <c r="S42" s="121" t="s">
        <v>196</v>
      </c>
      <c r="T42" s="121" t="s">
        <v>223</v>
      </c>
      <c r="U42" s="121" t="s">
        <v>223</v>
      </c>
      <c r="V42" s="121" t="s">
        <v>196</v>
      </c>
      <c r="W42" s="111" t="str">
        <f>IF('⚙ OFF Weekends'!$D$18="OFF","OFF","")</f>
        <v>OFF</v>
      </c>
      <c r="X42" s="121" t="s">
        <v>196</v>
      </c>
      <c r="Y42" s="121" t="s">
        <v>196</v>
      </c>
      <c r="Z42" s="121" t="s">
        <v>196</v>
      </c>
      <c r="AA42" s="121" t="s">
        <v>223</v>
      </c>
      <c r="AB42" s="121" t="s">
        <v>223</v>
      </c>
      <c r="AC42" s="111" t="str">
        <f>IF('⚙ OFF Weekends'!$D$24="OFF","OFF","")</f>
        <v/>
      </c>
      <c r="AD42" s="111" t="str">
        <f>IF('⚙ OFF Weekends'!$D$25="OFF","OFF","")</f>
        <v/>
      </c>
      <c r="AE42" s="111" t="str">
        <f>IF('⚙ OFF Weekends'!$D$26="OFF","OFF","")</f>
        <v/>
      </c>
      <c r="AF42" s="111" t="str">
        <f>IF('⚙ OFF Weekends'!$D$27="OFF","OFF","")</f>
        <v/>
      </c>
      <c r="AG42" s="111" t="str">
        <f>IF('⚙ OFF Weekends'!$D$28="OFF","OFF","")</f>
        <v/>
      </c>
      <c r="AH42" s="111" t="str">
        <f>IF('⚙ OFF Weekends'!$D$29="OFF","OFF","")</f>
        <v/>
      </c>
      <c r="AI42" s="111" t="str">
        <f>IF('⚙ OFF Weekends'!$D$30="OFF","OFF","")</f>
        <v/>
      </c>
      <c r="AJ42" s="111" t="str">
        <f>IF('⚙ OFF Weekends'!$D$31="OFF","OFF","")</f>
        <v/>
      </c>
      <c r="AK42" s="111" t="str">
        <f>IF('⚙ OFF Weekends'!$D$32="OFF","OFF","")</f>
        <v/>
      </c>
      <c r="AL42" s="111" t="str">
        <f>IF('⚙ OFF Weekends'!$D$33="OFF","OFF","")</f>
        <v/>
      </c>
      <c r="AM42" s="111" t="str">
        <f>IF('⚙ OFF Weekends'!$D$34="OFF","OFF","")</f>
        <v/>
      </c>
      <c r="AN42" s="111" t="str">
        <f>IF('⚙ OFF Weekends'!$D$35="OFF","OFF","")</f>
        <v/>
      </c>
      <c r="AO42" s="111" t="str">
        <f>IF('⚙ OFF Weekends'!$D$36="OFF","OFF","")</f>
        <v/>
      </c>
      <c r="AP42" s="111" t="str">
        <f>IF('⚙ OFF Weekends'!$D$37="OFF","OFF","")</f>
        <v/>
      </c>
      <c r="AQ42" s="111" t="str">
        <f>IF('⚙ OFF Weekends'!$D$38="OFF","OFF","")</f>
        <v/>
      </c>
      <c r="AR42" s="111" t="str">
        <f>IF('⚙ OFF Weekends'!$D$39="OFF","OFF","")</f>
        <v/>
      </c>
      <c r="AS42" s="111" t="str">
        <f>IF('⚙ OFF Weekends'!$D$40="OFF","OFF","")</f>
        <v/>
      </c>
      <c r="AT42" s="111" t="str">
        <f>IF('⚙ OFF Weekends'!$D$41="OFF","OFF","")</f>
        <v/>
      </c>
      <c r="AU42" s="111" t="str">
        <f>IF('⚙ OFF Weekends'!$D$42="OFF","OFF","")</f>
        <v/>
      </c>
      <c r="AV42" s="111" t="str">
        <f>IF('⚙ OFF Weekends'!$D$43="OFF","OFF","")</f>
        <v/>
      </c>
      <c r="AW42" s="111" t="str">
        <f>IF('⚙ OFF Weekends'!$D$44="OFF","OFF","")</f>
        <v/>
      </c>
      <c r="AX42" s="111" t="str">
        <f>IF('⚙ OFF Weekends'!$D$45="OFF","OFF","")</f>
        <v/>
      </c>
      <c r="AY42" s="111" t="str">
        <f>IF('⚙ OFF Weekends'!$D$46="OFF","OFF","")</f>
        <v/>
      </c>
      <c r="AZ42" s="111" t="str">
        <f>IF('⚙ OFF Weekends'!$D$47="OFF","OFF","")</f>
        <v/>
      </c>
      <c r="BA42" s="111" t="str">
        <f>IF('⚙ OFF Weekends'!$D$48="OFF","OFF","")</f>
        <v/>
      </c>
      <c r="BB42" s="111" t="str">
        <f>IF('⚙ OFF Weekends'!$D$49="OFF","OFF","")</f>
        <v/>
      </c>
      <c r="BC42" s="111" t="str">
        <f>IF('⚙ OFF Weekends'!$D$50="OFF","OFF","")</f>
        <v/>
      </c>
      <c r="BD42" s="111" t="str">
        <f>IF('⚙ OFF Weekends'!$D$51="OFF","OFF","")</f>
        <v/>
      </c>
      <c r="BE42" s="111" t="str">
        <f>IF('⚙ OFF Weekends'!$D$52="OFF","OFF","")</f>
        <v/>
      </c>
      <c r="BF42" s="111" t="str">
        <f>IF('⚙ OFF Weekends'!$D$53="OFF","OFF","")</f>
        <v/>
      </c>
      <c r="BG42" s="111" t="str">
        <f>IF('⚙ OFF Weekends'!$D$54="OFF","OFF","")</f>
        <v/>
      </c>
      <c r="BH42" s="111" t="str">
        <f>IF('⚙ OFF Weekends'!$D$55="OFF","OFF","")</f>
        <v/>
      </c>
      <c r="BI42" s="111" t="str">
        <f>IF('⚙ OFF Weekends'!$D$56="OFF","OFF","")</f>
        <v/>
      </c>
      <c r="BJ42" s="111" t="str">
        <f>IF('⚙ OFF Weekends'!$D$57="OFF","OFF","")</f>
        <v/>
      </c>
      <c r="BK42" s="111" t="str">
        <f>IF('⚙ OFF Weekends'!$D$58="OFF","OFF","")</f>
        <v/>
      </c>
      <c r="BL42" s="111" t="str">
        <f>IF('⚙ OFF Weekends'!$D$59="OFF","OFF","")</f>
        <v/>
      </c>
      <c r="BM42" s="111" t="str">
        <f>IF('⚙ OFF Weekends'!$D$60="OFF","OFF","")</f>
        <v/>
      </c>
      <c r="BN42" s="111" t="str">
        <f>IF('⚙ OFF Weekends'!$D$61="OFF","OFF","")</f>
        <v/>
      </c>
      <c r="BO42" s="111" t="str">
        <f>IF('⚙ OFF Weekends'!$D$62="OFF","OFF","")</f>
        <v/>
      </c>
      <c r="BP42" s="111" t="str">
        <f>IF('⚙ OFF Weekends'!$D$63="OFF","OFF","")</f>
        <v/>
      </c>
      <c r="BQ42" s="111" t="str">
        <f>IF('⚙ OFF Weekends'!$D$64="OFF","OFF","")</f>
        <v/>
      </c>
      <c r="BR42" s="111" t="str">
        <f>IF('⚙ OFF Weekends'!$D$65="OFF","OFF","")</f>
        <v/>
      </c>
      <c r="BS42" s="111" t="str">
        <f>IF('⚙ OFF Weekends'!$D$66="OFF","OFF","")</f>
        <v/>
      </c>
      <c r="BT42" s="111" t="str">
        <f>IF('⚙ OFF Weekends'!$D$67="OFF","OFF","")</f>
        <v/>
      </c>
      <c r="BU42" s="111" t="str">
        <f>IF('⚙ OFF Weekends'!$D$68="OFF","OFF","")</f>
        <v/>
      </c>
      <c r="BV42" s="111" t="str">
        <f>IF('⚙ OFF Weekends'!$D$69="OFF","OFF","")</f>
        <v/>
      </c>
      <c r="BW42" s="111" t="str">
        <f>IF('⚙ OFF Weekends'!$D$70="OFF","OFF","")</f>
        <v/>
      </c>
      <c r="BX42" s="111" t="str">
        <f>IF('⚙ OFF Weekends'!$D$71="OFF","OFF","")</f>
        <v/>
      </c>
      <c r="BY42" s="111" t="str">
        <f>IF('⚙ OFF Weekends'!$D$72="OFF","OFF","")</f>
        <v/>
      </c>
      <c r="BZ42" s="111" t="str">
        <f>IF('⚙ OFF Weekends'!$D$73="OFF","OFF","")</f>
        <v/>
      </c>
      <c r="CA42" s="111" t="str">
        <f>IF('⚙ OFF Weekends'!$D$74="OFF","OFF","")</f>
        <v/>
      </c>
      <c r="CB42" s="111" t="str">
        <f>IF('⚙ OFF Weekends'!$D$75="OFF","OFF","")</f>
        <v/>
      </c>
      <c r="CC42" s="111" t="str">
        <f>IF('⚙ OFF Weekends'!$D$76="OFF","OFF","")</f>
        <v/>
      </c>
      <c r="CD42" s="111" t="str">
        <f>IF('⚙ OFF Weekends'!$D$77="OFF","OFF","")</f>
        <v/>
      </c>
      <c r="CE42" s="112">
        <f t="shared" si="9"/>
        <v>5</v>
      </c>
      <c r="CF42" s="112">
        <f t="shared" si="10"/>
        <v>4</v>
      </c>
      <c r="CG42" s="112">
        <f t="shared" si="11"/>
        <v>0</v>
      </c>
      <c r="CH42" s="112" t="str">
        <f t="shared" si="12"/>
        <v>56%</v>
      </c>
    </row>
    <row r="43" ht="18.0" customHeight="1">
      <c r="A43" s="107">
        <v>21.0</v>
      </c>
      <c r="B43" s="120" t="s">
        <v>806</v>
      </c>
      <c r="C43" s="108"/>
      <c r="D43" s="109" t="str">
        <f t="shared" si="7"/>
        <v/>
      </c>
      <c r="E43" s="110" t="str">
        <f t="shared" si="8"/>
        <v/>
      </c>
      <c r="F43" s="108"/>
      <c r="G43" s="108"/>
      <c r="H43" s="108"/>
      <c r="I43" s="111" t="str">
        <f>IF('⚙ OFF Weekends'!$D$4="OFF","OFF","")</f>
        <v/>
      </c>
      <c r="J43" s="111" t="str">
        <f>IF('⚙ OFF Weekends'!$D$5="OFF","OFF","")</f>
        <v/>
      </c>
      <c r="K43" s="111" t="str">
        <f>IF('⚙ OFF Weekends'!$D$6="OFF","OFF","")</f>
        <v/>
      </c>
      <c r="L43" s="111" t="str">
        <f>IF('⚙ OFF Weekends'!$D$7="OFF","OFF","")</f>
        <v/>
      </c>
      <c r="M43" s="111" t="str">
        <f>IF('⚙ OFF Weekends'!$D$8="OFF","OFF","")</f>
        <v/>
      </c>
      <c r="N43" s="111" t="str">
        <f>IF('⚙ OFF Weekends'!$D$9="OFF","OFF","")</f>
        <v/>
      </c>
      <c r="O43" s="111" t="str">
        <f>IF('⚙ OFF Weekends'!$D$10="OFF","OFF","")</f>
        <v/>
      </c>
      <c r="P43" s="111" t="str">
        <f>IF('⚙ OFF Weekends'!$D$11="OFF","OFF","")</f>
        <v/>
      </c>
      <c r="Q43" s="111" t="str">
        <f>IF('⚙ OFF Weekends'!$D$12="OFF","OFF","")</f>
        <v/>
      </c>
      <c r="R43" s="111" t="str">
        <f>IF('⚙ OFF Weekends'!$D$13="OFF","OFF","")</f>
        <v/>
      </c>
      <c r="S43" s="121" t="s">
        <v>196</v>
      </c>
      <c r="T43" s="121" t="s">
        <v>196</v>
      </c>
      <c r="U43" s="121" t="s">
        <v>223</v>
      </c>
      <c r="V43" s="121" t="s">
        <v>223</v>
      </c>
      <c r="W43" s="111" t="str">
        <f>IF('⚙ OFF Weekends'!$D$18="OFF","OFF","")</f>
        <v>OFF</v>
      </c>
      <c r="X43" s="121" t="s">
        <v>223</v>
      </c>
      <c r="Y43" s="121" t="s">
        <v>223</v>
      </c>
      <c r="Z43" s="121" t="s">
        <v>223</v>
      </c>
      <c r="AA43" s="121" t="s">
        <v>223</v>
      </c>
      <c r="AB43" s="121" t="s">
        <v>223</v>
      </c>
      <c r="AC43" s="111" t="str">
        <f>IF('⚙ OFF Weekends'!$D$24="OFF","OFF","")</f>
        <v/>
      </c>
      <c r="AD43" s="111" t="str">
        <f>IF('⚙ OFF Weekends'!$D$25="OFF","OFF","")</f>
        <v/>
      </c>
      <c r="AE43" s="111" t="str">
        <f>IF('⚙ OFF Weekends'!$D$26="OFF","OFF","")</f>
        <v/>
      </c>
      <c r="AF43" s="111" t="str">
        <f>IF('⚙ OFF Weekends'!$D$27="OFF","OFF","")</f>
        <v/>
      </c>
      <c r="AG43" s="111" t="str">
        <f>IF('⚙ OFF Weekends'!$D$28="OFF","OFF","")</f>
        <v/>
      </c>
      <c r="AH43" s="111" t="str">
        <f>IF('⚙ OFF Weekends'!$D$29="OFF","OFF","")</f>
        <v/>
      </c>
      <c r="AI43" s="111" t="str">
        <f>IF('⚙ OFF Weekends'!$D$30="OFF","OFF","")</f>
        <v/>
      </c>
      <c r="AJ43" s="111" t="str">
        <f>IF('⚙ OFF Weekends'!$D$31="OFF","OFF","")</f>
        <v/>
      </c>
      <c r="AK43" s="111" t="str">
        <f>IF('⚙ OFF Weekends'!$D$32="OFF","OFF","")</f>
        <v/>
      </c>
      <c r="AL43" s="111" t="str">
        <f>IF('⚙ OFF Weekends'!$D$33="OFF","OFF","")</f>
        <v/>
      </c>
      <c r="AM43" s="111" t="str">
        <f>IF('⚙ OFF Weekends'!$D$34="OFF","OFF","")</f>
        <v/>
      </c>
      <c r="AN43" s="111" t="str">
        <f>IF('⚙ OFF Weekends'!$D$35="OFF","OFF","")</f>
        <v/>
      </c>
      <c r="AO43" s="111" t="str">
        <f>IF('⚙ OFF Weekends'!$D$36="OFF","OFF","")</f>
        <v/>
      </c>
      <c r="AP43" s="111" t="str">
        <f>IF('⚙ OFF Weekends'!$D$37="OFF","OFF","")</f>
        <v/>
      </c>
      <c r="AQ43" s="111" t="str">
        <f>IF('⚙ OFF Weekends'!$D$38="OFF","OFF","")</f>
        <v/>
      </c>
      <c r="AR43" s="111" t="str">
        <f>IF('⚙ OFF Weekends'!$D$39="OFF","OFF","")</f>
        <v/>
      </c>
      <c r="AS43" s="111" t="str">
        <f>IF('⚙ OFF Weekends'!$D$40="OFF","OFF","")</f>
        <v/>
      </c>
      <c r="AT43" s="111" t="str">
        <f>IF('⚙ OFF Weekends'!$D$41="OFF","OFF","")</f>
        <v/>
      </c>
      <c r="AU43" s="111" t="str">
        <f>IF('⚙ OFF Weekends'!$D$42="OFF","OFF","")</f>
        <v/>
      </c>
      <c r="AV43" s="111" t="str">
        <f>IF('⚙ OFF Weekends'!$D$43="OFF","OFF","")</f>
        <v/>
      </c>
      <c r="AW43" s="111" t="str">
        <f>IF('⚙ OFF Weekends'!$D$44="OFF","OFF","")</f>
        <v/>
      </c>
      <c r="AX43" s="111" t="str">
        <f>IF('⚙ OFF Weekends'!$D$45="OFF","OFF","")</f>
        <v/>
      </c>
      <c r="AY43" s="111" t="str">
        <f>IF('⚙ OFF Weekends'!$D$46="OFF","OFF","")</f>
        <v/>
      </c>
      <c r="AZ43" s="111" t="str">
        <f>IF('⚙ OFF Weekends'!$D$47="OFF","OFF","")</f>
        <v/>
      </c>
      <c r="BA43" s="111" t="str">
        <f>IF('⚙ OFF Weekends'!$D$48="OFF","OFF","")</f>
        <v/>
      </c>
      <c r="BB43" s="111" t="str">
        <f>IF('⚙ OFF Weekends'!$D$49="OFF","OFF","")</f>
        <v/>
      </c>
      <c r="BC43" s="111" t="str">
        <f>IF('⚙ OFF Weekends'!$D$50="OFF","OFF","")</f>
        <v/>
      </c>
      <c r="BD43" s="111" t="str">
        <f>IF('⚙ OFF Weekends'!$D$51="OFF","OFF","")</f>
        <v/>
      </c>
      <c r="BE43" s="111" t="str">
        <f>IF('⚙ OFF Weekends'!$D$52="OFF","OFF","")</f>
        <v/>
      </c>
      <c r="BF43" s="111" t="str">
        <f>IF('⚙ OFF Weekends'!$D$53="OFF","OFF","")</f>
        <v/>
      </c>
      <c r="BG43" s="111" t="str">
        <f>IF('⚙ OFF Weekends'!$D$54="OFF","OFF","")</f>
        <v/>
      </c>
      <c r="BH43" s="111" t="str">
        <f>IF('⚙ OFF Weekends'!$D$55="OFF","OFF","")</f>
        <v/>
      </c>
      <c r="BI43" s="111" t="str">
        <f>IF('⚙ OFF Weekends'!$D$56="OFF","OFF","")</f>
        <v/>
      </c>
      <c r="BJ43" s="111" t="str">
        <f>IF('⚙ OFF Weekends'!$D$57="OFF","OFF","")</f>
        <v/>
      </c>
      <c r="BK43" s="111" t="str">
        <f>IF('⚙ OFF Weekends'!$D$58="OFF","OFF","")</f>
        <v/>
      </c>
      <c r="BL43" s="111" t="str">
        <f>IF('⚙ OFF Weekends'!$D$59="OFF","OFF","")</f>
        <v/>
      </c>
      <c r="BM43" s="111" t="str">
        <f>IF('⚙ OFF Weekends'!$D$60="OFF","OFF","")</f>
        <v/>
      </c>
      <c r="BN43" s="111" t="str">
        <f>IF('⚙ OFF Weekends'!$D$61="OFF","OFF","")</f>
        <v/>
      </c>
      <c r="BO43" s="111" t="str">
        <f>IF('⚙ OFF Weekends'!$D$62="OFF","OFF","")</f>
        <v/>
      </c>
      <c r="BP43" s="111" t="str">
        <f>IF('⚙ OFF Weekends'!$D$63="OFF","OFF","")</f>
        <v/>
      </c>
      <c r="BQ43" s="111" t="str">
        <f>IF('⚙ OFF Weekends'!$D$64="OFF","OFF","")</f>
        <v/>
      </c>
      <c r="BR43" s="111" t="str">
        <f>IF('⚙ OFF Weekends'!$D$65="OFF","OFF","")</f>
        <v/>
      </c>
      <c r="BS43" s="111" t="str">
        <f>IF('⚙ OFF Weekends'!$D$66="OFF","OFF","")</f>
        <v/>
      </c>
      <c r="BT43" s="111" t="str">
        <f>IF('⚙ OFF Weekends'!$D$67="OFF","OFF","")</f>
        <v/>
      </c>
      <c r="BU43" s="111" t="str">
        <f>IF('⚙ OFF Weekends'!$D$68="OFF","OFF","")</f>
        <v/>
      </c>
      <c r="BV43" s="111" t="str">
        <f>IF('⚙ OFF Weekends'!$D$69="OFF","OFF","")</f>
        <v/>
      </c>
      <c r="BW43" s="111" t="str">
        <f>IF('⚙ OFF Weekends'!$D$70="OFF","OFF","")</f>
        <v/>
      </c>
      <c r="BX43" s="111" t="str">
        <f>IF('⚙ OFF Weekends'!$D$71="OFF","OFF","")</f>
        <v/>
      </c>
      <c r="BY43" s="111" t="str">
        <f>IF('⚙ OFF Weekends'!$D$72="OFF","OFF","")</f>
        <v/>
      </c>
      <c r="BZ43" s="111" t="str">
        <f>IF('⚙ OFF Weekends'!$D$73="OFF","OFF","")</f>
        <v/>
      </c>
      <c r="CA43" s="111" t="str">
        <f>IF('⚙ OFF Weekends'!$D$74="OFF","OFF","")</f>
        <v/>
      </c>
      <c r="CB43" s="111" t="str">
        <f>IF('⚙ OFF Weekends'!$D$75="OFF","OFF","")</f>
        <v/>
      </c>
      <c r="CC43" s="111" t="str">
        <f>IF('⚙ OFF Weekends'!$D$76="OFF","OFF","")</f>
        <v/>
      </c>
      <c r="CD43" s="111" t="str">
        <f>IF('⚙ OFF Weekends'!$D$77="OFF","OFF","")</f>
        <v/>
      </c>
      <c r="CE43" s="112">
        <f t="shared" si="9"/>
        <v>2</v>
      </c>
      <c r="CF43" s="112">
        <f t="shared" si="10"/>
        <v>7</v>
      </c>
      <c r="CG43" s="112">
        <f t="shared" si="11"/>
        <v>0</v>
      </c>
      <c r="CH43" s="112" t="str">
        <f t="shared" si="12"/>
        <v>22%</v>
      </c>
    </row>
    <row r="44" ht="18.0" customHeight="1">
      <c r="A44" s="107">
        <v>22.0</v>
      </c>
      <c r="B44" s="120" t="s">
        <v>809</v>
      </c>
      <c r="C44" s="108"/>
      <c r="D44" s="109" t="str">
        <f t="shared" si="7"/>
        <v/>
      </c>
      <c r="E44" s="110" t="str">
        <f t="shared" si="8"/>
        <v/>
      </c>
      <c r="F44" s="108"/>
      <c r="G44" s="108"/>
      <c r="H44" s="108"/>
      <c r="I44" s="111" t="str">
        <f>IF('⚙ OFF Weekends'!$D$4="OFF","OFF","")</f>
        <v/>
      </c>
      <c r="J44" s="111" t="str">
        <f>IF('⚙ OFF Weekends'!$D$5="OFF","OFF","")</f>
        <v/>
      </c>
      <c r="K44" s="111" t="str">
        <f>IF('⚙ OFF Weekends'!$D$6="OFF","OFF","")</f>
        <v/>
      </c>
      <c r="L44" s="111" t="str">
        <f>IF('⚙ OFF Weekends'!$D$7="OFF","OFF","")</f>
        <v/>
      </c>
      <c r="M44" s="111" t="str">
        <f>IF('⚙ OFF Weekends'!$D$8="OFF","OFF","")</f>
        <v/>
      </c>
      <c r="N44" s="111" t="str">
        <f>IF('⚙ OFF Weekends'!$D$9="OFF","OFF","")</f>
        <v/>
      </c>
      <c r="O44" s="111" t="str">
        <f>IF('⚙ OFF Weekends'!$D$10="OFF","OFF","")</f>
        <v/>
      </c>
      <c r="P44" s="111" t="str">
        <f>IF('⚙ OFF Weekends'!$D$11="OFF","OFF","")</f>
        <v/>
      </c>
      <c r="Q44" s="111" t="str">
        <f>IF('⚙ OFF Weekends'!$D$12="OFF","OFF","")</f>
        <v/>
      </c>
      <c r="R44" s="111" t="str">
        <f>IF('⚙ OFF Weekends'!$D$13="OFF","OFF","")</f>
        <v/>
      </c>
      <c r="S44" s="121" t="s">
        <v>196</v>
      </c>
      <c r="T44" s="121" t="s">
        <v>196</v>
      </c>
      <c r="U44" s="121" t="s">
        <v>223</v>
      </c>
      <c r="V44" s="121" t="s">
        <v>223</v>
      </c>
      <c r="W44" s="111" t="str">
        <f>IF('⚙ OFF Weekends'!$D$18="OFF","OFF","")</f>
        <v>OFF</v>
      </c>
      <c r="X44" s="121" t="s">
        <v>223</v>
      </c>
      <c r="Y44" s="121" t="s">
        <v>223</v>
      </c>
      <c r="Z44" s="121" t="s">
        <v>223</v>
      </c>
      <c r="AA44" s="121" t="s">
        <v>223</v>
      </c>
      <c r="AB44" s="121" t="s">
        <v>223</v>
      </c>
      <c r="AC44" s="111" t="str">
        <f>IF('⚙ OFF Weekends'!$D$24="OFF","OFF","")</f>
        <v/>
      </c>
      <c r="AD44" s="111" t="str">
        <f>IF('⚙ OFF Weekends'!$D$25="OFF","OFF","")</f>
        <v/>
      </c>
      <c r="AE44" s="111" t="str">
        <f>IF('⚙ OFF Weekends'!$D$26="OFF","OFF","")</f>
        <v/>
      </c>
      <c r="AF44" s="111" t="str">
        <f>IF('⚙ OFF Weekends'!$D$27="OFF","OFF","")</f>
        <v/>
      </c>
      <c r="AG44" s="111" t="str">
        <f>IF('⚙ OFF Weekends'!$D$28="OFF","OFF","")</f>
        <v/>
      </c>
      <c r="AH44" s="111" t="str">
        <f>IF('⚙ OFF Weekends'!$D$29="OFF","OFF","")</f>
        <v/>
      </c>
      <c r="AI44" s="111" t="str">
        <f>IF('⚙ OFF Weekends'!$D$30="OFF","OFF","")</f>
        <v/>
      </c>
      <c r="AJ44" s="111" t="str">
        <f>IF('⚙ OFF Weekends'!$D$31="OFF","OFF","")</f>
        <v/>
      </c>
      <c r="AK44" s="111" t="str">
        <f>IF('⚙ OFF Weekends'!$D$32="OFF","OFF","")</f>
        <v/>
      </c>
      <c r="AL44" s="111" t="str">
        <f>IF('⚙ OFF Weekends'!$D$33="OFF","OFF","")</f>
        <v/>
      </c>
      <c r="AM44" s="111" t="str">
        <f>IF('⚙ OFF Weekends'!$D$34="OFF","OFF","")</f>
        <v/>
      </c>
      <c r="AN44" s="111" t="str">
        <f>IF('⚙ OFF Weekends'!$D$35="OFF","OFF","")</f>
        <v/>
      </c>
      <c r="AO44" s="111" t="str">
        <f>IF('⚙ OFF Weekends'!$D$36="OFF","OFF","")</f>
        <v/>
      </c>
      <c r="AP44" s="111" t="str">
        <f>IF('⚙ OFF Weekends'!$D$37="OFF","OFF","")</f>
        <v/>
      </c>
      <c r="AQ44" s="111" t="str">
        <f>IF('⚙ OFF Weekends'!$D$38="OFF","OFF","")</f>
        <v/>
      </c>
      <c r="AR44" s="111" t="str">
        <f>IF('⚙ OFF Weekends'!$D$39="OFF","OFF","")</f>
        <v/>
      </c>
      <c r="AS44" s="111" t="str">
        <f>IF('⚙ OFF Weekends'!$D$40="OFF","OFF","")</f>
        <v/>
      </c>
      <c r="AT44" s="111" t="str">
        <f>IF('⚙ OFF Weekends'!$D$41="OFF","OFF","")</f>
        <v/>
      </c>
      <c r="AU44" s="111" t="str">
        <f>IF('⚙ OFF Weekends'!$D$42="OFF","OFF","")</f>
        <v/>
      </c>
      <c r="AV44" s="111" t="str">
        <f>IF('⚙ OFF Weekends'!$D$43="OFF","OFF","")</f>
        <v/>
      </c>
      <c r="AW44" s="111" t="str">
        <f>IF('⚙ OFF Weekends'!$D$44="OFF","OFF","")</f>
        <v/>
      </c>
      <c r="AX44" s="111" t="str">
        <f>IF('⚙ OFF Weekends'!$D$45="OFF","OFF","")</f>
        <v/>
      </c>
      <c r="AY44" s="111" t="str">
        <f>IF('⚙ OFF Weekends'!$D$46="OFF","OFF","")</f>
        <v/>
      </c>
      <c r="AZ44" s="111" t="str">
        <f>IF('⚙ OFF Weekends'!$D$47="OFF","OFF","")</f>
        <v/>
      </c>
      <c r="BA44" s="111" t="str">
        <f>IF('⚙ OFF Weekends'!$D$48="OFF","OFF","")</f>
        <v/>
      </c>
      <c r="BB44" s="111" t="str">
        <f>IF('⚙ OFF Weekends'!$D$49="OFF","OFF","")</f>
        <v/>
      </c>
      <c r="BC44" s="111" t="str">
        <f>IF('⚙ OFF Weekends'!$D$50="OFF","OFF","")</f>
        <v/>
      </c>
      <c r="BD44" s="111" t="str">
        <f>IF('⚙ OFF Weekends'!$D$51="OFF","OFF","")</f>
        <v/>
      </c>
      <c r="BE44" s="111" t="str">
        <f>IF('⚙ OFF Weekends'!$D$52="OFF","OFF","")</f>
        <v/>
      </c>
      <c r="BF44" s="111" t="str">
        <f>IF('⚙ OFF Weekends'!$D$53="OFF","OFF","")</f>
        <v/>
      </c>
      <c r="BG44" s="111" t="str">
        <f>IF('⚙ OFF Weekends'!$D$54="OFF","OFF","")</f>
        <v/>
      </c>
      <c r="BH44" s="111" t="str">
        <f>IF('⚙ OFF Weekends'!$D$55="OFF","OFF","")</f>
        <v/>
      </c>
      <c r="BI44" s="111" t="str">
        <f>IF('⚙ OFF Weekends'!$D$56="OFF","OFF","")</f>
        <v/>
      </c>
      <c r="BJ44" s="111" t="str">
        <f>IF('⚙ OFF Weekends'!$D$57="OFF","OFF","")</f>
        <v/>
      </c>
      <c r="BK44" s="111" t="str">
        <f>IF('⚙ OFF Weekends'!$D$58="OFF","OFF","")</f>
        <v/>
      </c>
      <c r="BL44" s="111" t="str">
        <f>IF('⚙ OFF Weekends'!$D$59="OFF","OFF","")</f>
        <v/>
      </c>
      <c r="BM44" s="111" t="str">
        <f>IF('⚙ OFF Weekends'!$D$60="OFF","OFF","")</f>
        <v/>
      </c>
      <c r="BN44" s="111" t="str">
        <f>IF('⚙ OFF Weekends'!$D$61="OFF","OFF","")</f>
        <v/>
      </c>
      <c r="BO44" s="111" t="str">
        <f>IF('⚙ OFF Weekends'!$D$62="OFF","OFF","")</f>
        <v/>
      </c>
      <c r="BP44" s="111" t="str">
        <f>IF('⚙ OFF Weekends'!$D$63="OFF","OFF","")</f>
        <v/>
      </c>
      <c r="BQ44" s="111" t="str">
        <f>IF('⚙ OFF Weekends'!$D$64="OFF","OFF","")</f>
        <v/>
      </c>
      <c r="BR44" s="111" t="str">
        <f>IF('⚙ OFF Weekends'!$D$65="OFF","OFF","")</f>
        <v/>
      </c>
      <c r="BS44" s="111" t="str">
        <f>IF('⚙ OFF Weekends'!$D$66="OFF","OFF","")</f>
        <v/>
      </c>
      <c r="BT44" s="111" t="str">
        <f>IF('⚙ OFF Weekends'!$D$67="OFF","OFF","")</f>
        <v/>
      </c>
      <c r="BU44" s="111" t="str">
        <f>IF('⚙ OFF Weekends'!$D$68="OFF","OFF","")</f>
        <v/>
      </c>
      <c r="BV44" s="111" t="str">
        <f>IF('⚙ OFF Weekends'!$D$69="OFF","OFF","")</f>
        <v/>
      </c>
      <c r="BW44" s="111" t="str">
        <f>IF('⚙ OFF Weekends'!$D$70="OFF","OFF","")</f>
        <v/>
      </c>
      <c r="BX44" s="111" t="str">
        <f>IF('⚙ OFF Weekends'!$D$71="OFF","OFF","")</f>
        <v/>
      </c>
      <c r="BY44" s="111" t="str">
        <f>IF('⚙ OFF Weekends'!$D$72="OFF","OFF","")</f>
        <v/>
      </c>
      <c r="BZ44" s="111" t="str">
        <f>IF('⚙ OFF Weekends'!$D$73="OFF","OFF","")</f>
        <v/>
      </c>
      <c r="CA44" s="111" t="str">
        <f>IF('⚙ OFF Weekends'!$D$74="OFF","OFF","")</f>
        <v/>
      </c>
      <c r="CB44" s="111" t="str">
        <f>IF('⚙ OFF Weekends'!$D$75="OFF","OFF","")</f>
        <v/>
      </c>
      <c r="CC44" s="111" t="str">
        <f>IF('⚙ OFF Weekends'!$D$76="OFF","OFF","")</f>
        <v/>
      </c>
      <c r="CD44" s="111" t="str">
        <f>IF('⚙ OFF Weekends'!$D$77="OFF","OFF","")</f>
        <v/>
      </c>
      <c r="CE44" s="112">
        <f t="shared" si="9"/>
        <v>2</v>
      </c>
      <c r="CF44" s="112">
        <f t="shared" si="10"/>
        <v>7</v>
      </c>
      <c r="CG44" s="112">
        <f t="shared" si="11"/>
        <v>0</v>
      </c>
      <c r="CH44" s="112" t="str">
        <f t="shared" si="12"/>
        <v>22%</v>
      </c>
    </row>
    <row r="45" ht="18.0" customHeight="1">
      <c r="A45" s="107">
        <v>23.0</v>
      </c>
      <c r="B45" s="108"/>
      <c r="C45" s="108"/>
      <c r="D45" s="109" t="str">
        <f t="shared" si="7"/>
        <v/>
      </c>
      <c r="E45" s="110" t="str">
        <f t="shared" si="8"/>
        <v/>
      </c>
      <c r="F45" s="108"/>
      <c r="G45" s="108"/>
      <c r="H45" s="108"/>
      <c r="I45" s="111" t="str">
        <f>IF('⚙ OFF Weekends'!$D$4="OFF","OFF","")</f>
        <v/>
      </c>
      <c r="J45" s="111" t="str">
        <f>IF('⚙ OFF Weekends'!$D$5="OFF","OFF","")</f>
        <v/>
      </c>
      <c r="K45" s="111" t="str">
        <f>IF('⚙ OFF Weekends'!$D$6="OFF","OFF","")</f>
        <v/>
      </c>
      <c r="L45" s="111" t="str">
        <f>IF('⚙ OFF Weekends'!$D$7="OFF","OFF","")</f>
        <v/>
      </c>
      <c r="M45" s="111" t="str">
        <f>IF('⚙ OFF Weekends'!$D$8="OFF","OFF","")</f>
        <v/>
      </c>
      <c r="N45" s="111" t="str">
        <f>IF('⚙ OFF Weekends'!$D$9="OFF","OFF","")</f>
        <v/>
      </c>
      <c r="O45" s="111" t="str">
        <f>IF('⚙ OFF Weekends'!$D$10="OFF","OFF","")</f>
        <v/>
      </c>
      <c r="P45" s="111" t="str">
        <f>IF('⚙ OFF Weekends'!$D$11="OFF","OFF","")</f>
        <v/>
      </c>
      <c r="Q45" s="111" t="str">
        <f>IF('⚙ OFF Weekends'!$D$12="OFF","OFF","")</f>
        <v/>
      </c>
      <c r="R45" s="111" t="str">
        <f>IF('⚙ OFF Weekends'!$D$13="OFF","OFF","")</f>
        <v/>
      </c>
      <c r="S45" s="111" t="str">
        <f>IF('⚙ OFF Weekends'!$D$14="OFF","OFF","")</f>
        <v/>
      </c>
      <c r="T45" s="111" t="str">
        <f>IF('⚙ OFF Weekends'!$D$15="OFF","OFF","")</f>
        <v/>
      </c>
      <c r="U45" s="111" t="str">
        <f>IF('⚙ OFF Weekends'!$D$16="OFF","OFF","")</f>
        <v/>
      </c>
      <c r="V45" s="111" t="str">
        <f>IF('⚙ OFF Weekends'!$D$17="OFF","OFF","")</f>
        <v/>
      </c>
      <c r="W45" s="111" t="str">
        <f>IF('⚙ OFF Weekends'!$D$18="OFF","OFF","")</f>
        <v>OFF</v>
      </c>
      <c r="X45" s="111" t="str">
        <f>IF('⚙ OFF Weekends'!$D$19="OFF","OFF","")</f>
        <v/>
      </c>
      <c r="Y45" s="111" t="str">
        <f>IF('⚙ OFF Weekends'!$D$20="OFF","OFF","")</f>
        <v/>
      </c>
      <c r="Z45" s="111" t="str">
        <f>IF('⚙ OFF Weekends'!$D$21="OFF","OFF","")</f>
        <v/>
      </c>
      <c r="AA45" s="111" t="str">
        <f>IF('⚙ OFF Weekends'!$D$22="OFF","OFF","")</f>
        <v/>
      </c>
      <c r="AB45" s="111" t="str">
        <f>IF('⚙ OFF Weekends'!$D$23="OFF","OFF","")</f>
        <v/>
      </c>
      <c r="AC45" s="111" t="str">
        <f>IF('⚙ OFF Weekends'!$D$24="OFF","OFF","")</f>
        <v/>
      </c>
      <c r="AD45" s="111" t="str">
        <f>IF('⚙ OFF Weekends'!$D$25="OFF","OFF","")</f>
        <v/>
      </c>
      <c r="AE45" s="111" t="str">
        <f>IF('⚙ OFF Weekends'!$D$26="OFF","OFF","")</f>
        <v/>
      </c>
      <c r="AF45" s="111" t="str">
        <f>IF('⚙ OFF Weekends'!$D$27="OFF","OFF","")</f>
        <v/>
      </c>
      <c r="AG45" s="111" t="str">
        <f>IF('⚙ OFF Weekends'!$D$28="OFF","OFF","")</f>
        <v/>
      </c>
      <c r="AH45" s="111" t="str">
        <f>IF('⚙ OFF Weekends'!$D$29="OFF","OFF","")</f>
        <v/>
      </c>
      <c r="AI45" s="111" t="str">
        <f>IF('⚙ OFF Weekends'!$D$30="OFF","OFF","")</f>
        <v/>
      </c>
      <c r="AJ45" s="111" t="str">
        <f>IF('⚙ OFF Weekends'!$D$31="OFF","OFF","")</f>
        <v/>
      </c>
      <c r="AK45" s="111" t="str">
        <f>IF('⚙ OFF Weekends'!$D$32="OFF","OFF","")</f>
        <v/>
      </c>
      <c r="AL45" s="111" t="str">
        <f>IF('⚙ OFF Weekends'!$D$33="OFF","OFF","")</f>
        <v/>
      </c>
      <c r="AM45" s="111" t="str">
        <f>IF('⚙ OFF Weekends'!$D$34="OFF","OFF","")</f>
        <v/>
      </c>
      <c r="AN45" s="111" t="str">
        <f>IF('⚙ OFF Weekends'!$D$35="OFF","OFF","")</f>
        <v/>
      </c>
      <c r="AO45" s="111" t="str">
        <f>IF('⚙ OFF Weekends'!$D$36="OFF","OFF","")</f>
        <v/>
      </c>
      <c r="AP45" s="111" t="str">
        <f>IF('⚙ OFF Weekends'!$D$37="OFF","OFF","")</f>
        <v/>
      </c>
      <c r="AQ45" s="111" t="str">
        <f>IF('⚙ OFF Weekends'!$D$38="OFF","OFF","")</f>
        <v/>
      </c>
      <c r="AR45" s="111" t="str">
        <f>IF('⚙ OFF Weekends'!$D$39="OFF","OFF","")</f>
        <v/>
      </c>
      <c r="AS45" s="111" t="str">
        <f>IF('⚙ OFF Weekends'!$D$40="OFF","OFF","")</f>
        <v/>
      </c>
      <c r="AT45" s="111" t="str">
        <f>IF('⚙ OFF Weekends'!$D$41="OFF","OFF","")</f>
        <v/>
      </c>
      <c r="AU45" s="111" t="str">
        <f>IF('⚙ OFF Weekends'!$D$42="OFF","OFF","")</f>
        <v/>
      </c>
      <c r="AV45" s="111" t="str">
        <f>IF('⚙ OFF Weekends'!$D$43="OFF","OFF","")</f>
        <v/>
      </c>
      <c r="AW45" s="111" t="str">
        <f>IF('⚙ OFF Weekends'!$D$44="OFF","OFF","")</f>
        <v/>
      </c>
      <c r="AX45" s="111" t="str">
        <f>IF('⚙ OFF Weekends'!$D$45="OFF","OFF","")</f>
        <v/>
      </c>
      <c r="AY45" s="111" t="str">
        <f>IF('⚙ OFF Weekends'!$D$46="OFF","OFF","")</f>
        <v/>
      </c>
      <c r="AZ45" s="111" t="str">
        <f>IF('⚙ OFF Weekends'!$D$47="OFF","OFF","")</f>
        <v/>
      </c>
      <c r="BA45" s="111" t="str">
        <f>IF('⚙ OFF Weekends'!$D$48="OFF","OFF","")</f>
        <v/>
      </c>
      <c r="BB45" s="111" t="str">
        <f>IF('⚙ OFF Weekends'!$D$49="OFF","OFF","")</f>
        <v/>
      </c>
      <c r="BC45" s="111" t="str">
        <f>IF('⚙ OFF Weekends'!$D$50="OFF","OFF","")</f>
        <v/>
      </c>
      <c r="BD45" s="111" t="str">
        <f>IF('⚙ OFF Weekends'!$D$51="OFF","OFF","")</f>
        <v/>
      </c>
      <c r="BE45" s="111" t="str">
        <f>IF('⚙ OFF Weekends'!$D$52="OFF","OFF","")</f>
        <v/>
      </c>
      <c r="BF45" s="111" t="str">
        <f>IF('⚙ OFF Weekends'!$D$53="OFF","OFF","")</f>
        <v/>
      </c>
      <c r="BG45" s="111" t="str">
        <f>IF('⚙ OFF Weekends'!$D$54="OFF","OFF","")</f>
        <v/>
      </c>
      <c r="BH45" s="111" t="str">
        <f>IF('⚙ OFF Weekends'!$D$55="OFF","OFF","")</f>
        <v/>
      </c>
      <c r="BI45" s="111" t="str">
        <f>IF('⚙ OFF Weekends'!$D$56="OFF","OFF","")</f>
        <v/>
      </c>
      <c r="BJ45" s="111" t="str">
        <f>IF('⚙ OFF Weekends'!$D$57="OFF","OFF","")</f>
        <v/>
      </c>
      <c r="BK45" s="111" t="str">
        <f>IF('⚙ OFF Weekends'!$D$58="OFF","OFF","")</f>
        <v/>
      </c>
      <c r="BL45" s="111" t="str">
        <f>IF('⚙ OFF Weekends'!$D$59="OFF","OFF","")</f>
        <v/>
      </c>
      <c r="BM45" s="111" t="str">
        <f>IF('⚙ OFF Weekends'!$D$60="OFF","OFF","")</f>
        <v/>
      </c>
      <c r="BN45" s="111" t="str">
        <f>IF('⚙ OFF Weekends'!$D$61="OFF","OFF","")</f>
        <v/>
      </c>
      <c r="BO45" s="111" t="str">
        <f>IF('⚙ OFF Weekends'!$D$62="OFF","OFF","")</f>
        <v/>
      </c>
      <c r="BP45" s="111" t="str">
        <f>IF('⚙ OFF Weekends'!$D$63="OFF","OFF","")</f>
        <v/>
      </c>
      <c r="BQ45" s="111" t="str">
        <f>IF('⚙ OFF Weekends'!$D$64="OFF","OFF","")</f>
        <v/>
      </c>
      <c r="BR45" s="111" t="str">
        <f>IF('⚙ OFF Weekends'!$D$65="OFF","OFF","")</f>
        <v/>
      </c>
      <c r="BS45" s="111" t="str">
        <f>IF('⚙ OFF Weekends'!$D$66="OFF","OFF","")</f>
        <v/>
      </c>
      <c r="BT45" s="111" t="str">
        <f>IF('⚙ OFF Weekends'!$D$67="OFF","OFF","")</f>
        <v/>
      </c>
      <c r="BU45" s="111" t="str">
        <f>IF('⚙ OFF Weekends'!$D$68="OFF","OFF","")</f>
        <v/>
      </c>
      <c r="BV45" s="111" t="str">
        <f>IF('⚙ OFF Weekends'!$D$69="OFF","OFF","")</f>
        <v/>
      </c>
      <c r="BW45" s="111" t="str">
        <f>IF('⚙ OFF Weekends'!$D$70="OFF","OFF","")</f>
        <v/>
      </c>
      <c r="BX45" s="111" t="str">
        <f>IF('⚙ OFF Weekends'!$D$71="OFF","OFF","")</f>
        <v/>
      </c>
      <c r="BY45" s="111" t="str">
        <f>IF('⚙ OFF Weekends'!$D$72="OFF","OFF","")</f>
        <v/>
      </c>
      <c r="BZ45" s="111" t="str">
        <f>IF('⚙ OFF Weekends'!$D$73="OFF","OFF","")</f>
        <v/>
      </c>
      <c r="CA45" s="111" t="str">
        <f>IF('⚙ OFF Weekends'!$D$74="OFF","OFF","")</f>
        <v/>
      </c>
      <c r="CB45" s="111" t="str">
        <f>IF('⚙ OFF Weekends'!$D$75="OFF","OFF","")</f>
        <v/>
      </c>
      <c r="CC45" s="111" t="str">
        <f>IF('⚙ OFF Weekends'!$D$76="OFF","OFF","")</f>
        <v/>
      </c>
      <c r="CD45" s="111" t="str">
        <f>IF('⚙ OFF Weekends'!$D$77="OFF","OFF","")</f>
        <v/>
      </c>
      <c r="CE45" s="112">
        <f t="shared" si="9"/>
        <v>0</v>
      </c>
      <c r="CF45" s="112">
        <f t="shared" si="10"/>
        <v>0</v>
      </c>
      <c r="CG45" s="112">
        <f t="shared" si="11"/>
        <v>0</v>
      </c>
      <c r="CH45" s="112" t="str">
        <f t="shared" si="12"/>
        <v>0%</v>
      </c>
    </row>
    <row r="46" ht="15.0" customHeight="1">
      <c r="A46" s="113" t="str">
        <f>"Group Strength: "&amp;COUNTA(B23:B45)</f>
        <v>Group Strength: 22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3"/>
    </row>
    <row r="47" ht="4.5" customHeight="1">
      <c r="A47" s="11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3"/>
    </row>
    <row r="48" ht="19.5" customHeight="1">
      <c r="A48" s="8" t="s">
        <v>814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3"/>
    </row>
    <row r="49" ht="18.0" customHeight="1">
      <c r="A49" s="95">
        <v>1.0</v>
      </c>
      <c r="B49" s="12" t="s">
        <v>815</v>
      </c>
      <c r="C49" s="14" t="s">
        <v>816</v>
      </c>
      <c r="D49" s="17" t="str">
        <f t="shared" ref="D49:D65" si="13">IF(C49&lt;&gt;"",HYPERLINK("tel:"&amp;SUBSTITUTE(SUBSTITUTE(C49," ",""),"+","+"),"📞 Call"),"")</f>
        <v>📞 Call</v>
      </c>
      <c r="E49" s="19" t="str">
        <f t="shared" ref="E49:E65" si="14">IF(C49&lt;&gt;"",HYPERLINK("https://wa.me/"&amp;SUBSTITUTE(SUBSTITUTE(C49,"+","")," ",""),"💬 WhatsApp"),"")</f>
        <v>💬 WhatsApp</v>
      </c>
      <c r="F49" s="10"/>
      <c r="G49" s="10" t="s">
        <v>654</v>
      </c>
      <c r="H49" s="10" t="s">
        <v>817</v>
      </c>
      <c r="I49" s="48" t="s">
        <v>196</v>
      </c>
      <c r="J49" s="79" t="s">
        <v>223</v>
      </c>
      <c r="K49" s="49" t="s">
        <v>197</v>
      </c>
      <c r="L49" s="50" t="s">
        <v>37</v>
      </c>
      <c r="M49" s="50" t="s">
        <v>37</v>
      </c>
      <c r="N49" s="48" t="s">
        <v>196</v>
      </c>
      <c r="O49" s="48" t="s">
        <v>196</v>
      </c>
      <c r="P49" s="48" t="s">
        <v>196</v>
      </c>
      <c r="Q49" s="48" t="s">
        <v>196</v>
      </c>
      <c r="R49" s="48" t="s">
        <v>196</v>
      </c>
      <c r="S49" s="52" t="s">
        <v>196</v>
      </c>
      <c r="T49" s="53" t="s">
        <v>196</v>
      </c>
      <c r="U49" s="52" t="s">
        <v>196</v>
      </c>
      <c r="V49" s="53" t="s">
        <v>196</v>
      </c>
      <c r="W49" s="52" t="s">
        <v>348</v>
      </c>
      <c r="X49" s="53" t="s">
        <v>196</v>
      </c>
      <c r="Y49" s="52" t="s">
        <v>196</v>
      </c>
      <c r="Z49" s="53" t="s">
        <v>196</v>
      </c>
      <c r="AA49" s="54" t="str">
        <f>IF('⚙ OFF Weekends'!$D$22="OFF","OFF","")</f>
        <v/>
      </c>
      <c r="AB49" s="56" t="str">
        <f>IF('⚙ OFF Weekends'!$D$23="OFF","OFF","")</f>
        <v/>
      </c>
      <c r="AC49" s="54" t="str">
        <f>IF('⚙ OFF Weekends'!$D$24="OFF","OFF","")</f>
        <v/>
      </c>
      <c r="AD49" s="56" t="str">
        <f>IF('⚙ OFF Weekends'!$D$25="OFF","OFF","")</f>
        <v/>
      </c>
      <c r="AE49" s="54" t="str">
        <f>IF('⚙ OFF Weekends'!$D$26="OFF","OFF","")</f>
        <v/>
      </c>
      <c r="AF49" s="56" t="str">
        <f>IF('⚙ OFF Weekends'!$D$27="OFF","OFF","")</f>
        <v/>
      </c>
      <c r="AG49" s="54" t="str">
        <f>IF('⚙ OFF Weekends'!$D$28="OFF","OFF","")</f>
        <v/>
      </c>
      <c r="AH49" s="56" t="str">
        <f>IF('⚙ OFF Weekends'!$D$29="OFF","OFF","")</f>
        <v/>
      </c>
      <c r="AI49" s="54" t="str">
        <f>IF('⚙ OFF Weekends'!$D$30="OFF","OFF","")</f>
        <v/>
      </c>
      <c r="AJ49" s="56" t="str">
        <f>IF('⚙ OFF Weekends'!$D$31="OFF","OFF","")</f>
        <v/>
      </c>
      <c r="AK49" s="54" t="str">
        <f>IF('⚙ OFF Weekends'!$D$32="OFF","OFF","")</f>
        <v/>
      </c>
      <c r="AL49" s="56" t="str">
        <f>IF('⚙ OFF Weekends'!$D$33="OFF","OFF","")</f>
        <v/>
      </c>
      <c r="AM49" s="54" t="str">
        <f>IF('⚙ OFF Weekends'!$D$34="OFF","OFF","")</f>
        <v/>
      </c>
      <c r="AN49" s="56" t="str">
        <f>IF('⚙ OFF Weekends'!$D$35="OFF","OFF","")</f>
        <v/>
      </c>
      <c r="AO49" s="54" t="str">
        <f>IF('⚙ OFF Weekends'!$D$36="OFF","OFF","")</f>
        <v/>
      </c>
      <c r="AP49" s="56" t="str">
        <f>IF('⚙ OFF Weekends'!$D$37="OFF","OFF","")</f>
        <v/>
      </c>
      <c r="AQ49" s="54" t="str">
        <f>IF('⚙ OFF Weekends'!$D$38="OFF","OFF","")</f>
        <v/>
      </c>
      <c r="AR49" s="56" t="str">
        <f>IF('⚙ OFF Weekends'!$D$39="OFF","OFF","")</f>
        <v/>
      </c>
      <c r="AS49" s="54" t="str">
        <f>IF('⚙ OFF Weekends'!$D$40="OFF","OFF","")</f>
        <v/>
      </c>
      <c r="AT49" s="56" t="str">
        <f>IF('⚙ OFF Weekends'!$D$41="OFF","OFF","")</f>
        <v/>
      </c>
      <c r="AU49" s="54" t="str">
        <f>IF('⚙ OFF Weekends'!$D$42="OFF","OFF","")</f>
        <v/>
      </c>
      <c r="AV49" s="56" t="str">
        <f>IF('⚙ OFF Weekends'!$D$43="OFF","OFF","")</f>
        <v/>
      </c>
      <c r="AW49" s="54" t="str">
        <f>IF('⚙ OFF Weekends'!$D$44="OFF","OFF","")</f>
        <v/>
      </c>
      <c r="AX49" s="56" t="str">
        <f>IF('⚙ OFF Weekends'!$D$45="OFF","OFF","")</f>
        <v/>
      </c>
      <c r="AY49" s="54" t="str">
        <f>IF('⚙ OFF Weekends'!$D$46="OFF","OFF","")</f>
        <v/>
      </c>
      <c r="AZ49" s="56" t="str">
        <f>IF('⚙ OFF Weekends'!$D$47="OFF","OFF","")</f>
        <v/>
      </c>
      <c r="BA49" s="54" t="str">
        <f>IF('⚙ OFF Weekends'!$D$48="OFF","OFF","")</f>
        <v/>
      </c>
      <c r="BB49" s="56" t="str">
        <f>IF('⚙ OFF Weekends'!$D$49="OFF","OFF","")</f>
        <v/>
      </c>
      <c r="BC49" s="54" t="str">
        <f>IF('⚙ OFF Weekends'!$D$50="OFF","OFF","")</f>
        <v/>
      </c>
      <c r="BD49" s="56" t="str">
        <f>IF('⚙ OFF Weekends'!$D$51="OFF","OFF","")</f>
        <v/>
      </c>
      <c r="BE49" s="54" t="str">
        <f>IF('⚙ OFF Weekends'!$D$52="OFF","OFF","")</f>
        <v/>
      </c>
      <c r="BF49" s="56" t="str">
        <f>IF('⚙ OFF Weekends'!$D$53="OFF","OFF","")</f>
        <v/>
      </c>
      <c r="BG49" s="54" t="str">
        <f>IF('⚙ OFF Weekends'!$D$54="OFF","OFF","")</f>
        <v/>
      </c>
      <c r="BH49" s="56" t="str">
        <f>IF('⚙ OFF Weekends'!$D$55="OFF","OFF","")</f>
        <v/>
      </c>
      <c r="BI49" s="54" t="str">
        <f>IF('⚙ OFF Weekends'!$D$56="OFF","OFF","")</f>
        <v/>
      </c>
      <c r="BJ49" s="56" t="str">
        <f>IF('⚙ OFF Weekends'!$D$57="OFF","OFF","")</f>
        <v/>
      </c>
      <c r="BK49" s="54" t="str">
        <f>IF('⚙ OFF Weekends'!$D$58="OFF","OFF","")</f>
        <v/>
      </c>
      <c r="BL49" s="56" t="str">
        <f>IF('⚙ OFF Weekends'!$D$59="OFF","OFF","")</f>
        <v/>
      </c>
      <c r="BM49" s="54" t="str">
        <f>IF('⚙ OFF Weekends'!$D$60="OFF","OFF","")</f>
        <v/>
      </c>
      <c r="BN49" s="56" t="str">
        <f>IF('⚙ OFF Weekends'!$D$61="OFF","OFF","")</f>
        <v/>
      </c>
      <c r="BO49" s="54" t="str">
        <f>IF('⚙ OFF Weekends'!$D$62="OFF","OFF","")</f>
        <v/>
      </c>
      <c r="BP49" s="56" t="str">
        <f>IF('⚙ OFF Weekends'!$D$63="OFF","OFF","")</f>
        <v/>
      </c>
      <c r="BQ49" s="54" t="str">
        <f>IF('⚙ OFF Weekends'!$D$64="OFF","OFF","")</f>
        <v/>
      </c>
      <c r="BR49" s="56" t="str">
        <f>IF('⚙ OFF Weekends'!$D$65="OFF","OFF","")</f>
        <v/>
      </c>
      <c r="BS49" s="54" t="str">
        <f>IF('⚙ OFF Weekends'!$D$66="OFF","OFF","")</f>
        <v/>
      </c>
      <c r="BT49" s="56" t="str">
        <f>IF('⚙ OFF Weekends'!$D$67="OFF","OFF","")</f>
        <v/>
      </c>
      <c r="BU49" s="54" t="str">
        <f>IF('⚙ OFF Weekends'!$D$68="OFF","OFF","")</f>
        <v/>
      </c>
      <c r="BV49" s="56" t="str">
        <f>IF('⚙ OFF Weekends'!$D$69="OFF","OFF","")</f>
        <v/>
      </c>
      <c r="BW49" s="54" t="str">
        <f>IF('⚙ OFF Weekends'!$D$70="OFF","OFF","")</f>
        <v/>
      </c>
      <c r="BX49" s="56" t="str">
        <f>IF('⚙ OFF Weekends'!$D$71="OFF","OFF","")</f>
        <v/>
      </c>
      <c r="BY49" s="54" t="str">
        <f>IF('⚙ OFF Weekends'!$D$72="OFF","OFF","")</f>
        <v/>
      </c>
      <c r="BZ49" s="56" t="str">
        <f>IF('⚙ OFF Weekends'!$D$73="OFF","OFF","")</f>
        <v/>
      </c>
      <c r="CA49" s="54" t="str">
        <f>IF('⚙ OFF Weekends'!$D$74="OFF","OFF","")</f>
        <v/>
      </c>
      <c r="CB49" s="56" t="str">
        <f>IF('⚙ OFF Weekends'!$D$75="OFF","OFF","")</f>
        <v/>
      </c>
      <c r="CC49" s="54" t="str">
        <f>IF('⚙ OFF Weekends'!$D$76="OFF","OFF","")</f>
        <v/>
      </c>
      <c r="CD49" s="56" t="str">
        <f>IF('⚙ OFF Weekends'!$D$77="OFF","OFF","")</f>
        <v/>
      </c>
      <c r="CE49" s="95">
        <f t="shared" ref="CE49:CE65" si="15">COUNTIF(I49:CD49,"Present")+COUNTIF(I49:CD49,"Late")</f>
        <v>15</v>
      </c>
      <c r="CF49" s="95">
        <f t="shared" ref="CF49:CF65" si="16">COUNTIF(I49:CD49,"Absent")</f>
        <v>1</v>
      </c>
      <c r="CG49" s="95">
        <f t="shared" ref="CG49:CG65" si="17">COUNTIF(I49:CD49,"Leave")</f>
        <v>0</v>
      </c>
      <c r="CH49" s="95" t="str">
        <f t="shared" ref="CH49:CH65" si="18">IF(CE49+CF49=0,"0%",TEXT(CE49/(CE49+CF49),"0%"))</f>
        <v>94%</v>
      </c>
    </row>
    <row r="50" ht="18.0" customHeight="1">
      <c r="A50" s="96">
        <v>2.0</v>
      </c>
      <c r="B50" s="22" t="s">
        <v>820</v>
      </c>
      <c r="C50" s="23" t="s">
        <v>821</v>
      </c>
      <c r="D50" s="24" t="str">
        <f t="shared" si="13"/>
        <v>📞 Call</v>
      </c>
      <c r="E50" s="41" t="str">
        <f t="shared" si="14"/>
        <v>💬 WhatsApp</v>
      </c>
      <c r="F50" s="20"/>
      <c r="G50" s="20" t="s">
        <v>654</v>
      </c>
      <c r="H50" s="20"/>
      <c r="I50" s="79" t="s">
        <v>223</v>
      </c>
      <c r="J50" s="50" t="s">
        <v>37</v>
      </c>
      <c r="K50" s="49" t="s">
        <v>197</v>
      </c>
      <c r="L50" s="50" t="s">
        <v>37</v>
      </c>
      <c r="M50" s="79" t="s">
        <v>223</v>
      </c>
      <c r="N50" s="50" t="s">
        <v>37</v>
      </c>
      <c r="O50" s="48" t="s">
        <v>196</v>
      </c>
      <c r="P50" s="79" t="s">
        <v>223</v>
      </c>
      <c r="Q50" s="77" t="s">
        <v>198</v>
      </c>
      <c r="R50" s="77" t="s">
        <v>198</v>
      </c>
      <c r="S50" s="52" t="s">
        <v>223</v>
      </c>
      <c r="T50" s="53" t="s">
        <v>223</v>
      </c>
      <c r="U50" s="52" t="s">
        <v>223</v>
      </c>
      <c r="V50" s="53" t="s">
        <v>223</v>
      </c>
      <c r="W50" s="52" t="s">
        <v>348</v>
      </c>
      <c r="X50" s="53" t="s">
        <v>223</v>
      </c>
      <c r="Y50" s="52" t="s">
        <v>296</v>
      </c>
      <c r="Z50" s="53" t="s">
        <v>296</v>
      </c>
      <c r="AA50" s="54" t="str">
        <f>IF('⚙ OFF Weekends'!$D$22="OFF","OFF","")</f>
        <v/>
      </c>
      <c r="AB50" s="56" t="str">
        <f>IF('⚙ OFF Weekends'!$D$23="OFF","OFF","")</f>
        <v/>
      </c>
      <c r="AC50" s="54" t="str">
        <f>IF('⚙ OFF Weekends'!$D$24="OFF","OFF","")</f>
        <v/>
      </c>
      <c r="AD50" s="56" t="str">
        <f>IF('⚙ OFF Weekends'!$D$25="OFF","OFF","")</f>
        <v/>
      </c>
      <c r="AE50" s="54" t="str">
        <f>IF('⚙ OFF Weekends'!$D$26="OFF","OFF","")</f>
        <v/>
      </c>
      <c r="AF50" s="56" t="str">
        <f>IF('⚙ OFF Weekends'!$D$27="OFF","OFF","")</f>
        <v/>
      </c>
      <c r="AG50" s="54" t="str">
        <f>IF('⚙ OFF Weekends'!$D$28="OFF","OFF","")</f>
        <v/>
      </c>
      <c r="AH50" s="56" t="str">
        <f>IF('⚙ OFF Weekends'!$D$29="OFF","OFF","")</f>
        <v/>
      </c>
      <c r="AI50" s="54" t="str">
        <f>IF('⚙ OFF Weekends'!$D$30="OFF","OFF","")</f>
        <v/>
      </c>
      <c r="AJ50" s="56" t="str">
        <f>IF('⚙ OFF Weekends'!$D$31="OFF","OFF","")</f>
        <v/>
      </c>
      <c r="AK50" s="54" t="str">
        <f>IF('⚙ OFF Weekends'!$D$32="OFF","OFF","")</f>
        <v/>
      </c>
      <c r="AL50" s="56" t="str">
        <f>IF('⚙ OFF Weekends'!$D$33="OFF","OFF","")</f>
        <v/>
      </c>
      <c r="AM50" s="54" t="str">
        <f>IF('⚙ OFF Weekends'!$D$34="OFF","OFF","")</f>
        <v/>
      </c>
      <c r="AN50" s="56" t="str">
        <f>IF('⚙ OFF Weekends'!$D$35="OFF","OFF","")</f>
        <v/>
      </c>
      <c r="AO50" s="54" t="str">
        <f>IF('⚙ OFF Weekends'!$D$36="OFF","OFF","")</f>
        <v/>
      </c>
      <c r="AP50" s="56" t="str">
        <f>IF('⚙ OFF Weekends'!$D$37="OFF","OFF","")</f>
        <v/>
      </c>
      <c r="AQ50" s="54" t="str">
        <f>IF('⚙ OFF Weekends'!$D$38="OFF","OFF","")</f>
        <v/>
      </c>
      <c r="AR50" s="56" t="str">
        <f>IF('⚙ OFF Weekends'!$D$39="OFF","OFF","")</f>
        <v/>
      </c>
      <c r="AS50" s="54" t="str">
        <f>IF('⚙ OFF Weekends'!$D$40="OFF","OFF","")</f>
        <v/>
      </c>
      <c r="AT50" s="56" t="str">
        <f>IF('⚙ OFF Weekends'!$D$41="OFF","OFF","")</f>
        <v/>
      </c>
      <c r="AU50" s="54" t="str">
        <f>IF('⚙ OFF Weekends'!$D$42="OFF","OFF","")</f>
        <v/>
      </c>
      <c r="AV50" s="56" t="str">
        <f>IF('⚙ OFF Weekends'!$D$43="OFF","OFF","")</f>
        <v/>
      </c>
      <c r="AW50" s="54" t="str">
        <f>IF('⚙ OFF Weekends'!$D$44="OFF","OFF","")</f>
        <v/>
      </c>
      <c r="AX50" s="56" t="str">
        <f>IF('⚙ OFF Weekends'!$D$45="OFF","OFF","")</f>
        <v/>
      </c>
      <c r="AY50" s="54" t="str">
        <f>IF('⚙ OFF Weekends'!$D$46="OFF","OFF","")</f>
        <v/>
      </c>
      <c r="AZ50" s="56" t="str">
        <f>IF('⚙ OFF Weekends'!$D$47="OFF","OFF","")</f>
        <v/>
      </c>
      <c r="BA50" s="54" t="str">
        <f>IF('⚙ OFF Weekends'!$D$48="OFF","OFF","")</f>
        <v/>
      </c>
      <c r="BB50" s="56" t="str">
        <f>IF('⚙ OFF Weekends'!$D$49="OFF","OFF","")</f>
        <v/>
      </c>
      <c r="BC50" s="54" t="str">
        <f>IF('⚙ OFF Weekends'!$D$50="OFF","OFF","")</f>
        <v/>
      </c>
      <c r="BD50" s="56" t="str">
        <f>IF('⚙ OFF Weekends'!$D$51="OFF","OFF","")</f>
        <v/>
      </c>
      <c r="BE50" s="54" t="str">
        <f>IF('⚙ OFF Weekends'!$D$52="OFF","OFF","")</f>
        <v/>
      </c>
      <c r="BF50" s="56" t="str">
        <f>IF('⚙ OFF Weekends'!$D$53="OFF","OFF","")</f>
        <v/>
      </c>
      <c r="BG50" s="54" t="str">
        <f>IF('⚙ OFF Weekends'!$D$54="OFF","OFF","")</f>
        <v/>
      </c>
      <c r="BH50" s="56" t="str">
        <f>IF('⚙ OFF Weekends'!$D$55="OFF","OFF","")</f>
        <v/>
      </c>
      <c r="BI50" s="54" t="str">
        <f>IF('⚙ OFF Weekends'!$D$56="OFF","OFF","")</f>
        <v/>
      </c>
      <c r="BJ50" s="56" t="str">
        <f>IF('⚙ OFF Weekends'!$D$57="OFF","OFF","")</f>
        <v/>
      </c>
      <c r="BK50" s="54" t="str">
        <f>IF('⚙ OFF Weekends'!$D$58="OFF","OFF","")</f>
        <v/>
      </c>
      <c r="BL50" s="56" t="str">
        <f>IF('⚙ OFF Weekends'!$D$59="OFF","OFF","")</f>
        <v/>
      </c>
      <c r="BM50" s="54" t="str">
        <f>IF('⚙ OFF Weekends'!$D$60="OFF","OFF","")</f>
        <v/>
      </c>
      <c r="BN50" s="56" t="str">
        <f>IF('⚙ OFF Weekends'!$D$61="OFF","OFF","")</f>
        <v/>
      </c>
      <c r="BO50" s="54" t="str">
        <f>IF('⚙ OFF Weekends'!$D$62="OFF","OFF","")</f>
        <v/>
      </c>
      <c r="BP50" s="56" t="str">
        <f>IF('⚙ OFF Weekends'!$D$63="OFF","OFF","")</f>
        <v/>
      </c>
      <c r="BQ50" s="54" t="str">
        <f>IF('⚙ OFF Weekends'!$D$64="OFF","OFF","")</f>
        <v/>
      </c>
      <c r="BR50" s="56" t="str">
        <f>IF('⚙ OFF Weekends'!$D$65="OFF","OFF","")</f>
        <v/>
      </c>
      <c r="BS50" s="54" t="str">
        <f>IF('⚙ OFF Weekends'!$D$66="OFF","OFF","")</f>
        <v/>
      </c>
      <c r="BT50" s="56" t="str">
        <f>IF('⚙ OFF Weekends'!$D$67="OFF","OFF","")</f>
        <v/>
      </c>
      <c r="BU50" s="54" t="str">
        <f>IF('⚙ OFF Weekends'!$D$68="OFF","OFF","")</f>
        <v/>
      </c>
      <c r="BV50" s="56" t="str">
        <f>IF('⚙ OFF Weekends'!$D$69="OFF","OFF","")</f>
        <v/>
      </c>
      <c r="BW50" s="54" t="str">
        <f>IF('⚙ OFF Weekends'!$D$70="OFF","OFF","")</f>
        <v/>
      </c>
      <c r="BX50" s="56" t="str">
        <f>IF('⚙ OFF Weekends'!$D$71="OFF","OFF","")</f>
        <v/>
      </c>
      <c r="BY50" s="54" t="str">
        <f>IF('⚙ OFF Weekends'!$D$72="OFF","OFF","")</f>
        <v/>
      </c>
      <c r="BZ50" s="56" t="str">
        <f>IF('⚙ OFF Weekends'!$D$73="OFF","OFF","")</f>
        <v/>
      </c>
      <c r="CA50" s="54" t="str">
        <f>IF('⚙ OFF Weekends'!$D$74="OFF","OFF","")</f>
        <v/>
      </c>
      <c r="CB50" s="56" t="str">
        <f>IF('⚙ OFF Weekends'!$D$75="OFF","OFF","")</f>
        <v/>
      </c>
      <c r="CC50" s="54" t="str">
        <f>IF('⚙ OFF Weekends'!$D$76="OFF","OFF","")</f>
        <v/>
      </c>
      <c r="CD50" s="56" t="str">
        <f>IF('⚙ OFF Weekends'!$D$77="OFF","OFF","")</f>
        <v/>
      </c>
      <c r="CE50" s="96">
        <f t="shared" si="15"/>
        <v>4</v>
      </c>
      <c r="CF50" s="96">
        <f t="shared" si="16"/>
        <v>8</v>
      </c>
      <c r="CG50" s="96">
        <f t="shared" si="17"/>
        <v>2</v>
      </c>
      <c r="CH50" s="96" t="str">
        <f t="shared" si="18"/>
        <v>33%</v>
      </c>
    </row>
    <row r="51" ht="18.0" customHeight="1">
      <c r="A51" s="95">
        <v>3.0</v>
      </c>
      <c r="B51" s="12" t="s">
        <v>827</v>
      </c>
      <c r="C51" s="14" t="s">
        <v>828</v>
      </c>
      <c r="D51" s="17" t="str">
        <f t="shared" si="13"/>
        <v>📞 Call</v>
      </c>
      <c r="E51" s="19" t="str">
        <f t="shared" si="14"/>
        <v>💬 WhatsApp</v>
      </c>
      <c r="F51" s="10"/>
      <c r="G51" s="10" t="s">
        <v>654</v>
      </c>
      <c r="H51" s="10" t="s">
        <v>829</v>
      </c>
      <c r="I51" s="48" t="s">
        <v>196</v>
      </c>
      <c r="J51" s="50" t="s">
        <v>37</v>
      </c>
      <c r="K51" s="49" t="s">
        <v>197</v>
      </c>
      <c r="L51" s="48" t="s">
        <v>196</v>
      </c>
      <c r="M51" s="48" t="s">
        <v>196</v>
      </c>
      <c r="N51" s="50" t="s">
        <v>37</v>
      </c>
      <c r="O51" s="48" t="s">
        <v>196</v>
      </c>
      <c r="P51" s="48" t="s">
        <v>196</v>
      </c>
      <c r="Q51" s="48" t="s">
        <v>196</v>
      </c>
      <c r="R51" s="48" t="s">
        <v>196</v>
      </c>
      <c r="S51" s="52" t="s">
        <v>196</v>
      </c>
      <c r="T51" s="53" t="s">
        <v>196</v>
      </c>
      <c r="U51" s="52" t="s">
        <v>196</v>
      </c>
      <c r="V51" s="53" t="s">
        <v>196</v>
      </c>
      <c r="W51" s="52" t="s">
        <v>348</v>
      </c>
      <c r="X51" s="53" t="s">
        <v>196</v>
      </c>
      <c r="Y51" s="52" t="s">
        <v>37</v>
      </c>
      <c r="Z51" s="53" t="s">
        <v>37</v>
      </c>
      <c r="AA51" s="52" t="s">
        <v>196</v>
      </c>
      <c r="AB51" s="53" t="s">
        <v>37</v>
      </c>
      <c r="AC51" s="54" t="str">
        <f>IF('⚙ OFF Weekends'!$D$24="OFF","OFF","")</f>
        <v/>
      </c>
      <c r="AD51" s="56" t="str">
        <f>IF('⚙ OFF Weekends'!$D$25="OFF","OFF","")</f>
        <v/>
      </c>
      <c r="AE51" s="54" t="str">
        <f>IF('⚙ OFF Weekends'!$D$26="OFF","OFF","")</f>
        <v/>
      </c>
      <c r="AF51" s="56" t="str">
        <f>IF('⚙ OFF Weekends'!$D$27="OFF","OFF","")</f>
        <v/>
      </c>
      <c r="AG51" s="54" t="str">
        <f>IF('⚙ OFF Weekends'!$D$28="OFF","OFF","")</f>
        <v/>
      </c>
      <c r="AH51" s="56" t="str">
        <f>IF('⚙ OFF Weekends'!$D$29="OFF","OFF","")</f>
        <v/>
      </c>
      <c r="AI51" s="54" t="str">
        <f>IF('⚙ OFF Weekends'!$D$30="OFF","OFF","")</f>
        <v/>
      </c>
      <c r="AJ51" s="56" t="str">
        <f>IF('⚙ OFF Weekends'!$D$31="OFF","OFF","")</f>
        <v/>
      </c>
      <c r="AK51" s="54" t="str">
        <f>IF('⚙ OFF Weekends'!$D$32="OFF","OFF","")</f>
        <v/>
      </c>
      <c r="AL51" s="56" t="str">
        <f>IF('⚙ OFF Weekends'!$D$33="OFF","OFF","")</f>
        <v/>
      </c>
      <c r="AM51" s="54" t="str">
        <f>IF('⚙ OFF Weekends'!$D$34="OFF","OFF","")</f>
        <v/>
      </c>
      <c r="AN51" s="56" t="str">
        <f>IF('⚙ OFF Weekends'!$D$35="OFF","OFF","")</f>
        <v/>
      </c>
      <c r="AO51" s="54" t="str">
        <f>IF('⚙ OFF Weekends'!$D$36="OFF","OFF","")</f>
        <v/>
      </c>
      <c r="AP51" s="56" t="str">
        <f>IF('⚙ OFF Weekends'!$D$37="OFF","OFF","")</f>
        <v/>
      </c>
      <c r="AQ51" s="54" t="str">
        <f>IF('⚙ OFF Weekends'!$D$38="OFF","OFF","")</f>
        <v/>
      </c>
      <c r="AR51" s="56" t="str">
        <f>IF('⚙ OFF Weekends'!$D$39="OFF","OFF","")</f>
        <v/>
      </c>
      <c r="AS51" s="54" t="str">
        <f>IF('⚙ OFF Weekends'!$D$40="OFF","OFF","")</f>
        <v/>
      </c>
      <c r="AT51" s="56" t="str">
        <f>IF('⚙ OFF Weekends'!$D$41="OFF","OFF","")</f>
        <v/>
      </c>
      <c r="AU51" s="54" t="str">
        <f>IF('⚙ OFF Weekends'!$D$42="OFF","OFF","")</f>
        <v/>
      </c>
      <c r="AV51" s="56" t="str">
        <f>IF('⚙ OFF Weekends'!$D$43="OFF","OFF","")</f>
        <v/>
      </c>
      <c r="AW51" s="54" t="str">
        <f>IF('⚙ OFF Weekends'!$D$44="OFF","OFF","")</f>
        <v/>
      </c>
      <c r="AX51" s="56" t="str">
        <f>IF('⚙ OFF Weekends'!$D$45="OFF","OFF","")</f>
        <v/>
      </c>
      <c r="AY51" s="54" t="str">
        <f>IF('⚙ OFF Weekends'!$D$46="OFF","OFF","")</f>
        <v/>
      </c>
      <c r="AZ51" s="56" t="str">
        <f>IF('⚙ OFF Weekends'!$D$47="OFF","OFF","")</f>
        <v/>
      </c>
      <c r="BA51" s="54" t="str">
        <f>IF('⚙ OFF Weekends'!$D$48="OFF","OFF","")</f>
        <v/>
      </c>
      <c r="BB51" s="56" t="str">
        <f>IF('⚙ OFF Weekends'!$D$49="OFF","OFF","")</f>
        <v/>
      </c>
      <c r="BC51" s="54" t="str">
        <f>IF('⚙ OFF Weekends'!$D$50="OFF","OFF","")</f>
        <v/>
      </c>
      <c r="BD51" s="56" t="str">
        <f>IF('⚙ OFF Weekends'!$D$51="OFF","OFF","")</f>
        <v/>
      </c>
      <c r="BE51" s="54" t="str">
        <f>IF('⚙ OFF Weekends'!$D$52="OFF","OFF","")</f>
        <v/>
      </c>
      <c r="BF51" s="56" t="str">
        <f>IF('⚙ OFF Weekends'!$D$53="OFF","OFF","")</f>
        <v/>
      </c>
      <c r="BG51" s="54" t="str">
        <f>IF('⚙ OFF Weekends'!$D$54="OFF","OFF","")</f>
        <v/>
      </c>
      <c r="BH51" s="56" t="str">
        <f>IF('⚙ OFF Weekends'!$D$55="OFF","OFF","")</f>
        <v/>
      </c>
      <c r="BI51" s="54" t="str">
        <f>IF('⚙ OFF Weekends'!$D$56="OFF","OFF","")</f>
        <v/>
      </c>
      <c r="BJ51" s="56" t="str">
        <f>IF('⚙ OFF Weekends'!$D$57="OFF","OFF","")</f>
        <v/>
      </c>
      <c r="BK51" s="54" t="str">
        <f>IF('⚙ OFF Weekends'!$D$58="OFF","OFF","")</f>
        <v/>
      </c>
      <c r="BL51" s="56" t="str">
        <f>IF('⚙ OFF Weekends'!$D$59="OFF","OFF","")</f>
        <v/>
      </c>
      <c r="BM51" s="54" t="str">
        <f>IF('⚙ OFF Weekends'!$D$60="OFF","OFF","")</f>
        <v/>
      </c>
      <c r="BN51" s="56" t="str">
        <f>IF('⚙ OFF Weekends'!$D$61="OFF","OFF","")</f>
        <v/>
      </c>
      <c r="BO51" s="54" t="str">
        <f>IF('⚙ OFF Weekends'!$D$62="OFF","OFF","")</f>
        <v/>
      </c>
      <c r="BP51" s="56" t="str">
        <f>IF('⚙ OFF Weekends'!$D$63="OFF","OFF","")</f>
        <v/>
      </c>
      <c r="BQ51" s="54" t="str">
        <f>IF('⚙ OFF Weekends'!$D$64="OFF","OFF","")</f>
        <v/>
      </c>
      <c r="BR51" s="56" t="str">
        <f>IF('⚙ OFF Weekends'!$D$65="OFF","OFF","")</f>
        <v/>
      </c>
      <c r="BS51" s="54" t="str">
        <f>IF('⚙ OFF Weekends'!$D$66="OFF","OFF","")</f>
        <v/>
      </c>
      <c r="BT51" s="56" t="str">
        <f>IF('⚙ OFF Weekends'!$D$67="OFF","OFF","")</f>
        <v/>
      </c>
      <c r="BU51" s="54" t="str">
        <f>IF('⚙ OFF Weekends'!$D$68="OFF","OFF","")</f>
        <v/>
      </c>
      <c r="BV51" s="56" t="str">
        <f>IF('⚙ OFF Weekends'!$D$69="OFF","OFF","")</f>
        <v/>
      </c>
      <c r="BW51" s="54" t="str">
        <f>IF('⚙ OFF Weekends'!$D$70="OFF","OFF","")</f>
        <v/>
      </c>
      <c r="BX51" s="56" t="str">
        <f>IF('⚙ OFF Weekends'!$D$71="OFF","OFF","")</f>
        <v/>
      </c>
      <c r="BY51" s="54" t="str">
        <f>IF('⚙ OFF Weekends'!$D$72="OFF","OFF","")</f>
        <v/>
      </c>
      <c r="BZ51" s="56" t="str">
        <f>IF('⚙ OFF Weekends'!$D$73="OFF","OFF","")</f>
        <v/>
      </c>
      <c r="CA51" s="54" t="str">
        <f>IF('⚙ OFF Weekends'!$D$74="OFF","OFF","")</f>
        <v/>
      </c>
      <c r="CB51" s="56" t="str">
        <f>IF('⚙ OFF Weekends'!$D$75="OFF","OFF","")</f>
        <v/>
      </c>
      <c r="CC51" s="54" t="str">
        <f>IF('⚙ OFF Weekends'!$D$76="OFF","OFF","")</f>
        <v/>
      </c>
      <c r="CD51" s="56" t="str">
        <f>IF('⚙ OFF Weekends'!$D$77="OFF","OFF","")</f>
        <v/>
      </c>
      <c r="CE51" s="95">
        <f t="shared" si="15"/>
        <v>18</v>
      </c>
      <c r="CF51" s="95">
        <f t="shared" si="16"/>
        <v>0</v>
      </c>
      <c r="CG51" s="95">
        <f t="shared" si="17"/>
        <v>0</v>
      </c>
      <c r="CH51" s="95" t="str">
        <f t="shared" si="18"/>
        <v>100%</v>
      </c>
    </row>
    <row r="52" ht="18.0" customHeight="1">
      <c r="A52" s="96">
        <v>4.0</v>
      </c>
      <c r="B52" s="22" t="s">
        <v>831</v>
      </c>
      <c r="C52" s="23" t="s">
        <v>832</v>
      </c>
      <c r="D52" s="24" t="str">
        <f t="shared" si="13"/>
        <v>📞 Call</v>
      </c>
      <c r="E52" s="41" t="str">
        <f t="shared" si="14"/>
        <v>💬 WhatsApp</v>
      </c>
      <c r="F52" s="20"/>
      <c r="G52" s="20" t="s">
        <v>654</v>
      </c>
      <c r="H52" s="20" t="s">
        <v>797</v>
      </c>
      <c r="I52" s="48" t="s">
        <v>196</v>
      </c>
      <c r="J52" s="48" t="s">
        <v>196</v>
      </c>
      <c r="K52" s="49" t="s">
        <v>197</v>
      </c>
      <c r="L52" s="79" t="s">
        <v>223</v>
      </c>
      <c r="M52" s="48" t="s">
        <v>196</v>
      </c>
      <c r="N52" s="48" t="s">
        <v>196</v>
      </c>
      <c r="O52" s="79" t="s">
        <v>223</v>
      </c>
      <c r="P52" s="79" t="s">
        <v>223</v>
      </c>
      <c r="Q52" s="48" t="s">
        <v>196</v>
      </c>
      <c r="R52" s="77" t="s">
        <v>198</v>
      </c>
      <c r="S52" s="52" t="s">
        <v>196</v>
      </c>
      <c r="T52" s="53" t="s">
        <v>196</v>
      </c>
      <c r="U52" s="52" t="s">
        <v>198</v>
      </c>
      <c r="V52" s="53" t="s">
        <v>198</v>
      </c>
      <c r="W52" s="52" t="s">
        <v>348</v>
      </c>
      <c r="X52" s="53" t="s">
        <v>196</v>
      </c>
      <c r="Y52" s="52" t="s">
        <v>196</v>
      </c>
      <c r="Z52" s="53" t="s">
        <v>196</v>
      </c>
      <c r="AA52" s="54" t="str">
        <f>IF('⚙ OFF Weekends'!$D$22="OFF","OFF","")</f>
        <v/>
      </c>
      <c r="AB52" s="56" t="str">
        <f>IF('⚙ OFF Weekends'!$D$23="OFF","OFF","")</f>
        <v/>
      </c>
      <c r="AC52" s="54" t="str">
        <f>IF('⚙ OFF Weekends'!$D$24="OFF","OFF","")</f>
        <v/>
      </c>
      <c r="AD52" s="56" t="str">
        <f>IF('⚙ OFF Weekends'!$D$25="OFF","OFF","")</f>
        <v/>
      </c>
      <c r="AE52" s="54" t="str">
        <f>IF('⚙ OFF Weekends'!$D$26="OFF","OFF","")</f>
        <v/>
      </c>
      <c r="AF52" s="56" t="str">
        <f>IF('⚙ OFF Weekends'!$D$27="OFF","OFF","")</f>
        <v/>
      </c>
      <c r="AG52" s="54" t="str">
        <f>IF('⚙ OFF Weekends'!$D$28="OFF","OFF","")</f>
        <v/>
      </c>
      <c r="AH52" s="56" t="str">
        <f>IF('⚙ OFF Weekends'!$D$29="OFF","OFF","")</f>
        <v/>
      </c>
      <c r="AI52" s="54" t="str">
        <f>IF('⚙ OFF Weekends'!$D$30="OFF","OFF","")</f>
        <v/>
      </c>
      <c r="AJ52" s="56" t="str">
        <f>IF('⚙ OFF Weekends'!$D$31="OFF","OFF","")</f>
        <v/>
      </c>
      <c r="AK52" s="54" t="str">
        <f>IF('⚙ OFF Weekends'!$D$32="OFF","OFF","")</f>
        <v/>
      </c>
      <c r="AL52" s="56" t="str">
        <f>IF('⚙ OFF Weekends'!$D$33="OFF","OFF","")</f>
        <v/>
      </c>
      <c r="AM52" s="54" t="str">
        <f>IF('⚙ OFF Weekends'!$D$34="OFF","OFF","")</f>
        <v/>
      </c>
      <c r="AN52" s="56" t="str">
        <f>IF('⚙ OFF Weekends'!$D$35="OFF","OFF","")</f>
        <v/>
      </c>
      <c r="AO52" s="54" t="str">
        <f>IF('⚙ OFF Weekends'!$D$36="OFF","OFF","")</f>
        <v/>
      </c>
      <c r="AP52" s="56" t="str">
        <f>IF('⚙ OFF Weekends'!$D$37="OFF","OFF","")</f>
        <v/>
      </c>
      <c r="AQ52" s="54" t="str">
        <f>IF('⚙ OFF Weekends'!$D$38="OFF","OFF","")</f>
        <v/>
      </c>
      <c r="AR52" s="56" t="str">
        <f>IF('⚙ OFF Weekends'!$D$39="OFF","OFF","")</f>
        <v/>
      </c>
      <c r="AS52" s="54" t="str">
        <f>IF('⚙ OFF Weekends'!$D$40="OFF","OFF","")</f>
        <v/>
      </c>
      <c r="AT52" s="56" t="str">
        <f>IF('⚙ OFF Weekends'!$D$41="OFF","OFF","")</f>
        <v/>
      </c>
      <c r="AU52" s="54" t="str">
        <f>IF('⚙ OFF Weekends'!$D$42="OFF","OFF","")</f>
        <v/>
      </c>
      <c r="AV52" s="56" t="str">
        <f>IF('⚙ OFF Weekends'!$D$43="OFF","OFF","")</f>
        <v/>
      </c>
      <c r="AW52" s="54" t="str">
        <f>IF('⚙ OFF Weekends'!$D$44="OFF","OFF","")</f>
        <v/>
      </c>
      <c r="AX52" s="56" t="str">
        <f>IF('⚙ OFF Weekends'!$D$45="OFF","OFF","")</f>
        <v/>
      </c>
      <c r="AY52" s="54" t="str">
        <f>IF('⚙ OFF Weekends'!$D$46="OFF","OFF","")</f>
        <v/>
      </c>
      <c r="AZ52" s="56" t="str">
        <f>IF('⚙ OFF Weekends'!$D$47="OFF","OFF","")</f>
        <v/>
      </c>
      <c r="BA52" s="54" t="str">
        <f>IF('⚙ OFF Weekends'!$D$48="OFF","OFF","")</f>
        <v/>
      </c>
      <c r="BB52" s="56" t="str">
        <f>IF('⚙ OFF Weekends'!$D$49="OFF","OFF","")</f>
        <v/>
      </c>
      <c r="BC52" s="54" t="str">
        <f>IF('⚙ OFF Weekends'!$D$50="OFF","OFF","")</f>
        <v/>
      </c>
      <c r="BD52" s="56" t="str">
        <f>IF('⚙ OFF Weekends'!$D$51="OFF","OFF","")</f>
        <v/>
      </c>
      <c r="BE52" s="54" t="str">
        <f>IF('⚙ OFF Weekends'!$D$52="OFF","OFF","")</f>
        <v/>
      </c>
      <c r="BF52" s="56" t="str">
        <f>IF('⚙ OFF Weekends'!$D$53="OFF","OFF","")</f>
        <v/>
      </c>
      <c r="BG52" s="54" t="str">
        <f>IF('⚙ OFF Weekends'!$D$54="OFF","OFF","")</f>
        <v/>
      </c>
      <c r="BH52" s="56" t="str">
        <f>IF('⚙ OFF Weekends'!$D$55="OFF","OFF","")</f>
        <v/>
      </c>
      <c r="BI52" s="54" t="str">
        <f>IF('⚙ OFF Weekends'!$D$56="OFF","OFF","")</f>
        <v/>
      </c>
      <c r="BJ52" s="56" t="str">
        <f>IF('⚙ OFF Weekends'!$D$57="OFF","OFF","")</f>
        <v/>
      </c>
      <c r="BK52" s="54" t="str">
        <f>IF('⚙ OFF Weekends'!$D$58="OFF","OFF","")</f>
        <v/>
      </c>
      <c r="BL52" s="56" t="str">
        <f>IF('⚙ OFF Weekends'!$D$59="OFF","OFF","")</f>
        <v/>
      </c>
      <c r="BM52" s="54" t="str">
        <f>IF('⚙ OFF Weekends'!$D$60="OFF","OFF","")</f>
        <v/>
      </c>
      <c r="BN52" s="56" t="str">
        <f>IF('⚙ OFF Weekends'!$D$61="OFF","OFF","")</f>
        <v/>
      </c>
      <c r="BO52" s="54" t="str">
        <f>IF('⚙ OFF Weekends'!$D$62="OFF","OFF","")</f>
        <v/>
      </c>
      <c r="BP52" s="56" t="str">
        <f>IF('⚙ OFF Weekends'!$D$63="OFF","OFF","")</f>
        <v/>
      </c>
      <c r="BQ52" s="54" t="str">
        <f>IF('⚙ OFF Weekends'!$D$64="OFF","OFF","")</f>
        <v/>
      </c>
      <c r="BR52" s="56" t="str">
        <f>IF('⚙ OFF Weekends'!$D$65="OFF","OFF","")</f>
        <v/>
      </c>
      <c r="BS52" s="54" t="str">
        <f>IF('⚙ OFF Weekends'!$D$66="OFF","OFF","")</f>
        <v/>
      </c>
      <c r="BT52" s="56" t="str">
        <f>IF('⚙ OFF Weekends'!$D$67="OFF","OFF","")</f>
        <v/>
      </c>
      <c r="BU52" s="54" t="str">
        <f>IF('⚙ OFF Weekends'!$D$68="OFF","OFF","")</f>
        <v/>
      </c>
      <c r="BV52" s="56" t="str">
        <f>IF('⚙ OFF Weekends'!$D$69="OFF","OFF","")</f>
        <v/>
      </c>
      <c r="BW52" s="54" t="str">
        <f>IF('⚙ OFF Weekends'!$D$70="OFF","OFF","")</f>
        <v/>
      </c>
      <c r="BX52" s="56" t="str">
        <f>IF('⚙ OFF Weekends'!$D$71="OFF","OFF","")</f>
        <v/>
      </c>
      <c r="BY52" s="54" t="str">
        <f>IF('⚙ OFF Weekends'!$D$72="OFF","OFF","")</f>
        <v/>
      </c>
      <c r="BZ52" s="56" t="str">
        <f>IF('⚙ OFF Weekends'!$D$73="OFF","OFF","")</f>
        <v/>
      </c>
      <c r="CA52" s="54" t="str">
        <f>IF('⚙ OFF Weekends'!$D$74="OFF","OFF","")</f>
        <v/>
      </c>
      <c r="CB52" s="56" t="str">
        <f>IF('⚙ OFF Weekends'!$D$75="OFF","OFF","")</f>
        <v/>
      </c>
      <c r="CC52" s="54" t="str">
        <f>IF('⚙ OFF Weekends'!$D$76="OFF","OFF","")</f>
        <v/>
      </c>
      <c r="CD52" s="56" t="str">
        <f>IF('⚙ OFF Weekends'!$D$77="OFF","OFF","")</f>
        <v/>
      </c>
      <c r="CE52" s="96">
        <f t="shared" si="15"/>
        <v>10</v>
      </c>
      <c r="CF52" s="96">
        <f t="shared" si="16"/>
        <v>3</v>
      </c>
      <c r="CG52" s="96">
        <f t="shared" si="17"/>
        <v>3</v>
      </c>
      <c r="CH52" s="96" t="str">
        <f t="shared" si="18"/>
        <v>77%</v>
      </c>
    </row>
    <row r="53" ht="18.0" customHeight="1">
      <c r="A53" s="95">
        <v>5.0</v>
      </c>
      <c r="B53" s="12" t="s">
        <v>837</v>
      </c>
      <c r="C53" s="14" t="s">
        <v>838</v>
      </c>
      <c r="D53" s="17" t="str">
        <f t="shared" si="13"/>
        <v>📞 Call</v>
      </c>
      <c r="E53" s="19" t="str">
        <f t="shared" si="14"/>
        <v>💬 WhatsApp</v>
      </c>
      <c r="F53" s="10" t="s">
        <v>423</v>
      </c>
      <c r="G53" s="10" t="s">
        <v>654</v>
      </c>
      <c r="H53" s="10" t="s">
        <v>829</v>
      </c>
      <c r="I53" s="48" t="s">
        <v>196</v>
      </c>
      <c r="J53" s="50" t="s">
        <v>37</v>
      </c>
      <c r="K53" s="49" t="s">
        <v>197</v>
      </c>
      <c r="L53" s="50" t="s">
        <v>37</v>
      </c>
      <c r="M53" s="50" t="s">
        <v>37</v>
      </c>
      <c r="N53" s="50" t="s">
        <v>37</v>
      </c>
      <c r="O53" s="50" t="s">
        <v>37</v>
      </c>
      <c r="P53" s="50" t="s">
        <v>37</v>
      </c>
      <c r="Q53" s="48" t="s">
        <v>196</v>
      </c>
      <c r="R53" s="48" t="s">
        <v>196</v>
      </c>
      <c r="S53" s="52" t="s">
        <v>196</v>
      </c>
      <c r="T53" s="53" t="s">
        <v>196</v>
      </c>
      <c r="U53" s="52" t="s">
        <v>223</v>
      </c>
      <c r="V53" s="53" t="s">
        <v>37</v>
      </c>
      <c r="W53" s="52" t="s">
        <v>348</v>
      </c>
      <c r="X53" s="53" t="s">
        <v>223</v>
      </c>
      <c r="Y53" s="52" t="s">
        <v>37</v>
      </c>
      <c r="Z53" s="53" t="s">
        <v>223</v>
      </c>
      <c r="AA53" s="54" t="str">
        <f>IF('⚙ OFF Weekends'!$D$22="OFF","OFF","")</f>
        <v/>
      </c>
      <c r="AB53" s="56" t="str">
        <f>IF('⚙ OFF Weekends'!$D$23="OFF","OFF","")</f>
        <v/>
      </c>
      <c r="AC53" s="54" t="str">
        <f>IF('⚙ OFF Weekends'!$D$24="OFF","OFF","")</f>
        <v/>
      </c>
      <c r="AD53" s="56" t="str">
        <f>IF('⚙ OFF Weekends'!$D$25="OFF","OFF","")</f>
        <v/>
      </c>
      <c r="AE53" s="54" t="str">
        <f>IF('⚙ OFF Weekends'!$D$26="OFF","OFF","")</f>
        <v/>
      </c>
      <c r="AF53" s="56" t="str">
        <f>IF('⚙ OFF Weekends'!$D$27="OFF","OFF","")</f>
        <v/>
      </c>
      <c r="AG53" s="54" t="str">
        <f>IF('⚙ OFF Weekends'!$D$28="OFF","OFF","")</f>
        <v/>
      </c>
      <c r="AH53" s="56" t="str">
        <f>IF('⚙ OFF Weekends'!$D$29="OFF","OFF","")</f>
        <v/>
      </c>
      <c r="AI53" s="54" t="str">
        <f>IF('⚙ OFF Weekends'!$D$30="OFF","OFF","")</f>
        <v/>
      </c>
      <c r="AJ53" s="56" t="str">
        <f>IF('⚙ OFF Weekends'!$D$31="OFF","OFF","")</f>
        <v/>
      </c>
      <c r="AK53" s="54" t="str">
        <f>IF('⚙ OFF Weekends'!$D$32="OFF","OFF","")</f>
        <v/>
      </c>
      <c r="AL53" s="56" t="str">
        <f>IF('⚙ OFF Weekends'!$D$33="OFF","OFF","")</f>
        <v/>
      </c>
      <c r="AM53" s="54" t="str">
        <f>IF('⚙ OFF Weekends'!$D$34="OFF","OFF","")</f>
        <v/>
      </c>
      <c r="AN53" s="56" t="str">
        <f>IF('⚙ OFF Weekends'!$D$35="OFF","OFF","")</f>
        <v/>
      </c>
      <c r="AO53" s="54" t="str">
        <f>IF('⚙ OFF Weekends'!$D$36="OFF","OFF","")</f>
        <v/>
      </c>
      <c r="AP53" s="56" t="str">
        <f>IF('⚙ OFF Weekends'!$D$37="OFF","OFF","")</f>
        <v/>
      </c>
      <c r="AQ53" s="54" t="str">
        <f>IF('⚙ OFF Weekends'!$D$38="OFF","OFF","")</f>
        <v/>
      </c>
      <c r="AR53" s="56" t="str">
        <f>IF('⚙ OFF Weekends'!$D$39="OFF","OFF","")</f>
        <v/>
      </c>
      <c r="AS53" s="54" t="str">
        <f>IF('⚙ OFF Weekends'!$D$40="OFF","OFF","")</f>
        <v/>
      </c>
      <c r="AT53" s="56" t="str">
        <f>IF('⚙ OFF Weekends'!$D$41="OFF","OFF","")</f>
        <v/>
      </c>
      <c r="AU53" s="54" t="str">
        <f>IF('⚙ OFF Weekends'!$D$42="OFF","OFF","")</f>
        <v/>
      </c>
      <c r="AV53" s="56" t="str">
        <f>IF('⚙ OFF Weekends'!$D$43="OFF","OFF","")</f>
        <v/>
      </c>
      <c r="AW53" s="54" t="str">
        <f>IF('⚙ OFF Weekends'!$D$44="OFF","OFF","")</f>
        <v/>
      </c>
      <c r="AX53" s="56" t="str">
        <f>IF('⚙ OFF Weekends'!$D$45="OFF","OFF","")</f>
        <v/>
      </c>
      <c r="AY53" s="54" t="str">
        <f>IF('⚙ OFF Weekends'!$D$46="OFF","OFF","")</f>
        <v/>
      </c>
      <c r="AZ53" s="56" t="str">
        <f>IF('⚙ OFF Weekends'!$D$47="OFF","OFF","")</f>
        <v/>
      </c>
      <c r="BA53" s="54" t="str">
        <f>IF('⚙ OFF Weekends'!$D$48="OFF","OFF","")</f>
        <v/>
      </c>
      <c r="BB53" s="56" t="str">
        <f>IF('⚙ OFF Weekends'!$D$49="OFF","OFF","")</f>
        <v/>
      </c>
      <c r="BC53" s="54" t="str">
        <f>IF('⚙ OFF Weekends'!$D$50="OFF","OFF","")</f>
        <v/>
      </c>
      <c r="BD53" s="56" t="str">
        <f>IF('⚙ OFF Weekends'!$D$51="OFF","OFF","")</f>
        <v/>
      </c>
      <c r="BE53" s="54" t="str">
        <f>IF('⚙ OFF Weekends'!$D$52="OFF","OFF","")</f>
        <v/>
      </c>
      <c r="BF53" s="56" t="str">
        <f>IF('⚙ OFF Weekends'!$D$53="OFF","OFF","")</f>
        <v/>
      </c>
      <c r="BG53" s="54" t="str">
        <f>IF('⚙ OFF Weekends'!$D$54="OFF","OFF","")</f>
        <v/>
      </c>
      <c r="BH53" s="56" t="str">
        <f>IF('⚙ OFF Weekends'!$D$55="OFF","OFF","")</f>
        <v/>
      </c>
      <c r="BI53" s="54" t="str">
        <f>IF('⚙ OFF Weekends'!$D$56="OFF","OFF","")</f>
        <v/>
      </c>
      <c r="BJ53" s="56" t="str">
        <f>IF('⚙ OFF Weekends'!$D$57="OFF","OFF","")</f>
        <v/>
      </c>
      <c r="BK53" s="54" t="str">
        <f>IF('⚙ OFF Weekends'!$D$58="OFF","OFF","")</f>
        <v/>
      </c>
      <c r="BL53" s="56" t="str">
        <f>IF('⚙ OFF Weekends'!$D$59="OFF","OFF","")</f>
        <v/>
      </c>
      <c r="BM53" s="54" t="str">
        <f>IF('⚙ OFF Weekends'!$D$60="OFF","OFF","")</f>
        <v/>
      </c>
      <c r="BN53" s="56" t="str">
        <f>IF('⚙ OFF Weekends'!$D$61="OFF","OFF","")</f>
        <v/>
      </c>
      <c r="BO53" s="54" t="str">
        <f>IF('⚙ OFF Weekends'!$D$62="OFF","OFF","")</f>
        <v/>
      </c>
      <c r="BP53" s="56" t="str">
        <f>IF('⚙ OFF Weekends'!$D$63="OFF","OFF","")</f>
        <v/>
      </c>
      <c r="BQ53" s="54" t="str">
        <f>IF('⚙ OFF Weekends'!$D$64="OFF","OFF","")</f>
        <v/>
      </c>
      <c r="BR53" s="56" t="str">
        <f>IF('⚙ OFF Weekends'!$D$65="OFF","OFF","")</f>
        <v/>
      </c>
      <c r="BS53" s="54" t="str">
        <f>IF('⚙ OFF Weekends'!$D$66="OFF","OFF","")</f>
        <v/>
      </c>
      <c r="BT53" s="56" t="str">
        <f>IF('⚙ OFF Weekends'!$D$67="OFF","OFF","")</f>
        <v/>
      </c>
      <c r="BU53" s="54" t="str">
        <f>IF('⚙ OFF Weekends'!$D$68="OFF","OFF","")</f>
        <v/>
      </c>
      <c r="BV53" s="56" t="str">
        <f>IF('⚙ OFF Weekends'!$D$69="OFF","OFF","")</f>
        <v/>
      </c>
      <c r="BW53" s="54" t="str">
        <f>IF('⚙ OFF Weekends'!$D$70="OFF","OFF","")</f>
        <v/>
      </c>
      <c r="BX53" s="56" t="str">
        <f>IF('⚙ OFF Weekends'!$D$71="OFF","OFF","")</f>
        <v/>
      </c>
      <c r="BY53" s="54" t="str">
        <f>IF('⚙ OFF Weekends'!$D$72="OFF","OFF","")</f>
        <v/>
      </c>
      <c r="BZ53" s="56" t="str">
        <f>IF('⚙ OFF Weekends'!$D$73="OFF","OFF","")</f>
        <v/>
      </c>
      <c r="CA53" s="54" t="str">
        <f>IF('⚙ OFF Weekends'!$D$74="OFF","OFF","")</f>
        <v/>
      </c>
      <c r="CB53" s="56" t="str">
        <f>IF('⚙ OFF Weekends'!$D$75="OFF","OFF","")</f>
        <v/>
      </c>
      <c r="CC53" s="54" t="str">
        <f>IF('⚙ OFF Weekends'!$D$76="OFF","OFF","")</f>
        <v/>
      </c>
      <c r="CD53" s="56" t="str">
        <f>IF('⚙ OFF Weekends'!$D$77="OFF","OFF","")</f>
        <v/>
      </c>
      <c r="CE53" s="95">
        <f t="shared" si="15"/>
        <v>13</v>
      </c>
      <c r="CF53" s="95">
        <f t="shared" si="16"/>
        <v>3</v>
      </c>
      <c r="CG53" s="95">
        <f t="shared" si="17"/>
        <v>0</v>
      </c>
      <c r="CH53" s="95" t="str">
        <f t="shared" si="18"/>
        <v>81%</v>
      </c>
    </row>
    <row r="54" ht="18.0" customHeight="1">
      <c r="A54" s="96">
        <v>6.0</v>
      </c>
      <c r="B54" s="22" t="s">
        <v>843</v>
      </c>
      <c r="C54" s="23" t="s">
        <v>844</v>
      </c>
      <c r="D54" s="24" t="str">
        <f t="shared" si="13"/>
        <v>📞 Call</v>
      </c>
      <c r="E54" s="41" t="str">
        <f t="shared" si="14"/>
        <v>💬 WhatsApp</v>
      </c>
      <c r="F54" s="20"/>
      <c r="G54" s="20" t="s">
        <v>661</v>
      </c>
      <c r="H54" s="20" t="s">
        <v>295</v>
      </c>
      <c r="I54" s="48" t="s">
        <v>196</v>
      </c>
      <c r="J54" s="50" t="s">
        <v>37</v>
      </c>
      <c r="K54" s="49" t="s">
        <v>197</v>
      </c>
      <c r="L54" s="50" t="s">
        <v>37</v>
      </c>
      <c r="M54" s="50" t="s">
        <v>37</v>
      </c>
      <c r="N54" s="50" t="s">
        <v>37</v>
      </c>
      <c r="O54" s="79" t="s">
        <v>223</v>
      </c>
      <c r="P54" s="48" t="s">
        <v>196</v>
      </c>
      <c r="Q54" s="50" t="s">
        <v>37</v>
      </c>
      <c r="R54" s="48" t="s">
        <v>196</v>
      </c>
      <c r="S54" s="52" t="s">
        <v>196</v>
      </c>
      <c r="T54" s="53" t="s">
        <v>196</v>
      </c>
      <c r="U54" s="52" t="s">
        <v>223</v>
      </c>
      <c r="V54" s="53" t="s">
        <v>196</v>
      </c>
      <c r="W54" s="52" t="s">
        <v>348</v>
      </c>
      <c r="X54" s="53" t="s">
        <v>223</v>
      </c>
      <c r="Y54" s="52" t="s">
        <v>223</v>
      </c>
      <c r="Z54" s="53" t="s">
        <v>196</v>
      </c>
      <c r="AA54" s="54" t="str">
        <f>IF('⚙ OFF Weekends'!$D$22="OFF","OFF","")</f>
        <v/>
      </c>
      <c r="AB54" s="56" t="str">
        <f>IF('⚙ OFF Weekends'!$D$23="OFF","OFF","")</f>
        <v/>
      </c>
      <c r="AC54" s="54" t="str">
        <f>IF('⚙ OFF Weekends'!$D$24="OFF","OFF","")</f>
        <v/>
      </c>
      <c r="AD54" s="56" t="str">
        <f>IF('⚙ OFF Weekends'!$D$25="OFF","OFF","")</f>
        <v/>
      </c>
      <c r="AE54" s="54" t="str">
        <f>IF('⚙ OFF Weekends'!$D$26="OFF","OFF","")</f>
        <v/>
      </c>
      <c r="AF54" s="56" t="str">
        <f>IF('⚙ OFF Weekends'!$D$27="OFF","OFF","")</f>
        <v/>
      </c>
      <c r="AG54" s="54" t="str">
        <f>IF('⚙ OFF Weekends'!$D$28="OFF","OFF","")</f>
        <v/>
      </c>
      <c r="AH54" s="56" t="str">
        <f>IF('⚙ OFF Weekends'!$D$29="OFF","OFF","")</f>
        <v/>
      </c>
      <c r="AI54" s="54" t="str">
        <f>IF('⚙ OFF Weekends'!$D$30="OFF","OFF","")</f>
        <v/>
      </c>
      <c r="AJ54" s="56" t="str">
        <f>IF('⚙ OFF Weekends'!$D$31="OFF","OFF","")</f>
        <v/>
      </c>
      <c r="AK54" s="54" t="str">
        <f>IF('⚙ OFF Weekends'!$D$32="OFF","OFF","")</f>
        <v/>
      </c>
      <c r="AL54" s="56" t="str">
        <f>IF('⚙ OFF Weekends'!$D$33="OFF","OFF","")</f>
        <v/>
      </c>
      <c r="AM54" s="54" t="str">
        <f>IF('⚙ OFF Weekends'!$D$34="OFF","OFF","")</f>
        <v/>
      </c>
      <c r="AN54" s="56" t="str">
        <f>IF('⚙ OFF Weekends'!$D$35="OFF","OFF","")</f>
        <v/>
      </c>
      <c r="AO54" s="54" t="str">
        <f>IF('⚙ OFF Weekends'!$D$36="OFF","OFF","")</f>
        <v/>
      </c>
      <c r="AP54" s="56" t="str">
        <f>IF('⚙ OFF Weekends'!$D$37="OFF","OFF","")</f>
        <v/>
      </c>
      <c r="AQ54" s="54" t="str">
        <f>IF('⚙ OFF Weekends'!$D$38="OFF","OFF","")</f>
        <v/>
      </c>
      <c r="AR54" s="56" t="str">
        <f>IF('⚙ OFF Weekends'!$D$39="OFF","OFF","")</f>
        <v/>
      </c>
      <c r="AS54" s="54" t="str">
        <f>IF('⚙ OFF Weekends'!$D$40="OFF","OFF","")</f>
        <v/>
      </c>
      <c r="AT54" s="56" t="str">
        <f>IF('⚙ OFF Weekends'!$D$41="OFF","OFF","")</f>
        <v/>
      </c>
      <c r="AU54" s="54" t="str">
        <f>IF('⚙ OFF Weekends'!$D$42="OFF","OFF","")</f>
        <v/>
      </c>
      <c r="AV54" s="56" t="str">
        <f>IF('⚙ OFF Weekends'!$D$43="OFF","OFF","")</f>
        <v/>
      </c>
      <c r="AW54" s="54" t="str">
        <f>IF('⚙ OFF Weekends'!$D$44="OFF","OFF","")</f>
        <v/>
      </c>
      <c r="AX54" s="56" t="str">
        <f>IF('⚙ OFF Weekends'!$D$45="OFF","OFF","")</f>
        <v/>
      </c>
      <c r="AY54" s="54" t="str">
        <f>IF('⚙ OFF Weekends'!$D$46="OFF","OFF","")</f>
        <v/>
      </c>
      <c r="AZ54" s="56" t="str">
        <f>IF('⚙ OFF Weekends'!$D$47="OFF","OFF","")</f>
        <v/>
      </c>
      <c r="BA54" s="54" t="str">
        <f>IF('⚙ OFF Weekends'!$D$48="OFF","OFF","")</f>
        <v/>
      </c>
      <c r="BB54" s="56" t="str">
        <f>IF('⚙ OFF Weekends'!$D$49="OFF","OFF","")</f>
        <v/>
      </c>
      <c r="BC54" s="54" t="str">
        <f>IF('⚙ OFF Weekends'!$D$50="OFF","OFF","")</f>
        <v/>
      </c>
      <c r="BD54" s="56" t="str">
        <f>IF('⚙ OFF Weekends'!$D$51="OFF","OFF","")</f>
        <v/>
      </c>
      <c r="BE54" s="54" t="str">
        <f>IF('⚙ OFF Weekends'!$D$52="OFF","OFF","")</f>
        <v/>
      </c>
      <c r="BF54" s="56" t="str">
        <f>IF('⚙ OFF Weekends'!$D$53="OFF","OFF","")</f>
        <v/>
      </c>
      <c r="BG54" s="54" t="str">
        <f>IF('⚙ OFF Weekends'!$D$54="OFF","OFF","")</f>
        <v/>
      </c>
      <c r="BH54" s="56" t="str">
        <f>IF('⚙ OFF Weekends'!$D$55="OFF","OFF","")</f>
        <v/>
      </c>
      <c r="BI54" s="54" t="str">
        <f>IF('⚙ OFF Weekends'!$D$56="OFF","OFF","")</f>
        <v/>
      </c>
      <c r="BJ54" s="56" t="str">
        <f>IF('⚙ OFF Weekends'!$D$57="OFF","OFF","")</f>
        <v/>
      </c>
      <c r="BK54" s="54" t="str">
        <f>IF('⚙ OFF Weekends'!$D$58="OFF","OFF","")</f>
        <v/>
      </c>
      <c r="BL54" s="56" t="str">
        <f>IF('⚙ OFF Weekends'!$D$59="OFF","OFF","")</f>
        <v/>
      </c>
      <c r="BM54" s="54" t="str">
        <f>IF('⚙ OFF Weekends'!$D$60="OFF","OFF","")</f>
        <v/>
      </c>
      <c r="BN54" s="56" t="str">
        <f>IF('⚙ OFF Weekends'!$D$61="OFF","OFF","")</f>
        <v/>
      </c>
      <c r="BO54" s="54" t="str">
        <f>IF('⚙ OFF Weekends'!$D$62="OFF","OFF","")</f>
        <v/>
      </c>
      <c r="BP54" s="56" t="str">
        <f>IF('⚙ OFF Weekends'!$D$63="OFF","OFF","")</f>
        <v/>
      </c>
      <c r="BQ54" s="54" t="str">
        <f>IF('⚙ OFF Weekends'!$D$64="OFF","OFF","")</f>
        <v/>
      </c>
      <c r="BR54" s="56" t="str">
        <f>IF('⚙ OFF Weekends'!$D$65="OFF","OFF","")</f>
        <v/>
      </c>
      <c r="BS54" s="54" t="str">
        <f>IF('⚙ OFF Weekends'!$D$66="OFF","OFF","")</f>
        <v/>
      </c>
      <c r="BT54" s="56" t="str">
        <f>IF('⚙ OFF Weekends'!$D$67="OFF","OFF","")</f>
        <v/>
      </c>
      <c r="BU54" s="54" t="str">
        <f>IF('⚙ OFF Weekends'!$D$68="OFF","OFF","")</f>
        <v/>
      </c>
      <c r="BV54" s="56" t="str">
        <f>IF('⚙ OFF Weekends'!$D$69="OFF","OFF","")</f>
        <v/>
      </c>
      <c r="BW54" s="54" t="str">
        <f>IF('⚙ OFF Weekends'!$D$70="OFF","OFF","")</f>
        <v/>
      </c>
      <c r="BX54" s="56" t="str">
        <f>IF('⚙ OFF Weekends'!$D$71="OFF","OFF","")</f>
        <v/>
      </c>
      <c r="BY54" s="54" t="str">
        <f>IF('⚙ OFF Weekends'!$D$72="OFF","OFF","")</f>
        <v/>
      </c>
      <c r="BZ54" s="56" t="str">
        <f>IF('⚙ OFF Weekends'!$D$73="OFF","OFF","")</f>
        <v/>
      </c>
      <c r="CA54" s="54" t="str">
        <f>IF('⚙ OFF Weekends'!$D$74="OFF","OFF","")</f>
        <v/>
      </c>
      <c r="CB54" s="56" t="str">
        <f>IF('⚙ OFF Weekends'!$D$75="OFF","OFF","")</f>
        <v/>
      </c>
      <c r="CC54" s="54" t="str">
        <f>IF('⚙ OFF Weekends'!$D$76="OFF","OFF","")</f>
        <v/>
      </c>
      <c r="CD54" s="56" t="str">
        <f>IF('⚙ OFF Weekends'!$D$77="OFF","OFF","")</f>
        <v/>
      </c>
      <c r="CE54" s="96">
        <f t="shared" si="15"/>
        <v>12</v>
      </c>
      <c r="CF54" s="96">
        <f t="shared" si="16"/>
        <v>4</v>
      </c>
      <c r="CG54" s="96">
        <f t="shared" si="17"/>
        <v>0</v>
      </c>
      <c r="CH54" s="96" t="str">
        <f t="shared" si="18"/>
        <v>75%</v>
      </c>
    </row>
    <row r="55" ht="18.0" customHeight="1">
      <c r="A55" s="95">
        <v>7.0</v>
      </c>
      <c r="B55" s="12" t="s">
        <v>846</v>
      </c>
      <c r="C55" s="14" t="s">
        <v>847</v>
      </c>
      <c r="D55" s="17" t="str">
        <f t="shared" si="13"/>
        <v>📞 Call</v>
      </c>
      <c r="E55" s="19" t="str">
        <f t="shared" si="14"/>
        <v>💬 WhatsApp</v>
      </c>
      <c r="F55" s="10"/>
      <c r="G55" s="10" t="s">
        <v>661</v>
      </c>
      <c r="H55" s="10" t="s">
        <v>829</v>
      </c>
      <c r="I55" s="79" t="s">
        <v>223</v>
      </c>
      <c r="J55" s="79" t="s">
        <v>223</v>
      </c>
      <c r="K55" s="49" t="s">
        <v>197</v>
      </c>
      <c r="L55" s="79" t="s">
        <v>223</v>
      </c>
      <c r="M55" s="50" t="s">
        <v>37</v>
      </c>
      <c r="N55" s="50" t="s">
        <v>37</v>
      </c>
      <c r="O55" s="48" t="s">
        <v>196</v>
      </c>
      <c r="P55" s="77" t="s">
        <v>198</v>
      </c>
      <c r="Q55" s="79" t="s">
        <v>223</v>
      </c>
      <c r="R55" s="79" t="s">
        <v>223</v>
      </c>
      <c r="S55" s="52" t="s">
        <v>223</v>
      </c>
      <c r="T55" s="53" t="s">
        <v>196</v>
      </c>
      <c r="U55" s="52" t="s">
        <v>223</v>
      </c>
      <c r="V55" s="53" t="s">
        <v>223</v>
      </c>
      <c r="W55" s="52" t="s">
        <v>348</v>
      </c>
      <c r="X55" s="53" t="s">
        <v>196</v>
      </c>
      <c r="Y55" s="52" t="s">
        <v>196</v>
      </c>
      <c r="Z55" s="53" t="s">
        <v>196</v>
      </c>
      <c r="AA55" s="54" t="str">
        <f>IF('⚙ OFF Weekends'!$D$22="OFF","OFF","")</f>
        <v/>
      </c>
      <c r="AB55" s="53" t="s">
        <v>196</v>
      </c>
      <c r="AC55" s="54" t="str">
        <f>IF('⚙ OFF Weekends'!$D$24="OFF","OFF","")</f>
        <v/>
      </c>
      <c r="AD55" s="56" t="str">
        <f>IF('⚙ OFF Weekends'!$D$25="OFF","OFF","")</f>
        <v/>
      </c>
      <c r="AE55" s="54" t="str">
        <f>IF('⚙ OFF Weekends'!$D$26="OFF","OFF","")</f>
        <v/>
      </c>
      <c r="AF55" s="56" t="str">
        <f>IF('⚙ OFF Weekends'!$D$27="OFF","OFF","")</f>
        <v/>
      </c>
      <c r="AG55" s="54" t="str">
        <f>IF('⚙ OFF Weekends'!$D$28="OFF","OFF","")</f>
        <v/>
      </c>
      <c r="AH55" s="56" t="str">
        <f>IF('⚙ OFF Weekends'!$D$29="OFF","OFF","")</f>
        <v/>
      </c>
      <c r="AI55" s="54" t="str">
        <f>IF('⚙ OFF Weekends'!$D$30="OFF","OFF","")</f>
        <v/>
      </c>
      <c r="AJ55" s="56" t="str">
        <f>IF('⚙ OFF Weekends'!$D$31="OFF","OFF","")</f>
        <v/>
      </c>
      <c r="AK55" s="54" t="str">
        <f>IF('⚙ OFF Weekends'!$D$32="OFF","OFF","")</f>
        <v/>
      </c>
      <c r="AL55" s="56" t="str">
        <f>IF('⚙ OFF Weekends'!$D$33="OFF","OFF","")</f>
        <v/>
      </c>
      <c r="AM55" s="54" t="str">
        <f>IF('⚙ OFF Weekends'!$D$34="OFF","OFF","")</f>
        <v/>
      </c>
      <c r="AN55" s="56" t="str">
        <f>IF('⚙ OFF Weekends'!$D$35="OFF","OFF","")</f>
        <v/>
      </c>
      <c r="AO55" s="54" t="str">
        <f>IF('⚙ OFF Weekends'!$D$36="OFF","OFF","")</f>
        <v/>
      </c>
      <c r="AP55" s="56" t="str">
        <f>IF('⚙ OFF Weekends'!$D$37="OFF","OFF","")</f>
        <v/>
      </c>
      <c r="AQ55" s="54" t="str">
        <f>IF('⚙ OFF Weekends'!$D$38="OFF","OFF","")</f>
        <v/>
      </c>
      <c r="AR55" s="56" t="str">
        <f>IF('⚙ OFF Weekends'!$D$39="OFF","OFF","")</f>
        <v/>
      </c>
      <c r="AS55" s="54" t="str">
        <f>IF('⚙ OFF Weekends'!$D$40="OFF","OFF","")</f>
        <v/>
      </c>
      <c r="AT55" s="56" t="str">
        <f>IF('⚙ OFF Weekends'!$D$41="OFF","OFF","")</f>
        <v/>
      </c>
      <c r="AU55" s="54" t="str">
        <f>IF('⚙ OFF Weekends'!$D$42="OFF","OFF","")</f>
        <v/>
      </c>
      <c r="AV55" s="56" t="str">
        <f>IF('⚙ OFF Weekends'!$D$43="OFF","OFF","")</f>
        <v/>
      </c>
      <c r="AW55" s="54" t="str">
        <f>IF('⚙ OFF Weekends'!$D$44="OFF","OFF","")</f>
        <v/>
      </c>
      <c r="AX55" s="56" t="str">
        <f>IF('⚙ OFF Weekends'!$D$45="OFF","OFF","")</f>
        <v/>
      </c>
      <c r="AY55" s="54" t="str">
        <f>IF('⚙ OFF Weekends'!$D$46="OFF","OFF","")</f>
        <v/>
      </c>
      <c r="AZ55" s="56" t="str">
        <f>IF('⚙ OFF Weekends'!$D$47="OFF","OFF","")</f>
        <v/>
      </c>
      <c r="BA55" s="54" t="str">
        <f>IF('⚙ OFF Weekends'!$D$48="OFF","OFF","")</f>
        <v/>
      </c>
      <c r="BB55" s="56" t="str">
        <f>IF('⚙ OFF Weekends'!$D$49="OFF","OFF","")</f>
        <v/>
      </c>
      <c r="BC55" s="54" t="str">
        <f>IF('⚙ OFF Weekends'!$D$50="OFF","OFF","")</f>
        <v/>
      </c>
      <c r="BD55" s="56" t="str">
        <f>IF('⚙ OFF Weekends'!$D$51="OFF","OFF","")</f>
        <v/>
      </c>
      <c r="BE55" s="54" t="str">
        <f>IF('⚙ OFF Weekends'!$D$52="OFF","OFF","")</f>
        <v/>
      </c>
      <c r="BF55" s="56" t="str">
        <f>IF('⚙ OFF Weekends'!$D$53="OFF","OFF","")</f>
        <v/>
      </c>
      <c r="BG55" s="54" t="str">
        <f>IF('⚙ OFF Weekends'!$D$54="OFF","OFF","")</f>
        <v/>
      </c>
      <c r="BH55" s="56" t="str">
        <f>IF('⚙ OFF Weekends'!$D$55="OFF","OFF","")</f>
        <v/>
      </c>
      <c r="BI55" s="54" t="str">
        <f>IF('⚙ OFF Weekends'!$D$56="OFF","OFF","")</f>
        <v/>
      </c>
      <c r="BJ55" s="56" t="str">
        <f>IF('⚙ OFF Weekends'!$D$57="OFF","OFF","")</f>
        <v/>
      </c>
      <c r="BK55" s="54" t="str">
        <f>IF('⚙ OFF Weekends'!$D$58="OFF","OFF","")</f>
        <v/>
      </c>
      <c r="BL55" s="56" t="str">
        <f>IF('⚙ OFF Weekends'!$D$59="OFF","OFF","")</f>
        <v/>
      </c>
      <c r="BM55" s="54" t="str">
        <f>IF('⚙ OFF Weekends'!$D$60="OFF","OFF","")</f>
        <v/>
      </c>
      <c r="BN55" s="56" t="str">
        <f>IF('⚙ OFF Weekends'!$D$61="OFF","OFF","")</f>
        <v/>
      </c>
      <c r="BO55" s="54" t="str">
        <f>IF('⚙ OFF Weekends'!$D$62="OFF","OFF","")</f>
        <v/>
      </c>
      <c r="BP55" s="56" t="str">
        <f>IF('⚙ OFF Weekends'!$D$63="OFF","OFF","")</f>
        <v/>
      </c>
      <c r="BQ55" s="54" t="str">
        <f>IF('⚙ OFF Weekends'!$D$64="OFF","OFF","")</f>
        <v/>
      </c>
      <c r="BR55" s="56" t="str">
        <f>IF('⚙ OFF Weekends'!$D$65="OFF","OFF","")</f>
        <v/>
      </c>
      <c r="BS55" s="54" t="str">
        <f>IF('⚙ OFF Weekends'!$D$66="OFF","OFF","")</f>
        <v/>
      </c>
      <c r="BT55" s="56" t="str">
        <f>IF('⚙ OFF Weekends'!$D$67="OFF","OFF","")</f>
        <v/>
      </c>
      <c r="BU55" s="54" t="str">
        <f>IF('⚙ OFF Weekends'!$D$68="OFF","OFF","")</f>
        <v/>
      </c>
      <c r="BV55" s="56" t="str">
        <f>IF('⚙ OFF Weekends'!$D$69="OFF","OFF","")</f>
        <v/>
      </c>
      <c r="BW55" s="54" t="str">
        <f>IF('⚙ OFF Weekends'!$D$70="OFF","OFF","")</f>
        <v/>
      </c>
      <c r="BX55" s="56" t="str">
        <f>IF('⚙ OFF Weekends'!$D$71="OFF","OFF","")</f>
        <v/>
      </c>
      <c r="BY55" s="54" t="str">
        <f>IF('⚙ OFF Weekends'!$D$72="OFF","OFF","")</f>
        <v/>
      </c>
      <c r="BZ55" s="56" t="str">
        <f>IF('⚙ OFF Weekends'!$D$73="OFF","OFF","")</f>
        <v/>
      </c>
      <c r="CA55" s="54" t="str">
        <f>IF('⚙ OFF Weekends'!$D$74="OFF","OFF","")</f>
        <v/>
      </c>
      <c r="CB55" s="56" t="str">
        <f>IF('⚙ OFF Weekends'!$D$75="OFF","OFF","")</f>
        <v/>
      </c>
      <c r="CC55" s="54" t="str">
        <f>IF('⚙ OFF Weekends'!$D$76="OFF","OFF","")</f>
        <v/>
      </c>
      <c r="CD55" s="56" t="str">
        <f>IF('⚙ OFF Weekends'!$D$77="OFF","OFF","")</f>
        <v/>
      </c>
      <c r="CE55" s="95">
        <f t="shared" si="15"/>
        <v>8</v>
      </c>
      <c r="CF55" s="95">
        <f t="shared" si="16"/>
        <v>8</v>
      </c>
      <c r="CG55" s="95">
        <f t="shared" si="17"/>
        <v>1</v>
      </c>
      <c r="CH55" s="95" t="str">
        <f t="shared" si="18"/>
        <v>50%</v>
      </c>
    </row>
    <row r="56" ht="18.0" customHeight="1">
      <c r="A56" s="96">
        <v>8.0</v>
      </c>
      <c r="B56" s="22" t="s">
        <v>884</v>
      </c>
      <c r="C56" s="23" t="s">
        <v>885</v>
      </c>
      <c r="D56" s="24" t="str">
        <f t="shared" si="13"/>
        <v>📞 Call</v>
      </c>
      <c r="E56" s="41" t="str">
        <f t="shared" si="14"/>
        <v>💬 WhatsApp</v>
      </c>
      <c r="F56" s="20" t="s">
        <v>423</v>
      </c>
      <c r="G56" s="20" t="s">
        <v>661</v>
      </c>
      <c r="H56" s="20" t="s">
        <v>797</v>
      </c>
      <c r="I56" s="79" t="s">
        <v>223</v>
      </c>
      <c r="J56" s="50" t="s">
        <v>37</v>
      </c>
      <c r="K56" s="49" t="s">
        <v>197</v>
      </c>
      <c r="L56" s="77" t="s">
        <v>198</v>
      </c>
      <c r="M56" s="50" t="s">
        <v>37</v>
      </c>
      <c r="N56" s="48" t="s">
        <v>196</v>
      </c>
      <c r="O56" s="79" t="s">
        <v>223</v>
      </c>
      <c r="P56" s="50" t="s">
        <v>37</v>
      </c>
      <c r="Q56" s="79" t="s">
        <v>223</v>
      </c>
      <c r="R56" s="48" t="s">
        <v>196</v>
      </c>
      <c r="S56" s="52" t="s">
        <v>196</v>
      </c>
      <c r="T56" s="53" t="s">
        <v>196</v>
      </c>
      <c r="U56" s="52" t="s">
        <v>198</v>
      </c>
      <c r="V56" s="53" t="s">
        <v>198</v>
      </c>
      <c r="W56" s="52" t="s">
        <v>348</v>
      </c>
      <c r="X56" s="53" t="s">
        <v>198</v>
      </c>
      <c r="Y56" s="52" t="s">
        <v>198</v>
      </c>
      <c r="Z56" s="53" t="s">
        <v>198</v>
      </c>
      <c r="AA56" s="52" t="s">
        <v>198</v>
      </c>
      <c r="AB56" s="56" t="str">
        <f>IF('⚙ OFF Weekends'!$D$23="OFF","OFF","")</f>
        <v/>
      </c>
      <c r="AC56" s="54" t="str">
        <f>IF('⚙ OFF Weekends'!$D$24="OFF","OFF","")</f>
        <v/>
      </c>
      <c r="AD56" s="56" t="str">
        <f>IF('⚙ OFF Weekends'!$D$25="OFF","OFF","")</f>
        <v/>
      </c>
      <c r="AE56" s="54" t="str">
        <f>IF('⚙ OFF Weekends'!$D$26="OFF","OFF","")</f>
        <v/>
      </c>
      <c r="AF56" s="56" t="str">
        <f>IF('⚙ OFF Weekends'!$D$27="OFF","OFF","")</f>
        <v/>
      </c>
      <c r="AG56" s="54" t="str">
        <f>IF('⚙ OFF Weekends'!$D$28="OFF","OFF","")</f>
        <v/>
      </c>
      <c r="AH56" s="56" t="str">
        <f>IF('⚙ OFF Weekends'!$D$29="OFF","OFF","")</f>
        <v/>
      </c>
      <c r="AI56" s="54" t="str">
        <f>IF('⚙ OFF Weekends'!$D$30="OFF","OFF","")</f>
        <v/>
      </c>
      <c r="AJ56" s="56" t="str">
        <f>IF('⚙ OFF Weekends'!$D$31="OFF","OFF","")</f>
        <v/>
      </c>
      <c r="AK56" s="54" t="str">
        <f>IF('⚙ OFF Weekends'!$D$32="OFF","OFF","")</f>
        <v/>
      </c>
      <c r="AL56" s="56" t="str">
        <f>IF('⚙ OFF Weekends'!$D$33="OFF","OFF","")</f>
        <v/>
      </c>
      <c r="AM56" s="54" t="str">
        <f>IF('⚙ OFF Weekends'!$D$34="OFF","OFF","")</f>
        <v/>
      </c>
      <c r="AN56" s="56" t="str">
        <f>IF('⚙ OFF Weekends'!$D$35="OFF","OFF","")</f>
        <v/>
      </c>
      <c r="AO56" s="54" t="str">
        <f>IF('⚙ OFF Weekends'!$D$36="OFF","OFF","")</f>
        <v/>
      </c>
      <c r="AP56" s="56" t="str">
        <f>IF('⚙ OFF Weekends'!$D$37="OFF","OFF","")</f>
        <v/>
      </c>
      <c r="AQ56" s="54" t="str">
        <f>IF('⚙ OFF Weekends'!$D$38="OFF","OFF","")</f>
        <v/>
      </c>
      <c r="AR56" s="56" t="str">
        <f>IF('⚙ OFF Weekends'!$D$39="OFF","OFF","")</f>
        <v/>
      </c>
      <c r="AS56" s="54" t="str">
        <f>IF('⚙ OFF Weekends'!$D$40="OFF","OFF","")</f>
        <v/>
      </c>
      <c r="AT56" s="56" t="str">
        <f>IF('⚙ OFF Weekends'!$D$41="OFF","OFF","")</f>
        <v/>
      </c>
      <c r="AU56" s="54" t="str">
        <f>IF('⚙ OFF Weekends'!$D$42="OFF","OFF","")</f>
        <v/>
      </c>
      <c r="AV56" s="56" t="str">
        <f>IF('⚙ OFF Weekends'!$D$43="OFF","OFF","")</f>
        <v/>
      </c>
      <c r="AW56" s="54" t="str">
        <f>IF('⚙ OFF Weekends'!$D$44="OFF","OFF","")</f>
        <v/>
      </c>
      <c r="AX56" s="56" t="str">
        <f>IF('⚙ OFF Weekends'!$D$45="OFF","OFF","")</f>
        <v/>
      </c>
      <c r="AY56" s="54" t="str">
        <f>IF('⚙ OFF Weekends'!$D$46="OFF","OFF","")</f>
        <v/>
      </c>
      <c r="AZ56" s="56" t="str">
        <f>IF('⚙ OFF Weekends'!$D$47="OFF","OFF","")</f>
        <v/>
      </c>
      <c r="BA56" s="54" t="str">
        <f>IF('⚙ OFF Weekends'!$D$48="OFF","OFF","")</f>
        <v/>
      </c>
      <c r="BB56" s="56" t="str">
        <f>IF('⚙ OFF Weekends'!$D$49="OFF","OFF","")</f>
        <v/>
      </c>
      <c r="BC56" s="54" t="str">
        <f>IF('⚙ OFF Weekends'!$D$50="OFF","OFF","")</f>
        <v/>
      </c>
      <c r="BD56" s="56" t="str">
        <f>IF('⚙ OFF Weekends'!$D$51="OFF","OFF","")</f>
        <v/>
      </c>
      <c r="BE56" s="54" t="str">
        <f>IF('⚙ OFF Weekends'!$D$52="OFF","OFF","")</f>
        <v/>
      </c>
      <c r="BF56" s="56" t="str">
        <f>IF('⚙ OFF Weekends'!$D$53="OFF","OFF","")</f>
        <v/>
      </c>
      <c r="BG56" s="54" t="str">
        <f>IF('⚙ OFF Weekends'!$D$54="OFF","OFF","")</f>
        <v/>
      </c>
      <c r="BH56" s="56" t="str">
        <f>IF('⚙ OFF Weekends'!$D$55="OFF","OFF","")</f>
        <v/>
      </c>
      <c r="BI56" s="54" t="str">
        <f>IF('⚙ OFF Weekends'!$D$56="OFF","OFF","")</f>
        <v/>
      </c>
      <c r="BJ56" s="56" t="str">
        <f>IF('⚙ OFF Weekends'!$D$57="OFF","OFF","")</f>
        <v/>
      </c>
      <c r="BK56" s="54" t="str">
        <f>IF('⚙ OFF Weekends'!$D$58="OFF","OFF","")</f>
        <v/>
      </c>
      <c r="BL56" s="56" t="str">
        <f>IF('⚙ OFF Weekends'!$D$59="OFF","OFF","")</f>
        <v/>
      </c>
      <c r="BM56" s="54" t="str">
        <f>IF('⚙ OFF Weekends'!$D$60="OFF","OFF","")</f>
        <v/>
      </c>
      <c r="BN56" s="56" t="str">
        <f>IF('⚙ OFF Weekends'!$D$61="OFF","OFF","")</f>
        <v/>
      </c>
      <c r="BO56" s="54" t="str">
        <f>IF('⚙ OFF Weekends'!$D$62="OFF","OFF","")</f>
        <v/>
      </c>
      <c r="BP56" s="56" t="str">
        <f>IF('⚙ OFF Weekends'!$D$63="OFF","OFF","")</f>
        <v/>
      </c>
      <c r="BQ56" s="54" t="str">
        <f>IF('⚙ OFF Weekends'!$D$64="OFF","OFF","")</f>
        <v/>
      </c>
      <c r="BR56" s="56" t="str">
        <f>IF('⚙ OFF Weekends'!$D$65="OFF","OFF","")</f>
        <v/>
      </c>
      <c r="BS56" s="54" t="str">
        <f>IF('⚙ OFF Weekends'!$D$66="OFF","OFF","")</f>
        <v/>
      </c>
      <c r="BT56" s="56" t="str">
        <f>IF('⚙ OFF Weekends'!$D$67="OFF","OFF","")</f>
        <v/>
      </c>
      <c r="BU56" s="54" t="str">
        <f>IF('⚙ OFF Weekends'!$D$68="OFF","OFF","")</f>
        <v/>
      </c>
      <c r="BV56" s="56" t="str">
        <f>IF('⚙ OFF Weekends'!$D$69="OFF","OFF","")</f>
        <v/>
      </c>
      <c r="BW56" s="54" t="str">
        <f>IF('⚙ OFF Weekends'!$D$70="OFF","OFF","")</f>
        <v/>
      </c>
      <c r="BX56" s="56" t="str">
        <f>IF('⚙ OFF Weekends'!$D$71="OFF","OFF","")</f>
        <v/>
      </c>
      <c r="BY56" s="54" t="str">
        <f>IF('⚙ OFF Weekends'!$D$72="OFF","OFF","")</f>
        <v/>
      </c>
      <c r="BZ56" s="56" t="str">
        <f>IF('⚙ OFF Weekends'!$D$73="OFF","OFF","")</f>
        <v/>
      </c>
      <c r="CA56" s="54" t="str">
        <f>IF('⚙ OFF Weekends'!$D$74="OFF","OFF","")</f>
        <v/>
      </c>
      <c r="CB56" s="56" t="str">
        <f>IF('⚙ OFF Weekends'!$D$75="OFF","OFF","")</f>
        <v/>
      </c>
      <c r="CC56" s="54" t="str">
        <f>IF('⚙ OFF Weekends'!$D$76="OFF","OFF","")</f>
        <v/>
      </c>
      <c r="CD56" s="56" t="str">
        <f>IF('⚙ OFF Weekends'!$D$77="OFF","OFF","")</f>
        <v/>
      </c>
      <c r="CE56" s="96">
        <f t="shared" si="15"/>
        <v>7</v>
      </c>
      <c r="CF56" s="96">
        <f t="shared" si="16"/>
        <v>3</v>
      </c>
      <c r="CG56" s="96">
        <f t="shared" si="17"/>
        <v>7</v>
      </c>
      <c r="CH56" s="96" t="str">
        <f t="shared" si="18"/>
        <v>70%</v>
      </c>
    </row>
    <row r="57" ht="18.0" customHeight="1">
      <c r="A57" s="95">
        <v>9.0</v>
      </c>
      <c r="B57" s="12" t="s">
        <v>893</v>
      </c>
      <c r="C57" s="14" t="s">
        <v>894</v>
      </c>
      <c r="D57" s="17" t="str">
        <f t="shared" si="13"/>
        <v>📞 Call</v>
      </c>
      <c r="E57" s="19" t="str">
        <f t="shared" si="14"/>
        <v>💬 WhatsApp</v>
      </c>
      <c r="F57" s="10"/>
      <c r="G57" s="10" t="s">
        <v>677</v>
      </c>
      <c r="H57" s="10" t="s">
        <v>895</v>
      </c>
      <c r="I57" s="48" t="s">
        <v>196</v>
      </c>
      <c r="J57" s="50" t="s">
        <v>37</v>
      </c>
      <c r="K57" s="49" t="s">
        <v>197</v>
      </c>
      <c r="L57" s="50" t="s">
        <v>37</v>
      </c>
      <c r="M57" s="50" t="s">
        <v>37</v>
      </c>
      <c r="N57" s="50" t="s">
        <v>37</v>
      </c>
      <c r="O57" s="79" t="s">
        <v>223</v>
      </c>
      <c r="P57" s="79" t="s">
        <v>223</v>
      </c>
      <c r="Q57" s="48" t="s">
        <v>196</v>
      </c>
      <c r="R57" s="48" t="s">
        <v>196</v>
      </c>
      <c r="S57" s="52" t="s">
        <v>196</v>
      </c>
      <c r="T57" s="53" t="s">
        <v>196</v>
      </c>
      <c r="U57" s="52" t="s">
        <v>196</v>
      </c>
      <c r="V57" s="53" t="s">
        <v>196</v>
      </c>
      <c r="W57" s="52" t="s">
        <v>348</v>
      </c>
      <c r="X57" s="53" t="s">
        <v>196</v>
      </c>
      <c r="Y57" s="52" t="s">
        <v>223</v>
      </c>
      <c r="Z57" s="53" t="s">
        <v>223</v>
      </c>
      <c r="AA57" s="54" t="str">
        <f>IF('⚙ OFF Weekends'!$D$22="OFF","OFF","")</f>
        <v/>
      </c>
      <c r="AB57" s="56" t="str">
        <f>IF('⚙ OFF Weekends'!$D$23="OFF","OFF","")</f>
        <v/>
      </c>
      <c r="AC57" s="54" t="str">
        <f>IF('⚙ OFF Weekends'!$D$24="OFF","OFF","")</f>
        <v/>
      </c>
      <c r="AD57" s="56" t="str">
        <f>IF('⚙ OFF Weekends'!$D$25="OFF","OFF","")</f>
        <v/>
      </c>
      <c r="AE57" s="54" t="str">
        <f>IF('⚙ OFF Weekends'!$D$26="OFF","OFF","")</f>
        <v/>
      </c>
      <c r="AF57" s="56" t="str">
        <f>IF('⚙ OFF Weekends'!$D$27="OFF","OFF","")</f>
        <v/>
      </c>
      <c r="AG57" s="54" t="str">
        <f>IF('⚙ OFF Weekends'!$D$28="OFF","OFF","")</f>
        <v/>
      </c>
      <c r="AH57" s="56" t="str">
        <f>IF('⚙ OFF Weekends'!$D$29="OFF","OFF","")</f>
        <v/>
      </c>
      <c r="AI57" s="54" t="str">
        <f>IF('⚙ OFF Weekends'!$D$30="OFF","OFF","")</f>
        <v/>
      </c>
      <c r="AJ57" s="56" t="str">
        <f>IF('⚙ OFF Weekends'!$D$31="OFF","OFF","")</f>
        <v/>
      </c>
      <c r="AK57" s="54" t="str">
        <f>IF('⚙ OFF Weekends'!$D$32="OFF","OFF","")</f>
        <v/>
      </c>
      <c r="AL57" s="56" t="str">
        <f>IF('⚙ OFF Weekends'!$D$33="OFF","OFF","")</f>
        <v/>
      </c>
      <c r="AM57" s="54" t="str">
        <f>IF('⚙ OFF Weekends'!$D$34="OFF","OFF","")</f>
        <v/>
      </c>
      <c r="AN57" s="56" t="str">
        <f>IF('⚙ OFF Weekends'!$D$35="OFF","OFF","")</f>
        <v/>
      </c>
      <c r="AO57" s="54" t="str">
        <f>IF('⚙ OFF Weekends'!$D$36="OFF","OFF","")</f>
        <v/>
      </c>
      <c r="AP57" s="56" t="str">
        <f>IF('⚙ OFF Weekends'!$D$37="OFF","OFF","")</f>
        <v/>
      </c>
      <c r="AQ57" s="54" t="str">
        <f>IF('⚙ OFF Weekends'!$D$38="OFF","OFF","")</f>
        <v/>
      </c>
      <c r="AR57" s="56" t="str">
        <f>IF('⚙ OFF Weekends'!$D$39="OFF","OFF","")</f>
        <v/>
      </c>
      <c r="AS57" s="54" t="str">
        <f>IF('⚙ OFF Weekends'!$D$40="OFF","OFF","")</f>
        <v/>
      </c>
      <c r="AT57" s="56" t="str">
        <f>IF('⚙ OFF Weekends'!$D$41="OFF","OFF","")</f>
        <v/>
      </c>
      <c r="AU57" s="54" t="str">
        <f>IF('⚙ OFF Weekends'!$D$42="OFF","OFF","")</f>
        <v/>
      </c>
      <c r="AV57" s="56" t="str">
        <f>IF('⚙ OFF Weekends'!$D$43="OFF","OFF","")</f>
        <v/>
      </c>
      <c r="AW57" s="54" t="str">
        <f>IF('⚙ OFF Weekends'!$D$44="OFF","OFF","")</f>
        <v/>
      </c>
      <c r="AX57" s="56" t="str">
        <f>IF('⚙ OFF Weekends'!$D$45="OFF","OFF","")</f>
        <v/>
      </c>
      <c r="AY57" s="54" t="str">
        <f>IF('⚙ OFF Weekends'!$D$46="OFF","OFF","")</f>
        <v/>
      </c>
      <c r="AZ57" s="56" t="str">
        <f>IF('⚙ OFF Weekends'!$D$47="OFF","OFF","")</f>
        <v/>
      </c>
      <c r="BA57" s="54" t="str">
        <f>IF('⚙ OFF Weekends'!$D$48="OFF","OFF","")</f>
        <v/>
      </c>
      <c r="BB57" s="56" t="str">
        <f>IF('⚙ OFF Weekends'!$D$49="OFF","OFF","")</f>
        <v/>
      </c>
      <c r="BC57" s="54" t="str">
        <f>IF('⚙ OFF Weekends'!$D$50="OFF","OFF","")</f>
        <v/>
      </c>
      <c r="BD57" s="56" t="str">
        <f>IF('⚙ OFF Weekends'!$D$51="OFF","OFF","")</f>
        <v/>
      </c>
      <c r="BE57" s="54" t="str">
        <f>IF('⚙ OFF Weekends'!$D$52="OFF","OFF","")</f>
        <v/>
      </c>
      <c r="BF57" s="56" t="str">
        <f>IF('⚙ OFF Weekends'!$D$53="OFF","OFF","")</f>
        <v/>
      </c>
      <c r="BG57" s="54" t="str">
        <f>IF('⚙ OFF Weekends'!$D$54="OFF","OFF","")</f>
        <v/>
      </c>
      <c r="BH57" s="56" t="str">
        <f>IF('⚙ OFF Weekends'!$D$55="OFF","OFF","")</f>
        <v/>
      </c>
      <c r="BI57" s="54" t="str">
        <f>IF('⚙ OFF Weekends'!$D$56="OFF","OFF","")</f>
        <v/>
      </c>
      <c r="BJ57" s="56" t="str">
        <f>IF('⚙ OFF Weekends'!$D$57="OFF","OFF","")</f>
        <v/>
      </c>
      <c r="BK57" s="54" t="str">
        <f>IF('⚙ OFF Weekends'!$D$58="OFF","OFF","")</f>
        <v/>
      </c>
      <c r="BL57" s="56" t="str">
        <f>IF('⚙ OFF Weekends'!$D$59="OFF","OFF","")</f>
        <v/>
      </c>
      <c r="BM57" s="54" t="str">
        <f>IF('⚙ OFF Weekends'!$D$60="OFF","OFF","")</f>
        <v/>
      </c>
      <c r="BN57" s="56" t="str">
        <f>IF('⚙ OFF Weekends'!$D$61="OFF","OFF","")</f>
        <v/>
      </c>
      <c r="BO57" s="54" t="str">
        <f>IF('⚙ OFF Weekends'!$D$62="OFF","OFF","")</f>
        <v/>
      </c>
      <c r="BP57" s="56" t="str">
        <f>IF('⚙ OFF Weekends'!$D$63="OFF","OFF","")</f>
        <v/>
      </c>
      <c r="BQ57" s="54" t="str">
        <f>IF('⚙ OFF Weekends'!$D$64="OFF","OFF","")</f>
        <v/>
      </c>
      <c r="BR57" s="56" t="str">
        <f>IF('⚙ OFF Weekends'!$D$65="OFF","OFF","")</f>
        <v/>
      </c>
      <c r="BS57" s="54" t="str">
        <f>IF('⚙ OFF Weekends'!$D$66="OFF","OFF","")</f>
        <v/>
      </c>
      <c r="BT57" s="56" t="str">
        <f>IF('⚙ OFF Weekends'!$D$67="OFF","OFF","")</f>
        <v/>
      </c>
      <c r="BU57" s="54" t="str">
        <f>IF('⚙ OFF Weekends'!$D$68="OFF","OFF","")</f>
        <v/>
      </c>
      <c r="BV57" s="56" t="str">
        <f>IF('⚙ OFF Weekends'!$D$69="OFF","OFF","")</f>
        <v/>
      </c>
      <c r="BW57" s="54" t="str">
        <f>IF('⚙ OFF Weekends'!$D$70="OFF","OFF","")</f>
        <v/>
      </c>
      <c r="BX57" s="56" t="str">
        <f>IF('⚙ OFF Weekends'!$D$71="OFF","OFF","")</f>
        <v/>
      </c>
      <c r="BY57" s="54" t="str">
        <f>IF('⚙ OFF Weekends'!$D$72="OFF","OFF","")</f>
        <v/>
      </c>
      <c r="BZ57" s="56" t="str">
        <f>IF('⚙ OFF Weekends'!$D$73="OFF","OFF","")</f>
        <v/>
      </c>
      <c r="CA57" s="54" t="str">
        <f>IF('⚙ OFF Weekends'!$D$74="OFF","OFF","")</f>
        <v/>
      </c>
      <c r="CB57" s="56" t="str">
        <f>IF('⚙ OFF Weekends'!$D$75="OFF","OFF","")</f>
        <v/>
      </c>
      <c r="CC57" s="54" t="str">
        <f>IF('⚙ OFF Weekends'!$D$76="OFF","OFF","")</f>
        <v/>
      </c>
      <c r="CD57" s="56" t="str">
        <f>IF('⚙ OFF Weekends'!$D$77="OFF","OFF","")</f>
        <v/>
      </c>
      <c r="CE57" s="95">
        <f t="shared" si="15"/>
        <v>12</v>
      </c>
      <c r="CF57" s="95">
        <f t="shared" si="16"/>
        <v>4</v>
      </c>
      <c r="CG57" s="95">
        <f t="shared" si="17"/>
        <v>0</v>
      </c>
      <c r="CH57" s="95" t="str">
        <f t="shared" si="18"/>
        <v>75%</v>
      </c>
    </row>
    <row r="58" ht="18.0" customHeight="1">
      <c r="A58" s="96">
        <v>10.0</v>
      </c>
      <c r="B58" s="22" t="s">
        <v>898</v>
      </c>
      <c r="C58" s="23" t="s">
        <v>899</v>
      </c>
      <c r="D58" s="24" t="str">
        <f t="shared" si="13"/>
        <v>📞 Call</v>
      </c>
      <c r="E58" s="41" t="str">
        <f t="shared" si="14"/>
        <v>💬 WhatsApp</v>
      </c>
      <c r="F58" s="20"/>
      <c r="G58" s="20" t="s">
        <v>677</v>
      </c>
      <c r="H58" s="20" t="s">
        <v>900</v>
      </c>
      <c r="I58" s="48" t="s">
        <v>196</v>
      </c>
      <c r="J58" s="79" t="s">
        <v>223</v>
      </c>
      <c r="K58" s="49" t="s">
        <v>197</v>
      </c>
      <c r="L58" s="79" t="s">
        <v>223</v>
      </c>
      <c r="M58" s="50" t="s">
        <v>37</v>
      </c>
      <c r="N58" s="48" t="s">
        <v>196</v>
      </c>
      <c r="O58" s="48" t="s">
        <v>196</v>
      </c>
      <c r="P58" s="48" t="s">
        <v>196</v>
      </c>
      <c r="Q58" s="50" t="s">
        <v>37</v>
      </c>
      <c r="R58" s="79" t="s">
        <v>223</v>
      </c>
      <c r="S58" s="52" t="s">
        <v>223</v>
      </c>
      <c r="T58" s="53" t="s">
        <v>223</v>
      </c>
      <c r="U58" s="52" t="s">
        <v>196</v>
      </c>
      <c r="V58" s="53" t="s">
        <v>223</v>
      </c>
      <c r="W58" s="52" t="s">
        <v>348</v>
      </c>
      <c r="X58" s="53" t="s">
        <v>196</v>
      </c>
      <c r="Y58" s="52" t="s">
        <v>37</v>
      </c>
      <c r="Z58" s="53" t="s">
        <v>223</v>
      </c>
      <c r="AA58" s="54" t="str">
        <f>IF('⚙ OFF Weekends'!$D$22="OFF","OFF","")</f>
        <v/>
      </c>
      <c r="AB58" s="56" t="str">
        <f>IF('⚙ OFF Weekends'!$D$23="OFF","OFF","")</f>
        <v/>
      </c>
      <c r="AC58" s="54" t="str">
        <f>IF('⚙ OFF Weekends'!$D$24="OFF","OFF","")</f>
        <v/>
      </c>
      <c r="AD58" s="56" t="str">
        <f>IF('⚙ OFF Weekends'!$D$25="OFF","OFF","")</f>
        <v/>
      </c>
      <c r="AE58" s="54" t="str">
        <f>IF('⚙ OFF Weekends'!$D$26="OFF","OFF","")</f>
        <v/>
      </c>
      <c r="AF58" s="56" t="str">
        <f>IF('⚙ OFF Weekends'!$D$27="OFF","OFF","")</f>
        <v/>
      </c>
      <c r="AG58" s="54" t="str">
        <f>IF('⚙ OFF Weekends'!$D$28="OFF","OFF","")</f>
        <v/>
      </c>
      <c r="AH58" s="56" t="str">
        <f>IF('⚙ OFF Weekends'!$D$29="OFF","OFF","")</f>
        <v/>
      </c>
      <c r="AI58" s="54" t="str">
        <f>IF('⚙ OFF Weekends'!$D$30="OFF","OFF","")</f>
        <v/>
      </c>
      <c r="AJ58" s="56" t="str">
        <f>IF('⚙ OFF Weekends'!$D$31="OFF","OFF","")</f>
        <v/>
      </c>
      <c r="AK58" s="54" t="str">
        <f>IF('⚙ OFF Weekends'!$D$32="OFF","OFF","")</f>
        <v/>
      </c>
      <c r="AL58" s="56" t="str">
        <f>IF('⚙ OFF Weekends'!$D$33="OFF","OFF","")</f>
        <v/>
      </c>
      <c r="AM58" s="54" t="str">
        <f>IF('⚙ OFF Weekends'!$D$34="OFF","OFF","")</f>
        <v/>
      </c>
      <c r="AN58" s="56" t="str">
        <f>IF('⚙ OFF Weekends'!$D$35="OFF","OFF","")</f>
        <v/>
      </c>
      <c r="AO58" s="54" t="str">
        <f>IF('⚙ OFF Weekends'!$D$36="OFF","OFF","")</f>
        <v/>
      </c>
      <c r="AP58" s="56" t="str">
        <f>IF('⚙ OFF Weekends'!$D$37="OFF","OFF","")</f>
        <v/>
      </c>
      <c r="AQ58" s="54" t="str">
        <f>IF('⚙ OFF Weekends'!$D$38="OFF","OFF","")</f>
        <v/>
      </c>
      <c r="AR58" s="56" t="str">
        <f>IF('⚙ OFF Weekends'!$D$39="OFF","OFF","")</f>
        <v/>
      </c>
      <c r="AS58" s="54" t="str">
        <f>IF('⚙ OFF Weekends'!$D$40="OFF","OFF","")</f>
        <v/>
      </c>
      <c r="AT58" s="56" t="str">
        <f>IF('⚙ OFF Weekends'!$D$41="OFF","OFF","")</f>
        <v/>
      </c>
      <c r="AU58" s="54" t="str">
        <f>IF('⚙ OFF Weekends'!$D$42="OFF","OFF","")</f>
        <v/>
      </c>
      <c r="AV58" s="56" t="str">
        <f>IF('⚙ OFF Weekends'!$D$43="OFF","OFF","")</f>
        <v/>
      </c>
      <c r="AW58" s="54" t="str">
        <f>IF('⚙ OFF Weekends'!$D$44="OFF","OFF","")</f>
        <v/>
      </c>
      <c r="AX58" s="56" t="str">
        <f>IF('⚙ OFF Weekends'!$D$45="OFF","OFF","")</f>
        <v/>
      </c>
      <c r="AY58" s="54" t="str">
        <f>IF('⚙ OFF Weekends'!$D$46="OFF","OFF","")</f>
        <v/>
      </c>
      <c r="AZ58" s="56" t="str">
        <f>IF('⚙ OFF Weekends'!$D$47="OFF","OFF","")</f>
        <v/>
      </c>
      <c r="BA58" s="54" t="str">
        <f>IF('⚙ OFF Weekends'!$D$48="OFF","OFF","")</f>
        <v/>
      </c>
      <c r="BB58" s="56" t="str">
        <f>IF('⚙ OFF Weekends'!$D$49="OFF","OFF","")</f>
        <v/>
      </c>
      <c r="BC58" s="54" t="str">
        <f>IF('⚙ OFF Weekends'!$D$50="OFF","OFF","")</f>
        <v/>
      </c>
      <c r="BD58" s="56" t="str">
        <f>IF('⚙ OFF Weekends'!$D$51="OFF","OFF","")</f>
        <v/>
      </c>
      <c r="BE58" s="54" t="str">
        <f>IF('⚙ OFF Weekends'!$D$52="OFF","OFF","")</f>
        <v/>
      </c>
      <c r="BF58" s="56" t="str">
        <f>IF('⚙ OFF Weekends'!$D$53="OFF","OFF","")</f>
        <v/>
      </c>
      <c r="BG58" s="54" t="str">
        <f>IF('⚙ OFF Weekends'!$D$54="OFF","OFF","")</f>
        <v/>
      </c>
      <c r="BH58" s="56" t="str">
        <f>IF('⚙ OFF Weekends'!$D$55="OFF","OFF","")</f>
        <v/>
      </c>
      <c r="BI58" s="54" t="str">
        <f>IF('⚙ OFF Weekends'!$D$56="OFF","OFF","")</f>
        <v/>
      </c>
      <c r="BJ58" s="56" t="str">
        <f>IF('⚙ OFF Weekends'!$D$57="OFF","OFF","")</f>
        <v/>
      </c>
      <c r="BK58" s="54" t="str">
        <f>IF('⚙ OFF Weekends'!$D$58="OFF","OFF","")</f>
        <v/>
      </c>
      <c r="BL58" s="56" t="str">
        <f>IF('⚙ OFF Weekends'!$D$59="OFF","OFF","")</f>
        <v/>
      </c>
      <c r="BM58" s="54" t="str">
        <f>IF('⚙ OFF Weekends'!$D$60="OFF","OFF","")</f>
        <v/>
      </c>
      <c r="BN58" s="56" t="str">
        <f>IF('⚙ OFF Weekends'!$D$61="OFF","OFF","")</f>
        <v/>
      </c>
      <c r="BO58" s="54" t="str">
        <f>IF('⚙ OFF Weekends'!$D$62="OFF","OFF","")</f>
        <v/>
      </c>
      <c r="BP58" s="56" t="str">
        <f>IF('⚙ OFF Weekends'!$D$63="OFF","OFF","")</f>
        <v/>
      </c>
      <c r="BQ58" s="54" t="str">
        <f>IF('⚙ OFF Weekends'!$D$64="OFF","OFF","")</f>
        <v/>
      </c>
      <c r="BR58" s="56" t="str">
        <f>IF('⚙ OFF Weekends'!$D$65="OFF","OFF","")</f>
        <v/>
      </c>
      <c r="BS58" s="54" t="str">
        <f>IF('⚙ OFF Weekends'!$D$66="OFF","OFF","")</f>
        <v/>
      </c>
      <c r="BT58" s="56" t="str">
        <f>IF('⚙ OFF Weekends'!$D$67="OFF","OFF","")</f>
        <v/>
      </c>
      <c r="BU58" s="54" t="str">
        <f>IF('⚙ OFF Weekends'!$D$68="OFF","OFF","")</f>
        <v/>
      </c>
      <c r="BV58" s="56" t="str">
        <f>IF('⚙ OFF Weekends'!$D$69="OFF","OFF","")</f>
        <v/>
      </c>
      <c r="BW58" s="54" t="str">
        <f>IF('⚙ OFF Weekends'!$D$70="OFF","OFF","")</f>
        <v/>
      </c>
      <c r="BX58" s="56" t="str">
        <f>IF('⚙ OFF Weekends'!$D$71="OFF","OFF","")</f>
        <v/>
      </c>
      <c r="BY58" s="54" t="str">
        <f>IF('⚙ OFF Weekends'!$D$72="OFF","OFF","")</f>
        <v/>
      </c>
      <c r="BZ58" s="56" t="str">
        <f>IF('⚙ OFF Weekends'!$D$73="OFF","OFF","")</f>
        <v/>
      </c>
      <c r="CA58" s="54" t="str">
        <f>IF('⚙ OFF Weekends'!$D$74="OFF","OFF","")</f>
        <v/>
      </c>
      <c r="CB58" s="56" t="str">
        <f>IF('⚙ OFF Weekends'!$D$75="OFF","OFF","")</f>
        <v/>
      </c>
      <c r="CC58" s="54" t="str">
        <f>IF('⚙ OFF Weekends'!$D$76="OFF","OFF","")</f>
        <v/>
      </c>
      <c r="CD58" s="56" t="str">
        <f>IF('⚙ OFF Weekends'!$D$77="OFF","OFF","")</f>
        <v/>
      </c>
      <c r="CE58" s="96">
        <f t="shared" si="15"/>
        <v>9</v>
      </c>
      <c r="CF58" s="96">
        <f t="shared" si="16"/>
        <v>7</v>
      </c>
      <c r="CG58" s="96">
        <f t="shared" si="17"/>
        <v>0</v>
      </c>
      <c r="CH58" s="96" t="str">
        <f t="shared" si="18"/>
        <v>56%</v>
      </c>
    </row>
    <row r="59" ht="18.0" customHeight="1">
      <c r="A59" s="95">
        <v>11.0</v>
      </c>
      <c r="B59" s="12" t="s">
        <v>689</v>
      </c>
      <c r="C59" s="14" t="s">
        <v>746</v>
      </c>
      <c r="D59" s="17" t="str">
        <f t="shared" si="13"/>
        <v>📞 Call</v>
      </c>
      <c r="E59" s="19" t="str">
        <f t="shared" si="14"/>
        <v>💬 WhatsApp</v>
      </c>
      <c r="F59" s="10"/>
      <c r="G59" s="10" t="s">
        <v>517</v>
      </c>
      <c r="H59" s="10"/>
      <c r="I59" s="79" t="s">
        <v>223</v>
      </c>
      <c r="J59" s="79" t="s">
        <v>223</v>
      </c>
      <c r="K59" s="49" t="s">
        <v>197</v>
      </c>
      <c r="L59" s="79" t="s">
        <v>223</v>
      </c>
      <c r="M59" s="79" t="s">
        <v>223</v>
      </c>
      <c r="N59" s="79" t="s">
        <v>223</v>
      </c>
      <c r="O59" s="79" t="s">
        <v>223</v>
      </c>
      <c r="P59" s="79" t="s">
        <v>223</v>
      </c>
      <c r="Q59" s="79" t="s">
        <v>223</v>
      </c>
      <c r="R59" s="79" t="s">
        <v>223</v>
      </c>
      <c r="S59" s="195" t="s">
        <v>296</v>
      </c>
      <c r="T59" s="196" t="s">
        <v>296</v>
      </c>
      <c r="U59" s="195" t="s">
        <v>296</v>
      </c>
      <c r="V59" s="53" t="s">
        <v>296</v>
      </c>
      <c r="W59" s="52" t="s">
        <v>296</v>
      </c>
      <c r="X59" s="53" t="s">
        <v>296</v>
      </c>
      <c r="Y59" s="52" t="s">
        <v>296</v>
      </c>
      <c r="Z59" s="53" t="s">
        <v>296</v>
      </c>
      <c r="AA59" s="54" t="str">
        <f>IF('⚙ OFF Weekends'!$D$22="OFF","OFF","")</f>
        <v/>
      </c>
      <c r="AB59" s="56" t="str">
        <f>IF('⚙ OFF Weekends'!$D$23="OFF","OFF","")</f>
        <v/>
      </c>
      <c r="AC59" s="54" t="str">
        <f>IF('⚙ OFF Weekends'!$D$24="OFF","OFF","")</f>
        <v/>
      </c>
      <c r="AD59" s="56" t="str">
        <f>IF('⚙ OFF Weekends'!$D$25="OFF","OFF","")</f>
        <v/>
      </c>
      <c r="AE59" s="54" t="str">
        <f>IF('⚙ OFF Weekends'!$D$26="OFF","OFF","")</f>
        <v/>
      </c>
      <c r="AF59" s="56" t="str">
        <f>IF('⚙ OFF Weekends'!$D$27="OFF","OFF","")</f>
        <v/>
      </c>
      <c r="AG59" s="54" t="str">
        <f>IF('⚙ OFF Weekends'!$D$28="OFF","OFF","")</f>
        <v/>
      </c>
      <c r="AH59" s="56" t="str">
        <f>IF('⚙ OFF Weekends'!$D$29="OFF","OFF","")</f>
        <v/>
      </c>
      <c r="AI59" s="54" t="str">
        <f>IF('⚙ OFF Weekends'!$D$30="OFF","OFF","")</f>
        <v/>
      </c>
      <c r="AJ59" s="56" t="str">
        <f>IF('⚙ OFF Weekends'!$D$31="OFF","OFF","")</f>
        <v/>
      </c>
      <c r="AK59" s="54" t="str">
        <f>IF('⚙ OFF Weekends'!$D$32="OFF","OFF","")</f>
        <v/>
      </c>
      <c r="AL59" s="56" t="str">
        <f>IF('⚙ OFF Weekends'!$D$33="OFF","OFF","")</f>
        <v/>
      </c>
      <c r="AM59" s="54" t="str">
        <f>IF('⚙ OFF Weekends'!$D$34="OFF","OFF","")</f>
        <v/>
      </c>
      <c r="AN59" s="56" t="str">
        <f>IF('⚙ OFF Weekends'!$D$35="OFF","OFF","")</f>
        <v/>
      </c>
      <c r="AO59" s="54" t="str">
        <f>IF('⚙ OFF Weekends'!$D$36="OFF","OFF","")</f>
        <v/>
      </c>
      <c r="AP59" s="56" t="str">
        <f>IF('⚙ OFF Weekends'!$D$37="OFF","OFF","")</f>
        <v/>
      </c>
      <c r="AQ59" s="54" t="str">
        <f>IF('⚙ OFF Weekends'!$D$38="OFF","OFF","")</f>
        <v/>
      </c>
      <c r="AR59" s="56" t="str">
        <f>IF('⚙ OFF Weekends'!$D$39="OFF","OFF","")</f>
        <v/>
      </c>
      <c r="AS59" s="54" t="str">
        <f>IF('⚙ OFF Weekends'!$D$40="OFF","OFF","")</f>
        <v/>
      </c>
      <c r="AT59" s="56" t="str">
        <f>IF('⚙ OFF Weekends'!$D$41="OFF","OFF","")</f>
        <v/>
      </c>
      <c r="AU59" s="54" t="str">
        <f>IF('⚙ OFF Weekends'!$D$42="OFF","OFF","")</f>
        <v/>
      </c>
      <c r="AV59" s="56" t="str">
        <f>IF('⚙ OFF Weekends'!$D$43="OFF","OFF","")</f>
        <v/>
      </c>
      <c r="AW59" s="54" t="str">
        <f>IF('⚙ OFF Weekends'!$D$44="OFF","OFF","")</f>
        <v/>
      </c>
      <c r="AX59" s="56" t="str">
        <f>IF('⚙ OFF Weekends'!$D$45="OFF","OFF","")</f>
        <v/>
      </c>
      <c r="AY59" s="54" t="str">
        <f>IF('⚙ OFF Weekends'!$D$46="OFF","OFF","")</f>
        <v/>
      </c>
      <c r="AZ59" s="56" t="str">
        <f>IF('⚙ OFF Weekends'!$D$47="OFF","OFF","")</f>
        <v/>
      </c>
      <c r="BA59" s="54" t="str">
        <f>IF('⚙ OFF Weekends'!$D$48="OFF","OFF","")</f>
        <v/>
      </c>
      <c r="BB59" s="56" t="str">
        <f>IF('⚙ OFF Weekends'!$D$49="OFF","OFF","")</f>
        <v/>
      </c>
      <c r="BC59" s="54" t="str">
        <f>IF('⚙ OFF Weekends'!$D$50="OFF","OFF","")</f>
        <v/>
      </c>
      <c r="BD59" s="56" t="str">
        <f>IF('⚙ OFF Weekends'!$D$51="OFF","OFF","")</f>
        <v/>
      </c>
      <c r="BE59" s="54" t="str">
        <f>IF('⚙ OFF Weekends'!$D$52="OFF","OFF","")</f>
        <v/>
      </c>
      <c r="BF59" s="56" t="str">
        <f>IF('⚙ OFF Weekends'!$D$53="OFF","OFF","")</f>
        <v/>
      </c>
      <c r="BG59" s="54" t="str">
        <f>IF('⚙ OFF Weekends'!$D$54="OFF","OFF","")</f>
        <v/>
      </c>
      <c r="BH59" s="56" t="str">
        <f>IF('⚙ OFF Weekends'!$D$55="OFF","OFF","")</f>
        <v/>
      </c>
      <c r="BI59" s="54" t="str">
        <f>IF('⚙ OFF Weekends'!$D$56="OFF","OFF","")</f>
        <v/>
      </c>
      <c r="BJ59" s="56" t="str">
        <f>IF('⚙ OFF Weekends'!$D$57="OFF","OFF","")</f>
        <v/>
      </c>
      <c r="BK59" s="54" t="str">
        <f>IF('⚙ OFF Weekends'!$D$58="OFF","OFF","")</f>
        <v/>
      </c>
      <c r="BL59" s="56" t="str">
        <f>IF('⚙ OFF Weekends'!$D$59="OFF","OFF","")</f>
        <v/>
      </c>
      <c r="BM59" s="54" t="str">
        <f>IF('⚙ OFF Weekends'!$D$60="OFF","OFF","")</f>
        <v/>
      </c>
      <c r="BN59" s="56" t="str">
        <f>IF('⚙ OFF Weekends'!$D$61="OFF","OFF","")</f>
        <v/>
      </c>
      <c r="BO59" s="54" t="str">
        <f>IF('⚙ OFF Weekends'!$D$62="OFF","OFF","")</f>
        <v/>
      </c>
      <c r="BP59" s="56" t="str">
        <f>IF('⚙ OFF Weekends'!$D$63="OFF","OFF","")</f>
        <v/>
      </c>
      <c r="BQ59" s="54" t="str">
        <f>IF('⚙ OFF Weekends'!$D$64="OFF","OFF","")</f>
        <v/>
      </c>
      <c r="BR59" s="56" t="str">
        <f>IF('⚙ OFF Weekends'!$D$65="OFF","OFF","")</f>
        <v/>
      </c>
      <c r="BS59" s="54" t="str">
        <f>IF('⚙ OFF Weekends'!$D$66="OFF","OFF","")</f>
        <v/>
      </c>
      <c r="BT59" s="56" t="str">
        <f>IF('⚙ OFF Weekends'!$D$67="OFF","OFF","")</f>
        <v/>
      </c>
      <c r="BU59" s="54" t="str">
        <f>IF('⚙ OFF Weekends'!$D$68="OFF","OFF","")</f>
        <v/>
      </c>
      <c r="BV59" s="56" t="str">
        <f>IF('⚙ OFF Weekends'!$D$69="OFF","OFF","")</f>
        <v/>
      </c>
      <c r="BW59" s="54" t="str">
        <f>IF('⚙ OFF Weekends'!$D$70="OFF","OFF","")</f>
        <v/>
      </c>
      <c r="BX59" s="56" t="str">
        <f>IF('⚙ OFF Weekends'!$D$71="OFF","OFF","")</f>
        <v/>
      </c>
      <c r="BY59" s="54" t="str">
        <f>IF('⚙ OFF Weekends'!$D$72="OFF","OFF","")</f>
        <v/>
      </c>
      <c r="BZ59" s="56" t="str">
        <f>IF('⚙ OFF Weekends'!$D$73="OFF","OFF","")</f>
        <v/>
      </c>
      <c r="CA59" s="54" t="str">
        <f>IF('⚙ OFF Weekends'!$D$74="OFF","OFF","")</f>
        <v/>
      </c>
      <c r="CB59" s="56" t="str">
        <f>IF('⚙ OFF Weekends'!$D$75="OFF","OFF","")</f>
        <v/>
      </c>
      <c r="CC59" s="54" t="str">
        <f>IF('⚙ OFF Weekends'!$D$76="OFF","OFF","")</f>
        <v/>
      </c>
      <c r="CD59" s="56" t="str">
        <f>IF('⚙ OFF Weekends'!$D$77="OFF","OFF","")</f>
        <v/>
      </c>
      <c r="CE59" s="95">
        <f t="shared" si="15"/>
        <v>0</v>
      </c>
      <c r="CF59" s="95">
        <f t="shared" si="16"/>
        <v>9</v>
      </c>
      <c r="CG59" s="95">
        <f t="shared" si="17"/>
        <v>0</v>
      </c>
      <c r="CH59" s="95" t="str">
        <f t="shared" si="18"/>
        <v>0%</v>
      </c>
    </row>
    <row r="60" ht="18.0" customHeight="1">
      <c r="A60" s="96">
        <v>12.0</v>
      </c>
      <c r="B60" s="22" t="s">
        <v>495</v>
      </c>
      <c r="C60" s="23" t="s">
        <v>903</v>
      </c>
      <c r="D60" s="24" t="str">
        <f t="shared" si="13"/>
        <v>📞 Call</v>
      </c>
      <c r="E60" s="41" t="str">
        <f t="shared" si="14"/>
        <v>💬 WhatsApp</v>
      </c>
      <c r="F60" s="104" t="s">
        <v>423</v>
      </c>
      <c r="G60" s="20" t="s">
        <v>517</v>
      </c>
      <c r="H60" s="20" t="s">
        <v>522</v>
      </c>
      <c r="I60" s="79" t="s">
        <v>223</v>
      </c>
      <c r="J60" s="79" t="s">
        <v>223</v>
      </c>
      <c r="K60" s="49" t="s">
        <v>197</v>
      </c>
      <c r="L60" s="79" t="s">
        <v>223</v>
      </c>
      <c r="M60" s="79" t="s">
        <v>223</v>
      </c>
      <c r="N60" s="79" t="s">
        <v>223</v>
      </c>
      <c r="O60" s="50" t="s">
        <v>37</v>
      </c>
      <c r="P60" s="50" t="s">
        <v>37</v>
      </c>
      <c r="Q60" s="48" t="s">
        <v>196</v>
      </c>
      <c r="R60" s="48" t="s">
        <v>196</v>
      </c>
      <c r="S60" s="203" t="s">
        <v>37</v>
      </c>
      <c r="T60" s="196" t="s">
        <v>198</v>
      </c>
      <c r="U60" s="52" t="s">
        <v>198</v>
      </c>
      <c r="V60" s="53" t="s">
        <v>198</v>
      </c>
      <c r="W60" s="52" t="s">
        <v>348</v>
      </c>
      <c r="X60" s="53" t="s">
        <v>198</v>
      </c>
      <c r="Y60" s="52" t="s">
        <v>196</v>
      </c>
      <c r="Z60" s="53" t="s">
        <v>223</v>
      </c>
      <c r="AA60" s="52" t="s">
        <v>198</v>
      </c>
      <c r="AB60" s="56" t="str">
        <f>IF('⚙ OFF Weekends'!$D$23="OFF","OFF","")</f>
        <v/>
      </c>
      <c r="AC60" s="54" t="str">
        <f>IF('⚙ OFF Weekends'!$D$24="OFF","OFF","")</f>
        <v/>
      </c>
      <c r="AD60" s="56" t="str">
        <f>IF('⚙ OFF Weekends'!$D$25="OFF","OFF","")</f>
        <v/>
      </c>
      <c r="AE60" s="54" t="str">
        <f>IF('⚙ OFF Weekends'!$D$26="OFF","OFF","")</f>
        <v/>
      </c>
      <c r="AF60" s="56" t="str">
        <f>IF('⚙ OFF Weekends'!$D$27="OFF","OFF","")</f>
        <v/>
      </c>
      <c r="AG60" s="54" t="str">
        <f>IF('⚙ OFF Weekends'!$D$28="OFF","OFF","")</f>
        <v/>
      </c>
      <c r="AH60" s="56" t="str">
        <f>IF('⚙ OFF Weekends'!$D$29="OFF","OFF","")</f>
        <v/>
      </c>
      <c r="AI60" s="54" t="str">
        <f>IF('⚙ OFF Weekends'!$D$30="OFF","OFF","")</f>
        <v/>
      </c>
      <c r="AJ60" s="56" t="str">
        <f>IF('⚙ OFF Weekends'!$D$31="OFF","OFF","")</f>
        <v/>
      </c>
      <c r="AK60" s="54" t="str">
        <f>IF('⚙ OFF Weekends'!$D$32="OFF","OFF","")</f>
        <v/>
      </c>
      <c r="AL60" s="56" t="str">
        <f>IF('⚙ OFF Weekends'!$D$33="OFF","OFF","")</f>
        <v/>
      </c>
      <c r="AM60" s="54" t="str">
        <f>IF('⚙ OFF Weekends'!$D$34="OFF","OFF","")</f>
        <v/>
      </c>
      <c r="AN60" s="56" t="str">
        <f>IF('⚙ OFF Weekends'!$D$35="OFF","OFF","")</f>
        <v/>
      </c>
      <c r="AO60" s="54" t="str">
        <f>IF('⚙ OFF Weekends'!$D$36="OFF","OFF","")</f>
        <v/>
      </c>
      <c r="AP60" s="56" t="str">
        <f>IF('⚙ OFF Weekends'!$D$37="OFF","OFF","")</f>
        <v/>
      </c>
      <c r="AQ60" s="54" t="str">
        <f>IF('⚙ OFF Weekends'!$D$38="OFF","OFF","")</f>
        <v/>
      </c>
      <c r="AR60" s="56" t="str">
        <f>IF('⚙ OFF Weekends'!$D$39="OFF","OFF","")</f>
        <v/>
      </c>
      <c r="AS60" s="54" t="str">
        <f>IF('⚙ OFF Weekends'!$D$40="OFF","OFF","")</f>
        <v/>
      </c>
      <c r="AT60" s="56" t="str">
        <f>IF('⚙ OFF Weekends'!$D$41="OFF","OFF","")</f>
        <v/>
      </c>
      <c r="AU60" s="54" t="str">
        <f>IF('⚙ OFF Weekends'!$D$42="OFF","OFF","")</f>
        <v/>
      </c>
      <c r="AV60" s="56" t="str">
        <f>IF('⚙ OFF Weekends'!$D$43="OFF","OFF","")</f>
        <v/>
      </c>
      <c r="AW60" s="54" t="str">
        <f>IF('⚙ OFF Weekends'!$D$44="OFF","OFF","")</f>
        <v/>
      </c>
      <c r="AX60" s="56" t="str">
        <f>IF('⚙ OFF Weekends'!$D$45="OFF","OFF","")</f>
        <v/>
      </c>
      <c r="AY60" s="54" t="str">
        <f>IF('⚙ OFF Weekends'!$D$46="OFF","OFF","")</f>
        <v/>
      </c>
      <c r="AZ60" s="56" t="str">
        <f>IF('⚙ OFF Weekends'!$D$47="OFF","OFF","")</f>
        <v/>
      </c>
      <c r="BA60" s="54" t="str">
        <f>IF('⚙ OFF Weekends'!$D$48="OFF","OFF","")</f>
        <v/>
      </c>
      <c r="BB60" s="56" t="str">
        <f>IF('⚙ OFF Weekends'!$D$49="OFF","OFF","")</f>
        <v/>
      </c>
      <c r="BC60" s="54" t="str">
        <f>IF('⚙ OFF Weekends'!$D$50="OFF","OFF","")</f>
        <v/>
      </c>
      <c r="BD60" s="56" t="str">
        <f>IF('⚙ OFF Weekends'!$D$51="OFF","OFF","")</f>
        <v/>
      </c>
      <c r="BE60" s="54" t="str">
        <f>IF('⚙ OFF Weekends'!$D$52="OFF","OFF","")</f>
        <v/>
      </c>
      <c r="BF60" s="56" t="str">
        <f>IF('⚙ OFF Weekends'!$D$53="OFF","OFF","")</f>
        <v/>
      </c>
      <c r="BG60" s="54" t="str">
        <f>IF('⚙ OFF Weekends'!$D$54="OFF","OFF","")</f>
        <v/>
      </c>
      <c r="BH60" s="56" t="str">
        <f>IF('⚙ OFF Weekends'!$D$55="OFF","OFF","")</f>
        <v/>
      </c>
      <c r="BI60" s="54" t="str">
        <f>IF('⚙ OFF Weekends'!$D$56="OFF","OFF","")</f>
        <v/>
      </c>
      <c r="BJ60" s="56" t="str">
        <f>IF('⚙ OFF Weekends'!$D$57="OFF","OFF","")</f>
        <v/>
      </c>
      <c r="BK60" s="54" t="str">
        <f>IF('⚙ OFF Weekends'!$D$58="OFF","OFF","")</f>
        <v/>
      </c>
      <c r="BL60" s="56" t="str">
        <f>IF('⚙ OFF Weekends'!$D$59="OFF","OFF","")</f>
        <v/>
      </c>
      <c r="BM60" s="54" t="str">
        <f>IF('⚙ OFF Weekends'!$D$60="OFF","OFF","")</f>
        <v/>
      </c>
      <c r="BN60" s="56" t="str">
        <f>IF('⚙ OFF Weekends'!$D$61="OFF","OFF","")</f>
        <v/>
      </c>
      <c r="BO60" s="54" t="str">
        <f>IF('⚙ OFF Weekends'!$D$62="OFF","OFF","")</f>
        <v/>
      </c>
      <c r="BP60" s="56" t="str">
        <f>IF('⚙ OFF Weekends'!$D$63="OFF","OFF","")</f>
        <v/>
      </c>
      <c r="BQ60" s="54" t="str">
        <f>IF('⚙ OFF Weekends'!$D$64="OFF","OFF","")</f>
        <v/>
      </c>
      <c r="BR60" s="56" t="str">
        <f>IF('⚙ OFF Weekends'!$D$65="OFF","OFF","")</f>
        <v/>
      </c>
      <c r="BS60" s="54" t="str">
        <f>IF('⚙ OFF Weekends'!$D$66="OFF","OFF","")</f>
        <v/>
      </c>
      <c r="BT60" s="56" t="str">
        <f>IF('⚙ OFF Weekends'!$D$67="OFF","OFF","")</f>
        <v/>
      </c>
      <c r="BU60" s="54" t="str">
        <f>IF('⚙ OFF Weekends'!$D$68="OFF","OFF","")</f>
        <v/>
      </c>
      <c r="BV60" s="56" t="str">
        <f>IF('⚙ OFF Weekends'!$D$69="OFF","OFF","")</f>
        <v/>
      </c>
      <c r="BW60" s="54" t="str">
        <f>IF('⚙ OFF Weekends'!$D$70="OFF","OFF","")</f>
        <v/>
      </c>
      <c r="BX60" s="56" t="str">
        <f>IF('⚙ OFF Weekends'!$D$71="OFF","OFF","")</f>
        <v/>
      </c>
      <c r="BY60" s="54" t="str">
        <f>IF('⚙ OFF Weekends'!$D$72="OFF","OFF","")</f>
        <v/>
      </c>
      <c r="BZ60" s="56" t="str">
        <f>IF('⚙ OFF Weekends'!$D$73="OFF","OFF","")</f>
        <v/>
      </c>
      <c r="CA60" s="54" t="str">
        <f>IF('⚙ OFF Weekends'!$D$74="OFF","OFF","")</f>
        <v/>
      </c>
      <c r="CB60" s="56" t="str">
        <f>IF('⚙ OFF Weekends'!$D$75="OFF","OFF","")</f>
        <v/>
      </c>
      <c r="CC60" s="54" t="str">
        <f>IF('⚙ OFF Weekends'!$D$76="OFF","OFF","")</f>
        <v/>
      </c>
      <c r="CD60" s="56" t="str">
        <f>IF('⚙ OFF Weekends'!$D$77="OFF","OFF","")</f>
        <v/>
      </c>
      <c r="CE60" s="96">
        <f t="shared" si="15"/>
        <v>6</v>
      </c>
      <c r="CF60" s="96">
        <f t="shared" si="16"/>
        <v>6</v>
      </c>
      <c r="CG60" s="96">
        <f t="shared" si="17"/>
        <v>5</v>
      </c>
      <c r="CH60" s="96" t="str">
        <f t="shared" si="18"/>
        <v>50%</v>
      </c>
    </row>
    <row r="61" ht="18.0" customHeight="1">
      <c r="A61" s="95">
        <v>13.0</v>
      </c>
      <c r="B61" s="12" t="s">
        <v>905</v>
      </c>
      <c r="C61" s="14" t="s">
        <v>906</v>
      </c>
      <c r="D61" s="17" t="str">
        <f t="shared" si="13"/>
        <v>📞 Call</v>
      </c>
      <c r="E61" s="19" t="str">
        <f t="shared" si="14"/>
        <v>💬 WhatsApp</v>
      </c>
      <c r="F61" s="10" t="s">
        <v>423</v>
      </c>
      <c r="G61" s="10"/>
      <c r="H61" s="10" t="s">
        <v>907</v>
      </c>
      <c r="I61" s="48" t="s">
        <v>196</v>
      </c>
      <c r="J61" s="50" t="s">
        <v>37</v>
      </c>
      <c r="K61" s="49" t="s">
        <v>197</v>
      </c>
      <c r="L61" s="77" t="s">
        <v>198</v>
      </c>
      <c r="M61" s="50" t="s">
        <v>37</v>
      </c>
      <c r="N61" s="48" t="s">
        <v>196</v>
      </c>
      <c r="O61" s="79" t="s">
        <v>223</v>
      </c>
      <c r="P61" s="48" t="s">
        <v>196</v>
      </c>
      <c r="Q61" s="48" t="s">
        <v>196</v>
      </c>
      <c r="R61" s="77" t="s">
        <v>198</v>
      </c>
      <c r="S61" s="52" t="s">
        <v>37</v>
      </c>
      <c r="T61" s="53" t="s">
        <v>196</v>
      </c>
      <c r="U61" s="52" t="s">
        <v>198</v>
      </c>
      <c r="V61" s="53" t="s">
        <v>198</v>
      </c>
      <c r="W61" s="52" t="s">
        <v>348</v>
      </c>
      <c r="X61" s="53" t="s">
        <v>37</v>
      </c>
      <c r="Y61" s="52" t="s">
        <v>196</v>
      </c>
      <c r="Z61" s="53" t="s">
        <v>198</v>
      </c>
      <c r="AA61" s="54" t="str">
        <f>IF('⚙ OFF Weekends'!$D$22="OFF","OFF","")</f>
        <v/>
      </c>
      <c r="AB61" s="56" t="str">
        <f>IF('⚙ OFF Weekends'!$D$23="OFF","OFF","")</f>
        <v/>
      </c>
      <c r="AC61" s="54" t="str">
        <f>IF('⚙ OFF Weekends'!$D$24="OFF","OFF","")</f>
        <v/>
      </c>
      <c r="AD61" s="56" t="str">
        <f>IF('⚙ OFF Weekends'!$D$25="OFF","OFF","")</f>
        <v/>
      </c>
      <c r="AE61" s="54" t="str">
        <f>IF('⚙ OFF Weekends'!$D$26="OFF","OFF","")</f>
        <v/>
      </c>
      <c r="AF61" s="56" t="str">
        <f>IF('⚙ OFF Weekends'!$D$27="OFF","OFF","")</f>
        <v/>
      </c>
      <c r="AG61" s="54" t="str">
        <f>IF('⚙ OFF Weekends'!$D$28="OFF","OFF","")</f>
        <v/>
      </c>
      <c r="AH61" s="56" t="str">
        <f>IF('⚙ OFF Weekends'!$D$29="OFF","OFF","")</f>
        <v/>
      </c>
      <c r="AI61" s="54" t="str">
        <f>IF('⚙ OFF Weekends'!$D$30="OFF","OFF","")</f>
        <v/>
      </c>
      <c r="AJ61" s="56" t="str">
        <f>IF('⚙ OFF Weekends'!$D$31="OFF","OFF","")</f>
        <v/>
      </c>
      <c r="AK61" s="54" t="str">
        <f>IF('⚙ OFF Weekends'!$D$32="OFF","OFF","")</f>
        <v/>
      </c>
      <c r="AL61" s="56" t="str">
        <f>IF('⚙ OFF Weekends'!$D$33="OFF","OFF","")</f>
        <v/>
      </c>
      <c r="AM61" s="54" t="str">
        <f>IF('⚙ OFF Weekends'!$D$34="OFF","OFF","")</f>
        <v/>
      </c>
      <c r="AN61" s="56" t="str">
        <f>IF('⚙ OFF Weekends'!$D$35="OFF","OFF","")</f>
        <v/>
      </c>
      <c r="AO61" s="54" t="str">
        <f>IF('⚙ OFF Weekends'!$D$36="OFF","OFF","")</f>
        <v/>
      </c>
      <c r="AP61" s="56" t="str">
        <f>IF('⚙ OFF Weekends'!$D$37="OFF","OFF","")</f>
        <v/>
      </c>
      <c r="AQ61" s="54" t="str">
        <f>IF('⚙ OFF Weekends'!$D$38="OFF","OFF","")</f>
        <v/>
      </c>
      <c r="AR61" s="56" t="str">
        <f>IF('⚙ OFF Weekends'!$D$39="OFF","OFF","")</f>
        <v/>
      </c>
      <c r="AS61" s="54" t="str">
        <f>IF('⚙ OFF Weekends'!$D$40="OFF","OFF","")</f>
        <v/>
      </c>
      <c r="AT61" s="56" t="str">
        <f>IF('⚙ OFF Weekends'!$D$41="OFF","OFF","")</f>
        <v/>
      </c>
      <c r="AU61" s="54" t="str">
        <f>IF('⚙ OFF Weekends'!$D$42="OFF","OFF","")</f>
        <v/>
      </c>
      <c r="AV61" s="56" t="str">
        <f>IF('⚙ OFF Weekends'!$D$43="OFF","OFF","")</f>
        <v/>
      </c>
      <c r="AW61" s="54" t="str">
        <f>IF('⚙ OFF Weekends'!$D$44="OFF","OFF","")</f>
        <v/>
      </c>
      <c r="AX61" s="56" t="str">
        <f>IF('⚙ OFF Weekends'!$D$45="OFF","OFF","")</f>
        <v/>
      </c>
      <c r="AY61" s="54" t="str">
        <f>IF('⚙ OFF Weekends'!$D$46="OFF","OFF","")</f>
        <v/>
      </c>
      <c r="AZ61" s="56" t="str">
        <f>IF('⚙ OFF Weekends'!$D$47="OFF","OFF","")</f>
        <v/>
      </c>
      <c r="BA61" s="54" t="str">
        <f>IF('⚙ OFF Weekends'!$D$48="OFF","OFF","")</f>
        <v/>
      </c>
      <c r="BB61" s="56" t="str">
        <f>IF('⚙ OFF Weekends'!$D$49="OFF","OFF","")</f>
        <v/>
      </c>
      <c r="BC61" s="54" t="str">
        <f>IF('⚙ OFF Weekends'!$D$50="OFF","OFF","")</f>
        <v/>
      </c>
      <c r="BD61" s="56" t="str">
        <f>IF('⚙ OFF Weekends'!$D$51="OFF","OFF","")</f>
        <v/>
      </c>
      <c r="BE61" s="54" t="str">
        <f>IF('⚙ OFF Weekends'!$D$52="OFF","OFF","")</f>
        <v/>
      </c>
      <c r="BF61" s="56" t="str">
        <f>IF('⚙ OFF Weekends'!$D$53="OFF","OFF","")</f>
        <v/>
      </c>
      <c r="BG61" s="54" t="str">
        <f>IF('⚙ OFF Weekends'!$D$54="OFF","OFF","")</f>
        <v/>
      </c>
      <c r="BH61" s="56" t="str">
        <f>IF('⚙ OFF Weekends'!$D$55="OFF","OFF","")</f>
        <v/>
      </c>
      <c r="BI61" s="54" t="str">
        <f>IF('⚙ OFF Weekends'!$D$56="OFF","OFF","")</f>
        <v/>
      </c>
      <c r="BJ61" s="56" t="str">
        <f>IF('⚙ OFF Weekends'!$D$57="OFF","OFF","")</f>
        <v/>
      </c>
      <c r="BK61" s="54" t="str">
        <f>IF('⚙ OFF Weekends'!$D$58="OFF","OFF","")</f>
        <v/>
      </c>
      <c r="BL61" s="56" t="str">
        <f>IF('⚙ OFF Weekends'!$D$59="OFF","OFF","")</f>
        <v/>
      </c>
      <c r="BM61" s="54" t="str">
        <f>IF('⚙ OFF Weekends'!$D$60="OFF","OFF","")</f>
        <v/>
      </c>
      <c r="BN61" s="56" t="str">
        <f>IF('⚙ OFF Weekends'!$D$61="OFF","OFF","")</f>
        <v/>
      </c>
      <c r="BO61" s="54" t="str">
        <f>IF('⚙ OFF Weekends'!$D$62="OFF","OFF","")</f>
        <v/>
      </c>
      <c r="BP61" s="56" t="str">
        <f>IF('⚙ OFF Weekends'!$D$63="OFF","OFF","")</f>
        <v/>
      </c>
      <c r="BQ61" s="54" t="str">
        <f>IF('⚙ OFF Weekends'!$D$64="OFF","OFF","")</f>
        <v/>
      </c>
      <c r="BR61" s="56" t="str">
        <f>IF('⚙ OFF Weekends'!$D$65="OFF","OFF","")</f>
        <v/>
      </c>
      <c r="BS61" s="54" t="str">
        <f>IF('⚙ OFF Weekends'!$D$66="OFF","OFF","")</f>
        <v/>
      </c>
      <c r="BT61" s="56" t="str">
        <f>IF('⚙ OFF Weekends'!$D$67="OFF","OFF","")</f>
        <v/>
      </c>
      <c r="BU61" s="54" t="str">
        <f>IF('⚙ OFF Weekends'!$D$68="OFF","OFF","")</f>
        <v/>
      </c>
      <c r="BV61" s="56" t="str">
        <f>IF('⚙ OFF Weekends'!$D$69="OFF","OFF","")</f>
        <v/>
      </c>
      <c r="BW61" s="54" t="str">
        <f>IF('⚙ OFF Weekends'!$D$70="OFF","OFF","")</f>
        <v/>
      </c>
      <c r="BX61" s="56" t="str">
        <f>IF('⚙ OFF Weekends'!$D$71="OFF","OFF","")</f>
        <v/>
      </c>
      <c r="BY61" s="54" t="str">
        <f>IF('⚙ OFF Weekends'!$D$72="OFF","OFF","")</f>
        <v/>
      </c>
      <c r="BZ61" s="56" t="str">
        <f>IF('⚙ OFF Weekends'!$D$73="OFF","OFF","")</f>
        <v/>
      </c>
      <c r="CA61" s="54" t="str">
        <f>IF('⚙ OFF Weekends'!$D$74="OFF","OFF","")</f>
        <v/>
      </c>
      <c r="CB61" s="56" t="str">
        <f>IF('⚙ OFF Weekends'!$D$75="OFF","OFF","")</f>
        <v/>
      </c>
      <c r="CC61" s="54" t="str">
        <f>IF('⚙ OFF Weekends'!$D$76="OFF","OFF","")</f>
        <v/>
      </c>
      <c r="CD61" s="56" t="str">
        <f>IF('⚙ OFF Weekends'!$D$77="OFF","OFF","")</f>
        <v/>
      </c>
      <c r="CE61" s="95">
        <f t="shared" si="15"/>
        <v>10</v>
      </c>
      <c r="CF61" s="95">
        <f t="shared" si="16"/>
        <v>1</v>
      </c>
      <c r="CG61" s="95">
        <f t="shared" si="17"/>
        <v>5</v>
      </c>
      <c r="CH61" s="95" t="str">
        <f t="shared" si="18"/>
        <v>91%</v>
      </c>
    </row>
    <row r="62" ht="18.0" customHeight="1">
      <c r="A62" s="96">
        <v>14.0</v>
      </c>
      <c r="B62" s="22" t="s">
        <v>909</v>
      </c>
      <c r="C62" s="23"/>
      <c r="D62" s="24" t="str">
        <f t="shared" si="13"/>
        <v/>
      </c>
      <c r="E62" s="26" t="str">
        <f t="shared" si="14"/>
        <v/>
      </c>
      <c r="F62" s="20"/>
      <c r="G62" s="20"/>
      <c r="H62" s="20" t="s">
        <v>817</v>
      </c>
      <c r="I62" s="102" t="s">
        <v>348</v>
      </c>
      <c r="J62" s="102" t="s">
        <v>348</v>
      </c>
      <c r="K62" s="49" t="s">
        <v>197</v>
      </c>
      <c r="L62" s="102" t="s">
        <v>348</v>
      </c>
      <c r="M62" s="48" t="s">
        <v>196</v>
      </c>
      <c r="N62" s="48" t="s">
        <v>196</v>
      </c>
      <c r="O62" s="50" t="s">
        <v>37</v>
      </c>
      <c r="P62" s="50" t="s">
        <v>37</v>
      </c>
      <c r="Q62" s="50" t="s">
        <v>37</v>
      </c>
      <c r="R62" s="50" t="s">
        <v>37</v>
      </c>
      <c r="S62" s="52" t="s">
        <v>37</v>
      </c>
      <c r="T62" s="53" t="s">
        <v>223</v>
      </c>
      <c r="U62" s="52" t="s">
        <v>223</v>
      </c>
      <c r="V62" s="53" t="s">
        <v>223</v>
      </c>
      <c r="W62" s="52" t="s">
        <v>348</v>
      </c>
      <c r="X62" s="53" t="s">
        <v>37</v>
      </c>
      <c r="Y62" s="52" t="s">
        <v>223</v>
      </c>
      <c r="Z62" s="53" t="s">
        <v>223</v>
      </c>
      <c r="AA62" s="54" t="str">
        <f>IF('⚙ OFF Weekends'!$D$22="OFF","OFF","")</f>
        <v/>
      </c>
      <c r="AB62" s="56" t="str">
        <f>IF('⚙ OFF Weekends'!$D$23="OFF","OFF","")</f>
        <v/>
      </c>
      <c r="AC62" s="54" t="str">
        <f>IF('⚙ OFF Weekends'!$D$24="OFF","OFF","")</f>
        <v/>
      </c>
      <c r="AD62" s="56" t="str">
        <f>IF('⚙ OFF Weekends'!$D$25="OFF","OFF","")</f>
        <v/>
      </c>
      <c r="AE62" s="54" t="str">
        <f>IF('⚙ OFF Weekends'!$D$26="OFF","OFF","")</f>
        <v/>
      </c>
      <c r="AF62" s="56" t="str">
        <f>IF('⚙ OFF Weekends'!$D$27="OFF","OFF","")</f>
        <v/>
      </c>
      <c r="AG62" s="54" t="str">
        <f>IF('⚙ OFF Weekends'!$D$28="OFF","OFF","")</f>
        <v/>
      </c>
      <c r="AH62" s="56" t="str">
        <f>IF('⚙ OFF Weekends'!$D$29="OFF","OFF","")</f>
        <v/>
      </c>
      <c r="AI62" s="54" t="str">
        <f>IF('⚙ OFF Weekends'!$D$30="OFF","OFF","")</f>
        <v/>
      </c>
      <c r="AJ62" s="56" t="str">
        <f>IF('⚙ OFF Weekends'!$D$31="OFF","OFF","")</f>
        <v/>
      </c>
      <c r="AK62" s="54" t="str">
        <f>IF('⚙ OFF Weekends'!$D$32="OFF","OFF","")</f>
        <v/>
      </c>
      <c r="AL62" s="56" t="str">
        <f>IF('⚙ OFF Weekends'!$D$33="OFF","OFF","")</f>
        <v/>
      </c>
      <c r="AM62" s="54" t="str">
        <f>IF('⚙ OFF Weekends'!$D$34="OFF","OFF","")</f>
        <v/>
      </c>
      <c r="AN62" s="56" t="str">
        <f>IF('⚙ OFF Weekends'!$D$35="OFF","OFF","")</f>
        <v/>
      </c>
      <c r="AO62" s="54" t="str">
        <f>IF('⚙ OFF Weekends'!$D$36="OFF","OFF","")</f>
        <v/>
      </c>
      <c r="AP62" s="56" t="str">
        <f>IF('⚙ OFF Weekends'!$D$37="OFF","OFF","")</f>
        <v/>
      </c>
      <c r="AQ62" s="54" t="str">
        <f>IF('⚙ OFF Weekends'!$D$38="OFF","OFF","")</f>
        <v/>
      </c>
      <c r="AR62" s="56" t="str">
        <f>IF('⚙ OFF Weekends'!$D$39="OFF","OFF","")</f>
        <v/>
      </c>
      <c r="AS62" s="54" t="str">
        <f>IF('⚙ OFF Weekends'!$D$40="OFF","OFF","")</f>
        <v/>
      </c>
      <c r="AT62" s="56" t="str">
        <f>IF('⚙ OFF Weekends'!$D$41="OFF","OFF","")</f>
        <v/>
      </c>
      <c r="AU62" s="54" t="str">
        <f>IF('⚙ OFF Weekends'!$D$42="OFF","OFF","")</f>
        <v/>
      </c>
      <c r="AV62" s="56" t="str">
        <f>IF('⚙ OFF Weekends'!$D$43="OFF","OFF","")</f>
        <v/>
      </c>
      <c r="AW62" s="54" t="str">
        <f>IF('⚙ OFF Weekends'!$D$44="OFF","OFF","")</f>
        <v/>
      </c>
      <c r="AX62" s="56" t="str">
        <f>IF('⚙ OFF Weekends'!$D$45="OFF","OFF","")</f>
        <v/>
      </c>
      <c r="AY62" s="54" t="str">
        <f>IF('⚙ OFF Weekends'!$D$46="OFF","OFF","")</f>
        <v/>
      </c>
      <c r="AZ62" s="56" t="str">
        <f>IF('⚙ OFF Weekends'!$D$47="OFF","OFF","")</f>
        <v/>
      </c>
      <c r="BA62" s="54" t="str">
        <f>IF('⚙ OFF Weekends'!$D$48="OFF","OFF","")</f>
        <v/>
      </c>
      <c r="BB62" s="56" t="str">
        <f>IF('⚙ OFF Weekends'!$D$49="OFF","OFF","")</f>
        <v/>
      </c>
      <c r="BC62" s="54" t="str">
        <f>IF('⚙ OFF Weekends'!$D$50="OFF","OFF","")</f>
        <v/>
      </c>
      <c r="BD62" s="56" t="str">
        <f>IF('⚙ OFF Weekends'!$D$51="OFF","OFF","")</f>
        <v/>
      </c>
      <c r="BE62" s="54" t="str">
        <f>IF('⚙ OFF Weekends'!$D$52="OFF","OFF","")</f>
        <v/>
      </c>
      <c r="BF62" s="56" t="str">
        <f>IF('⚙ OFF Weekends'!$D$53="OFF","OFF","")</f>
        <v/>
      </c>
      <c r="BG62" s="54" t="str">
        <f>IF('⚙ OFF Weekends'!$D$54="OFF","OFF","")</f>
        <v/>
      </c>
      <c r="BH62" s="56" t="str">
        <f>IF('⚙ OFF Weekends'!$D$55="OFF","OFF","")</f>
        <v/>
      </c>
      <c r="BI62" s="54" t="str">
        <f>IF('⚙ OFF Weekends'!$D$56="OFF","OFF","")</f>
        <v/>
      </c>
      <c r="BJ62" s="56" t="str">
        <f>IF('⚙ OFF Weekends'!$D$57="OFF","OFF","")</f>
        <v/>
      </c>
      <c r="BK62" s="54" t="str">
        <f>IF('⚙ OFF Weekends'!$D$58="OFF","OFF","")</f>
        <v/>
      </c>
      <c r="BL62" s="56" t="str">
        <f>IF('⚙ OFF Weekends'!$D$59="OFF","OFF","")</f>
        <v/>
      </c>
      <c r="BM62" s="54" t="str">
        <f>IF('⚙ OFF Weekends'!$D$60="OFF","OFF","")</f>
        <v/>
      </c>
      <c r="BN62" s="56" t="str">
        <f>IF('⚙ OFF Weekends'!$D$61="OFF","OFF","")</f>
        <v/>
      </c>
      <c r="BO62" s="54" t="str">
        <f>IF('⚙ OFF Weekends'!$D$62="OFF","OFF","")</f>
        <v/>
      </c>
      <c r="BP62" s="56" t="str">
        <f>IF('⚙ OFF Weekends'!$D$63="OFF","OFF","")</f>
        <v/>
      </c>
      <c r="BQ62" s="54" t="str">
        <f>IF('⚙ OFF Weekends'!$D$64="OFF","OFF","")</f>
        <v/>
      </c>
      <c r="BR62" s="56" t="str">
        <f>IF('⚙ OFF Weekends'!$D$65="OFF","OFF","")</f>
        <v/>
      </c>
      <c r="BS62" s="54" t="str">
        <f>IF('⚙ OFF Weekends'!$D$66="OFF","OFF","")</f>
        <v/>
      </c>
      <c r="BT62" s="56" t="str">
        <f>IF('⚙ OFF Weekends'!$D$67="OFF","OFF","")</f>
        <v/>
      </c>
      <c r="BU62" s="54" t="str">
        <f>IF('⚙ OFF Weekends'!$D$68="OFF","OFF","")</f>
        <v/>
      </c>
      <c r="BV62" s="56" t="str">
        <f>IF('⚙ OFF Weekends'!$D$69="OFF","OFF","")</f>
        <v/>
      </c>
      <c r="BW62" s="54" t="str">
        <f>IF('⚙ OFF Weekends'!$D$70="OFF","OFF","")</f>
        <v/>
      </c>
      <c r="BX62" s="56" t="str">
        <f>IF('⚙ OFF Weekends'!$D$71="OFF","OFF","")</f>
        <v/>
      </c>
      <c r="BY62" s="54" t="str">
        <f>IF('⚙ OFF Weekends'!$D$72="OFF","OFF","")</f>
        <v/>
      </c>
      <c r="BZ62" s="56" t="str">
        <f>IF('⚙ OFF Weekends'!$D$73="OFF","OFF","")</f>
        <v/>
      </c>
      <c r="CA62" s="54" t="str">
        <f>IF('⚙ OFF Weekends'!$D$74="OFF","OFF","")</f>
        <v/>
      </c>
      <c r="CB62" s="56" t="str">
        <f>IF('⚙ OFF Weekends'!$D$75="OFF","OFF","")</f>
        <v/>
      </c>
      <c r="CC62" s="54" t="str">
        <f>IF('⚙ OFF Weekends'!$D$76="OFF","OFF","")</f>
        <v/>
      </c>
      <c r="CD62" s="56" t="str">
        <f>IF('⚙ OFF Weekends'!$D$77="OFF","OFF","")</f>
        <v/>
      </c>
      <c r="CE62" s="96">
        <f t="shared" si="15"/>
        <v>8</v>
      </c>
      <c r="CF62" s="96">
        <f t="shared" si="16"/>
        <v>5</v>
      </c>
      <c r="CG62" s="96">
        <f t="shared" si="17"/>
        <v>0</v>
      </c>
      <c r="CH62" s="96" t="str">
        <f t="shared" si="18"/>
        <v>62%</v>
      </c>
    </row>
    <row r="63" ht="18.0" customHeight="1">
      <c r="A63" s="95">
        <v>15.0</v>
      </c>
      <c r="B63" s="12" t="s">
        <v>911</v>
      </c>
      <c r="C63" s="14" t="s">
        <v>912</v>
      </c>
      <c r="D63" s="17" t="str">
        <f t="shared" si="13"/>
        <v>📞 Call</v>
      </c>
      <c r="E63" s="19" t="str">
        <f t="shared" si="14"/>
        <v>💬 WhatsApp</v>
      </c>
      <c r="F63" s="10"/>
      <c r="G63" s="10" t="s">
        <v>584</v>
      </c>
      <c r="H63" s="10" t="s">
        <v>295</v>
      </c>
      <c r="I63" s="48" t="s">
        <v>196</v>
      </c>
      <c r="J63" s="50" t="s">
        <v>37</v>
      </c>
      <c r="K63" s="49" t="s">
        <v>197</v>
      </c>
      <c r="L63" s="50" t="s">
        <v>37</v>
      </c>
      <c r="M63" s="48" t="s">
        <v>196</v>
      </c>
      <c r="N63" s="50" t="s">
        <v>37</v>
      </c>
      <c r="O63" s="77" t="s">
        <v>198</v>
      </c>
      <c r="P63" s="77" t="s">
        <v>198</v>
      </c>
      <c r="Q63" s="48" t="s">
        <v>196</v>
      </c>
      <c r="R63" s="48" t="s">
        <v>196</v>
      </c>
      <c r="S63" s="52" t="s">
        <v>196</v>
      </c>
      <c r="T63" s="53" t="s">
        <v>196</v>
      </c>
      <c r="U63" s="52" t="s">
        <v>196</v>
      </c>
      <c r="V63" s="53" t="s">
        <v>196</v>
      </c>
      <c r="W63" s="52" t="s">
        <v>348</v>
      </c>
      <c r="X63" s="53" t="s">
        <v>196</v>
      </c>
      <c r="Y63" s="52" t="s">
        <v>37</v>
      </c>
      <c r="Z63" s="53" t="s">
        <v>196</v>
      </c>
      <c r="AA63" s="52" t="s">
        <v>196</v>
      </c>
      <c r="AB63" s="53" t="s">
        <v>196</v>
      </c>
      <c r="AC63" s="54" t="str">
        <f>IF('⚙ OFF Weekends'!$D$24="OFF","OFF","")</f>
        <v/>
      </c>
      <c r="AD63" s="56" t="str">
        <f>IF('⚙ OFF Weekends'!$D$25="OFF","OFF","")</f>
        <v/>
      </c>
      <c r="AE63" s="54" t="str">
        <f>IF('⚙ OFF Weekends'!$D$26="OFF","OFF","")</f>
        <v/>
      </c>
      <c r="AF63" s="56" t="str">
        <f>IF('⚙ OFF Weekends'!$D$27="OFF","OFF","")</f>
        <v/>
      </c>
      <c r="AG63" s="54" t="str">
        <f>IF('⚙ OFF Weekends'!$D$28="OFF","OFF","")</f>
        <v/>
      </c>
      <c r="AH63" s="56" t="str">
        <f>IF('⚙ OFF Weekends'!$D$29="OFF","OFF","")</f>
        <v/>
      </c>
      <c r="AI63" s="54" t="str">
        <f>IF('⚙ OFF Weekends'!$D$30="OFF","OFF","")</f>
        <v/>
      </c>
      <c r="AJ63" s="56" t="str">
        <f>IF('⚙ OFF Weekends'!$D$31="OFF","OFF","")</f>
        <v/>
      </c>
      <c r="AK63" s="54" t="str">
        <f>IF('⚙ OFF Weekends'!$D$32="OFF","OFF","")</f>
        <v/>
      </c>
      <c r="AL63" s="56" t="str">
        <f>IF('⚙ OFF Weekends'!$D$33="OFF","OFF","")</f>
        <v/>
      </c>
      <c r="AM63" s="54" t="str">
        <f>IF('⚙ OFF Weekends'!$D$34="OFF","OFF","")</f>
        <v/>
      </c>
      <c r="AN63" s="56" t="str">
        <f>IF('⚙ OFF Weekends'!$D$35="OFF","OFF","")</f>
        <v/>
      </c>
      <c r="AO63" s="54" t="str">
        <f>IF('⚙ OFF Weekends'!$D$36="OFF","OFF","")</f>
        <v/>
      </c>
      <c r="AP63" s="56" t="str">
        <f>IF('⚙ OFF Weekends'!$D$37="OFF","OFF","")</f>
        <v/>
      </c>
      <c r="AQ63" s="54" t="str">
        <f>IF('⚙ OFF Weekends'!$D$38="OFF","OFF","")</f>
        <v/>
      </c>
      <c r="AR63" s="56" t="str">
        <f>IF('⚙ OFF Weekends'!$D$39="OFF","OFF","")</f>
        <v/>
      </c>
      <c r="AS63" s="54" t="str">
        <f>IF('⚙ OFF Weekends'!$D$40="OFF","OFF","")</f>
        <v/>
      </c>
      <c r="AT63" s="56" t="str">
        <f>IF('⚙ OFF Weekends'!$D$41="OFF","OFF","")</f>
        <v/>
      </c>
      <c r="AU63" s="54" t="str">
        <f>IF('⚙ OFF Weekends'!$D$42="OFF","OFF","")</f>
        <v/>
      </c>
      <c r="AV63" s="56" t="str">
        <f>IF('⚙ OFF Weekends'!$D$43="OFF","OFF","")</f>
        <v/>
      </c>
      <c r="AW63" s="54" t="str">
        <f>IF('⚙ OFF Weekends'!$D$44="OFF","OFF","")</f>
        <v/>
      </c>
      <c r="AX63" s="56" t="str">
        <f>IF('⚙ OFF Weekends'!$D$45="OFF","OFF","")</f>
        <v/>
      </c>
      <c r="AY63" s="54" t="str">
        <f>IF('⚙ OFF Weekends'!$D$46="OFF","OFF","")</f>
        <v/>
      </c>
      <c r="AZ63" s="56" t="str">
        <f>IF('⚙ OFF Weekends'!$D$47="OFF","OFF","")</f>
        <v/>
      </c>
      <c r="BA63" s="54" t="str">
        <f>IF('⚙ OFF Weekends'!$D$48="OFF","OFF","")</f>
        <v/>
      </c>
      <c r="BB63" s="56" t="str">
        <f>IF('⚙ OFF Weekends'!$D$49="OFF","OFF","")</f>
        <v/>
      </c>
      <c r="BC63" s="54" t="str">
        <f>IF('⚙ OFF Weekends'!$D$50="OFF","OFF","")</f>
        <v/>
      </c>
      <c r="BD63" s="56" t="str">
        <f>IF('⚙ OFF Weekends'!$D$51="OFF","OFF","")</f>
        <v/>
      </c>
      <c r="BE63" s="54" t="str">
        <f>IF('⚙ OFF Weekends'!$D$52="OFF","OFF","")</f>
        <v/>
      </c>
      <c r="BF63" s="56" t="str">
        <f>IF('⚙ OFF Weekends'!$D$53="OFF","OFF","")</f>
        <v/>
      </c>
      <c r="BG63" s="54" t="str">
        <f>IF('⚙ OFF Weekends'!$D$54="OFF","OFF","")</f>
        <v/>
      </c>
      <c r="BH63" s="56" t="str">
        <f>IF('⚙ OFF Weekends'!$D$55="OFF","OFF","")</f>
        <v/>
      </c>
      <c r="BI63" s="54" t="str">
        <f>IF('⚙ OFF Weekends'!$D$56="OFF","OFF","")</f>
        <v/>
      </c>
      <c r="BJ63" s="56" t="str">
        <f>IF('⚙ OFF Weekends'!$D$57="OFF","OFF","")</f>
        <v/>
      </c>
      <c r="BK63" s="54" t="str">
        <f>IF('⚙ OFF Weekends'!$D$58="OFF","OFF","")</f>
        <v/>
      </c>
      <c r="BL63" s="56" t="str">
        <f>IF('⚙ OFF Weekends'!$D$59="OFF","OFF","")</f>
        <v/>
      </c>
      <c r="BM63" s="54" t="str">
        <f>IF('⚙ OFF Weekends'!$D$60="OFF","OFF","")</f>
        <v/>
      </c>
      <c r="BN63" s="56" t="str">
        <f>IF('⚙ OFF Weekends'!$D$61="OFF","OFF","")</f>
        <v/>
      </c>
      <c r="BO63" s="54" t="str">
        <f>IF('⚙ OFF Weekends'!$D$62="OFF","OFF","")</f>
        <v/>
      </c>
      <c r="BP63" s="56" t="str">
        <f>IF('⚙ OFF Weekends'!$D$63="OFF","OFF","")</f>
        <v/>
      </c>
      <c r="BQ63" s="54" t="str">
        <f>IF('⚙ OFF Weekends'!$D$64="OFF","OFF","")</f>
        <v/>
      </c>
      <c r="BR63" s="56" t="str">
        <f>IF('⚙ OFF Weekends'!$D$65="OFF","OFF","")</f>
        <v/>
      </c>
      <c r="BS63" s="54" t="str">
        <f>IF('⚙ OFF Weekends'!$D$66="OFF","OFF","")</f>
        <v/>
      </c>
      <c r="BT63" s="56" t="str">
        <f>IF('⚙ OFF Weekends'!$D$67="OFF","OFF","")</f>
        <v/>
      </c>
      <c r="BU63" s="54" t="str">
        <f>IF('⚙ OFF Weekends'!$D$68="OFF","OFF","")</f>
        <v/>
      </c>
      <c r="BV63" s="56" t="str">
        <f>IF('⚙ OFF Weekends'!$D$69="OFF","OFF","")</f>
        <v/>
      </c>
      <c r="BW63" s="54" t="str">
        <f>IF('⚙ OFF Weekends'!$D$70="OFF","OFF","")</f>
        <v/>
      </c>
      <c r="BX63" s="56" t="str">
        <f>IF('⚙ OFF Weekends'!$D$71="OFF","OFF","")</f>
        <v/>
      </c>
      <c r="BY63" s="54" t="str">
        <f>IF('⚙ OFF Weekends'!$D$72="OFF","OFF","")</f>
        <v/>
      </c>
      <c r="BZ63" s="56" t="str">
        <f>IF('⚙ OFF Weekends'!$D$73="OFF","OFF","")</f>
        <v/>
      </c>
      <c r="CA63" s="54" t="str">
        <f>IF('⚙ OFF Weekends'!$D$74="OFF","OFF","")</f>
        <v/>
      </c>
      <c r="CB63" s="56" t="str">
        <f>IF('⚙ OFF Weekends'!$D$75="OFF","OFF","")</f>
        <v/>
      </c>
      <c r="CC63" s="54" t="str">
        <f>IF('⚙ OFF Weekends'!$D$76="OFF","OFF","")</f>
        <v/>
      </c>
      <c r="CD63" s="56" t="str">
        <f>IF('⚙ OFF Weekends'!$D$77="OFF","OFF","")</f>
        <v/>
      </c>
      <c r="CE63" s="95">
        <f t="shared" si="15"/>
        <v>16</v>
      </c>
      <c r="CF63" s="95">
        <f t="shared" si="16"/>
        <v>0</v>
      </c>
      <c r="CG63" s="95">
        <f t="shared" si="17"/>
        <v>2</v>
      </c>
      <c r="CH63" s="95" t="str">
        <f t="shared" si="18"/>
        <v>100%</v>
      </c>
    </row>
    <row r="64" ht="18.0" customHeight="1">
      <c r="A64" s="96">
        <v>16.0</v>
      </c>
      <c r="B64" s="22" t="s">
        <v>913</v>
      </c>
      <c r="C64" s="23"/>
      <c r="D64" s="24" t="str">
        <f t="shared" si="13"/>
        <v/>
      </c>
      <c r="E64" s="26" t="str">
        <f t="shared" si="14"/>
        <v/>
      </c>
      <c r="F64" s="20"/>
      <c r="G64" s="20"/>
      <c r="H64" s="20"/>
      <c r="I64" s="102" t="s">
        <v>348</v>
      </c>
      <c r="J64" s="102" t="s">
        <v>348</v>
      </c>
      <c r="K64" s="49" t="s">
        <v>197</v>
      </c>
      <c r="L64" s="102" t="s">
        <v>348</v>
      </c>
      <c r="M64" s="102" t="s">
        <v>348</v>
      </c>
      <c r="N64" s="102" t="s">
        <v>348</v>
      </c>
      <c r="O64" s="102" t="s">
        <v>348</v>
      </c>
      <c r="P64" s="48" t="s">
        <v>196</v>
      </c>
      <c r="Q64" s="48" t="s">
        <v>196</v>
      </c>
      <c r="R64" s="79" t="s">
        <v>223</v>
      </c>
      <c r="S64" s="52" t="s">
        <v>223</v>
      </c>
      <c r="T64" s="53" t="s">
        <v>196</v>
      </c>
      <c r="U64" s="52" t="s">
        <v>37</v>
      </c>
      <c r="V64" s="53" t="s">
        <v>196</v>
      </c>
      <c r="W64" s="52" t="s">
        <v>348</v>
      </c>
      <c r="X64" s="53" t="s">
        <v>196</v>
      </c>
      <c r="Y64" s="52" t="s">
        <v>37</v>
      </c>
      <c r="Z64" s="53" t="s">
        <v>198</v>
      </c>
      <c r="AA64" s="52" t="s">
        <v>196</v>
      </c>
      <c r="AB64" s="56" t="str">
        <f>IF('⚙ OFF Weekends'!$D$23="OFF","OFF","")</f>
        <v/>
      </c>
      <c r="AC64" s="54" t="str">
        <f>IF('⚙ OFF Weekends'!$D$24="OFF","OFF","")</f>
        <v/>
      </c>
      <c r="AD64" s="56" t="str">
        <f>IF('⚙ OFF Weekends'!$D$25="OFF","OFF","")</f>
        <v/>
      </c>
      <c r="AE64" s="54" t="str">
        <f>IF('⚙ OFF Weekends'!$D$26="OFF","OFF","")</f>
        <v/>
      </c>
      <c r="AF64" s="56" t="str">
        <f>IF('⚙ OFF Weekends'!$D$27="OFF","OFF","")</f>
        <v/>
      </c>
      <c r="AG64" s="54" t="str">
        <f>IF('⚙ OFF Weekends'!$D$28="OFF","OFF","")</f>
        <v/>
      </c>
      <c r="AH64" s="56" t="str">
        <f>IF('⚙ OFF Weekends'!$D$29="OFF","OFF","")</f>
        <v/>
      </c>
      <c r="AI64" s="54" t="str">
        <f>IF('⚙ OFF Weekends'!$D$30="OFF","OFF","")</f>
        <v/>
      </c>
      <c r="AJ64" s="56" t="str">
        <f>IF('⚙ OFF Weekends'!$D$31="OFF","OFF","")</f>
        <v/>
      </c>
      <c r="AK64" s="54" t="str">
        <f>IF('⚙ OFF Weekends'!$D$32="OFF","OFF","")</f>
        <v/>
      </c>
      <c r="AL64" s="56" t="str">
        <f>IF('⚙ OFF Weekends'!$D$33="OFF","OFF","")</f>
        <v/>
      </c>
      <c r="AM64" s="54" t="str">
        <f>IF('⚙ OFF Weekends'!$D$34="OFF","OFF","")</f>
        <v/>
      </c>
      <c r="AN64" s="56" t="str">
        <f>IF('⚙ OFF Weekends'!$D$35="OFF","OFF","")</f>
        <v/>
      </c>
      <c r="AO64" s="54" t="str">
        <f>IF('⚙ OFF Weekends'!$D$36="OFF","OFF","")</f>
        <v/>
      </c>
      <c r="AP64" s="56" t="str">
        <f>IF('⚙ OFF Weekends'!$D$37="OFF","OFF","")</f>
        <v/>
      </c>
      <c r="AQ64" s="54" t="str">
        <f>IF('⚙ OFF Weekends'!$D$38="OFF","OFF","")</f>
        <v/>
      </c>
      <c r="AR64" s="56" t="str">
        <f>IF('⚙ OFF Weekends'!$D$39="OFF","OFF","")</f>
        <v/>
      </c>
      <c r="AS64" s="54" t="str">
        <f>IF('⚙ OFF Weekends'!$D$40="OFF","OFF","")</f>
        <v/>
      </c>
      <c r="AT64" s="56" t="str">
        <f>IF('⚙ OFF Weekends'!$D$41="OFF","OFF","")</f>
        <v/>
      </c>
      <c r="AU64" s="54" t="str">
        <f>IF('⚙ OFF Weekends'!$D$42="OFF","OFF","")</f>
        <v/>
      </c>
      <c r="AV64" s="56" t="str">
        <f>IF('⚙ OFF Weekends'!$D$43="OFF","OFF","")</f>
        <v/>
      </c>
      <c r="AW64" s="54" t="str">
        <f>IF('⚙ OFF Weekends'!$D$44="OFF","OFF","")</f>
        <v/>
      </c>
      <c r="AX64" s="56" t="str">
        <f>IF('⚙ OFF Weekends'!$D$45="OFF","OFF","")</f>
        <v/>
      </c>
      <c r="AY64" s="54" t="str">
        <f>IF('⚙ OFF Weekends'!$D$46="OFF","OFF","")</f>
        <v/>
      </c>
      <c r="AZ64" s="56" t="str">
        <f>IF('⚙ OFF Weekends'!$D$47="OFF","OFF","")</f>
        <v/>
      </c>
      <c r="BA64" s="54" t="str">
        <f>IF('⚙ OFF Weekends'!$D$48="OFF","OFF","")</f>
        <v/>
      </c>
      <c r="BB64" s="56" t="str">
        <f>IF('⚙ OFF Weekends'!$D$49="OFF","OFF","")</f>
        <v/>
      </c>
      <c r="BC64" s="54" t="str">
        <f>IF('⚙ OFF Weekends'!$D$50="OFF","OFF","")</f>
        <v/>
      </c>
      <c r="BD64" s="56" t="str">
        <f>IF('⚙ OFF Weekends'!$D$51="OFF","OFF","")</f>
        <v/>
      </c>
      <c r="BE64" s="54" t="str">
        <f>IF('⚙ OFF Weekends'!$D$52="OFF","OFF","")</f>
        <v/>
      </c>
      <c r="BF64" s="56" t="str">
        <f>IF('⚙ OFF Weekends'!$D$53="OFF","OFF","")</f>
        <v/>
      </c>
      <c r="BG64" s="54" t="str">
        <f>IF('⚙ OFF Weekends'!$D$54="OFF","OFF","")</f>
        <v/>
      </c>
      <c r="BH64" s="56" t="str">
        <f>IF('⚙ OFF Weekends'!$D$55="OFF","OFF","")</f>
        <v/>
      </c>
      <c r="BI64" s="54" t="str">
        <f>IF('⚙ OFF Weekends'!$D$56="OFF","OFF","")</f>
        <v/>
      </c>
      <c r="BJ64" s="56" t="str">
        <f>IF('⚙ OFF Weekends'!$D$57="OFF","OFF","")</f>
        <v/>
      </c>
      <c r="BK64" s="54" t="str">
        <f>IF('⚙ OFF Weekends'!$D$58="OFF","OFF","")</f>
        <v/>
      </c>
      <c r="BL64" s="56" t="str">
        <f>IF('⚙ OFF Weekends'!$D$59="OFF","OFF","")</f>
        <v/>
      </c>
      <c r="BM64" s="54" t="str">
        <f>IF('⚙ OFF Weekends'!$D$60="OFF","OFF","")</f>
        <v/>
      </c>
      <c r="BN64" s="56" t="str">
        <f>IF('⚙ OFF Weekends'!$D$61="OFF","OFF","")</f>
        <v/>
      </c>
      <c r="BO64" s="54" t="str">
        <f>IF('⚙ OFF Weekends'!$D$62="OFF","OFF","")</f>
        <v/>
      </c>
      <c r="BP64" s="56" t="str">
        <f>IF('⚙ OFF Weekends'!$D$63="OFF","OFF","")</f>
        <v/>
      </c>
      <c r="BQ64" s="54" t="str">
        <f>IF('⚙ OFF Weekends'!$D$64="OFF","OFF","")</f>
        <v/>
      </c>
      <c r="BR64" s="56" t="str">
        <f>IF('⚙ OFF Weekends'!$D$65="OFF","OFF","")</f>
        <v/>
      </c>
      <c r="BS64" s="54" t="str">
        <f>IF('⚙ OFF Weekends'!$D$66="OFF","OFF","")</f>
        <v/>
      </c>
      <c r="BT64" s="56" t="str">
        <f>IF('⚙ OFF Weekends'!$D$67="OFF","OFF","")</f>
        <v/>
      </c>
      <c r="BU64" s="54" t="str">
        <f>IF('⚙ OFF Weekends'!$D$68="OFF","OFF","")</f>
        <v/>
      </c>
      <c r="BV64" s="56" t="str">
        <f>IF('⚙ OFF Weekends'!$D$69="OFF","OFF","")</f>
        <v/>
      </c>
      <c r="BW64" s="54" t="str">
        <f>IF('⚙ OFF Weekends'!$D$70="OFF","OFF","")</f>
        <v/>
      </c>
      <c r="BX64" s="56" t="str">
        <f>IF('⚙ OFF Weekends'!$D$71="OFF","OFF","")</f>
        <v/>
      </c>
      <c r="BY64" s="54" t="str">
        <f>IF('⚙ OFF Weekends'!$D$72="OFF","OFF","")</f>
        <v/>
      </c>
      <c r="BZ64" s="56" t="str">
        <f>IF('⚙ OFF Weekends'!$D$73="OFF","OFF","")</f>
        <v/>
      </c>
      <c r="CA64" s="54" t="str">
        <f>IF('⚙ OFF Weekends'!$D$74="OFF","OFF","")</f>
        <v/>
      </c>
      <c r="CB64" s="56" t="str">
        <f>IF('⚙ OFF Weekends'!$D$75="OFF","OFF","")</f>
        <v/>
      </c>
      <c r="CC64" s="54" t="str">
        <f>IF('⚙ OFF Weekends'!$D$76="OFF","OFF","")</f>
        <v/>
      </c>
      <c r="CD64" s="56" t="str">
        <f>IF('⚙ OFF Weekends'!$D$77="OFF","OFF","")</f>
        <v/>
      </c>
      <c r="CE64" s="96">
        <f t="shared" si="15"/>
        <v>8</v>
      </c>
      <c r="CF64" s="96">
        <f t="shared" si="16"/>
        <v>2</v>
      </c>
      <c r="CG64" s="96">
        <f t="shared" si="17"/>
        <v>1</v>
      </c>
      <c r="CH64" s="96" t="str">
        <f t="shared" si="18"/>
        <v>80%</v>
      </c>
    </row>
    <row r="65" ht="18.0" customHeight="1">
      <c r="A65" s="95">
        <v>17.0</v>
      </c>
      <c r="B65" s="12" t="s">
        <v>914</v>
      </c>
      <c r="C65" s="14"/>
      <c r="D65" s="17" t="str">
        <f t="shared" si="13"/>
        <v/>
      </c>
      <c r="E65" s="28" t="str">
        <f t="shared" si="14"/>
        <v/>
      </c>
      <c r="F65" s="10"/>
      <c r="G65" s="10"/>
      <c r="H65" s="10"/>
      <c r="I65" s="102" t="s">
        <v>348</v>
      </c>
      <c r="J65" s="102" t="s">
        <v>348</v>
      </c>
      <c r="K65" s="49" t="s">
        <v>197</v>
      </c>
      <c r="L65" s="102" t="s">
        <v>348</v>
      </c>
      <c r="M65" s="102" t="s">
        <v>348</v>
      </c>
      <c r="N65" s="102" t="s">
        <v>348</v>
      </c>
      <c r="O65" s="102" t="s">
        <v>348</v>
      </c>
      <c r="P65" s="102" t="s">
        <v>348</v>
      </c>
      <c r="Q65" s="48" t="s">
        <v>196</v>
      </c>
      <c r="R65" s="79" t="s">
        <v>223</v>
      </c>
      <c r="S65" s="52" t="s">
        <v>196</v>
      </c>
      <c r="T65" s="53" t="s">
        <v>196</v>
      </c>
      <c r="U65" s="52" t="s">
        <v>223</v>
      </c>
      <c r="V65" s="53" t="s">
        <v>223</v>
      </c>
      <c r="W65" s="52" t="s">
        <v>348</v>
      </c>
      <c r="X65" s="53" t="s">
        <v>223</v>
      </c>
      <c r="Y65" s="52" t="s">
        <v>196</v>
      </c>
      <c r="Z65" s="53" t="s">
        <v>196</v>
      </c>
      <c r="AA65" s="54" t="str">
        <f>IF('⚙ OFF Weekends'!$D$22="OFF","OFF","")</f>
        <v/>
      </c>
      <c r="AB65" s="56" t="str">
        <f>IF('⚙ OFF Weekends'!$D$23="OFF","OFF","")</f>
        <v/>
      </c>
      <c r="AC65" s="54" t="str">
        <f>IF('⚙ OFF Weekends'!$D$24="OFF","OFF","")</f>
        <v/>
      </c>
      <c r="AD65" s="56" t="str">
        <f>IF('⚙ OFF Weekends'!$D$25="OFF","OFF","")</f>
        <v/>
      </c>
      <c r="AE65" s="54" t="str">
        <f>IF('⚙ OFF Weekends'!$D$26="OFF","OFF","")</f>
        <v/>
      </c>
      <c r="AF65" s="56" t="str">
        <f>IF('⚙ OFF Weekends'!$D$27="OFF","OFF","")</f>
        <v/>
      </c>
      <c r="AG65" s="54" t="str">
        <f>IF('⚙ OFF Weekends'!$D$28="OFF","OFF","")</f>
        <v/>
      </c>
      <c r="AH65" s="56" t="str">
        <f>IF('⚙ OFF Weekends'!$D$29="OFF","OFF","")</f>
        <v/>
      </c>
      <c r="AI65" s="54" t="str">
        <f>IF('⚙ OFF Weekends'!$D$30="OFF","OFF","")</f>
        <v/>
      </c>
      <c r="AJ65" s="56" t="str">
        <f>IF('⚙ OFF Weekends'!$D$31="OFF","OFF","")</f>
        <v/>
      </c>
      <c r="AK65" s="54" t="str">
        <f>IF('⚙ OFF Weekends'!$D$32="OFF","OFF","")</f>
        <v/>
      </c>
      <c r="AL65" s="56" t="str">
        <f>IF('⚙ OFF Weekends'!$D$33="OFF","OFF","")</f>
        <v/>
      </c>
      <c r="AM65" s="54" t="str">
        <f>IF('⚙ OFF Weekends'!$D$34="OFF","OFF","")</f>
        <v/>
      </c>
      <c r="AN65" s="56" t="str">
        <f>IF('⚙ OFF Weekends'!$D$35="OFF","OFF","")</f>
        <v/>
      </c>
      <c r="AO65" s="54" t="str">
        <f>IF('⚙ OFF Weekends'!$D$36="OFF","OFF","")</f>
        <v/>
      </c>
      <c r="AP65" s="56" t="str">
        <f>IF('⚙ OFF Weekends'!$D$37="OFF","OFF","")</f>
        <v/>
      </c>
      <c r="AQ65" s="54" t="str">
        <f>IF('⚙ OFF Weekends'!$D$38="OFF","OFF","")</f>
        <v/>
      </c>
      <c r="AR65" s="56" t="str">
        <f>IF('⚙ OFF Weekends'!$D$39="OFF","OFF","")</f>
        <v/>
      </c>
      <c r="AS65" s="54" t="str">
        <f>IF('⚙ OFF Weekends'!$D$40="OFF","OFF","")</f>
        <v/>
      </c>
      <c r="AT65" s="56" t="str">
        <f>IF('⚙ OFF Weekends'!$D$41="OFF","OFF","")</f>
        <v/>
      </c>
      <c r="AU65" s="54" t="str">
        <f>IF('⚙ OFF Weekends'!$D$42="OFF","OFF","")</f>
        <v/>
      </c>
      <c r="AV65" s="56" t="str">
        <f>IF('⚙ OFF Weekends'!$D$43="OFF","OFF","")</f>
        <v/>
      </c>
      <c r="AW65" s="54" t="str">
        <f>IF('⚙ OFF Weekends'!$D$44="OFF","OFF","")</f>
        <v/>
      </c>
      <c r="AX65" s="56" t="str">
        <f>IF('⚙ OFF Weekends'!$D$45="OFF","OFF","")</f>
        <v/>
      </c>
      <c r="AY65" s="54" t="str">
        <f>IF('⚙ OFF Weekends'!$D$46="OFF","OFF","")</f>
        <v/>
      </c>
      <c r="AZ65" s="56" t="str">
        <f>IF('⚙ OFF Weekends'!$D$47="OFF","OFF","")</f>
        <v/>
      </c>
      <c r="BA65" s="54" t="str">
        <f>IF('⚙ OFF Weekends'!$D$48="OFF","OFF","")</f>
        <v/>
      </c>
      <c r="BB65" s="56" t="str">
        <f>IF('⚙ OFF Weekends'!$D$49="OFF","OFF","")</f>
        <v/>
      </c>
      <c r="BC65" s="54" t="str">
        <f>IF('⚙ OFF Weekends'!$D$50="OFF","OFF","")</f>
        <v/>
      </c>
      <c r="BD65" s="56" t="str">
        <f>IF('⚙ OFF Weekends'!$D$51="OFF","OFF","")</f>
        <v/>
      </c>
      <c r="BE65" s="54" t="str">
        <f>IF('⚙ OFF Weekends'!$D$52="OFF","OFF","")</f>
        <v/>
      </c>
      <c r="BF65" s="56" t="str">
        <f>IF('⚙ OFF Weekends'!$D$53="OFF","OFF","")</f>
        <v/>
      </c>
      <c r="BG65" s="54" t="str">
        <f>IF('⚙ OFF Weekends'!$D$54="OFF","OFF","")</f>
        <v/>
      </c>
      <c r="BH65" s="56" t="str">
        <f>IF('⚙ OFF Weekends'!$D$55="OFF","OFF","")</f>
        <v/>
      </c>
      <c r="BI65" s="54" t="str">
        <f>IF('⚙ OFF Weekends'!$D$56="OFF","OFF","")</f>
        <v/>
      </c>
      <c r="BJ65" s="56" t="str">
        <f>IF('⚙ OFF Weekends'!$D$57="OFF","OFF","")</f>
        <v/>
      </c>
      <c r="BK65" s="54" t="str">
        <f>IF('⚙ OFF Weekends'!$D$58="OFF","OFF","")</f>
        <v/>
      </c>
      <c r="BL65" s="56" t="str">
        <f>IF('⚙ OFF Weekends'!$D$59="OFF","OFF","")</f>
        <v/>
      </c>
      <c r="BM65" s="54" t="str">
        <f>IF('⚙ OFF Weekends'!$D$60="OFF","OFF","")</f>
        <v/>
      </c>
      <c r="BN65" s="56" t="str">
        <f>IF('⚙ OFF Weekends'!$D$61="OFF","OFF","")</f>
        <v/>
      </c>
      <c r="BO65" s="54" t="str">
        <f>IF('⚙ OFF Weekends'!$D$62="OFF","OFF","")</f>
        <v/>
      </c>
      <c r="BP65" s="56" t="str">
        <f>IF('⚙ OFF Weekends'!$D$63="OFF","OFF","")</f>
        <v/>
      </c>
      <c r="BQ65" s="54" t="str">
        <f>IF('⚙ OFF Weekends'!$D$64="OFF","OFF","")</f>
        <v/>
      </c>
      <c r="BR65" s="56" t="str">
        <f>IF('⚙ OFF Weekends'!$D$65="OFF","OFF","")</f>
        <v/>
      </c>
      <c r="BS65" s="54" t="str">
        <f>IF('⚙ OFF Weekends'!$D$66="OFF","OFF","")</f>
        <v/>
      </c>
      <c r="BT65" s="56" t="str">
        <f>IF('⚙ OFF Weekends'!$D$67="OFF","OFF","")</f>
        <v/>
      </c>
      <c r="BU65" s="54" t="str">
        <f>IF('⚙ OFF Weekends'!$D$68="OFF","OFF","")</f>
        <v/>
      </c>
      <c r="BV65" s="56" t="str">
        <f>IF('⚙ OFF Weekends'!$D$69="OFF","OFF","")</f>
        <v/>
      </c>
      <c r="BW65" s="54" t="str">
        <f>IF('⚙ OFF Weekends'!$D$70="OFF","OFF","")</f>
        <v/>
      </c>
      <c r="BX65" s="56" t="str">
        <f>IF('⚙ OFF Weekends'!$D$71="OFF","OFF","")</f>
        <v/>
      </c>
      <c r="BY65" s="54" t="str">
        <f>IF('⚙ OFF Weekends'!$D$72="OFF","OFF","")</f>
        <v/>
      </c>
      <c r="BZ65" s="56" t="str">
        <f>IF('⚙ OFF Weekends'!$D$73="OFF","OFF","")</f>
        <v/>
      </c>
      <c r="CA65" s="54" t="str">
        <f>IF('⚙ OFF Weekends'!$D$74="OFF","OFF","")</f>
        <v/>
      </c>
      <c r="CB65" s="56" t="str">
        <f>IF('⚙ OFF Weekends'!$D$75="OFF","OFF","")</f>
        <v/>
      </c>
      <c r="CC65" s="54" t="str">
        <f>IF('⚙ OFF Weekends'!$D$76="OFF","OFF","")</f>
        <v/>
      </c>
      <c r="CD65" s="56" t="str">
        <f>IF('⚙ OFF Weekends'!$D$77="OFF","OFF","")</f>
        <v/>
      </c>
      <c r="CE65" s="95">
        <f t="shared" si="15"/>
        <v>5</v>
      </c>
      <c r="CF65" s="95">
        <f t="shared" si="16"/>
        <v>4</v>
      </c>
      <c r="CG65" s="95">
        <f t="shared" si="17"/>
        <v>0</v>
      </c>
      <c r="CH65" s="95" t="str">
        <f t="shared" si="18"/>
        <v>56%</v>
      </c>
    </row>
    <row r="66" ht="18.0" customHeight="1">
      <c r="A66" s="107"/>
      <c r="B66" s="120" t="s">
        <v>972</v>
      </c>
      <c r="C66" s="108"/>
      <c r="D66" s="109"/>
      <c r="E66" s="110"/>
      <c r="F66" s="108"/>
      <c r="G66" s="108"/>
      <c r="H66" s="108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21"/>
      <c r="T66" s="111"/>
      <c r="U66" s="121" t="s">
        <v>37</v>
      </c>
      <c r="V66" s="121" t="s">
        <v>223</v>
      </c>
      <c r="W66" s="121" t="s">
        <v>348</v>
      </c>
      <c r="X66" s="121" t="s">
        <v>37</v>
      </c>
      <c r="Y66" s="121" t="s">
        <v>37</v>
      </c>
      <c r="Z66" s="121" t="s">
        <v>223</v>
      </c>
      <c r="AA66" s="111"/>
      <c r="AB66" s="111"/>
      <c r="AC66" s="111"/>
      <c r="AD66" s="111"/>
      <c r="AE66" s="111"/>
      <c r="AF66" s="111"/>
      <c r="AG66" s="111"/>
      <c r="AH66" s="111"/>
      <c r="AI66" s="111"/>
      <c r="AJ66" s="111"/>
      <c r="AK66" s="111"/>
      <c r="AL66" s="111"/>
      <c r="AM66" s="111"/>
      <c r="AN66" s="111"/>
      <c r="AO66" s="111"/>
      <c r="AP66" s="111"/>
      <c r="AQ66" s="111"/>
      <c r="AR66" s="111"/>
      <c r="AS66" s="111"/>
      <c r="AT66" s="111"/>
      <c r="AU66" s="111"/>
      <c r="AV66" s="111"/>
      <c r="AW66" s="111"/>
      <c r="AX66" s="111"/>
      <c r="AY66" s="111"/>
      <c r="AZ66" s="111"/>
      <c r="BA66" s="111"/>
      <c r="BB66" s="111"/>
      <c r="BC66" s="111"/>
      <c r="BD66" s="111"/>
      <c r="BE66" s="111"/>
      <c r="BF66" s="111"/>
      <c r="BG66" s="111"/>
      <c r="BH66" s="111"/>
      <c r="BI66" s="111"/>
      <c r="BJ66" s="111"/>
      <c r="BK66" s="111"/>
      <c r="BL66" s="111"/>
      <c r="BM66" s="111"/>
      <c r="BN66" s="111"/>
      <c r="BO66" s="111"/>
      <c r="BP66" s="111"/>
      <c r="BQ66" s="111"/>
      <c r="BR66" s="111"/>
      <c r="BS66" s="111"/>
      <c r="BT66" s="111"/>
      <c r="BU66" s="111"/>
      <c r="BV66" s="111"/>
      <c r="BW66" s="111"/>
      <c r="BX66" s="111"/>
      <c r="BY66" s="111"/>
      <c r="BZ66" s="111"/>
      <c r="CA66" s="111"/>
      <c r="CB66" s="111"/>
      <c r="CC66" s="111"/>
      <c r="CD66" s="111"/>
      <c r="CE66" s="112"/>
      <c r="CF66" s="112"/>
      <c r="CG66" s="112"/>
      <c r="CH66" s="112"/>
    </row>
    <row r="67" ht="18.0" customHeight="1">
      <c r="A67" s="107"/>
      <c r="B67" s="120" t="s">
        <v>973</v>
      </c>
      <c r="C67" s="108"/>
      <c r="D67" s="109"/>
      <c r="E67" s="110"/>
      <c r="F67" s="108"/>
      <c r="G67" s="108"/>
      <c r="H67" s="108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21"/>
      <c r="T67" s="111"/>
      <c r="U67" s="111"/>
      <c r="V67" s="121" t="s">
        <v>196</v>
      </c>
      <c r="W67" s="121" t="s">
        <v>348</v>
      </c>
      <c r="X67" s="121" t="s">
        <v>223</v>
      </c>
      <c r="Y67" s="121" t="s">
        <v>223</v>
      </c>
      <c r="Z67" s="121" t="s">
        <v>223</v>
      </c>
      <c r="AA67" s="111"/>
      <c r="AB67" s="111"/>
      <c r="AC67" s="111"/>
      <c r="AD67" s="111"/>
      <c r="AE67" s="111"/>
      <c r="AF67" s="111"/>
      <c r="AG67" s="111"/>
      <c r="AH67" s="111"/>
      <c r="AI67" s="111"/>
      <c r="AJ67" s="111"/>
      <c r="AK67" s="111"/>
      <c r="AL67" s="111"/>
      <c r="AM67" s="111"/>
      <c r="AN67" s="111"/>
      <c r="AO67" s="111"/>
      <c r="AP67" s="111"/>
      <c r="AQ67" s="111"/>
      <c r="AR67" s="111"/>
      <c r="AS67" s="111"/>
      <c r="AT67" s="111"/>
      <c r="AU67" s="111"/>
      <c r="AV67" s="111"/>
      <c r="AW67" s="111"/>
      <c r="AX67" s="111"/>
      <c r="AY67" s="111"/>
      <c r="AZ67" s="111"/>
      <c r="BA67" s="111"/>
      <c r="BB67" s="111"/>
      <c r="BC67" s="111"/>
      <c r="BD67" s="111"/>
      <c r="BE67" s="111"/>
      <c r="BF67" s="111"/>
      <c r="BG67" s="111"/>
      <c r="BH67" s="111"/>
      <c r="BI67" s="111"/>
      <c r="BJ67" s="111"/>
      <c r="BK67" s="111"/>
      <c r="BL67" s="111"/>
      <c r="BM67" s="111"/>
      <c r="BN67" s="111"/>
      <c r="BO67" s="111"/>
      <c r="BP67" s="111"/>
      <c r="BQ67" s="111"/>
      <c r="BR67" s="111"/>
      <c r="BS67" s="111"/>
      <c r="BT67" s="111"/>
      <c r="BU67" s="111"/>
      <c r="BV67" s="111"/>
      <c r="BW67" s="111"/>
      <c r="BX67" s="111"/>
      <c r="BY67" s="111"/>
      <c r="BZ67" s="111"/>
      <c r="CA67" s="111"/>
      <c r="CB67" s="111"/>
      <c r="CC67" s="111"/>
      <c r="CD67" s="111"/>
      <c r="CE67" s="112"/>
      <c r="CF67" s="112"/>
      <c r="CG67" s="112"/>
      <c r="CH67" s="112"/>
    </row>
    <row r="68" ht="18.0" customHeight="1">
      <c r="A68" s="107"/>
      <c r="B68" s="120"/>
      <c r="C68" s="108"/>
      <c r="D68" s="109"/>
      <c r="E68" s="110"/>
      <c r="F68" s="108"/>
      <c r="G68" s="108"/>
      <c r="H68" s="108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21"/>
      <c r="T68" s="111"/>
      <c r="U68" s="111"/>
      <c r="V68" s="121" t="s">
        <v>196</v>
      </c>
      <c r="W68" s="121" t="s">
        <v>348</v>
      </c>
      <c r="X68" s="111"/>
      <c r="Y68" s="111"/>
      <c r="Z68" s="111"/>
      <c r="AA68" s="111"/>
      <c r="AB68" s="111"/>
      <c r="AC68" s="111"/>
      <c r="AD68" s="111"/>
      <c r="AE68" s="111"/>
      <c r="AF68" s="111"/>
      <c r="AG68" s="111"/>
      <c r="AH68" s="111"/>
      <c r="AI68" s="111"/>
      <c r="AJ68" s="111"/>
      <c r="AK68" s="111"/>
      <c r="AL68" s="111"/>
      <c r="AM68" s="111"/>
      <c r="AN68" s="111"/>
      <c r="AO68" s="111"/>
      <c r="AP68" s="111"/>
      <c r="AQ68" s="111"/>
      <c r="AR68" s="111"/>
      <c r="AS68" s="111"/>
      <c r="AT68" s="111"/>
      <c r="AU68" s="111"/>
      <c r="AV68" s="111"/>
      <c r="AW68" s="111"/>
      <c r="AX68" s="111"/>
      <c r="AY68" s="111"/>
      <c r="AZ68" s="111"/>
      <c r="BA68" s="111"/>
      <c r="BB68" s="111"/>
      <c r="BC68" s="111"/>
      <c r="BD68" s="111"/>
      <c r="BE68" s="111"/>
      <c r="BF68" s="111"/>
      <c r="BG68" s="111"/>
      <c r="BH68" s="111"/>
      <c r="BI68" s="111"/>
      <c r="BJ68" s="111"/>
      <c r="BK68" s="111"/>
      <c r="BL68" s="111"/>
      <c r="BM68" s="111"/>
      <c r="BN68" s="111"/>
      <c r="BO68" s="111"/>
      <c r="BP68" s="111"/>
      <c r="BQ68" s="111"/>
      <c r="BR68" s="111"/>
      <c r="BS68" s="111"/>
      <c r="BT68" s="111"/>
      <c r="BU68" s="111"/>
      <c r="BV68" s="111"/>
      <c r="BW68" s="111"/>
      <c r="BX68" s="111"/>
      <c r="BY68" s="111"/>
      <c r="BZ68" s="111"/>
      <c r="CA68" s="111"/>
      <c r="CB68" s="111"/>
      <c r="CC68" s="111"/>
      <c r="CD68" s="111"/>
      <c r="CE68" s="112"/>
      <c r="CF68" s="112"/>
      <c r="CG68" s="112"/>
      <c r="CH68" s="112"/>
    </row>
    <row r="69" ht="18.0" customHeight="1">
      <c r="A69" s="107"/>
      <c r="B69" s="120"/>
      <c r="C69" s="108"/>
      <c r="D69" s="109"/>
      <c r="E69" s="110"/>
      <c r="F69" s="108"/>
      <c r="G69" s="108"/>
      <c r="H69" s="108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21"/>
      <c r="T69" s="111"/>
      <c r="U69" s="111"/>
      <c r="V69" s="111"/>
      <c r="W69" s="121" t="s">
        <v>348</v>
      </c>
      <c r="X69" s="111"/>
      <c r="Y69" s="111"/>
      <c r="Z69" s="111"/>
      <c r="AA69" s="111"/>
      <c r="AB69" s="111"/>
      <c r="AC69" s="111"/>
      <c r="AD69" s="111"/>
      <c r="AE69" s="111"/>
      <c r="AF69" s="111"/>
      <c r="AG69" s="111"/>
      <c r="AH69" s="111"/>
      <c r="AI69" s="111"/>
      <c r="AJ69" s="111"/>
      <c r="AK69" s="111"/>
      <c r="AL69" s="111"/>
      <c r="AM69" s="111"/>
      <c r="AN69" s="111"/>
      <c r="AO69" s="111"/>
      <c r="AP69" s="111"/>
      <c r="AQ69" s="111"/>
      <c r="AR69" s="111"/>
      <c r="AS69" s="111"/>
      <c r="AT69" s="111"/>
      <c r="AU69" s="111"/>
      <c r="AV69" s="111"/>
      <c r="AW69" s="111"/>
      <c r="AX69" s="111"/>
      <c r="AY69" s="111"/>
      <c r="AZ69" s="111"/>
      <c r="BA69" s="111"/>
      <c r="BB69" s="111"/>
      <c r="BC69" s="111"/>
      <c r="BD69" s="111"/>
      <c r="BE69" s="111"/>
      <c r="BF69" s="111"/>
      <c r="BG69" s="111"/>
      <c r="BH69" s="111"/>
      <c r="BI69" s="111"/>
      <c r="BJ69" s="111"/>
      <c r="BK69" s="111"/>
      <c r="BL69" s="111"/>
      <c r="BM69" s="111"/>
      <c r="BN69" s="111"/>
      <c r="BO69" s="111"/>
      <c r="BP69" s="111"/>
      <c r="BQ69" s="111"/>
      <c r="BR69" s="111"/>
      <c r="BS69" s="111"/>
      <c r="BT69" s="111"/>
      <c r="BU69" s="111"/>
      <c r="BV69" s="111"/>
      <c r="BW69" s="111"/>
      <c r="BX69" s="111"/>
      <c r="BY69" s="111"/>
      <c r="BZ69" s="111"/>
      <c r="CA69" s="111"/>
      <c r="CB69" s="111"/>
      <c r="CC69" s="111"/>
      <c r="CD69" s="111"/>
      <c r="CE69" s="112"/>
      <c r="CF69" s="112"/>
      <c r="CG69" s="112"/>
      <c r="CH69" s="112"/>
    </row>
    <row r="70" ht="18.0" customHeight="1">
      <c r="A70" s="107">
        <v>22.0</v>
      </c>
      <c r="B70" s="108"/>
      <c r="C70" s="108"/>
      <c r="D70" s="109" t="str">
        <f>IF(C70&lt;&gt;"",HYPERLINK("tel:"&amp;SUBSTITUTE(SUBSTITUTE(C70," ",""),"+","+"),"📞 Call"),"")</f>
        <v/>
      </c>
      <c r="E70" s="110" t="str">
        <f>IF(C70&lt;&gt;"",HYPERLINK("https://wa.me/"&amp;SUBSTITUTE(SUBSTITUTE(C70,"+","")," ",""),"💬 WhatsApp"),"")</f>
        <v/>
      </c>
      <c r="F70" s="108"/>
      <c r="G70" s="108"/>
      <c r="H70" s="108"/>
      <c r="I70" s="111" t="str">
        <f>IF('⚙ OFF Weekends'!$D$4="OFF","OFF","")</f>
        <v/>
      </c>
      <c r="J70" s="111" t="str">
        <f>IF('⚙ OFF Weekends'!$D$5="OFF","OFF","")</f>
        <v/>
      </c>
      <c r="K70" s="111" t="str">
        <f>IF('⚙ OFF Weekends'!$D$6="OFF","OFF","")</f>
        <v/>
      </c>
      <c r="L70" s="111" t="str">
        <f>IF('⚙ OFF Weekends'!$D$7="OFF","OFF","")</f>
        <v/>
      </c>
      <c r="M70" s="111" t="str">
        <f>IF('⚙ OFF Weekends'!$D$8="OFF","OFF","")</f>
        <v/>
      </c>
      <c r="N70" s="111" t="str">
        <f>IF('⚙ OFF Weekends'!$D$9="OFF","OFF","")</f>
        <v/>
      </c>
      <c r="O70" s="111" t="str">
        <f>IF('⚙ OFF Weekends'!$D$10="OFF","OFF","")</f>
        <v/>
      </c>
      <c r="P70" s="111" t="str">
        <f>IF('⚙ OFF Weekends'!$D$11="OFF","OFF","")</f>
        <v/>
      </c>
      <c r="Q70" s="111" t="str">
        <f>IF('⚙ OFF Weekends'!$D$12="OFF","OFF","")</f>
        <v/>
      </c>
      <c r="R70" s="111" t="str">
        <f>IF('⚙ OFF Weekends'!$D$13="OFF","OFF","")</f>
        <v/>
      </c>
      <c r="S70" s="111" t="str">
        <f>IF('⚙ OFF Weekends'!$D$14="OFF","OFF","")</f>
        <v/>
      </c>
      <c r="T70" s="111" t="str">
        <f>IF('⚙ OFF Weekends'!$D$15="OFF","OFF","")</f>
        <v/>
      </c>
      <c r="U70" s="111" t="str">
        <f>IF('⚙ OFF Weekends'!$D$16="OFF","OFF","")</f>
        <v/>
      </c>
      <c r="V70" s="111" t="str">
        <f>IF('⚙ OFF Weekends'!$D$17="OFF","OFF","")</f>
        <v/>
      </c>
      <c r="W70" s="111" t="str">
        <f>IF('⚙ OFF Weekends'!$D$18="OFF","OFF","")</f>
        <v>OFF</v>
      </c>
      <c r="X70" s="111" t="str">
        <f>IF('⚙ OFF Weekends'!$D$19="OFF","OFF","")</f>
        <v/>
      </c>
      <c r="Y70" s="111" t="str">
        <f>IF('⚙ OFF Weekends'!$D$20="OFF","OFF","")</f>
        <v/>
      </c>
      <c r="Z70" s="111" t="str">
        <f>IF('⚙ OFF Weekends'!$D$21="OFF","OFF","")</f>
        <v/>
      </c>
      <c r="AA70" s="111" t="str">
        <f>IF('⚙ OFF Weekends'!$D$22="OFF","OFF","")</f>
        <v/>
      </c>
      <c r="AB70" s="111" t="str">
        <f>IF('⚙ OFF Weekends'!$D$23="OFF","OFF","")</f>
        <v/>
      </c>
      <c r="AC70" s="111" t="str">
        <f>IF('⚙ OFF Weekends'!$D$24="OFF","OFF","")</f>
        <v/>
      </c>
      <c r="AD70" s="111" t="str">
        <f>IF('⚙ OFF Weekends'!$D$25="OFF","OFF","")</f>
        <v/>
      </c>
      <c r="AE70" s="111" t="str">
        <f>IF('⚙ OFF Weekends'!$D$26="OFF","OFF","")</f>
        <v/>
      </c>
      <c r="AF70" s="111" t="str">
        <f>IF('⚙ OFF Weekends'!$D$27="OFF","OFF","")</f>
        <v/>
      </c>
      <c r="AG70" s="111" t="str">
        <f>IF('⚙ OFF Weekends'!$D$28="OFF","OFF","")</f>
        <v/>
      </c>
      <c r="AH70" s="111" t="str">
        <f>IF('⚙ OFF Weekends'!$D$29="OFF","OFF","")</f>
        <v/>
      </c>
      <c r="AI70" s="111" t="str">
        <f>IF('⚙ OFF Weekends'!$D$30="OFF","OFF","")</f>
        <v/>
      </c>
      <c r="AJ70" s="111" t="str">
        <f>IF('⚙ OFF Weekends'!$D$31="OFF","OFF","")</f>
        <v/>
      </c>
      <c r="AK70" s="111" t="str">
        <f>IF('⚙ OFF Weekends'!$D$32="OFF","OFF","")</f>
        <v/>
      </c>
      <c r="AL70" s="111" t="str">
        <f>IF('⚙ OFF Weekends'!$D$33="OFF","OFF","")</f>
        <v/>
      </c>
      <c r="AM70" s="111" t="str">
        <f>IF('⚙ OFF Weekends'!$D$34="OFF","OFF","")</f>
        <v/>
      </c>
      <c r="AN70" s="111" t="str">
        <f>IF('⚙ OFF Weekends'!$D$35="OFF","OFF","")</f>
        <v/>
      </c>
      <c r="AO70" s="111" t="str">
        <f>IF('⚙ OFF Weekends'!$D$36="OFF","OFF","")</f>
        <v/>
      </c>
      <c r="AP70" s="111" t="str">
        <f>IF('⚙ OFF Weekends'!$D$37="OFF","OFF","")</f>
        <v/>
      </c>
      <c r="AQ70" s="111" t="str">
        <f>IF('⚙ OFF Weekends'!$D$38="OFF","OFF","")</f>
        <v/>
      </c>
      <c r="AR70" s="111" t="str">
        <f>IF('⚙ OFF Weekends'!$D$39="OFF","OFF","")</f>
        <v/>
      </c>
      <c r="AS70" s="111" t="str">
        <f>IF('⚙ OFF Weekends'!$D$40="OFF","OFF","")</f>
        <v/>
      </c>
      <c r="AT70" s="111" t="str">
        <f>IF('⚙ OFF Weekends'!$D$41="OFF","OFF","")</f>
        <v/>
      </c>
      <c r="AU70" s="111" t="str">
        <f>IF('⚙ OFF Weekends'!$D$42="OFF","OFF","")</f>
        <v/>
      </c>
      <c r="AV70" s="111" t="str">
        <f>IF('⚙ OFF Weekends'!$D$43="OFF","OFF","")</f>
        <v/>
      </c>
      <c r="AW70" s="111" t="str">
        <f>IF('⚙ OFF Weekends'!$D$44="OFF","OFF","")</f>
        <v/>
      </c>
      <c r="AX70" s="111" t="str">
        <f>IF('⚙ OFF Weekends'!$D$45="OFF","OFF","")</f>
        <v/>
      </c>
      <c r="AY70" s="111" t="str">
        <f>IF('⚙ OFF Weekends'!$D$46="OFF","OFF","")</f>
        <v/>
      </c>
      <c r="AZ70" s="111" t="str">
        <f>IF('⚙ OFF Weekends'!$D$47="OFF","OFF","")</f>
        <v/>
      </c>
      <c r="BA70" s="111" t="str">
        <f>IF('⚙ OFF Weekends'!$D$48="OFF","OFF","")</f>
        <v/>
      </c>
      <c r="BB70" s="111" t="str">
        <f>IF('⚙ OFF Weekends'!$D$49="OFF","OFF","")</f>
        <v/>
      </c>
      <c r="BC70" s="111" t="str">
        <f>IF('⚙ OFF Weekends'!$D$50="OFF","OFF","")</f>
        <v/>
      </c>
      <c r="BD70" s="111" t="str">
        <f>IF('⚙ OFF Weekends'!$D$51="OFF","OFF","")</f>
        <v/>
      </c>
      <c r="BE70" s="111" t="str">
        <f>IF('⚙ OFF Weekends'!$D$52="OFF","OFF","")</f>
        <v/>
      </c>
      <c r="BF70" s="111" t="str">
        <f>IF('⚙ OFF Weekends'!$D$53="OFF","OFF","")</f>
        <v/>
      </c>
      <c r="BG70" s="111" t="str">
        <f>IF('⚙ OFF Weekends'!$D$54="OFF","OFF","")</f>
        <v/>
      </c>
      <c r="BH70" s="111" t="str">
        <f>IF('⚙ OFF Weekends'!$D$55="OFF","OFF","")</f>
        <v/>
      </c>
      <c r="BI70" s="111" t="str">
        <f>IF('⚙ OFF Weekends'!$D$56="OFF","OFF","")</f>
        <v/>
      </c>
      <c r="BJ70" s="111" t="str">
        <f>IF('⚙ OFF Weekends'!$D$57="OFF","OFF","")</f>
        <v/>
      </c>
      <c r="BK70" s="111" t="str">
        <f>IF('⚙ OFF Weekends'!$D$58="OFF","OFF","")</f>
        <v/>
      </c>
      <c r="BL70" s="111" t="str">
        <f>IF('⚙ OFF Weekends'!$D$59="OFF","OFF","")</f>
        <v/>
      </c>
      <c r="BM70" s="111" t="str">
        <f>IF('⚙ OFF Weekends'!$D$60="OFF","OFF","")</f>
        <v/>
      </c>
      <c r="BN70" s="111" t="str">
        <f>IF('⚙ OFF Weekends'!$D$61="OFF","OFF","")</f>
        <v/>
      </c>
      <c r="BO70" s="111" t="str">
        <f>IF('⚙ OFF Weekends'!$D$62="OFF","OFF","")</f>
        <v/>
      </c>
      <c r="BP70" s="111" t="str">
        <f>IF('⚙ OFF Weekends'!$D$63="OFF","OFF","")</f>
        <v/>
      </c>
      <c r="BQ70" s="111" t="str">
        <f>IF('⚙ OFF Weekends'!$D$64="OFF","OFF","")</f>
        <v/>
      </c>
      <c r="BR70" s="111" t="str">
        <f>IF('⚙ OFF Weekends'!$D$65="OFF","OFF","")</f>
        <v/>
      </c>
      <c r="BS70" s="111" t="str">
        <f>IF('⚙ OFF Weekends'!$D$66="OFF","OFF","")</f>
        <v/>
      </c>
      <c r="BT70" s="111" t="str">
        <f>IF('⚙ OFF Weekends'!$D$67="OFF","OFF","")</f>
        <v/>
      </c>
      <c r="BU70" s="111" t="str">
        <f>IF('⚙ OFF Weekends'!$D$68="OFF","OFF","")</f>
        <v/>
      </c>
      <c r="BV70" s="111" t="str">
        <f>IF('⚙ OFF Weekends'!$D$69="OFF","OFF","")</f>
        <v/>
      </c>
      <c r="BW70" s="111" t="str">
        <f>IF('⚙ OFF Weekends'!$D$70="OFF","OFF","")</f>
        <v/>
      </c>
      <c r="BX70" s="111" t="str">
        <f>IF('⚙ OFF Weekends'!$D$71="OFF","OFF","")</f>
        <v/>
      </c>
      <c r="BY70" s="111" t="str">
        <f>IF('⚙ OFF Weekends'!$D$72="OFF","OFF","")</f>
        <v/>
      </c>
      <c r="BZ70" s="111" t="str">
        <f>IF('⚙ OFF Weekends'!$D$73="OFF","OFF","")</f>
        <v/>
      </c>
      <c r="CA70" s="111" t="str">
        <f>IF('⚙ OFF Weekends'!$D$74="OFF","OFF","")</f>
        <v/>
      </c>
      <c r="CB70" s="111" t="str">
        <f>IF('⚙ OFF Weekends'!$D$75="OFF","OFF","")</f>
        <v/>
      </c>
      <c r="CC70" s="111" t="str">
        <f>IF('⚙ OFF Weekends'!$D$76="OFF","OFF","")</f>
        <v/>
      </c>
      <c r="CD70" s="111" t="str">
        <f>IF('⚙ OFF Weekends'!$D$77="OFF","OFF","")</f>
        <v/>
      </c>
      <c r="CE70" s="112">
        <f>COUNTIF(I70:CD70,"Present")+COUNTIF(I70:CD70,"Late")</f>
        <v>0</v>
      </c>
      <c r="CF70" s="112">
        <f>COUNTIF(I70:CD70,"Absent")</f>
        <v>0</v>
      </c>
      <c r="CG70" s="112">
        <f>COUNTIF(I70:CD70,"Leave")</f>
        <v>0</v>
      </c>
      <c r="CH70" s="112" t="str">
        <f>IF(CE70+CF70=0,"0%",TEXT(CE70/(CE70+CF70),"0%"))</f>
        <v>0%</v>
      </c>
    </row>
    <row r="71" ht="15.0" customHeight="1">
      <c r="A71" s="113" t="str">
        <f>"Group Strength: "&amp;COUNTA(B49:B70)</f>
        <v>Group Strength: 19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3"/>
    </row>
    <row r="72" ht="4.5" customHeight="1">
      <c r="A72" s="11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3"/>
    </row>
    <row r="73" ht="15.75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72"/>
      <c r="AS73" s="72"/>
      <c r="AT73" s="72"/>
      <c r="AU73" s="72"/>
      <c r="AV73" s="72"/>
      <c r="AW73" s="72"/>
      <c r="AX73" s="72"/>
      <c r="AY73" s="72"/>
      <c r="AZ73" s="72"/>
      <c r="BA73" s="72"/>
      <c r="BB73" s="72"/>
      <c r="BC73" s="72"/>
      <c r="BD73" s="72"/>
      <c r="BE73" s="72"/>
      <c r="BF73" s="72"/>
      <c r="BG73" s="72"/>
      <c r="BH73" s="72"/>
      <c r="BI73" s="72"/>
      <c r="BJ73" s="72"/>
      <c r="BK73" s="72"/>
      <c r="BL73" s="72"/>
      <c r="BM73" s="72"/>
      <c r="BN73" s="72"/>
      <c r="BO73" s="72"/>
      <c r="BP73" s="72"/>
      <c r="BQ73" s="72"/>
      <c r="BR73" s="72"/>
      <c r="BS73" s="72"/>
      <c r="BT73" s="72"/>
      <c r="BU73" s="72"/>
      <c r="BV73" s="72"/>
      <c r="BW73" s="72"/>
      <c r="BX73" s="72"/>
      <c r="BY73" s="72"/>
      <c r="BZ73" s="72"/>
      <c r="CA73" s="72"/>
      <c r="CB73" s="72"/>
      <c r="CC73" s="72"/>
      <c r="CD73" s="72"/>
      <c r="CE73" s="72"/>
      <c r="CF73" s="72"/>
      <c r="CG73" s="72"/>
      <c r="CH73" s="72"/>
    </row>
    <row r="74" ht="15.75" customHeight="1">
      <c r="A74" s="72"/>
      <c r="B74" s="132" t="s">
        <v>974</v>
      </c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132" t="s">
        <v>196</v>
      </c>
      <c r="AB74" s="132" t="s">
        <v>196</v>
      </c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72"/>
      <c r="AS74" s="72"/>
      <c r="AT74" s="72"/>
      <c r="AU74" s="72"/>
      <c r="AV74" s="72"/>
      <c r="AW74" s="72"/>
      <c r="AX74" s="72"/>
      <c r="AY74" s="72"/>
      <c r="AZ74" s="72"/>
      <c r="BA74" s="72"/>
      <c r="BB74" s="72"/>
      <c r="BC74" s="72"/>
      <c r="BD74" s="72"/>
      <c r="BE74" s="72"/>
      <c r="BF74" s="72"/>
      <c r="BG74" s="72"/>
      <c r="BH74" s="72"/>
      <c r="BI74" s="72"/>
      <c r="BJ74" s="72"/>
      <c r="BK74" s="72"/>
      <c r="BL74" s="72"/>
      <c r="BM74" s="72"/>
      <c r="BN74" s="72"/>
      <c r="BO74" s="72"/>
      <c r="BP74" s="72"/>
      <c r="BQ74" s="72"/>
      <c r="BR74" s="72"/>
      <c r="BS74" s="72"/>
      <c r="BT74" s="72"/>
      <c r="BU74" s="72"/>
      <c r="BV74" s="72"/>
      <c r="BW74" s="72"/>
      <c r="BX74" s="72"/>
      <c r="BY74" s="72"/>
      <c r="BZ74" s="72"/>
      <c r="CA74" s="72"/>
      <c r="CB74" s="72"/>
      <c r="CC74" s="72"/>
      <c r="CD74" s="72"/>
      <c r="CE74" s="72"/>
      <c r="CF74" s="72"/>
      <c r="CG74" s="72"/>
      <c r="CH74" s="72"/>
    </row>
    <row r="75" ht="15.75" customHeight="1">
      <c r="A75" s="72"/>
      <c r="B75" s="132" t="s">
        <v>975</v>
      </c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132" t="s">
        <v>196</v>
      </c>
      <c r="AB75" s="132" t="s">
        <v>196</v>
      </c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72"/>
      <c r="AS75" s="72"/>
      <c r="AT75" s="72"/>
      <c r="AU75" s="72"/>
      <c r="AV75" s="72"/>
      <c r="AW75" s="72"/>
      <c r="AX75" s="72"/>
      <c r="AY75" s="72"/>
      <c r="AZ75" s="72"/>
      <c r="BA75" s="72"/>
      <c r="BB75" s="72"/>
      <c r="BC75" s="72"/>
      <c r="BD75" s="72"/>
      <c r="BE75" s="72"/>
      <c r="BF75" s="72"/>
      <c r="BG75" s="72"/>
      <c r="BH75" s="72"/>
      <c r="BI75" s="72"/>
      <c r="BJ75" s="72"/>
      <c r="BK75" s="72"/>
      <c r="BL75" s="72"/>
      <c r="BM75" s="72"/>
      <c r="BN75" s="72"/>
      <c r="BO75" s="72"/>
      <c r="BP75" s="72"/>
      <c r="BQ75" s="72"/>
      <c r="BR75" s="72"/>
      <c r="BS75" s="72"/>
      <c r="BT75" s="72"/>
      <c r="BU75" s="72"/>
      <c r="BV75" s="72"/>
      <c r="BW75" s="72"/>
      <c r="BX75" s="72"/>
      <c r="BY75" s="72"/>
      <c r="BZ75" s="72"/>
      <c r="CA75" s="72"/>
      <c r="CB75" s="72"/>
      <c r="CC75" s="72"/>
      <c r="CD75" s="72"/>
      <c r="CE75" s="72"/>
      <c r="CF75" s="72"/>
      <c r="CG75" s="72"/>
      <c r="CH75" s="72"/>
    </row>
    <row r="76" ht="15.75" customHeight="1">
      <c r="A76" s="72"/>
      <c r="B76" s="132" t="s">
        <v>976</v>
      </c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132" t="s">
        <v>196</v>
      </c>
      <c r="AB76" s="132" t="s">
        <v>223</v>
      </c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  <c r="AQ76" s="72"/>
      <c r="AR76" s="72"/>
      <c r="AS76" s="72"/>
      <c r="AT76" s="72"/>
      <c r="AU76" s="72"/>
      <c r="AV76" s="72"/>
      <c r="AW76" s="72"/>
      <c r="AX76" s="72"/>
      <c r="AY76" s="72"/>
      <c r="AZ76" s="72"/>
      <c r="BA76" s="72"/>
      <c r="BB76" s="72"/>
      <c r="BC76" s="72"/>
      <c r="BD76" s="72"/>
      <c r="BE76" s="72"/>
      <c r="BF76" s="72"/>
      <c r="BG76" s="72"/>
      <c r="BH76" s="72"/>
      <c r="BI76" s="72"/>
      <c r="BJ76" s="72"/>
      <c r="BK76" s="72"/>
      <c r="BL76" s="72"/>
      <c r="BM76" s="72"/>
      <c r="BN76" s="72"/>
      <c r="BO76" s="72"/>
      <c r="BP76" s="72"/>
      <c r="BQ76" s="72"/>
      <c r="BR76" s="72"/>
      <c r="BS76" s="72"/>
      <c r="BT76" s="72"/>
      <c r="BU76" s="72"/>
      <c r="BV76" s="72"/>
      <c r="BW76" s="72"/>
      <c r="BX76" s="72"/>
      <c r="BY76" s="72"/>
      <c r="BZ76" s="72"/>
      <c r="CA76" s="72"/>
      <c r="CB76" s="72"/>
      <c r="CC76" s="72"/>
      <c r="CD76" s="72"/>
      <c r="CE76" s="72"/>
      <c r="CF76" s="72"/>
      <c r="CG76" s="72"/>
      <c r="CH76" s="72"/>
    </row>
    <row r="77" ht="15.75" customHeight="1">
      <c r="A77" s="72"/>
      <c r="B77" s="132" t="s">
        <v>977</v>
      </c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132" t="s">
        <v>196</v>
      </c>
      <c r="AB77" s="132" t="s">
        <v>196</v>
      </c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  <c r="AQ77" s="72"/>
      <c r="AR77" s="72"/>
      <c r="AS77" s="72"/>
      <c r="AT77" s="72"/>
      <c r="AU77" s="72"/>
      <c r="AV77" s="72"/>
      <c r="AW77" s="72"/>
      <c r="AX77" s="72"/>
      <c r="AY77" s="72"/>
      <c r="AZ77" s="72"/>
      <c r="BA77" s="72"/>
      <c r="BB77" s="72"/>
      <c r="BC77" s="72"/>
      <c r="BD77" s="72"/>
      <c r="BE77" s="72"/>
      <c r="BF77" s="72"/>
      <c r="BG77" s="72"/>
      <c r="BH77" s="72"/>
      <c r="BI77" s="72"/>
      <c r="BJ77" s="72"/>
      <c r="BK77" s="72"/>
      <c r="BL77" s="72"/>
      <c r="BM77" s="72"/>
      <c r="BN77" s="72"/>
      <c r="BO77" s="72"/>
      <c r="BP77" s="72"/>
      <c r="BQ77" s="72"/>
      <c r="BR77" s="72"/>
      <c r="BS77" s="72"/>
      <c r="BT77" s="72"/>
      <c r="BU77" s="72"/>
      <c r="BV77" s="72"/>
      <c r="BW77" s="72"/>
      <c r="BX77" s="72"/>
      <c r="BY77" s="72"/>
      <c r="BZ77" s="72"/>
      <c r="CA77" s="72"/>
      <c r="CB77" s="72"/>
      <c r="CC77" s="72"/>
      <c r="CD77" s="72"/>
      <c r="CE77" s="72"/>
      <c r="CF77" s="72"/>
      <c r="CG77" s="72"/>
      <c r="CH77" s="72"/>
    </row>
    <row r="78" ht="15.75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  <c r="AQ78" s="72"/>
      <c r="AR78" s="72"/>
      <c r="AS78" s="72"/>
      <c r="AT78" s="72"/>
      <c r="AU78" s="72"/>
      <c r="AV78" s="72"/>
      <c r="AW78" s="72"/>
      <c r="AX78" s="72"/>
      <c r="AY78" s="72"/>
      <c r="AZ78" s="72"/>
      <c r="BA78" s="72"/>
      <c r="BB78" s="72"/>
      <c r="BC78" s="72"/>
      <c r="BD78" s="72"/>
      <c r="BE78" s="72"/>
      <c r="BF78" s="72"/>
      <c r="BG78" s="72"/>
      <c r="BH78" s="72"/>
      <c r="BI78" s="72"/>
      <c r="BJ78" s="72"/>
      <c r="BK78" s="72"/>
      <c r="BL78" s="72"/>
      <c r="BM78" s="72"/>
      <c r="BN78" s="72"/>
      <c r="BO78" s="72"/>
      <c r="BP78" s="72"/>
      <c r="BQ78" s="72"/>
      <c r="BR78" s="72"/>
      <c r="BS78" s="72"/>
      <c r="BT78" s="72"/>
      <c r="BU78" s="72"/>
      <c r="BV78" s="72"/>
      <c r="BW78" s="72"/>
      <c r="BX78" s="72"/>
      <c r="BY78" s="72"/>
      <c r="BZ78" s="72"/>
      <c r="CA78" s="72"/>
      <c r="CB78" s="72"/>
      <c r="CC78" s="72"/>
      <c r="CD78" s="72"/>
      <c r="CE78" s="72"/>
      <c r="CF78" s="72"/>
      <c r="CG78" s="72"/>
      <c r="CH78" s="72"/>
    </row>
    <row r="79" ht="15.75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  <c r="AQ79" s="72"/>
      <c r="AR79" s="72"/>
      <c r="AS79" s="72"/>
      <c r="AT79" s="72"/>
      <c r="AU79" s="72"/>
      <c r="AV79" s="72"/>
      <c r="AW79" s="72"/>
      <c r="AX79" s="72"/>
      <c r="AY79" s="72"/>
      <c r="AZ79" s="72"/>
      <c r="BA79" s="72"/>
      <c r="BB79" s="72"/>
      <c r="BC79" s="72"/>
      <c r="BD79" s="72"/>
      <c r="BE79" s="72"/>
      <c r="BF79" s="72"/>
      <c r="BG79" s="72"/>
      <c r="BH79" s="72"/>
      <c r="BI79" s="72"/>
      <c r="BJ79" s="72"/>
      <c r="BK79" s="72"/>
      <c r="BL79" s="72"/>
      <c r="BM79" s="72"/>
      <c r="BN79" s="72"/>
      <c r="BO79" s="72"/>
      <c r="BP79" s="72"/>
      <c r="BQ79" s="72"/>
      <c r="BR79" s="72"/>
      <c r="BS79" s="72"/>
      <c r="BT79" s="72"/>
      <c r="BU79" s="72"/>
      <c r="BV79" s="72"/>
      <c r="BW79" s="72"/>
      <c r="BX79" s="72"/>
      <c r="BY79" s="72"/>
      <c r="BZ79" s="72"/>
      <c r="CA79" s="72"/>
      <c r="CB79" s="72"/>
      <c r="CC79" s="72"/>
      <c r="CD79" s="72"/>
      <c r="CE79" s="72"/>
      <c r="CF79" s="72"/>
      <c r="CG79" s="72"/>
      <c r="CH79" s="72"/>
    </row>
    <row r="80" ht="15.75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  <c r="AQ80" s="72"/>
      <c r="AR80" s="72"/>
      <c r="AS80" s="72"/>
      <c r="AT80" s="72"/>
      <c r="AU80" s="72"/>
      <c r="AV80" s="72"/>
      <c r="AW80" s="72"/>
      <c r="AX80" s="72"/>
      <c r="AY80" s="72"/>
      <c r="AZ80" s="72"/>
      <c r="BA80" s="72"/>
      <c r="BB80" s="72"/>
      <c r="BC80" s="72"/>
      <c r="BD80" s="72"/>
      <c r="BE80" s="72"/>
      <c r="BF80" s="72"/>
      <c r="BG80" s="72"/>
      <c r="BH80" s="72"/>
      <c r="BI80" s="72"/>
      <c r="BJ80" s="72"/>
      <c r="BK80" s="72"/>
      <c r="BL80" s="72"/>
      <c r="BM80" s="72"/>
      <c r="BN80" s="72"/>
      <c r="BO80" s="72"/>
      <c r="BP80" s="72"/>
      <c r="BQ80" s="72"/>
      <c r="BR80" s="72"/>
      <c r="BS80" s="72"/>
      <c r="BT80" s="72"/>
      <c r="BU80" s="72"/>
      <c r="BV80" s="72"/>
      <c r="BW80" s="72"/>
      <c r="BX80" s="72"/>
      <c r="BY80" s="72"/>
      <c r="BZ80" s="72"/>
      <c r="CA80" s="72"/>
      <c r="CB80" s="72"/>
      <c r="CC80" s="72"/>
      <c r="CD80" s="72"/>
      <c r="CE80" s="72"/>
      <c r="CF80" s="72"/>
      <c r="CG80" s="72"/>
      <c r="CH80" s="72"/>
    </row>
    <row r="81" ht="15.75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  <c r="AQ81" s="72"/>
      <c r="AR81" s="72"/>
      <c r="AS81" s="72"/>
      <c r="AT81" s="72"/>
      <c r="AU81" s="72"/>
      <c r="AV81" s="72"/>
      <c r="AW81" s="72"/>
      <c r="AX81" s="72"/>
      <c r="AY81" s="72"/>
      <c r="AZ81" s="72"/>
      <c r="BA81" s="72"/>
      <c r="BB81" s="72"/>
      <c r="BC81" s="72"/>
      <c r="BD81" s="72"/>
      <c r="BE81" s="72"/>
      <c r="BF81" s="72"/>
      <c r="BG81" s="72"/>
      <c r="BH81" s="72"/>
      <c r="BI81" s="72"/>
      <c r="BJ81" s="72"/>
      <c r="BK81" s="72"/>
      <c r="BL81" s="72"/>
      <c r="BM81" s="72"/>
      <c r="BN81" s="72"/>
      <c r="BO81" s="72"/>
      <c r="BP81" s="72"/>
      <c r="BQ81" s="72"/>
      <c r="BR81" s="72"/>
      <c r="BS81" s="72"/>
      <c r="BT81" s="72"/>
      <c r="BU81" s="72"/>
      <c r="BV81" s="72"/>
      <c r="BW81" s="72"/>
      <c r="BX81" s="72"/>
      <c r="BY81" s="72"/>
      <c r="BZ81" s="72"/>
      <c r="CA81" s="72"/>
      <c r="CB81" s="72"/>
      <c r="CC81" s="72"/>
      <c r="CD81" s="72"/>
      <c r="CE81" s="72"/>
      <c r="CF81" s="72"/>
      <c r="CG81" s="72"/>
      <c r="CH81" s="72"/>
    </row>
    <row r="82" ht="15.75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  <c r="AQ82" s="72"/>
      <c r="AR82" s="72"/>
      <c r="AS82" s="72"/>
      <c r="AT82" s="72"/>
      <c r="AU82" s="72"/>
      <c r="AV82" s="72"/>
      <c r="AW82" s="72"/>
      <c r="AX82" s="72"/>
      <c r="AY82" s="72"/>
      <c r="AZ82" s="72"/>
      <c r="BA82" s="72"/>
      <c r="BB82" s="72"/>
      <c r="BC82" s="72"/>
      <c r="BD82" s="72"/>
      <c r="BE82" s="72"/>
      <c r="BF82" s="72"/>
      <c r="BG82" s="72"/>
      <c r="BH82" s="72"/>
      <c r="BI82" s="72"/>
      <c r="BJ82" s="72"/>
      <c r="BK82" s="72"/>
      <c r="BL82" s="72"/>
      <c r="BM82" s="72"/>
      <c r="BN82" s="72"/>
      <c r="BO82" s="72"/>
      <c r="BP82" s="72"/>
      <c r="BQ82" s="72"/>
      <c r="BR82" s="72"/>
      <c r="BS82" s="72"/>
      <c r="BT82" s="72"/>
      <c r="BU82" s="72"/>
      <c r="BV82" s="72"/>
      <c r="BW82" s="72"/>
      <c r="BX82" s="72"/>
      <c r="BY82" s="72"/>
      <c r="BZ82" s="72"/>
      <c r="CA82" s="72"/>
      <c r="CB82" s="72"/>
      <c r="CC82" s="72"/>
      <c r="CD82" s="72"/>
      <c r="CE82" s="72"/>
      <c r="CF82" s="72"/>
      <c r="CG82" s="72"/>
      <c r="CH82" s="72"/>
    </row>
    <row r="83" ht="15.75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  <c r="AQ83" s="72"/>
      <c r="AR83" s="72"/>
      <c r="AS83" s="72"/>
      <c r="AT83" s="72"/>
      <c r="AU83" s="72"/>
      <c r="AV83" s="72"/>
      <c r="AW83" s="72"/>
      <c r="AX83" s="72"/>
      <c r="AY83" s="72"/>
      <c r="AZ83" s="72"/>
      <c r="BA83" s="72"/>
      <c r="BB83" s="72"/>
      <c r="BC83" s="72"/>
      <c r="BD83" s="72"/>
      <c r="BE83" s="72"/>
      <c r="BF83" s="72"/>
      <c r="BG83" s="72"/>
      <c r="BH83" s="72"/>
      <c r="BI83" s="72"/>
      <c r="BJ83" s="72"/>
      <c r="BK83" s="72"/>
      <c r="BL83" s="72"/>
      <c r="BM83" s="72"/>
      <c r="BN83" s="72"/>
      <c r="BO83" s="72"/>
      <c r="BP83" s="72"/>
      <c r="BQ83" s="72"/>
      <c r="BR83" s="72"/>
      <c r="BS83" s="72"/>
      <c r="BT83" s="72"/>
      <c r="BU83" s="72"/>
      <c r="BV83" s="72"/>
      <c r="BW83" s="72"/>
      <c r="BX83" s="72"/>
      <c r="BY83" s="72"/>
      <c r="BZ83" s="72"/>
      <c r="CA83" s="72"/>
      <c r="CB83" s="72"/>
      <c r="CC83" s="72"/>
      <c r="CD83" s="72"/>
      <c r="CE83" s="72"/>
      <c r="CF83" s="72"/>
      <c r="CG83" s="72"/>
      <c r="CH83" s="72"/>
    </row>
    <row r="84" ht="15.75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  <c r="AQ84" s="72"/>
      <c r="AR84" s="72"/>
      <c r="AS84" s="72"/>
      <c r="AT84" s="72"/>
      <c r="AU84" s="72"/>
      <c r="AV84" s="72"/>
      <c r="AW84" s="72"/>
      <c r="AX84" s="72"/>
      <c r="AY84" s="72"/>
      <c r="AZ84" s="72"/>
      <c r="BA84" s="72"/>
      <c r="BB84" s="72"/>
      <c r="BC84" s="72"/>
      <c r="BD84" s="72"/>
      <c r="BE84" s="72"/>
      <c r="BF84" s="72"/>
      <c r="BG84" s="72"/>
      <c r="BH84" s="72"/>
      <c r="BI84" s="72"/>
      <c r="BJ84" s="72"/>
      <c r="BK84" s="72"/>
      <c r="BL84" s="72"/>
      <c r="BM84" s="72"/>
      <c r="BN84" s="72"/>
      <c r="BO84" s="72"/>
      <c r="BP84" s="72"/>
      <c r="BQ84" s="72"/>
      <c r="BR84" s="72"/>
      <c r="BS84" s="72"/>
      <c r="BT84" s="72"/>
      <c r="BU84" s="72"/>
      <c r="BV84" s="72"/>
      <c r="BW84" s="72"/>
      <c r="BX84" s="72"/>
      <c r="BY84" s="72"/>
      <c r="BZ84" s="72"/>
      <c r="CA84" s="72"/>
      <c r="CB84" s="72"/>
      <c r="CC84" s="72"/>
      <c r="CD84" s="72"/>
      <c r="CE84" s="72"/>
      <c r="CF84" s="72"/>
      <c r="CG84" s="72"/>
      <c r="CH84" s="72"/>
    </row>
    <row r="85" ht="15.75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  <c r="AQ85" s="72"/>
      <c r="AR85" s="72"/>
      <c r="AS85" s="72"/>
      <c r="AT85" s="72"/>
      <c r="AU85" s="72"/>
      <c r="AV85" s="72"/>
      <c r="AW85" s="72"/>
      <c r="AX85" s="72"/>
      <c r="AY85" s="72"/>
      <c r="AZ85" s="72"/>
      <c r="BA85" s="72"/>
      <c r="BB85" s="72"/>
      <c r="BC85" s="72"/>
      <c r="BD85" s="72"/>
      <c r="BE85" s="72"/>
      <c r="BF85" s="72"/>
      <c r="BG85" s="72"/>
      <c r="BH85" s="72"/>
      <c r="BI85" s="72"/>
      <c r="BJ85" s="72"/>
      <c r="BK85" s="72"/>
      <c r="BL85" s="72"/>
      <c r="BM85" s="72"/>
      <c r="BN85" s="72"/>
      <c r="BO85" s="72"/>
      <c r="BP85" s="72"/>
      <c r="BQ85" s="72"/>
      <c r="BR85" s="72"/>
      <c r="BS85" s="72"/>
      <c r="BT85" s="72"/>
      <c r="BU85" s="72"/>
      <c r="BV85" s="72"/>
      <c r="BW85" s="72"/>
      <c r="BX85" s="72"/>
      <c r="BY85" s="72"/>
      <c r="BZ85" s="72"/>
      <c r="CA85" s="72"/>
      <c r="CB85" s="72"/>
      <c r="CC85" s="72"/>
      <c r="CD85" s="72"/>
      <c r="CE85" s="72"/>
      <c r="CF85" s="72"/>
      <c r="CG85" s="72"/>
      <c r="CH85" s="72"/>
    </row>
    <row r="86" ht="15.75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  <c r="AQ86" s="72"/>
      <c r="AR86" s="72"/>
      <c r="AS86" s="72"/>
      <c r="AT86" s="72"/>
      <c r="AU86" s="72"/>
      <c r="AV86" s="72"/>
      <c r="AW86" s="72"/>
      <c r="AX86" s="72"/>
      <c r="AY86" s="72"/>
      <c r="AZ86" s="72"/>
      <c r="BA86" s="72"/>
      <c r="BB86" s="72"/>
      <c r="BC86" s="72"/>
      <c r="BD86" s="72"/>
      <c r="BE86" s="72"/>
      <c r="BF86" s="72"/>
      <c r="BG86" s="72"/>
      <c r="BH86" s="72"/>
      <c r="BI86" s="72"/>
      <c r="BJ86" s="72"/>
      <c r="BK86" s="72"/>
      <c r="BL86" s="72"/>
      <c r="BM86" s="72"/>
      <c r="BN86" s="72"/>
      <c r="BO86" s="72"/>
      <c r="BP86" s="72"/>
      <c r="BQ86" s="72"/>
      <c r="BR86" s="72"/>
      <c r="BS86" s="72"/>
      <c r="BT86" s="72"/>
      <c r="BU86" s="72"/>
      <c r="BV86" s="72"/>
      <c r="BW86" s="72"/>
      <c r="BX86" s="72"/>
      <c r="BY86" s="72"/>
      <c r="BZ86" s="72"/>
      <c r="CA86" s="72"/>
      <c r="CB86" s="72"/>
      <c r="CC86" s="72"/>
      <c r="CD86" s="72"/>
      <c r="CE86" s="72"/>
      <c r="CF86" s="72"/>
      <c r="CG86" s="72"/>
      <c r="CH86" s="72"/>
    </row>
    <row r="87" ht="15.75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  <c r="AQ87" s="72"/>
      <c r="AR87" s="72"/>
      <c r="AS87" s="72"/>
      <c r="AT87" s="72"/>
      <c r="AU87" s="72"/>
      <c r="AV87" s="72"/>
      <c r="AW87" s="72"/>
      <c r="AX87" s="72"/>
      <c r="AY87" s="72"/>
      <c r="AZ87" s="72"/>
      <c r="BA87" s="72"/>
      <c r="BB87" s="72"/>
      <c r="BC87" s="72"/>
      <c r="BD87" s="72"/>
      <c r="BE87" s="72"/>
      <c r="BF87" s="72"/>
      <c r="BG87" s="72"/>
      <c r="BH87" s="72"/>
      <c r="BI87" s="72"/>
      <c r="BJ87" s="72"/>
      <c r="BK87" s="72"/>
      <c r="BL87" s="72"/>
      <c r="BM87" s="72"/>
      <c r="BN87" s="72"/>
      <c r="BO87" s="72"/>
      <c r="BP87" s="72"/>
      <c r="BQ87" s="72"/>
      <c r="BR87" s="72"/>
      <c r="BS87" s="72"/>
      <c r="BT87" s="72"/>
      <c r="BU87" s="72"/>
      <c r="BV87" s="72"/>
      <c r="BW87" s="72"/>
      <c r="BX87" s="72"/>
      <c r="BY87" s="72"/>
      <c r="BZ87" s="72"/>
      <c r="CA87" s="72"/>
      <c r="CB87" s="72"/>
      <c r="CC87" s="72"/>
      <c r="CD87" s="72"/>
      <c r="CE87" s="72"/>
      <c r="CF87" s="72"/>
      <c r="CG87" s="72"/>
      <c r="CH87" s="72"/>
    </row>
    <row r="88" ht="15.75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  <c r="AQ88" s="72"/>
      <c r="AR88" s="72"/>
      <c r="AS88" s="72"/>
      <c r="AT88" s="72"/>
      <c r="AU88" s="72"/>
      <c r="AV88" s="72"/>
      <c r="AW88" s="72"/>
      <c r="AX88" s="72"/>
      <c r="AY88" s="72"/>
      <c r="AZ88" s="72"/>
      <c r="BA88" s="72"/>
      <c r="BB88" s="72"/>
      <c r="BC88" s="72"/>
      <c r="BD88" s="72"/>
      <c r="BE88" s="72"/>
      <c r="BF88" s="72"/>
      <c r="BG88" s="72"/>
      <c r="BH88" s="72"/>
      <c r="BI88" s="72"/>
      <c r="BJ88" s="72"/>
      <c r="BK88" s="72"/>
      <c r="BL88" s="72"/>
      <c r="BM88" s="72"/>
      <c r="BN88" s="72"/>
      <c r="BO88" s="72"/>
      <c r="BP88" s="72"/>
      <c r="BQ88" s="72"/>
      <c r="BR88" s="72"/>
      <c r="BS88" s="72"/>
      <c r="BT88" s="72"/>
      <c r="BU88" s="72"/>
      <c r="BV88" s="72"/>
      <c r="BW88" s="72"/>
      <c r="BX88" s="72"/>
      <c r="BY88" s="72"/>
      <c r="BZ88" s="72"/>
      <c r="CA88" s="72"/>
      <c r="CB88" s="72"/>
      <c r="CC88" s="72"/>
      <c r="CD88" s="72"/>
      <c r="CE88" s="72"/>
      <c r="CF88" s="72"/>
      <c r="CG88" s="72"/>
      <c r="CH88" s="72"/>
    </row>
    <row r="89" ht="15.75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2"/>
      <c r="AT89" s="72"/>
      <c r="AU89" s="72"/>
      <c r="AV89" s="72"/>
      <c r="AW89" s="72"/>
      <c r="AX89" s="72"/>
      <c r="AY89" s="72"/>
      <c r="AZ89" s="72"/>
      <c r="BA89" s="72"/>
      <c r="BB89" s="72"/>
      <c r="BC89" s="72"/>
      <c r="BD89" s="72"/>
      <c r="BE89" s="72"/>
      <c r="BF89" s="72"/>
      <c r="BG89" s="72"/>
      <c r="BH89" s="72"/>
      <c r="BI89" s="72"/>
      <c r="BJ89" s="72"/>
      <c r="BK89" s="72"/>
      <c r="BL89" s="72"/>
      <c r="BM89" s="72"/>
      <c r="BN89" s="72"/>
      <c r="BO89" s="72"/>
      <c r="BP89" s="72"/>
      <c r="BQ89" s="72"/>
      <c r="BR89" s="72"/>
      <c r="BS89" s="72"/>
      <c r="BT89" s="72"/>
      <c r="BU89" s="72"/>
      <c r="BV89" s="72"/>
      <c r="BW89" s="72"/>
      <c r="BX89" s="72"/>
      <c r="BY89" s="72"/>
      <c r="BZ89" s="72"/>
      <c r="CA89" s="72"/>
      <c r="CB89" s="72"/>
      <c r="CC89" s="72"/>
      <c r="CD89" s="72"/>
      <c r="CE89" s="72"/>
      <c r="CF89" s="72"/>
      <c r="CG89" s="72"/>
      <c r="CH89" s="72"/>
    </row>
    <row r="90" ht="15.75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/>
      <c r="AR90" s="72"/>
      <c r="AS90" s="72"/>
      <c r="AT90" s="72"/>
      <c r="AU90" s="72"/>
      <c r="AV90" s="72"/>
      <c r="AW90" s="72"/>
      <c r="AX90" s="72"/>
      <c r="AY90" s="72"/>
      <c r="AZ90" s="72"/>
      <c r="BA90" s="72"/>
      <c r="BB90" s="72"/>
      <c r="BC90" s="72"/>
      <c r="BD90" s="72"/>
      <c r="BE90" s="72"/>
      <c r="BF90" s="72"/>
      <c r="BG90" s="72"/>
      <c r="BH90" s="72"/>
      <c r="BI90" s="72"/>
      <c r="BJ90" s="72"/>
      <c r="BK90" s="72"/>
      <c r="BL90" s="72"/>
      <c r="BM90" s="72"/>
      <c r="BN90" s="72"/>
      <c r="BO90" s="72"/>
      <c r="BP90" s="72"/>
      <c r="BQ90" s="72"/>
      <c r="BR90" s="72"/>
      <c r="BS90" s="72"/>
      <c r="BT90" s="72"/>
      <c r="BU90" s="72"/>
      <c r="BV90" s="72"/>
      <c r="BW90" s="72"/>
      <c r="BX90" s="72"/>
      <c r="BY90" s="72"/>
      <c r="BZ90" s="72"/>
      <c r="CA90" s="72"/>
      <c r="CB90" s="72"/>
      <c r="CC90" s="72"/>
      <c r="CD90" s="72"/>
      <c r="CE90" s="72"/>
      <c r="CF90" s="72"/>
      <c r="CG90" s="72"/>
      <c r="CH90" s="72"/>
    </row>
    <row r="91" ht="15.75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72"/>
      <c r="AW91" s="72"/>
      <c r="AX91" s="72"/>
      <c r="AY91" s="72"/>
      <c r="AZ91" s="72"/>
      <c r="BA91" s="72"/>
      <c r="BB91" s="72"/>
      <c r="BC91" s="72"/>
      <c r="BD91" s="72"/>
      <c r="BE91" s="72"/>
      <c r="BF91" s="72"/>
      <c r="BG91" s="72"/>
      <c r="BH91" s="72"/>
      <c r="BI91" s="72"/>
      <c r="BJ91" s="72"/>
      <c r="BK91" s="72"/>
      <c r="BL91" s="72"/>
      <c r="BM91" s="72"/>
      <c r="BN91" s="72"/>
      <c r="BO91" s="72"/>
      <c r="BP91" s="72"/>
      <c r="BQ91" s="72"/>
      <c r="BR91" s="72"/>
      <c r="BS91" s="72"/>
      <c r="BT91" s="72"/>
      <c r="BU91" s="72"/>
      <c r="BV91" s="72"/>
      <c r="BW91" s="72"/>
      <c r="BX91" s="72"/>
      <c r="BY91" s="72"/>
      <c r="BZ91" s="72"/>
      <c r="CA91" s="72"/>
      <c r="CB91" s="72"/>
      <c r="CC91" s="72"/>
      <c r="CD91" s="72"/>
      <c r="CE91" s="72"/>
      <c r="CF91" s="72"/>
      <c r="CG91" s="72"/>
      <c r="CH91" s="72"/>
    </row>
    <row r="92" ht="15.75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  <c r="AQ92" s="72"/>
      <c r="AR92" s="72"/>
      <c r="AS92" s="72"/>
      <c r="AT92" s="72"/>
      <c r="AU92" s="72"/>
      <c r="AV92" s="72"/>
      <c r="AW92" s="72"/>
      <c r="AX92" s="72"/>
      <c r="AY92" s="72"/>
      <c r="AZ92" s="72"/>
      <c r="BA92" s="72"/>
      <c r="BB92" s="72"/>
      <c r="BC92" s="72"/>
      <c r="BD92" s="72"/>
      <c r="BE92" s="72"/>
      <c r="BF92" s="72"/>
      <c r="BG92" s="72"/>
      <c r="BH92" s="72"/>
      <c r="BI92" s="72"/>
      <c r="BJ92" s="72"/>
      <c r="BK92" s="72"/>
      <c r="BL92" s="72"/>
      <c r="BM92" s="72"/>
      <c r="BN92" s="72"/>
      <c r="BO92" s="72"/>
      <c r="BP92" s="72"/>
      <c r="BQ92" s="72"/>
      <c r="BR92" s="72"/>
      <c r="BS92" s="72"/>
      <c r="BT92" s="72"/>
      <c r="BU92" s="72"/>
      <c r="BV92" s="72"/>
      <c r="BW92" s="72"/>
      <c r="BX92" s="72"/>
      <c r="BY92" s="72"/>
      <c r="BZ92" s="72"/>
      <c r="CA92" s="72"/>
      <c r="CB92" s="72"/>
      <c r="CC92" s="72"/>
      <c r="CD92" s="72"/>
      <c r="CE92" s="72"/>
      <c r="CF92" s="72"/>
      <c r="CG92" s="72"/>
      <c r="CH92" s="72"/>
    </row>
    <row r="93" ht="15.75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/>
      <c r="AR93" s="72"/>
      <c r="AS93" s="72"/>
      <c r="AT93" s="72"/>
      <c r="AU93" s="72"/>
      <c r="AV93" s="72"/>
      <c r="AW93" s="72"/>
      <c r="AX93" s="72"/>
      <c r="AY93" s="72"/>
      <c r="AZ93" s="72"/>
      <c r="BA93" s="72"/>
      <c r="BB93" s="72"/>
      <c r="BC93" s="72"/>
      <c r="BD93" s="72"/>
      <c r="BE93" s="72"/>
      <c r="BF93" s="72"/>
      <c r="BG93" s="72"/>
      <c r="BH93" s="72"/>
      <c r="BI93" s="72"/>
      <c r="BJ93" s="72"/>
      <c r="BK93" s="72"/>
      <c r="BL93" s="72"/>
      <c r="BM93" s="72"/>
      <c r="BN93" s="72"/>
      <c r="BO93" s="72"/>
      <c r="BP93" s="72"/>
      <c r="BQ93" s="72"/>
      <c r="BR93" s="72"/>
      <c r="BS93" s="72"/>
      <c r="BT93" s="72"/>
      <c r="BU93" s="72"/>
      <c r="BV93" s="72"/>
      <c r="BW93" s="72"/>
      <c r="BX93" s="72"/>
      <c r="BY93" s="72"/>
      <c r="BZ93" s="72"/>
      <c r="CA93" s="72"/>
      <c r="CB93" s="72"/>
      <c r="CC93" s="72"/>
      <c r="CD93" s="72"/>
      <c r="CE93" s="72"/>
      <c r="CF93" s="72"/>
      <c r="CG93" s="72"/>
      <c r="CH93" s="72"/>
    </row>
    <row r="94" ht="15.75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2"/>
      <c r="AS94" s="72"/>
      <c r="AT94" s="72"/>
      <c r="AU94" s="72"/>
      <c r="AV94" s="72"/>
      <c r="AW94" s="72"/>
      <c r="AX94" s="72"/>
      <c r="AY94" s="72"/>
      <c r="AZ94" s="72"/>
      <c r="BA94" s="72"/>
      <c r="BB94" s="72"/>
      <c r="BC94" s="72"/>
      <c r="BD94" s="72"/>
      <c r="BE94" s="72"/>
      <c r="BF94" s="72"/>
      <c r="BG94" s="72"/>
      <c r="BH94" s="72"/>
      <c r="BI94" s="72"/>
      <c r="BJ94" s="72"/>
      <c r="BK94" s="72"/>
      <c r="BL94" s="72"/>
      <c r="BM94" s="72"/>
      <c r="BN94" s="72"/>
      <c r="BO94" s="72"/>
      <c r="BP94" s="72"/>
      <c r="BQ94" s="72"/>
      <c r="BR94" s="72"/>
      <c r="BS94" s="72"/>
      <c r="BT94" s="72"/>
      <c r="BU94" s="72"/>
      <c r="BV94" s="72"/>
      <c r="BW94" s="72"/>
      <c r="BX94" s="72"/>
      <c r="BY94" s="72"/>
      <c r="BZ94" s="72"/>
      <c r="CA94" s="72"/>
      <c r="CB94" s="72"/>
      <c r="CC94" s="72"/>
      <c r="CD94" s="72"/>
      <c r="CE94" s="72"/>
      <c r="CF94" s="72"/>
      <c r="CG94" s="72"/>
      <c r="CH94" s="72"/>
    </row>
    <row r="95" ht="15.75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  <c r="AQ95" s="72"/>
      <c r="AR95" s="72"/>
      <c r="AS95" s="72"/>
      <c r="AT95" s="72"/>
      <c r="AU95" s="72"/>
      <c r="AV95" s="72"/>
      <c r="AW95" s="72"/>
      <c r="AX95" s="72"/>
      <c r="AY95" s="72"/>
      <c r="AZ95" s="72"/>
      <c r="BA95" s="72"/>
      <c r="BB95" s="72"/>
      <c r="BC95" s="72"/>
      <c r="BD95" s="72"/>
      <c r="BE95" s="72"/>
      <c r="BF95" s="72"/>
      <c r="BG95" s="72"/>
      <c r="BH95" s="72"/>
      <c r="BI95" s="72"/>
      <c r="BJ95" s="72"/>
      <c r="BK95" s="72"/>
      <c r="BL95" s="72"/>
      <c r="BM95" s="72"/>
      <c r="BN95" s="72"/>
      <c r="BO95" s="72"/>
      <c r="BP95" s="72"/>
      <c r="BQ95" s="72"/>
      <c r="BR95" s="72"/>
      <c r="BS95" s="72"/>
      <c r="BT95" s="72"/>
      <c r="BU95" s="72"/>
      <c r="BV95" s="72"/>
      <c r="BW95" s="72"/>
      <c r="BX95" s="72"/>
      <c r="BY95" s="72"/>
      <c r="BZ95" s="72"/>
      <c r="CA95" s="72"/>
      <c r="CB95" s="72"/>
      <c r="CC95" s="72"/>
      <c r="CD95" s="72"/>
      <c r="CE95" s="72"/>
      <c r="CF95" s="72"/>
      <c r="CG95" s="72"/>
      <c r="CH95" s="72"/>
    </row>
    <row r="96" ht="15.75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  <c r="AQ96" s="72"/>
      <c r="AR96" s="72"/>
      <c r="AS96" s="72"/>
      <c r="AT96" s="72"/>
      <c r="AU96" s="72"/>
      <c r="AV96" s="72"/>
      <c r="AW96" s="72"/>
      <c r="AX96" s="72"/>
      <c r="AY96" s="72"/>
      <c r="AZ96" s="72"/>
      <c r="BA96" s="72"/>
      <c r="BB96" s="72"/>
      <c r="BC96" s="72"/>
      <c r="BD96" s="72"/>
      <c r="BE96" s="72"/>
      <c r="BF96" s="72"/>
      <c r="BG96" s="72"/>
      <c r="BH96" s="72"/>
      <c r="BI96" s="72"/>
      <c r="BJ96" s="72"/>
      <c r="BK96" s="72"/>
      <c r="BL96" s="72"/>
      <c r="BM96" s="72"/>
      <c r="BN96" s="72"/>
      <c r="BO96" s="72"/>
      <c r="BP96" s="72"/>
      <c r="BQ96" s="72"/>
      <c r="BR96" s="72"/>
      <c r="BS96" s="72"/>
      <c r="BT96" s="72"/>
      <c r="BU96" s="72"/>
      <c r="BV96" s="72"/>
      <c r="BW96" s="72"/>
      <c r="BX96" s="72"/>
      <c r="BY96" s="72"/>
      <c r="BZ96" s="72"/>
      <c r="CA96" s="72"/>
      <c r="CB96" s="72"/>
      <c r="CC96" s="72"/>
      <c r="CD96" s="72"/>
      <c r="CE96" s="72"/>
      <c r="CF96" s="72"/>
      <c r="CG96" s="72"/>
      <c r="CH96" s="72"/>
    </row>
    <row r="97" ht="15.75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  <c r="AT97" s="72"/>
      <c r="AU97" s="72"/>
      <c r="AV97" s="72"/>
      <c r="AW97" s="72"/>
      <c r="AX97" s="72"/>
      <c r="AY97" s="72"/>
      <c r="AZ97" s="72"/>
      <c r="BA97" s="72"/>
      <c r="BB97" s="72"/>
      <c r="BC97" s="72"/>
      <c r="BD97" s="72"/>
      <c r="BE97" s="72"/>
      <c r="BF97" s="72"/>
      <c r="BG97" s="72"/>
      <c r="BH97" s="72"/>
      <c r="BI97" s="72"/>
      <c r="BJ97" s="72"/>
      <c r="BK97" s="72"/>
      <c r="BL97" s="72"/>
      <c r="BM97" s="72"/>
      <c r="BN97" s="72"/>
      <c r="BO97" s="72"/>
      <c r="BP97" s="72"/>
      <c r="BQ97" s="72"/>
      <c r="BR97" s="72"/>
      <c r="BS97" s="72"/>
      <c r="BT97" s="72"/>
      <c r="BU97" s="72"/>
      <c r="BV97" s="72"/>
      <c r="BW97" s="72"/>
      <c r="BX97" s="72"/>
      <c r="BY97" s="72"/>
      <c r="BZ97" s="72"/>
      <c r="CA97" s="72"/>
      <c r="CB97" s="72"/>
      <c r="CC97" s="72"/>
      <c r="CD97" s="72"/>
      <c r="CE97" s="72"/>
      <c r="CF97" s="72"/>
      <c r="CG97" s="72"/>
      <c r="CH97" s="72"/>
    </row>
    <row r="98" ht="15.75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  <c r="AQ98" s="72"/>
      <c r="AR98" s="72"/>
      <c r="AS98" s="72"/>
      <c r="AT98" s="72"/>
      <c r="AU98" s="72"/>
      <c r="AV98" s="72"/>
      <c r="AW98" s="72"/>
      <c r="AX98" s="72"/>
      <c r="AY98" s="72"/>
      <c r="AZ98" s="72"/>
      <c r="BA98" s="72"/>
      <c r="BB98" s="72"/>
      <c r="BC98" s="72"/>
      <c r="BD98" s="72"/>
      <c r="BE98" s="72"/>
      <c r="BF98" s="72"/>
      <c r="BG98" s="72"/>
      <c r="BH98" s="72"/>
      <c r="BI98" s="72"/>
      <c r="BJ98" s="72"/>
      <c r="BK98" s="72"/>
      <c r="BL98" s="72"/>
      <c r="BM98" s="72"/>
      <c r="BN98" s="72"/>
      <c r="BO98" s="72"/>
      <c r="BP98" s="72"/>
      <c r="BQ98" s="72"/>
      <c r="BR98" s="72"/>
      <c r="BS98" s="72"/>
      <c r="BT98" s="72"/>
      <c r="BU98" s="72"/>
      <c r="BV98" s="72"/>
      <c r="BW98" s="72"/>
      <c r="BX98" s="72"/>
      <c r="BY98" s="72"/>
      <c r="BZ98" s="72"/>
      <c r="CA98" s="72"/>
      <c r="CB98" s="72"/>
      <c r="CC98" s="72"/>
      <c r="CD98" s="72"/>
      <c r="CE98" s="72"/>
      <c r="CF98" s="72"/>
      <c r="CG98" s="72"/>
      <c r="CH98" s="72"/>
    </row>
    <row r="99" ht="15.75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  <c r="AQ99" s="72"/>
      <c r="AR99" s="72"/>
      <c r="AS99" s="72"/>
      <c r="AT99" s="72"/>
      <c r="AU99" s="72"/>
      <c r="AV99" s="72"/>
      <c r="AW99" s="72"/>
      <c r="AX99" s="72"/>
      <c r="AY99" s="72"/>
      <c r="AZ99" s="72"/>
      <c r="BA99" s="72"/>
      <c r="BB99" s="72"/>
      <c r="BC99" s="72"/>
      <c r="BD99" s="72"/>
      <c r="BE99" s="72"/>
      <c r="BF99" s="72"/>
      <c r="BG99" s="72"/>
      <c r="BH99" s="72"/>
      <c r="BI99" s="72"/>
      <c r="BJ99" s="72"/>
      <c r="BK99" s="72"/>
      <c r="BL99" s="72"/>
      <c r="BM99" s="72"/>
      <c r="BN99" s="72"/>
      <c r="BO99" s="72"/>
      <c r="BP99" s="72"/>
      <c r="BQ99" s="72"/>
      <c r="BR99" s="72"/>
      <c r="BS99" s="72"/>
      <c r="BT99" s="72"/>
      <c r="BU99" s="72"/>
      <c r="BV99" s="72"/>
      <c r="BW99" s="72"/>
      <c r="BX99" s="72"/>
      <c r="BY99" s="72"/>
      <c r="BZ99" s="72"/>
      <c r="CA99" s="72"/>
      <c r="CB99" s="72"/>
      <c r="CC99" s="72"/>
      <c r="CD99" s="72"/>
      <c r="CE99" s="72"/>
      <c r="CF99" s="72"/>
      <c r="CG99" s="72"/>
      <c r="CH99" s="72"/>
    </row>
    <row r="100" ht="15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  <c r="AQ100" s="72"/>
      <c r="AR100" s="72"/>
      <c r="AS100" s="72"/>
      <c r="AT100" s="72"/>
      <c r="AU100" s="72"/>
      <c r="AV100" s="72"/>
      <c r="AW100" s="72"/>
      <c r="AX100" s="72"/>
      <c r="AY100" s="72"/>
      <c r="AZ100" s="72"/>
      <c r="BA100" s="72"/>
      <c r="BB100" s="72"/>
      <c r="BC100" s="72"/>
      <c r="BD100" s="72"/>
      <c r="BE100" s="72"/>
      <c r="BF100" s="72"/>
      <c r="BG100" s="72"/>
      <c r="BH100" s="72"/>
      <c r="BI100" s="72"/>
      <c r="BJ100" s="72"/>
      <c r="BK100" s="72"/>
      <c r="BL100" s="72"/>
      <c r="BM100" s="72"/>
      <c r="BN100" s="72"/>
      <c r="BO100" s="72"/>
      <c r="BP100" s="72"/>
      <c r="BQ100" s="72"/>
      <c r="BR100" s="72"/>
      <c r="BS100" s="72"/>
      <c r="BT100" s="72"/>
      <c r="BU100" s="72"/>
      <c r="BV100" s="72"/>
      <c r="BW100" s="72"/>
      <c r="BX100" s="72"/>
      <c r="BY100" s="72"/>
      <c r="BZ100" s="72"/>
      <c r="CA100" s="72"/>
      <c r="CB100" s="72"/>
      <c r="CC100" s="72"/>
      <c r="CD100" s="72"/>
      <c r="CE100" s="72"/>
      <c r="CF100" s="72"/>
      <c r="CG100" s="72"/>
      <c r="CH100" s="72"/>
    </row>
    <row r="101" ht="15.7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  <c r="AV101" s="72"/>
      <c r="AW101" s="72"/>
      <c r="AX101" s="72"/>
      <c r="AY101" s="72"/>
      <c r="AZ101" s="72"/>
      <c r="BA101" s="72"/>
      <c r="BB101" s="72"/>
      <c r="BC101" s="72"/>
      <c r="BD101" s="72"/>
      <c r="BE101" s="72"/>
      <c r="BF101" s="72"/>
      <c r="BG101" s="72"/>
      <c r="BH101" s="72"/>
      <c r="BI101" s="72"/>
      <c r="BJ101" s="72"/>
      <c r="BK101" s="72"/>
      <c r="BL101" s="72"/>
      <c r="BM101" s="72"/>
      <c r="BN101" s="72"/>
      <c r="BO101" s="72"/>
      <c r="BP101" s="72"/>
      <c r="BQ101" s="72"/>
      <c r="BR101" s="72"/>
      <c r="BS101" s="72"/>
      <c r="BT101" s="72"/>
      <c r="BU101" s="72"/>
      <c r="BV101" s="72"/>
      <c r="BW101" s="72"/>
      <c r="BX101" s="72"/>
      <c r="BY101" s="72"/>
      <c r="BZ101" s="72"/>
      <c r="CA101" s="72"/>
      <c r="CB101" s="72"/>
      <c r="CC101" s="72"/>
      <c r="CD101" s="72"/>
      <c r="CE101" s="72"/>
      <c r="CF101" s="72"/>
      <c r="CG101" s="72"/>
      <c r="CH101" s="72"/>
    </row>
    <row r="102" ht="15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  <c r="AQ102" s="72"/>
      <c r="AR102" s="72"/>
      <c r="AS102" s="72"/>
      <c r="AT102" s="72"/>
      <c r="AU102" s="72"/>
      <c r="AV102" s="72"/>
      <c r="AW102" s="72"/>
      <c r="AX102" s="72"/>
      <c r="AY102" s="72"/>
      <c r="AZ102" s="72"/>
      <c r="BA102" s="72"/>
      <c r="BB102" s="72"/>
      <c r="BC102" s="72"/>
      <c r="BD102" s="72"/>
      <c r="BE102" s="72"/>
      <c r="BF102" s="72"/>
      <c r="BG102" s="72"/>
      <c r="BH102" s="72"/>
      <c r="BI102" s="72"/>
      <c r="BJ102" s="72"/>
      <c r="BK102" s="72"/>
      <c r="BL102" s="72"/>
      <c r="BM102" s="72"/>
      <c r="BN102" s="72"/>
      <c r="BO102" s="72"/>
      <c r="BP102" s="72"/>
      <c r="BQ102" s="72"/>
      <c r="BR102" s="72"/>
      <c r="BS102" s="72"/>
      <c r="BT102" s="72"/>
      <c r="BU102" s="72"/>
      <c r="BV102" s="72"/>
      <c r="BW102" s="72"/>
      <c r="BX102" s="72"/>
      <c r="BY102" s="72"/>
      <c r="BZ102" s="72"/>
      <c r="CA102" s="72"/>
      <c r="CB102" s="72"/>
      <c r="CC102" s="72"/>
      <c r="CD102" s="72"/>
      <c r="CE102" s="72"/>
      <c r="CF102" s="72"/>
      <c r="CG102" s="72"/>
      <c r="CH102" s="72"/>
    </row>
    <row r="103" ht="15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  <c r="AQ103" s="72"/>
      <c r="AR103" s="72"/>
      <c r="AS103" s="72"/>
      <c r="AT103" s="72"/>
      <c r="AU103" s="72"/>
      <c r="AV103" s="72"/>
      <c r="AW103" s="72"/>
      <c r="AX103" s="72"/>
      <c r="AY103" s="72"/>
      <c r="AZ103" s="72"/>
      <c r="BA103" s="72"/>
      <c r="BB103" s="72"/>
      <c r="BC103" s="72"/>
      <c r="BD103" s="72"/>
      <c r="BE103" s="72"/>
      <c r="BF103" s="72"/>
      <c r="BG103" s="72"/>
      <c r="BH103" s="72"/>
      <c r="BI103" s="72"/>
      <c r="BJ103" s="72"/>
      <c r="BK103" s="72"/>
      <c r="BL103" s="72"/>
      <c r="BM103" s="72"/>
      <c r="BN103" s="72"/>
      <c r="BO103" s="72"/>
      <c r="BP103" s="72"/>
      <c r="BQ103" s="72"/>
      <c r="BR103" s="72"/>
      <c r="BS103" s="72"/>
      <c r="BT103" s="72"/>
      <c r="BU103" s="72"/>
      <c r="BV103" s="72"/>
      <c r="BW103" s="72"/>
      <c r="BX103" s="72"/>
      <c r="BY103" s="72"/>
      <c r="BZ103" s="72"/>
      <c r="CA103" s="72"/>
      <c r="CB103" s="72"/>
      <c r="CC103" s="72"/>
      <c r="CD103" s="72"/>
      <c r="CE103" s="72"/>
      <c r="CF103" s="72"/>
      <c r="CG103" s="72"/>
      <c r="CH103" s="72"/>
    </row>
    <row r="104" ht="15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  <c r="AQ104" s="72"/>
      <c r="AR104" s="72"/>
      <c r="AS104" s="72"/>
      <c r="AT104" s="72"/>
      <c r="AU104" s="72"/>
      <c r="AV104" s="72"/>
      <c r="AW104" s="72"/>
      <c r="AX104" s="72"/>
      <c r="AY104" s="72"/>
      <c r="AZ104" s="72"/>
      <c r="BA104" s="72"/>
      <c r="BB104" s="72"/>
      <c r="BC104" s="72"/>
      <c r="BD104" s="72"/>
      <c r="BE104" s="72"/>
      <c r="BF104" s="72"/>
      <c r="BG104" s="72"/>
      <c r="BH104" s="72"/>
      <c r="BI104" s="72"/>
      <c r="BJ104" s="72"/>
      <c r="BK104" s="72"/>
      <c r="BL104" s="72"/>
      <c r="BM104" s="72"/>
      <c r="BN104" s="72"/>
      <c r="BO104" s="72"/>
      <c r="BP104" s="72"/>
      <c r="BQ104" s="72"/>
      <c r="BR104" s="72"/>
      <c r="BS104" s="72"/>
      <c r="BT104" s="72"/>
      <c r="BU104" s="72"/>
      <c r="BV104" s="72"/>
      <c r="BW104" s="72"/>
      <c r="BX104" s="72"/>
      <c r="BY104" s="72"/>
      <c r="BZ104" s="72"/>
      <c r="CA104" s="72"/>
      <c r="CB104" s="72"/>
      <c r="CC104" s="72"/>
      <c r="CD104" s="72"/>
      <c r="CE104" s="72"/>
      <c r="CF104" s="72"/>
      <c r="CG104" s="72"/>
      <c r="CH104" s="72"/>
    </row>
    <row r="105" ht="15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2"/>
      <c r="AR105" s="72"/>
      <c r="AS105" s="72"/>
      <c r="AT105" s="72"/>
      <c r="AU105" s="72"/>
      <c r="AV105" s="72"/>
      <c r="AW105" s="72"/>
      <c r="AX105" s="72"/>
      <c r="AY105" s="72"/>
      <c r="AZ105" s="72"/>
      <c r="BA105" s="72"/>
      <c r="BB105" s="72"/>
      <c r="BC105" s="72"/>
      <c r="BD105" s="72"/>
      <c r="BE105" s="72"/>
      <c r="BF105" s="72"/>
      <c r="BG105" s="72"/>
      <c r="BH105" s="72"/>
      <c r="BI105" s="72"/>
      <c r="BJ105" s="72"/>
      <c r="BK105" s="72"/>
      <c r="BL105" s="72"/>
      <c r="BM105" s="72"/>
      <c r="BN105" s="72"/>
      <c r="BO105" s="72"/>
      <c r="BP105" s="72"/>
      <c r="BQ105" s="72"/>
      <c r="BR105" s="72"/>
      <c r="BS105" s="72"/>
      <c r="BT105" s="72"/>
      <c r="BU105" s="72"/>
      <c r="BV105" s="72"/>
      <c r="BW105" s="72"/>
      <c r="BX105" s="72"/>
      <c r="BY105" s="72"/>
      <c r="BZ105" s="72"/>
      <c r="CA105" s="72"/>
      <c r="CB105" s="72"/>
      <c r="CC105" s="72"/>
      <c r="CD105" s="72"/>
      <c r="CE105" s="72"/>
      <c r="CF105" s="72"/>
      <c r="CG105" s="72"/>
      <c r="CH105" s="72"/>
    </row>
    <row r="106" ht="15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  <c r="AQ106" s="72"/>
      <c r="AR106" s="72"/>
      <c r="AS106" s="72"/>
      <c r="AT106" s="72"/>
      <c r="AU106" s="72"/>
      <c r="AV106" s="72"/>
      <c r="AW106" s="72"/>
      <c r="AX106" s="72"/>
      <c r="AY106" s="72"/>
      <c r="AZ106" s="72"/>
      <c r="BA106" s="72"/>
      <c r="BB106" s="72"/>
      <c r="BC106" s="72"/>
      <c r="BD106" s="72"/>
      <c r="BE106" s="72"/>
      <c r="BF106" s="72"/>
      <c r="BG106" s="72"/>
      <c r="BH106" s="72"/>
      <c r="BI106" s="72"/>
      <c r="BJ106" s="72"/>
      <c r="BK106" s="72"/>
      <c r="BL106" s="72"/>
      <c r="BM106" s="72"/>
      <c r="BN106" s="72"/>
      <c r="BO106" s="72"/>
      <c r="BP106" s="72"/>
      <c r="BQ106" s="72"/>
      <c r="BR106" s="72"/>
      <c r="BS106" s="72"/>
      <c r="BT106" s="72"/>
      <c r="BU106" s="72"/>
      <c r="BV106" s="72"/>
      <c r="BW106" s="72"/>
      <c r="BX106" s="72"/>
      <c r="BY106" s="72"/>
      <c r="BZ106" s="72"/>
      <c r="CA106" s="72"/>
      <c r="CB106" s="72"/>
      <c r="CC106" s="72"/>
      <c r="CD106" s="72"/>
      <c r="CE106" s="72"/>
      <c r="CF106" s="72"/>
      <c r="CG106" s="72"/>
      <c r="CH106" s="72"/>
    </row>
    <row r="107" ht="15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  <c r="AQ107" s="72"/>
      <c r="AR107" s="72"/>
      <c r="AS107" s="72"/>
      <c r="AT107" s="72"/>
      <c r="AU107" s="72"/>
      <c r="AV107" s="72"/>
      <c r="AW107" s="72"/>
      <c r="AX107" s="72"/>
      <c r="AY107" s="72"/>
      <c r="AZ107" s="72"/>
      <c r="BA107" s="72"/>
      <c r="BB107" s="72"/>
      <c r="BC107" s="72"/>
      <c r="BD107" s="72"/>
      <c r="BE107" s="72"/>
      <c r="BF107" s="72"/>
      <c r="BG107" s="72"/>
      <c r="BH107" s="72"/>
      <c r="BI107" s="72"/>
      <c r="BJ107" s="72"/>
      <c r="BK107" s="72"/>
      <c r="BL107" s="72"/>
      <c r="BM107" s="72"/>
      <c r="BN107" s="72"/>
      <c r="BO107" s="72"/>
      <c r="BP107" s="72"/>
      <c r="BQ107" s="72"/>
      <c r="BR107" s="72"/>
      <c r="BS107" s="72"/>
      <c r="BT107" s="72"/>
      <c r="BU107" s="72"/>
      <c r="BV107" s="72"/>
      <c r="BW107" s="72"/>
      <c r="BX107" s="72"/>
      <c r="BY107" s="72"/>
      <c r="BZ107" s="72"/>
      <c r="CA107" s="72"/>
      <c r="CB107" s="72"/>
      <c r="CC107" s="72"/>
      <c r="CD107" s="72"/>
      <c r="CE107" s="72"/>
      <c r="CF107" s="72"/>
      <c r="CG107" s="72"/>
      <c r="CH107" s="72"/>
    </row>
    <row r="108" ht="15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  <c r="AQ108" s="72"/>
      <c r="AR108" s="72"/>
      <c r="AS108" s="72"/>
      <c r="AT108" s="72"/>
      <c r="AU108" s="72"/>
      <c r="AV108" s="72"/>
      <c r="AW108" s="72"/>
      <c r="AX108" s="72"/>
      <c r="AY108" s="72"/>
      <c r="AZ108" s="72"/>
      <c r="BA108" s="72"/>
      <c r="BB108" s="72"/>
      <c r="BC108" s="72"/>
      <c r="BD108" s="72"/>
      <c r="BE108" s="72"/>
      <c r="BF108" s="72"/>
      <c r="BG108" s="72"/>
      <c r="BH108" s="72"/>
      <c r="BI108" s="72"/>
      <c r="BJ108" s="72"/>
      <c r="BK108" s="72"/>
      <c r="BL108" s="72"/>
      <c r="BM108" s="72"/>
      <c r="BN108" s="72"/>
      <c r="BO108" s="72"/>
      <c r="BP108" s="72"/>
      <c r="BQ108" s="72"/>
      <c r="BR108" s="72"/>
      <c r="BS108" s="72"/>
      <c r="BT108" s="72"/>
      <c r="BU108" s="72"/>
      <c r="BV108" s="72"/>
      <c r="BW108" s="72"/>
      <c r="BX108" s="72"/>
      <c r="BY108" s="72"/>
      <c r="BZ108" s="72"/>
      <c r="CA108" s="72"/>
      <c r="CB108" s="72"/>
      <c r="CC108" s="72"/>
      <c r="CD108" s="72"/>
      <c r="CE108" s="72"/>
      <c r="CF108" s="72"/>
      <c r="CG108" s="72"/>
      <c r="CH108" s="72"/>
    </row>
    <row r="109" ht="15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  <c r="AQ109" s="72"/>
      <c r="AR109" s="72"/>
      <c r="AS109" s="72"/>
      <c r="AT109" s="72"/>
      <c r="AU109" s="72"/>
      <c r="AV109" s="72"/>
      <c r="AW109" s="72"/>
      <c r="AX109" s="72"/>
      <c r="AY109" s="72"/>
      <c r="AZ109" s="72"/>
      <c r="BA109" s="72"/>
      <c r="BB109" s="72"/>
      <c r="BC109" s="72"/>
      <c r="BD109" s="72"/>
      <c r="BE109" s="72"/>
      <c r="BF109" s="72"/>
      <c r="BG109" s="72"/>
      <c r="BH109" s="72"/>
      <c r="BI109" s="72"/>
      <c r="BJ109" s="72"/>
      <c r="BK109" s="72"/>
      <c r="BL109" s="72"/>
      <c r="BM109" s="72"/>
      <c r="BN109" s="72"/>
      <c r="BO109" s="72"/>
      <c r="BP109" s="72"/>
      <c r="BQ109" s="72"/>
      <c r="BR109" s="72"/>
      <c r="BS109" s="72"/>
      <c r="BT109" s="72"/>
      <c r="BU109" s="72"/>
      <c r="BV109" s="72"/>
      <c r="BW109" s="72"/>
      <c r="BX109" s="72"/>
      <c r="BY109" s="72"/>
      <c r="BZ109" s="72"/>
      <c r="CA109" s="72"/>
      <c r="CB109" s="72"/>
      <c r="CC109" s="72"/>
      <c r="CD109" s="72"/>
      <c r="CE109" s="72"/>
      <c r="CF109" s="72"/>
      <c r="CG109" s="72"/>
      <c r="CH109" s="72"/>
    </row>
    <row r="110" ht="15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s="72"/>
      <c r="AV110" s="72"/>
      <c r="AW110" s="72"/>
      <c r="AX110" s="72"/>
      <c r="AY110" s="72"/>
      <c r="AZ110" s="72"/>
      <c r="BA110" s="72"/>
      <c r="BB110" s="72"/>
      <c r="BC110" s="72"/>
      <c r="BD110" s="72"/>
      <c r="BE110" s="72"/>
      <c r="BF110" s="72"/>
      <c r="BG110" s="72"/>
      <c r="BH110" s="72"/>
      <c r="BI110" s="72"/>
      <c r="BJ110" s="72"/>
      <c r="BK110" s="72"/>
      <c r="BL110" s="72"/>
      <c r="BM110" s="72"/>
      <c r="BN110" s="72"/>
      <c r="BO110" s="72"/>
      <c r="BP110" s="72"/>
      <c r="BQ110" s="72"/>
      <c r="BR110" s="72"/>
      <c r="BS110" s="72"/>
      <c r="BT110" s="72"/>
      <c r="BU110" s="72"/>
      <c r="BV110" s="72"/>
      <c r="BW110" s="72"/>
      <c r="BX110" s="72"/>
      <c r="BY110" s="72"/>
      <c r="BZ110" s="72"/>
      <c r="CA110" s="72"/>
      <c r="CB110" s="72"/>
      <c r="CC110" s="72"/>
      <c r="CD110" s="72"/>
      <c r="CE110" s="72"/>
      <c r="CF110" s="72"/>
      <c r="CG110" s="72"/>
      <c r="CH110" s="72"/>
    </row>
    <row r="111" ht="15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72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  <c r="BM111" s="72"/>
      <c r="BN111" s="72"/>
      <c r="BO111" s="72"/>
      <c r="BP111" s="72"/>
      <c r="BQ111" s="72"/>
      <c r="BR111" s="72"/>
      <c r="BS111" s="72"/>
      <c r="BT111" s="72"/>
      <c r="BU111" s="72"/>
      <c r="BV111" s="72"/>
      <c r="BW111" s="72"/>
      <c r="BX111" s="72"/>
      <c r="BY111" s="72"/>
      <c r="BZ111" s="72"/>
      <c r="CA111" s="72"/>
      <c r="CB111" s="72"/>
      <c r="CC111" s="72"/>
      <c r="CD111" s="72"/>
      <c r="CE111" s="72"/>
      <c r="CF111" s="72"/>
      <c r="CG111" s="72"/>
      <c r="CH111" s="72"/>
    </row>
    <row r="112" ht="15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  <c r="AQ112" s="72"/>
      <c r="AR112" s="72"/>
      <c r="AS112" s="72"/>
      <c r="AT112" s="72"/>
      <c r="AU112" s="72"/>
      <c r="AV112" s="72"/>
      <c r="AW112" s="72"/>
      <c r="AX112" s="72"/>
      <c r="AY112" s="72"/>
      <c r="AZ112" s="72"/>
      <c r="BA112" s="72"/>
      <c r="BB112" s="72"/>
      <c r="BC112" s="72"/>
      <c r="BD112" s="72"/>
      <c r="BE112" s="72"/>
      <c r="BF112" s="72"/>
      <c r="BG112" s="72"/>
      <c r="BH112" s="72"/>
      <c r="BI112" s="72"/>
      <c r="BJ112" s="72"/>
      <c r="BK112" s="72"/>
      <c r="BL112" s="72"/>
      <c r="BM112" s="72"/>
      <c r="BN112" s="72"/>
      <c r="BO112" s="72"/>
      <c r="BP112" s="72"/>
      <c r="BQ112" s="72"/>
      <c r="BR112" s="72"/>
      <c r="BS112" s="72"/>
      <c r="BT112" s="72"/>
      <c r="BU112" s="72"/>
      <c r="BV112" s="72"/>
      <c r="BW112" s="72"/>
      <c r="BX112" s="72"/>
      <c r="BY112" s="72"/>
      <c r="BZ112" s="72"/>
      <c r="CA112" s="72"/>
      <c r="CB112" s="72"/>
      <c r="CC112" s="72"/>
      <c r="CD112" s="72"/>
      <c r="CE112" s="72"/>
      <c r="CF112" s="72"/>
      <c r="CG112" s="72"/>
      <c r="CH112" s="72"/>
    </row>
    <row r="113" ht="15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  <c r="AQ113" s="72"/>
      <c r="AR113" s="72"/>
      <c r="AS113" s="72"/>
      <c r="AT113" s="72"/>
      <c r="AU113" s="72"/>
      <c r="AV113" s="72"/>
      <c r="AW113" s="72"/>
      <c r="AX113" s="72"/>
      <c r="AY113" s="72"/>
      <c r="AZ113" s="72"/>
      <c r="BA113" s="72"/>
      <c r="BB113" s="72"/>
      <c r="BC113" s="72"/>
      <c r="BD113" s="72"/>
      <c r="BE113" s="72"/>
      <c r="BF113" s="72"/>
      <c r="BG113" s="72"/>
      <c r="BH113" s="72"/>
      <c r="BI113" s="72"/>
      <c r="BJ113" s="72"/>
      <c r="BK113" s="72"/>
      <c r="BL113" s="72"/>
      <c r="BM113" s="72"/>
      <c r="BN113" s="72"/>
      <c r="BO113" s="72"/>
      <c r="BP113" s="72"/>
      <c r="BQ113" s="72"/>
      <c r="BR113" s="72"/>
      <c r="BS113" s="72"/>
      <c r="BT113" s="72"/>
      <c r="BU113" s="72"/>
      <c r="BV113" s="72"/>
      <c r="BW113" s="72"/>
      <c r="BX113" s="72"/>
      <c r="BY113" s="72"/>
      <c r="BZ113" s="72"/>
      <c r="CA113" s="72"/>
      <c r="CB113" s="72"/>
      <c r="CC113" s="72"/>
      <c r="CD113" s="72"/>
      <c r="CE113" s="72"/>
      <c r="CF113" s="72"/>
      <c r="CG113" s="72"/>
      <c r="CH113" s="72"/>
    </row>
    <row r="114" ht="15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  <c r="AQ114" s="72"/>
      <c r="AR114" s="72"/>
      <c r="AS114" s="72"/>
      <c r="AT114" s="72"/>
      <c r="AU114" s="72"/>
      <c r="AV114" s="72"/>
      <c r="AW114" s="72"/>
      <c r="AX114" s="72"/>
      <c r="AY114" s="72"/>
      <c r="AZ114" s="72"/>
      <c r="BA114" s="72"/>
      <c r="BB114" s="72"/>
      <c r="BC114" s="72"/>
      <c r="BD114" s="72"/>
      <c r="BE114" s="72"/>
      <c r="BF114" s="72"/>
      <c r="BG114" s="72"/>
      <c r="BH114" s="72"/>
      <c r="BI114" s="72"/>
      <c r="BJ114" s="72"/>
      <c r="BK114" s="72"/>
      <c r="BL114" s="72"/>
      <c r="BM114" s="72"/>
      <c r="BN114" s="72"/>
      <c r="BO114" s="72"/>
      <c r="BP114" s="72"/>
      <c r="BQ114" s="72"/>
      <c r="BR114" s="72"/>
      <c r="BS114" s="72"/>
      <c r="BT114" s="72"/>
      <c r="BU114" s="72"/>
      <c r="BV114" s="72"/>
      <c r="BW114" s="72"/>
      <c r="BX114" s="72"/>
      <c r="BY114" s="72"/>
      <c r="BZ114" s="72"/>
      <c r="CA114" s="72"/>
      <c r="CB114" s="72"/>
      <c r="CC114" s="72"/>
      <c r="CD114" s="72"/>
      <c r="CE114" s="72"/>
      <c r="CF114" s="72"/>
      <c r="CG114" s="72"/>
      <c r="CH114" s="72"/>
    </row>
    <row r="115" ht="15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  <c r="AQ115" s="72"/>
      <c r="AR115" s="72"/>
      <c r="AS115" s="72"/>
      <c r="AT115" s="72"/>
      <c r="AU115" s="72"/>
      <c r="AV115" s="72"/>
      <c r="AW115" s="72"/>
      <c r="AX115" s="72"/>
      <c r="AY115" s="72"/>
      <c r="AZ115" s="72"/>
      <c r="BA115" s="72"/>
      <c r="BB115" s="72"/>
      <c r="BC115" s="72"/>
      <c r="BD115" s="72"/>
      <c r="BE115" s="72"/>
      <c r="BF115" s="72"/>
      <c r="BG115" s="72"/>
      <c r="BH115" s="72"/>
      <c r="BI115" s="72"/>
      <c r="BJ115" s="72"/>
      <c r="BK115" s="72"/>
      <c r="BL115" s="72"/>
      <c r="BM115" s="72"/>
      <c r="BN115" s="72"/>
      <c r="BO115" s="72"/>
      <c r="BP115" s="72"/>
      <c r="BQ115" s="72"/>
      <c r="BR115" s="72"/>
      <c r="BS115" s="72"/>
      <c r="BT115" s="72"/>
      <c r="BU115" s="72"/>
      <c r="BV115" s="72"/>
      <c r="BW115" s="72"/>
      <c r="BX115" s="72"/>
      <c r="BY115" s="72"/>
      <c r="BZ115" s="72"/>
      <c r="CA115" s="72"/>
      <c r="CB115" s="72"/>
      <c r="CC115" s="72"/>
      <c r="CD115" s="72"/>
      <c r="CE115" s="72"/>
      <c r="CF115" s="72"/>
      <c r="CG115" s="72"/>
      <c r="CH115" s="72"/>
    </row>
    <row r="116" ht="15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  <c r="AT116" s="72"/>
      <c r="AU116" s="72"/>
      <c r="AV116" s="72"/>
      <c r="AW116" s="72"/>
      <c r="AX116" s="72"/>
      <c r="AY116" s="72"/>
      <c r="AZ116" s="72"/>
      <c r="BA116" s="72"/>
      <c r="BB116" s="72"/>
      <c r="BC116" s="72"/>
      <c r="BD116" s="72"/>
      <c r="BE116" s="72"/>
      <c r="BF116" s="72"/>
      <c r="BG116" s="72"/>
      <c r="BH116" s="72"/>
      <c r="BI116" s="72"/>
      <c r="BJ116" s="72"/>
      <c r="BK116" s="72"/>
      <c r="BL116" s="72"/>
      <c r="BM116" s="72"/>
      <c r="BN116" s="72"/>
      <c r="BO116" s="72"/>
      <c r="BP116" s="72"/>
      <c r="BQ116" s="72"/>
      <c r="BR116" s="72"/>
      <c r="BS116" s="72"/>
      <c r="BT116" s="72"/>
      <c r="BU116" s="72"/>
      <c r="BV116" s="72"/>
      <c r="BW116" s="72"/>
      <c r="BX116" s="72"/>
      <c r="BY116" s="72"/>
      <c r="BZ116" s="72"/>
      <c r="CA116" s="72"/>
      <c r="CB116" s="72"/>
      <c r="CC116" s="72"/>
      <c r="CD116" s="72"/>
      <c r="CE116" s="72"/>
      <c r="CF116" s="72"/>
      <c r="CG116" s="72"/>
      <c r="CH116" s="72"/>
    </row>
    <row r="117" ht="15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  <c r="AT117" s="72"/>
      <c r="AU117" s="72"/>
      <c r="AV117" s="72"/>
      <c r="AW117" s="72"/>
      <c r="AX117" s="72"/>
      <c r="AY117" s="72"/>
      <c r="AZ117" s="72"/>
      <c r="BA117" s="72"/>
      <c r="BB117" s="72"/>
      <c r="BC117" s="72"/>
      <c r="BD117" s="72"/>
      <c r="BE117" s="72"/>
      <c r="BF117" s="72"/>
      <c r="BG117" s="72"/>
      <c r="BH117" s="72"/>
      <c r="BI117" s="72"/>
      <c r="BJ117" s="72"/>
      <c r="BK117" s="72"/>
      <c r="BL117" s="72"/>
      <c r="BM117" s="72"/>
      <c r="BN117" s="72"/>
      <c r="BO117" s="72"/>
      <c r="BP117" s="72"/>
      <c r="BQ117" s="72"/>
      <c r="BR117" s="72"/>
      <c r="BS117" s="72"/>
      <c r="BT117" s="72"/>
      <c r="BU117" s="72"/>
      <c r="BV117" s="72"/>
      <c r="BW117" s="72"/>
      <c r="BX117" s="72"/>
      <c r="BY117" s="72"/>
      <c r="BZ117" s="72"/>
      <c r="CA117" s="72"/>
      <c r="CB117" s="72"/>
      <c r="CC117" s="72"/>
      <c r="CD117" s="72"/>
      <c r="CE117" s="72"/>
      <c r="CF117" s="72"/>
      <c r="CG117" s="72"/>
      <c r="CH117" s="72"/>
    </row>
    <row r="118" ht="15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  <c r="AT118" s="72"/>
      <c r="AU118" s="72"/>
      <c r="AV118" s="72"/>
      <c r="AW118" s="72"/>
      <c r="AX118" s="72"/>
      <c r="AY118" s="72"/>
      <c r="AZ118" s="72"/>
      <c r="BA118" s="72"/>
      <c r="BB118" s="72"/>
      <c r="BC118" s="72"/>
      <c r="BD118" s="72"/>
      <c r="BE118" s="72"/>
      <c r="BF118" s="72"/>
      <c r="BG118" s="72"/>
      <c r="BH118" s="72"/>
      <c r="BI118" s="72"/>
      <c r="BJ118" s="72"/>
      <c r="BK118" s="72"/>
      <c r="BL118" s="72"/>
      <c r="BM118" s="72"/>
      <c r="BN118" s="72"/>
      <c r="BO118" s="72"/>
      <c r="BP118" s="72"/>
      <c r="BQ118" s="72"/>
      <c r="BR118" s="72"/>
      <c r="BS118" s="72"/>
      <c r="BT118" s="72"/>
      <c r="BU118" s="72"/>
      <c r="BV118" s="72"/>
      <c r="BW118" s="72"/>
      <c r="BX118" s="72"/>
      <c r="BY118" s="72"/>
      <c r="BZ118" s="72"/>
      <c r="CA118" s="72"/>
      <c r="CB118" s="72"/>
      <c r="CC118" s="72"/>
      <c r="CD118" s="72"/>
      <c r="CE118" s="72"/>
      <c r="CF118" s="72"/>
      <c r="CG118" s="72"/>
      <c r="CH118" s="72"/>
    </row>
    <row r="119" ht="15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  <c r="AT119" s="72"/>
      <c r="AU119" s="72"/>
      <c r="AV119" s="72"/>
      <c r="AW119" s="72"/>
      <c r="AX119" s="72"/>
      <c r="AY119" s="72"/>
      <c r="AZ119" s="72"/>
      <c r="BA119" s="72"/>
      <c r="BB119" s="72"/>
      <c r="BC119" s="72"/>
      <c r="BD119" s="72"/>
      <c r="BE119" s="72"/>
      <c r="BF119" s="72"/>
      <c r="BG119" s="72"/>
      <c r="BH119" s="72"/>
      <c r="BI119" s="72"/>
      <c r="BJ119" s="72"/>
      <c r="BK119" s="72"/>
      <c r="BL119" s="72"/>
      <c r="BM119" s="72"/>
      <c r="BN119" s="72"/>
      <c r="BO119" s="72"/>
      <c r="BP119" s="72"/>
      <c r="BQ119" s="72"/>
      <c r="BR119" s="72"/>
      <c r="BS119" s="72"/>
      <c r="BT119" s="72"/>
      <c r="BU119" s="72"/>
      <c r="BV119" s="72"/>
      <c r="BW119" s="72"/>
      <c r="BX119" s="72"/>
      <c r="BY119" s="72"/>
      <c r="BZ119" s="72"/>
      <c r="CA119" s="72"/>
      <c r="CB119" s="72"/>
      <c r="CC119" s="72"/>
      <c r="CD119" s="72"/>
      <c r="CE119" s="72"/>
      <c r="CF119" s="72"/>
      <c r="CG119" s="72"/>
      <c r="CH119" s="72"/>
    </row>
    <row r="120" ht="15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  <c r="AT120" s="72"/>
      <c r="AU120" s="72"/>
      <c r="AV120" s="72"/>
      <c r="AW120" s="72"/>
      <c r="AX120" s="72"/>
      <c r="AY120" s="72"/>
      <c r="AZ120" s="72"/>
      <c r="BA120" s="72"/>
      <c r="BB120" s="72"/>
      <c r="BC120" s="72"/>
      <c r="BD120" s="72"/>
      <c r="BE120" s="72"/>
      <c r="BF120" s="72"/>
      <c r="BG120" s="72"/>
      <c r="BH120" s="72"/>
      <c r="BI120" s="72"/>
      <c r="BJ120" s="72"/>
      <c r="BK120" s="72"/>
      <c r="BL120" s="72"/>
      <c r="BM120" s="72"/>
      <c r="BN120" s="72"/>
      <c r="BO120" s="72"/>
      <c r="BP120" s="72"/>
      <c r="BQ120" s="72"/>
      <c r="BR120" s="72"/>
      <c r="BS120" s="72"/>
      <c r="BT120" s="72"/>
      <c r="BU120" s="72"/>
      <c r="BV120" s="72"/>
      <c r="BW120" s="72"/>
      <c r="BX120" s="72"/>
      <c r="BY120" s="72"/>
      <c r="BZ120" s="72"/>
      <c r="CA120" s="72"/>
      <c r="CB120" s="72"/>
      <c r="CC120" s="72"/>
      <c r="CD120" s="72"/>
      <c r="CE120" s="72"/>
      <c r="CF120" s="72"/>
      <c r="CG120" s="72"/>
      <c r="CH120" s="72"/>
    </row>
    <row r="121" ht="15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  <c r="AT121" s="72"/>
      <c r="AU121" s="72"/>
      <c r="AV121" s="72"/>
      <c r="AW121" s="72"/>
      <c r="AX121" s="72"/>
      <c r="AY121" s="72"/>
      <c r="AZ121" s="72"/>
      <c r="BA121" s="72"/>
      <c r="BB121" s="72"/>
      <c r="BC121" s="72"/>
      <c r="BD121" s="72"/>
      <c r="BE121" s="72"/>
      <c r="BF121" s="72"/>
      <c r="BG121" s="72"/>
      <c r="BH121" s="72"/>
      <c r="BI121" s="72"/>
      <c r="BJ121" s="72"/>
      <c r="BK121" s="72"/>
      <c r="BL121" s="72"/>
      <c r="BM121" s="72"/>
      <c r="BN121" s="72"/>
      <c r="BO121" s="72"/>
      <c r="BP121" s="72"/>
      <c r="BQ121" s="72"/>
      <c r="BR121" s="72"/>
      <c r="BS121" s="72"/>
      <c r="BT121" s="72"/>
      <c r="BU121" s="72"/>
      <c r="BV121" s="72"/>
      <c r="BW121" s="72"/>
      <c r="BX121" s="72"/>
      <c r="BY121" s="72"/>
      <c r="BZ121" s="72"/>
      <c r="CA121" s="72"/>
      <c r="CB121" s="72"/>
      <c r="CC121" s="72"/>
      <c r="CD121" s="72"/>
      <c r="CE121" s="72"/>
      <c r="CF121" s="72"/>
      <c r="CG121" s="72"/>
      <c r="CH121" s="72"/>
    </row>
    <row r="122" ht="15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  <c r="AT122" s="72"/>
      <c r="AU122" s="72"/>
      <c r="AV122" s="72"/>
      <c r="AW122" s="72"/>
      <c r="AX122" s="72"/>
      <c r="AY122" s="72"/>
      <c r="AZ122" s="72"/>
      <c r="BA122" s="72"/>
      <c r="BB122" s="72"/>
      <c r="BC122" s="72"/>
      <c r="BD122" s="72"/>
      <c r="BE122" s="72"/>
      <c r="BF122" s="72"/>
      <c r="BG122" s="72"/>
      <c r="BH122" s="72"/>
      <c r="BI122" s="72"/>
      <c r="BJ122" s="72"/>
      <c r="BK122" s="72"/>
      <c r="BL122" s="72"/>
      <c r="BM122" s="72"/>
      <c r="BN122" s="72"/>
      <c r="BO122" s="72"/>
      <c r="BP122" s="72"/>
      <c r="BQ122" s="72"/>
      <c r="BR122" s="72"/>
      <c r="BS122" s="72"/>
      <c r="BT122" s="72"/>
      <c r="BU122" s="72"/>
      <c r="BV122" s="72"/>
      <c r="BW122" s="72"/>
      <c r="BX122" s="72"/>
      <c r="BY122" s="72"/>
      <c r="BZ122" s="72"/>
      <c r="CA122" s="72"/>
      <c r="CB122" s="72"/>
      <c r="CC122" s="72"/>
      <c r="CD122" s="72"/>
      <c r="CE122" s="72"/>
      <c r="CF122" s="72"/>
      <c r="CG122" s="72"/>
      <c r="CH122" s="72"/>
    </row>
    <row r="123" ht="15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  <c r="AT123" s="72"/>
      <c r="AU123" s="72"/>
      <c r="AV123" s="72"/>
      <c r="AW123" s="72"/>
      <c r="AX123" s="72"/>
      <c r="AY123" s="72"/>
      <c r="AZ123" s="72"/>
      <c r="BA123" s="72"/>
      <c r="BB123" s="72"/>
      <c r="BC123" s="72"/>
      <c r="BD123" s="72"/>
      <c r="BE123" s="72"/>
      <c r="BF123" s="72"/>
      <c r="BG123" s="72"/>
      <c r="BH123" s="72"/>
      <c r="BI123" s="72"/>
      <c r="BJ123" s="72"/>
      <c r="BK123" s="72"/>
      <c r="BL123" s="72"/>
      <c r="BM123" s="72"/>
      <c r="BN123" s="72"/>
      <c r="BO123" s="72"/>
      <c r="BP123" s="72"/>
      <c r="BQ123" s="72"/>
      <c r="BR123" s="72"/>
      <c r="BS123" s="72"/>
      <c r="BT123" s="72"/>
      <c r="BU123" s="72"/>
      <c r="BV123" s="72"/>
      <c r="BW123" s="72"/>
      <c r="BX123" s="72"/>
      <c r="BY123" s="72"/>
      <c r="BZ123" s="72"/>
      <c r="CA123" s="72"/>
      <c r="CB123" s="72"/>
      <c r="CC123" s="72"/>
      <c r="CD123" s="72"/>
      <c r="CE123" s="72"/>
      <c r="CF123" s="72"/>
      <c r="CG123" s="72"/>
      <c r="CH123" s="72"/>
    </row>
    <row r="124" ht="15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  <c r="AT124" s="72"/>
      <c r="AU124" s="72"/>
      <c r="AV124" s="72"/>
      <c r="AW124" s="72"/>
      <c r="AX124" s="72"/>
      <c r="AY124" s="72"/>
      <c r="AZ124" s="72"/>
      <c r="BA124" s="72"/>
      <c r="BB124" s="72"/>
      <c r="BC124" s="72"/>
      <c r="BD124" s="72"/>
      <c r="BE124" s="72"/>
      <c r="BF124" s="72"/>
      <c r="BG124" s="72"/>
      <c r="BH124" s="72"/>
      <c r="BI124" s="72"/>
      <c r="BJ124" s="72"/>
      <c r="BK124" s="72"/>
      <c r="BL124" s="72"/>
      <c r="BM124" s="72"/>
      <c r="BN124" s="72"/>
      <c r="BO124" s="72"/>
      <c r="BP124" s="72"/>
      <c r="BQ124" s="72"/>
      <c r="BR124" s="72"/>
      <c r="BS124" s="72"/>
      <c r="BT124" s="72"/>
      <c r="BU124" s="72"/>
      <c r="BV124" s="72"/>
      <c r="BW124" s="72"/>
      <c r="BX124" s="72"/>
      <c r="BY124" s="72"/>
      <c r="BZ124" s="72"/>
      <c r="CA124" s="72"/>
      <c r="CB124" s="72"/>
      <c r="CC124" s="72"/>
      <c r="CD124" s="72"/>
      <c r="CE124" s="72"/>
      <c r="CF124" s="72"/>
      <c r="CG124" s="72"/>
      <c r="CH124" s="72"/>
    </row>
    <row r="125" ht="15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  <c r="AT125" s="72"/>
      <c r="AU125" s="72"/>
      <c r="AV125" s="72"/>
      <c r="AW125" s="72"/>
      <c r="AX125" s="72"/>
      <c r="AY125" s="72"/>
      <c r="AZ125" s="72"/>
      <c r="BA125" s="72"/>
      <c r="BB125" s="72"/>
      <c r="BC125" s="72"/>
      <c r="BD125" s="72"/>
      <c r="BE125" s="72"/>
      <c r="BF125" s="72"/>
      <c r="BG125" s="72"/>
      <c r="BH125" s="72"/>
      <c r="BI125" s="72"/>
      <c r="BJ125" s="72"/>
      <c r="BK125" s="72"/>
      <c r="BL125" s="72"/>
      <c r="BM125" s="72"/>
      <c r="BN125" s="72"/>
      <c r="BO125" s="72"/>
      <c r="BP125" s="72"/>
      <c r="BQ125" s="72"/>
      <c r="BR125" s="72"/>
      <c r="BS125" s="72"/>
      <c r="BT125" s="72"/>
      <c r="BU125" s="72"/>
      <c r="BV125" s="72"/>
      <c r="BW125" s="72"/>
      <c r="BX125" s="72"/>
      <c r="BY125" s="72"/>
      <c r="BZ125" s="72"/>
      <c r="CA125" s="72"/>
      <c r="CB125" s="72"/>
      <c r="CC125" s="72"/>
      <c r="CD125" s="72"/>
      <c r="CE125" s="72"/>
      <c r="CF125" s="72"/>
      <c r="CG125" s="72"/>
      <c r="CH125" s="72"/>
    </row>
    <row r="126" ht="15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  <c r="AT126" s="72"/>
      <c r="AU126" s="72"/>
      <c r="AV126" s="72"/>
      <c r="AW126" s="72"/>
      <c r="AX126" s="72"/>
      <c r="AY126" s="72"/>
      <c r="AZ126" s="72"/>
      <c r="BA126" s="72"/>
      <c r="BB126" s="72"/>
      <c r="BC126" s="72"/>
      <c r="BD126" s="72"/>
      <c r="BE126" s="72"/>
      <c r="BF126" s="72"/>
      <c r="BG126" s="72"/>
      <c r="BH126" s="72"/>
      <c r="BI126" s="72"/>
      <c r="BJ126" s="72"/>
      <c r="BK126" s="72"/>
      <c r="BL126" s="72"/>
      <c r="BM126" s="72"/>
      <c r="BN126" s="72"/>
      <c r="BO126" s="72"/>
      <c r="BP126" s="72"/>
      <c r="BQ126" s="72"/>
      <c r="BR126" s="72"/>
      <c r="BS126" s="72"/>
      <c r="BT126" s="72"/>
      <c r="BU126" s="72"/>
      <c r="BV126" s="72"/>
      <c r="BW126" s="72"/>
      <c r="BX126" s="72"/>
      <c r="BY126" s="72"/>
      <c r="BZ126" s="72"/>
      <c r="CA126" s="72"/>
      <c r="CB126" s="72"/>
      <c r="CC126" s="72"/>
      <c r="CD126" s="72"/>
      <c r="CE126" s="72"/>
      <c r="CF126" s="72"/>
      <c r="CG126" s="72"/>
      <c r="CH126" s="72"/>
    </row>
    <row r="127" ht="15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  <c r="AT127" s="72"/>
      <c r="AU127" s="72"/>
      <c r="AV127" s="72"/>
      <c r="AW127" s="72"/>
      <c r="AX127" s="72"/>
      <c r="AY127" s="72"/>
      <c r="AZ127" s="72"/>
      <c r="BA127" s="72"/>
      <c r="BB127" s="72"/>
      <c r="BC127" s="72"/>
      <c r="BD127" s="72"/>
      <c r="BE127" s="72"/>
      <c r="BF127" s="72"/>
      <c r="BG127" s="72"/>
      <c r="BH127" s="72"/>
      <c r="BI127" s="72"/>
      <c r="BJ127" s="72"/>
      <c r="BK127" s="72"/>
      <c r="BL127" s="72"/>
      <c r="BM127" s="72"/>
      <c r="BN127" s="72"/>
      <c r="BO127" s="72"/>
      <c r="BP127" s="72"/>
      <c r="BQ127" s="72"/>
      <c r="BR127" s="72"/>
      <c r="BS127" s="72"/>
      <c r="BT127" s="72"/>
      <c r="BU127" s="72"/>
      <c r="BV127" s="72"/>
      <c r="BW127" s="72"/>
      <c r="BX127" s="72"/>
      <c r="BY127" s="72"/>
      <c r="BZ127" s="72"/>
      <c r="CA127" s="72"/>
      <c r="CB127" s="72"/>
      <c r="CC127" s="72"/>
      <c r="CD127" s="72"/>
      <c r="CE127" s="72"/>
      <c r="CF127" s="72"/>
      <c r="CG127" s="72"/>
      <c r="CH127" s="72"/>
    </row>
    <row r="128" ht="15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  <c r="AT128" s="72"/>
      <c r="AU128" s="72"/>
      <c r="AV128" s="72"/>
      <c r="AW128" s="72"/>
      <c r="AX128" s="72"/>
      <c r="AY128" s="72"/>
      <c r="AZ128" s="72"/>
      <c r="BA128" s="72"/>
      <c r="BB128" s="72"/>
      <c r="BC128" s="72"/>
      <c r="BD128" s="72"/>
      <c r="BE128" s="72"/>
      <c r="BF128" s="72"/>
      <c r="BG128" s="72"/>
      <c r="BH128" s="72"/>
      <c r="BI128" s="72"/>
      <c r="BJ128" s="72"/>
      <c r="BK128" s="72"/>
      <c r="BL128" s="72"/>
      <c r="BM128" s="72"/>
      <c r="BN128" s="72"/>
      <c r="BO128" s="72"/>
      <c r="BP128" s="72"/>
      <c r="BQ128" s="72"/>
      <c r="BR128" s="72"/>
      <c r="BS128" s="72"/>
      <c r="BT128" s="72"/>
      <c r="BU128" s="72"/>
      <c r="BV128" s="72"/>
      <c r="BW128" s="72"/>
      <c r="BX128" s="72"/>
      <c r="BY128" s="72"/>
      <c r="BZ128" s="72"/>
      <c r="CA128" s="72"/>
      <c r="CB128" s="72"/>
      <c r="CC128" s="72"/>
      <c r="CD128" s="72"/>
      <c r="CE128" s="72"/>
      <c r="CF128" s="72"/>
      <c r="CG128" s="72"/>
      <c r="CH128" s="72"/>
    </row>
    <row r="129" ht="15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  <c r="AT129" s="72"/>
      <c r="AU129" s="72"/>
      <c r="AV129" s="72"/>
      <c r="AW129" s="72"/>
      <c r="AX129" s="72"/>
      <c r="AY129" s="72"/>
      <c r="AZ129" s="72"/>
      <c r="BA129" s="72"/>
      <c r="BB129" s="72"/>
      <c r="BC129" s="72"/>
      <c r="BD129" s="72"/>
      <c r="BE129" s="72"/>
      <c r="BF129" s="72"/>
      <c r="BG129" s="72"/>
      <c r="BH129" s="72"/>
      <c r="BI129" s="72"/>
      <c r="BJ129" s="72"/>
      <c r="BK129" s="72"/>
      <c r="BL129" s="72"/>
      <c r="BM129" s="72"/>
      <c r="BN129" s="72"/>
      <c r="BO129" s="72"/>
      <c r="BP129" s="72"/>
      <c r="BQ129" s="72"/>
      <c r="BR129" s="72"/>
      <c r="BS129" s="72"/>
      <c r="BT129" s="72"/>
      <c r="BU129" s="72"/>
      <c r="BV129" s="72"/>
      <c r="BW129" s="72"/>
      <c r="BX129" s="72"/>
      <c r="BY129" s="72"/>
      <c r="BZ129" s="72"/>
      <c r="CA129" s="72"/>
      <c r="CB129" s="72"/>
      <c r="CC129" s="72"/>
      <c r="CD129" s="72"/>
      <c r="CE129" s="72"/>
      <c r="CF129" s="72"/>
      <c r="CG129" s="72"/>
      <c r="CH129" s="72"/>
    </row>
    <row r="130" ht="15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  <c r="AT130" s="72"/>
      <c r="AU130" s="72"/>
      <c r="AV130" s="72"/>
      <c r="AW130" s="72"/>
      <c r="AX130" s="72"/>
      <c r="AY130" s="72"/>
      <c r="AZ130" s="72"/>
      <c r="BA130" s="72"/>
      <c r="BB130" s="72"/>
      <c r="BC130" s="72"/>
      <c r="BD130" s="72"/>
      <c r="BE130" s="72"/>
      <c r="BF130" s="72"/>
      <c r="BG130" s="72"/>
      <c r="BH130" s="72"/>
      <c r="BI130" s="72"/>
      <c r="BJ130" s="72"/>
      <c r="BK130" s="72"/>
      <c r="BL130" s="72"/>
      <c r="BM130" s="72"/>
      <c r="BN130" s="72"/>
      <c r="BO130" s="72"/>
      <c r="BP130" s="72"/>
      <c r="BQ130" s="72"/>
      <c r="BR130" s="72"/>
      <c r="BS130" s="72"/>
      <c r="BT130" s="72"/>
      <c r="BU130" s="72"/>
      <c r="BV130" s="72"/>
      <c r="BW130" s="72"/>
      <c r="BX130" s="72"/>
      <c r="BY130" s="72"/>
      <c r="BZ130" s="72"/>
      <c r="CA130" s="72"/>
      <c r="CB130" s="72"/>
      <c r="CC130" s="72"/>
      <c r="CD130" s="72"/>
      <c r="CE130" s="72"/>
      <c r="CF130" s="72"/>
      <c r="CG130" s="72"/>
      <c r="CH130" s="72"/>
    </row>
    <row r="131" ht="15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  <c r="AT131" s="72"/>
      <c r="AU131" s="72"/>
      <c r="AV131" s="72"/>
      <c r="AW131" s="72"/>
      <c r="AX131" s="72"/>
      <c r="AY131" s="72"/>
      <c r="AZ131" s="72"/>
      <c r="BA131" s="72"/>
      <c r="BB131" s="72"/>
      <c r="BC131" s="72"/>
      <c r="BD131" s="72"/>
      <c r="BE131" s="72"/>
      <c r="BF131" s="72"/>
      <c r="BG131" s="72"/>
      <c r="BH131" s="72"/>
      <c r="BI131" s="72"/>
      <c r="BJ131" s="72"/>
      <c r="BK131" s="72"/>
      <c r="BL131" s="72"/>
      <c r="BM131" s="72"/>
      <c r="BN131" s="72"/>
      <c r="BO131" s="72"/>
      <c r="BP131" s="72"/>
      <c r="BQ131" s="72"/>
      <c r="BR131" s="72"/>
      <c r="BS131" s="72"/>
      <c r="BT131" s="72"/>
      <c r="BU131" s="72"/>
      <c r="BV131" s="72"/>
      <c r="BW131" s="72"/>
      <c r="BX131" s="72"/>
      <c r="BY131" s="72"/>
      <c r="BZ131" s="72"/>
      <c r="CA131" s="72"/>
      <c r="CB131" s="72"/>
      <c r="CC131" s="72"/>
      <c r="CD131" s="72"/>
      <c r="CE131" s="72"/>
      <c r="CF131" s="72"/>
      <c r="CG131" s="72"/>
      <c r="CH131" s="72"/>
    </row>
    <row r="132" ht="15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  <c r="BS132" s="72"/>
      <c r="BT132" s="72"/>
      <c r="BU132" s="72"/>
      <c r="BV132" s="72"/>
      <c r="BW132" s="72"/>
      <c r="BX132" s="72"/>
      <c r="BY132" s="72"/>
      <c r="BZ132" s="72"/>
      <c r="CA132" s="72"/>
      <c r="CB132" s="72"/>
      <c r="CC132" s="72"/>
      <c r="CD132" s="72"/>
      <c r="CE132" s="72"/>
      <c r="CF132" s="72"/>
      <c r="CG132" s="72"/>
      <c r="CH132" s="72"/>
    </row>
    <row r="133" ht="15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72"/>
      <c r="BU133" s="72"/>
      <c r="BV133" s="72"/>
      <c r="BW133" s="72"/>
      <c r="BX133" s="72"/>
      <c r="BY133" s="72"/>
      <c r="BZ133" s="72"/>
      <c r="CA133" s="72"/>
      <c r="CB133" s="72"/>
      <c r="CC133" s="72"/>
      <c r="CD133" s="72"/>
      <c r="CE133" s="72"/>
      <c r="CF133" s="72"/>
      <c r="CG133" s="72"/>
      <c r="CH133" s="72"/>
    </row>
    <row r="134" ht="15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  <c r="AT134" s="72"/>
      <c r="AU134" s="72"/>
      <c r="AV134" s="72"/>
      <c r="AW134" s="72"/>
      <c r="AX134" s="72"/>
      <c r="AY134" s="72"/>
      <c r="AZ134" s="72"/>
      <c r="BA134" s="72"/>
      <c r="BB134" s="72"/>
      <c r="BC134" s="72"/>
      <c r="BD134" s="72"/>
      <c r="BE134" s="72"/>
      <c r="BF134" s="72"/>
      <c r="BG134" s="72"/>
      <c r="BH134" s="72"/>
      <c r="BI134" s="72"/>
      <c r="BJ134" s="72"/>
      <c r="BK134" s="72"/>
      <c r="BL134" s="72"/>
      <c r="BM134" s="72"/>
      <c r="BN134" s="72"/>
      <c r="BO134" s="72"/>
      <c r="BP134" s="72"/>
      <c r="BQ134" s="72"/>
      <c r="BR134" s="72"/>
      <c r="BS134" s="72"/>
      <c r="BT134" s="72"/>
      <c r="BU134" s="72"/>
      <c r="BV134" s="72"/>
      <c r="BW134" s="72"/>
      <c r="BX134" s="72"/>
      <c r="BY134" s="72"/>
      <c r="BZ134" s="72"/>
      <c r="CA134" s="72"/>
      <c r="CB134" s="72"/>
      <c r="CC134" s="72"/>
      <c r="CD134" s="72"/>
      <c r="CE134" s="72"/>
      <c r="CF134" s="72"/>
      <c r="CG134" s="72"/>
      <c r="CH134" s="72"/>
    </row>
    <row r="135" ht="15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  <c r="AT135" s="72"/>
      <c r="AU135" s="72"/>
      <c r="AV135" s="72"/>
      <c r="AW135" s="72"/>
      <c r="AX135" s="72"/>
      <c r="AY135" s="72"/>
      <c r="AZ135" s="72"/>
      <c r="BA135" s="72"/>
      <c r="BB135" s="72"/>
      <c r="BC135" s="72"/>
      <c r="BD135" s="72"/>
      <c r="BE135" s="72"/>
      <c r="BF135" s="72"/>
      <c r="BG135" s="72"/>
      <c r="BH135" s="72"/>
      <c r="BI135" s="72"/>
      <c r="BJ135" s="72"/>
      <c r="BK135" s="72"/>
      <c r="BL135" s="72"/>
      <c r="BM135" s="72"/>
      <c r="BN135" s="72"/>
      <c r="BO135" s="72"/>
      <c r="BP135" s="72"/>
      <c r="BQ135" s="72"/>
      <c r="BR135" s="72"/>
      <c r="BS135" s="72"/>
      <c r="BT135" s="72"/>
      <c r="BU135" s="72"/>
      <c r="BV135" s="72"/>
      <c r="BW135" s="72"/>
      <c r="BX135" s="72"/>
      <c r="BY135" s="72"/>
      <c r="BZ135" s="72"/>
      <c r="CA135" s="72"/>
      <c r="CB135" s="72"/>
      <c r="CC135" s="72"/>
      <c r="CD135" s="72"/>
      <c r="CE135" s="72"/>
      <c r="CF135" s="72"/>
      <c r="CG135" s="72"/>
      <c r="CH135" s="72"/>
    </row>
    <row r="136" ht="15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  <c r="AT136" s="72"/>
      <c r="AU136" s="72"/>
      <c r="AV136" s="72"/>
      <c r="AW136" s="72"/>
      <c r="AX136" s="72"/>
      <c r="AY136" s="72"/>
      <c r="AZ136" s="72"/>
      <c r="BA136" s="72"/>
      <c r="BB136" s="72"/>
      <c r="BC136" s="72"/>
      <c r="BD136" s="72"/>
      <c r="BE136" s="72"/>
      <c r="BF136" s="72"/>
      <c r="BG136" s="72"/>
      <c r="BH136" s="72"/>
      <c r="BI136" s="72"/>
      <c r="BJ136" s="72"/>
      <c r="BK136" s="72"/>
      <c r="BL136" s="72"/>
      <c r="BM136" s="72"/>
      <c r="BN136" s="72"/>
      <c r="BO136" s="72"/>
      <c r="BP136" s="72"/>
      <c r="BQ136" s="72"/>
      <c r="BR136" s="72"/>
      <c r="BS136" s="72"/>
      <c r="BT136" s="72"/>
      <c r="BU136" s="72"/>
      <c r="BV136" s="72"/>
      <c r="BW136" s="72"/>
      <c r="BX136" s="72"/>
      <c r="BY136" s="72"/>
      <c r="BZ136" s="72"/>
      <c r="CA136" s="72"/>
      <c r="CB136" s="72"/>
      <c r="CC136" s="72"/>
      <c r="CD136" s="72"/>
      <c r="CE136" s="72"/>
      <c r="CF136" s="72"/>
      <c r="CG136" s="72"/>
      <c r="CH136" s="72"/>
    </row>
    <row r="137" ht="15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  <c r="AT137" s="72"/>
      <c r="AU137" s="72"/>
      <c r="AV137" s="72"/>
      <c r="AW137" s="72"/>
      <c r="AX137" s="72"/>
      <c r="AY137" s="72"/>
      <c r="AZ137" s="72"/>
      <c r="BA137" s="72"/>
      <c r="BB137" s="72"/>
      <c r="BC137" s="72"/>
      <c r="BD137" s="72"/>
      <c r="BE137" s="72"/>
      <c r="BF137" s="72"/>
      <c r="BG137" s="72"/>
      <c r="BH137" s="72"/>
      <c r="BI137" s="72"/>
      <c r="BJ137" s="72"/>
      <c r="BK137" s="72"/>
      <c r="BL137" s="72"/>
      <c r="BM137" s="72"/>
      <c r="BN137" s="72"/>
      <c r="BO137" s="72"/>
      <c r="BP137" s="72"/>
      <c r="BQ137" s="72"/>
      <c r="BR137" s="72"/>
      <c r="BS137" s="72"/>
      <c r="BT137" s="72"/>
      <c r="BU137" s="72"/>
      <c r="BV137" s="72"/>
      <c r="BW137" s="72"/>
      <c r="BX137" s="72"/>
      <c r="BY137" s="72"/>
      <c r="BZ137" s="72"/>
      <c r="CA137" s="72"/>
      <c r="CB137" s="72"/>
      <c r="CC137" s="72"/>
      <c r="CD137" s="72"/>
      <c r="CE137" s="72"/>
      <c r="CF137" s="72"/>
      <c r="CG137" s="72"/>
      <c r="CH137" s="72"/>
    </row>
    <row r="138" ht="15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/>
      <c r="BN138" s="72"/>
      <c r="BO138" s="72"/>
      <c r="BP138" s="72"/>
      <c r="BQ138" s="72"/>
      <c r="BR138" s="72"/>
      <c r="BS138" s="72"/>
      <c r="BT138" s="72"/>
      <c r="BU138" s="72"/>
      <c r="BV138" s="72"/>
      <c r="BW138" s="72"/>
      <c r="BX138" s="72"/>
      <c r="BY138" s="72"/>
      <c r="BZ138" s="72"/>
      <c r="CA138" s="72"/>
      <c r="CB138" s="72"/>
      <c r="CC138" s="72"/>
      <c r="CD138" s="72"/>
      <c r="CE138" s="72"/>
      <c r="CF138" s="72"/>
      <c r="CG138" s="72"/>
      <c r="CH138" s="72"/>
    </row>
    <row r="139" ht="15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/>
      <c r="BN139" s="72"/>
      <c r="BO139" s="72"/>
      <c r="BP139" s="72"/>
      <c r="BQ139" s="72"/>
      <c r="BR139" s="72"/>
      <c r="BS139" s="72"/>
      <c r="BT139" s="72"/>
      <c r="BU139" s="72"/>
      <c r="BV139" s="72"/>
      <c r="BW139" s="72"/>
      <c r="BX139" s="72"/>
      <c r="BY139" s="72"/>
      <c r="BZ139" s="72"/>
      <c r="CA139" s="72"/>
      <c r="CB139" s="72"/>
      <c r="CC139" s="72"/>
      <c r="CD139" s="72"/>
      <c r="CE139" s="72"/>
      <c r="CF139" s="72"/>
      <c r="CG139" s="72"/>
      <c r="CH139" s="72"/>
    </row>
    <row r="140" ht="15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  <c r="AT140" s="72"/>
      <c r="AU140" s="72"/>
      <c r="AV140" s="72"/>
      <c r="AW140" s="72"/>
      <c r="AX140" s="72"/>
      <c r="AY140" s="72"/>
      <c r="AZ140" s="72"/>
      <c r="BA140" s="72"/>
      <c r="BB140" s="72"/>
      <c r="BC140" s="72"/>
      <c r="BD140" s="72"/>
      <c r="BE140" s="72"/>
      <c r="BF140" s="72"/>
      <c r="BG140" s="72"/>
      <c r="BH140" s="72"/>
      <c r="BI140" s="72"/>
      <c r="BJ140" s="72"/>
      <c r="BK140" s="72"/>
      <c r="BL140" s="72"/>
      <c r="BM140" s="72"/>
      <c r="BN140" s="72"/>
      <c r="BO140" s="72"/>
      <c r="BP140" s="72"/>
      <c r="BQ140" s="72"/>
      <c r="BR140" s="72"/>
      <c r="BS140" s="72"/>
      <c r="BT140" s="72"/>
      <c r="BU140" s="72"/>
      <c r="BV140" s="72"/>
      <c r="BW140" s="72"/>
      <c r="BX140" s="72"/>
      <c r="BY140" s="72"/>
      <c r="BZ140" s="72"/>
      <c r="CA140" s="72"/>
      <c r="CB140" s="72"/>
      <c r="CC140" s="72"/>
      <c r="CD140" s="72"/>
      <c r="CE140" s="72"/>
      <c r="CF140" s="72"/>
      <c r="CG140" s="72"/>
      <c r="CH140" s="72"/>
    </row>
    <row r="141" ht="15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  <c r="AT141" s="72"/>
      <c r="AU141" s="72"/>
      <c r="AV141" s="72"/>
      <c r="AW141" s="72"/>
      <c r="AX141" s="72"/>
      <c r="AY141" s="72"/>
      <c r="AZ141" s="72"/>
      <c r="BA141" s="72"/>
      <c r="BB141" s="72"/>
      <c r="BC141" s="72"/>
      <c r="BD141" s="72"/>
      <c r="BE141" s="72"/>
      <c r="BF141" s="72"/>
      <c r="BG141" s="72"/>
      <c r="BH141" s="72"/>
      <c r="BI141" s="72"/>
      <c r="BJ141" s="72"/>
      <c r="BK141" s="72"/>
      <c r="BL141" s="72"/>
      <c r="BM141" s="72"/>
      <c r="BN141" s="72"/>
      <c r="BO141" s="72"/>
      <c r="BP141" s="72"/>
      <c r="BQ141" s="72"/>
      <c r="BR141" s="72"/>
      <c r="BS141" s="72"/>
      <c r="BT141" s="72"/>
      <c r="BU141" s="72"/>
      <c r="BV141" s="72"/>
      <c r="BW141" s="72"/>
      <c r="BX141" s="72"/>
      <c r="BY141" s="72"/>
      <c r="BZ141" s="72"/>
      <c r="CA141" s="72"/>
      <c r="CB141" s="72"/>
      <c r="CC141" s="72"/>
      <c r="CD141" s="72"/>
      <c r="CE141" s="72"/>
      <c r="CF141" s="72"/>
      <c r="CG141" s="72"/>
      <c r="CH141" s="72"/>
    </row>
    <row r="142" ht="15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  <c r="AT142" s="72"/>
      <c r="AU142" s="72"/>
      <c r="AV142" s="72"/>
      <c r="AW142" s="72"/>
      <c r="AX142" s="72"/>
      <c r="AY142" s="72"/>
      <c r="AZ142" s="72"/>
      <c r="BA142" s="72"/>
      <c r="BB142" s="72"/>
      <c r="BC142" s="72"/>
      <c r="BD142" s="72"/>
      <c r="BE142" s="72"/>
      <c r="BF142" s="72"/>
      <c r="BG142" s="72"/>
      <c r="BH142" s="72"/>
      <c r="BI142" s="72"/>
      <c r="BJ142" s="72"/>
      <c r="BK142" s="72"/>
      <c r="BL142" s="72"/>
      <c r="BM142" s="72"/>
      <c r="BN142" s="72"/>
      <c r="BO142" s="72"/>
      <c r="BP142" s="72"/>
      <c r="BQ142" s="72"/>
      <c r="BR142" s="72"/>
      <c r="BS142" s="72"/>
      <c r="BT142" s="72"/>
      <c r="BU142" s="72"/>
      <c r="BV142" s="72"/>
      <c r="BW142" s="72"/>
      <c r="BX142" s="72"/>
      <c r="BY142" s="72"/>
      <c r="BZ142" s="72"/>
      <c r="CA142" s="72"/>
      <c r="CB142" s="72"/>
      <c r="CC142" s="72"/>
      <c r="CD142" s="72"/>
      <c r="CE142" s="72"/>
      <c r="CF142" s="72"/>
      <c r="CG142" s="72"/>
      <c r="CH142" s="72"/>
    </row>
    <row r="143" ht="15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  <c r="AT143" s="72"/>
      <c r="AU143" s="72"/>
      <c r="AV143" s="72"/>
      <c r="AW143" s="72"/>
      <c r="AX143" s="72"/>
      <c r="AY143" s="72"/>
      <c r="AZ143" s="72"/>
      <c r="BA143" s="72"/>
      <c r="BB143" s="72"/>
      <c r="BC143" s="72"/>
      <c r="BD143" s="72"/>
      <c r="BE143" s="72"/>
      <c r="BF143" s="72"/>
      <c r="BG143" s="72"/>
      <c r="BH143" s="72"/>
      <c r="BI143" s="72"/>
      <c r="BJ143" s="72"/>
      <c r="BK143" s="72"/>
      <c r="BL143" s="72"/>
      <c r="BM143" s="72"/>
      <c r="BN143" s="72"/>
      <c r="BO143" s="72"/>
      <c r="BP143" s="72"/>
      <c r="BQ143" s="72"/>
      <c r="BR143" s="72"/>
      <c r="BS143" s="72"/>
      <c r="BT143" s="72"/>
      <c r="BU143" s="72"/>
      <c r="BV143" s="72"/>
      <c r="BW143" s="72"/>
      <c r="BX143" s="72"/>
      <c r="BY143" s="72"/>
      <c r="BZ143" s="72"/>
      <c r="CA143" s="72"/>
      <c r="CB143" s="72"/>
      <c r="CC143" s="72"/>
      <c r="CD143" s="72"/>
      <c r="CE143" s="72"/>
      <c r="CF143" s="72"/>
      <c r="CG143" s="72"/>
      <c r="CH143" s="72"/>
    </row>
    <row r="144" ht="15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  <c r="AT144" s="72"/>
      <c r="AU144" s="72"/>
      <c r="AV144" s="72"/>
      <c r="AW144" s="72"/>
      <c r="AX144" s="72"/>
      <c r="AY144" s="72"/>
      <c r="AZ144" s="72"/>
      <c r="BA144" s="72"/>
      <c r="BB144" s="72"/>
      <c r="BC144" s="72"/>
      <c r="BD144" s="72"/>
      <c r="BE144" s="72"/>
      <c r="BF144" s="72"/>
      <c r="BG144" s="72"/>
      <c r="BH144" s="72"/>
      <c r="BI144" s="72"/>
      <c r="BJ144" s="72"/>
      <c r="BK144" s="72"/>
      <c r="BL144" s="72"/>
      <c r="BM144" s="72"/>
      <c r="BN144" s="72"/>
      <c r="BO144" s="72"/>
      <c r="BP144" s="72"/>
      <c r="BQ144" s="72"/>
      <c r="BR144" s="72"/>
      <c r="BS144" s="72"/>
      <c r="BT144" s="72"/>
      <c r="BU144" s="72"/>
      <c r="BV144" s="72"/>
      <c r="BW144" s="72"/>
      <c r="BX144" s="72"/>
      <c r="BY144" s="72"/>
      <c r="BZ144" s="72"/>
      <c r="CA144" s="72"/>
      <c r="CB144" s="72"/>
      <c r="CC144" s="72"/>
      <c r="CD144" s="72"/>
      <c r="CE144" s="72"/>
      <c r="CF144" s="72"/>
      <c r="CG144" s="72"/>
      <c r="CH144" s="72"/>
    </row>
    <row r="145" ht="15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  <c r="AT145" s="72"/>
      <c r="AU145" s="72"/>
      <c r="AV145" s="72"/>
      <c r="AW145" s="72"/>
      <c r="AX145" s="72"/>
      <c r="AY145" s="72"/>
      <c r="AZ145" s="72"/>
      <c r="BA145" s="72"/>
      <c r="BB145" s="72"/>
      <c r="BC145" s="72"/>
      <c r="BD145" s="72"/>
      <c r="BE145" s="72"/>
      <c r="BF145" s="72"/>
      <c r="BG145" s="72"/>
      <c r="BH145" s="72"/>
      <c r="BI145" s="72"/>
      <c r="BJ145" s="72"/>
      <c r="BK145" s="72"/>
      <c r="BL145" s="72"/>
      <c r="BM145" s="72"/>
      <c r="BN145" s="72"/>
      <c r="BO145" s="72"/>
      <c r="BP145" s="72"/>
      <c r="BQ145" s="72"/>
      <c r="BR145" s="72"/>
      <c r="BS145" s="72"/>
      <c r="BT145" s="72"/>
      <c r="BU145" s="72"/>
      <c r="BV145" s="72"/>
      <c r="BW145" s="72"/>
      <c r="BX145" s="72"/>
      <c r="BY145" s="72"/>
      <c r="BZ145" s="72"/>
      <c r="CA145" s="72"/>
      <c r="CB145" s="72"/>
      <c r="CC145" s="72"/>
      <c r="CD145" s="72"/>
      <c r="CE145" s="72"/>
      <c r="CF145" s="72"/>
      <c r="CG145" s="72"/>
      <c r="CH145" s="72"/>
    </row>
    <row r="146" ht="15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  <c r="AT146" s="72"/>
      <c r="AU146" s="72"/>
      <c r="AV146" s="72"/>
      <c r="AW146" s="72"/>
      <c r="AX146" s="72"/>
      <c r="AY146" s="72"/>
      <c r="AZ146" s="72"/>
      <c r="BA146" s="72"/>
      <c r="BB146" s="72"/>
      <c r="BC146" s="72"/>
      <c r="BD146" s="72"/>
      <c r="BE146" s="72"/>
      <c r="BF146" s="72"/>
      <c r="BG146" s="72"/>
      <c r="BH146" s="72"/>
      <c r="BI146" s="72"/>
      <c r="BJ146" s="72"/>
      <c r="BK146" s="72"/>
      <c r="BL146" s="72"/>
      <c r="BM146" s="72"/>
      <c r="BN146" s="72"/>
      <c r="BO146" s="72"/>
      <c r="BP146" s="72"/>
      <c r="BQ146" s="72"/>
      <c r="BR146" s="72"/>
      <c r="BS146" s="72"/>
      <c r="BT146" s="72"/>
      <c r="BU146" s="72"/>
      <c r="BV146" s="72"/>
      <c r="BW146" s="72"/>
      <c r="BX146" s="72"/>
      <c r="BY146" s="72"/>
      <c r="BZ146" s="72"/>
      <c r="CA146" s="72"/>
      <c r="CB146" s="72"/>
      <c r="CC146" s="72"/>
      <c r="CD146" s="72"/>
      <c r="CE146" s="72"/>
      <c r="CF146" s="72"/>
      <c r="CG146" s="72"/>
      <c r="CH146" s="72"/>
    </row>
    <row r="147" ht="15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  <c r="AT147" s="72"/>
      <c r="AU147" s="72"/>
      <c r="AV147" s="72"/>
      <c r="AW147" s="72"/>
      <c r="AX147" s="72"/>
      <c r="AY147" s="72"/>
      <c r="AZ147" s="72"/>
      <c r="BA147" s="72"/>
      <c r="BB147" s="72"/>
      <c r="BC147" s="72"/>
      <c r="BD147" s="72"/>
      <c r="BE147" s="72"/>
      <c r="BF147" s="72"/>
      <c r="BG147" s="72"/>
      <c r="BH147" s="72"/>
      <c r="BI147" s="72"/>
      <c r="BJ147" s="72"/>
      <c r="BK147" s="72"/>
      <c r="BL147" s="72"/>
      <c r="BM147" s="72"/>
      <c r="BN147" s="72"/>
      <c r="BO147" s="72"/>
      <c r="BP147" s="72"/>
      <c r="BQ147" s="72"/>
      <c r="BR147" s="72"/>
      <c r="BS147" s="72"/>
      <c r="BT147" s="72"/>
      <c r="BU147" s="72"/>
      <c r="BV147" s="72"/>
      <c r="BW147" s="72"/>
      <c r="BX147" s="72"/>
      <c r="BY147" s="72"/>
      <c r="BZ147" s="72"/>
      <c r="CA147" s="72"/>
      <c r="CB147" s="72"/>
      <c r="CC147" s="72"/>
      <c r="CD147" s="72"/>
      <c r="CE147" s="72"/>
      <c r="CF147" s="72"/>
      <c r="CG147" s="72"/>
      <c r="CH147" s="72"/>
    </row>
    <row r="148" ht="15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  <c r="AT148" s="72"/>
      <c r="AU148" s="72"/>
      <c r="AV148" s="72"/>
      <c r="AW148" s="72"/>
      <c r="AX148" s="72"/>
      <c r="AY148" s="72"/>
      <c r="AZ148" s="72"/>
      <c r="BA148" s="72"/>
      <c r="BB148" s="72"/>
      <c r="BC148" s="72"/>
      <c r="BD148" s="72"/>
      <c r="BE148" s="72"/>
      <c r="BF148" s="72"/>
      <c r="BG148" s="72"/>
      <c r="BH148" s="72"/>
      <c r="BI148" s="72"/>
      <c r="BJ148" s="72"/>
      <c r="BK148" s="72"/>
      <c r="BL148" s="72"/>
      <c r="BM148" s="72"/>
      <c r="BN148" s="72"/>
      <c r="BO148" s="72"/>
      <c r="BP148" s="72"/>
      <c r="BQ148" s="72"/>
      <c r="BR148" s="72"/>
      <c r="BS148" s="72"/>
      <c r="BT148" s="72"/>
      <c r="BU148" s="72"/>
      <c r="BV148" s="72"/>
      <c r="BW148" s="72"/>
      <c r="BX148" s="72"/>
      <c r="BY148" s="72"/>
      <c r="BZ148" s="72"/>
      <c r="CA148" s="72"/>
      <c r="CB148" s="72"/>
      <c r="CC148" s="72"/>
      <c r="CD148" s="72"/>
      <c r="CE148" s="72"/>
      <c r="CF148" s="72"/>
      <c r="CG148" s="72"/>
      <c r="CH148" s="72"/>
    </row>
    <row r="149" ht="15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  <c r="AT149" s="72"/>
      <c r="AU149" s="72"/>
      <c r="AV149" s="72"/>
      <c r="AW149" s="72"/>
      <c r="AX149" s="72"/>
      <c r="AY149" s="72"/>
      <c r="AZ149" s="72"/>
      <c r="BA149" s="72"/>
      <c r="BB149" s="72"/>
      <c r="BC149" s="72"/>
      <c r="BD149" s="72"/>
      <c r="BE149" s="72"/>
      <c r="BF149" s="72"/>
      <c r="BG149" s="72"/>
      <c r="BH149" s="72"/>
      <c r="BI149" s="72"/>
      <c r="BJ149" s="72"/>
      <c r="BK149" s="72"/>
      <c r="BL149" s="72"/>
      <c r="BM149" s="72"/>
      <c r="BN149" s="72"/>
      <c r="BO149" s="72"/>
      <c r="BP149" s="72"/>
      <c r="BQ149" s="72"/>
      <c r="BR149" s="72"/>
      <c r="BS149" s="72"/>
      <c r="BT149" s="72"/>
      <c r="BU149" s="72"/>
      <c r="BV149" s="72"/>
      <c r="BW149" s="72"/>
      <c r="BX149" s="72"/>
      <c r="BY149" s="72"/>
      <c r="BZ149" s="72"/>
      <c r="CA149" s="72"/>
      <c r="CB149" s="72"/>
      <c r="CC149" s="72"/>
      <c r="CD149" s="72"/>
      <c r="CE149" s="72"/>
      <c r="CF149" s="72"/>
      <c r="CG149" s="72"/>
      <c r="CH149" s="72"/>
    </row>
    <row r="150" ht="15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  <c r="AT150" s="72"/>
      <c r="AU150" s="72"/>
      <c r="AV150" s="72"/>
      <c r="AW150" s="72"/>
      <c r="AX150" s="72"/>
      <c r="AY150" s="72"/>
      <c r="AZ150" s="72"/>
      <c r="BA150" s="72"/>
      <c r="BB150" s="72"/>
      <c r="BC150" s="72"/>
      <c r="BD150" s="72"/>
      <c r="BE150" s="72"/>
      <c r="BF150" s="72"/>
      <c r="BG150" s="72"/>
      <c r="BH150" s="72"/>
      <c r="BI150" s="72"/>
      <c r="BJ150" s="72"/>
      <c r="BK150" s="72"/>
      <c r="BL150" s="72"/>
      <c r="BM150" s="72"/>
      <c r="BN150" s="72"/>
      <c r="BO150" s="72"/>
      <c r="BP150" s="72"/>
      <c r="BQ150" s="72"/>
      <c r="BR150" s="72"/>
      <c r="BS150" s="72"/>
      <c r="BT150" s="72"/>
      <c r="BU150" s="72"/>
      <c r="BV150" s="72"/>
      <c r="BW150" s="72"/>
      <c r="BX150" s="72"/>
      <c r="BY150" s="72"/>
      <c r="BZ150" s="72"/>
      <c r="CA150" s="72"/>
      <c r="CB150" s="72"/>
      <c r="CC150" s="72"/>
      <c r="CD150" s="72"/>
      <c r="CE150" s="72"/>
      <c r="CF150" s="72"/>
      <c r="CG150" s="72"/>
      <c r="CH150" s="72"/>
    </row>
    <row r="151" ht="15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  <c r="AT151" s="72"/>
      <c r="AU151" s="72"/>
      <c r="AV151" s="72"/>
      <c r="AW151" s="72"/>
      <c r="AX151" s="72"/>
      <c r="AY151" s="72"/>
      <c r="AZ151" s="72"/>
      <c r="BA151" s="72"/>
      <c r="BB151" s="72"/>
      <c r="BC151" s="72"/>
      <c r="BD151" s="72"/>
      <c r="BE151" s="72"/>
      <c r="BF151" s="72"/>
      <c r="BG151" s="72"/>
      <c r="BH151" s="72"/>
      <c r="BI151" s="72"/>
      <c r="BJ151" s="72"/>
      <c r="BK151" s="72"/>
      <c r="BL151" s="72"/>
      <c r="BM151" s="72"/>
      <c r="BN151" s="72"/>
      <c r="BO151" s="72"/>
      <c r="BP151" s="72"/>
      <c r="BQ151" s="72"/>
      <c r="BR151" s="72"/>
      <c r="BS151" s="72"/>
      <c r="BT151" s="72"/>
      <c r="BU151" s="72"/>
      <c r="BV151" s="72"/>
      <c r="BW151" s="72"/>
      <c r="BX151" s="72"/>
      <c r="BY151" s="72"/>
      <c r="BZ151" s="72"/>
      <c r="CA151" s="72"/>
      <c r="CB151" s="72"/>
      <c r="CC151" s="72"/>
      <c r="CD151" s="72"/>
      <c r="CE151" s="72"/>
      <c r="CF151" s="72"/>
      <c r="CG151" s="72"/>
      <c r="CH151" s="72"/>
    </row>
    <row r="152" ht="15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  <c r="AT152" s="72"/>
      <c r="AU152" s="72"/>
      <c r="AV152" s="72"/>
      <c r="AW152" s="72"/>
      <c r="AX152" s="72"/>
      <c r="AY152" s="72"/>
      <c r="AZ152" s="72"/>
      <c r="BA152" s="72"/>
      <c r="BB152" s="72"/>
      <c r="BC152" s="72"/>
      <c r="BD152" s="72"/>
      <c r="BE152" s="72"/>
      <c r="BF152" s="72"/>
      <c r="BG152" s="72"/>
      <c r="BH152" s="72"/>
      <c r="BI152" s="72"/>
      <c r="BJ152" s="72"/>
      <c r="BK152" s="72"/>
      <c r="BL152" s="72"/>
      <c r="BM152" s="72"/>
      <c r="BN152" s="72"/>
      <c r="BO152" s="72"/>
      <c r="BP152" s="72"/>
      <c r="BQ152" s="72"/>
      <c r="BR152" s="72"/>
      <c r="BS152" s="72"/>
      <c r="BT152" s="72"/>
      <c r="BU152" s="72"/>
      <c r="BV152" s="72"/>
      <c r="BW152" s="72"/>
      <c r="BX152" s="72"/>
      <c r="BY152" s="72"/>
      <c r="BZ152" s="72"/>
      <c r="CA152" s="72"/>
      <c r="CB152" s="72"/>
      <c r="CC152" s="72"/>
      <c r="CD152" s="72"/>
      <c r="CE152" s="72"/>
      <c r="CF152" s="72"/>
      <c r="CG152" s="72"/>
      <c r="CH152" s="72"/>
    </row>
    <row r="153" ht="15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/>
      <c r="BM153" s="72"/>
      <c r="BN153" s="72"/>
      <c r="BO153" s="72"/>
      <c r="BP153" s="72"/>
      <c r="BQ153" s="72"/>
      <c r="BR153" s="72"/>
      <c r="BS153" s="72"/>
      <c r="BT153" s="72"/>
      <c r="BU153" s="72"/>
      <c r="BV153" s="72"/>
      <c r="BW153" s="72"/>
      <c r="BX153" s="72"/>
      <c r="BY153" s="72"/>
      <c r="BZ153" s="72"/>
      <c r="CA153" s="72"/>
      <c r="CB153" s="72"/>
      <c r="CC153" s="72"/>
      <c r="CD153" s="72"/>
      <c r="CE153" s="72"/>
      <c r="CF153" s="72"/>
      <c r="CG153" s="72"/>
      <c r="CH153" s="72"/>
    </row>
    <row r="154" ht="15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/>
      <c r="BM154" s="72"/>
      <c r="BN154" s="72"/>
      <c r="BO154" s="72"/>
      <c r="BP154" s="72"/>
      <c r="BQ154" s="72"/>
      <c r="BR154" s="72"/>
      <c r="BS154" s="72"/>
      <c r="BT154" s="72"/>
      <c r="BU154" s="72"/>
      <c r="BV154" s="72"/>
      <c r="BW154" s="72"/>
      <c r="BX154" s="72"/>
      <c r="BY154" s="72"/>
      <c r="BZ154" s="72"/>
      <c r="CA154" s="72"/>
      <c r="CB154" s="72"/>
      <c r="CC154" s="72"/>
      <c r="CD154" s="72"/>
      <c r="CE154" s="72"/>
      <c r="CF154" s="72"/>
      <c r="CG154" s="72"/>
      <c r="CH154" s="72"/>
    </row>
    <row r="155" ht="15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/>
      <c r="BM155" s="72"/>
      <c r="BN155" s="72"/>
      <c r="BO155" s="72"/>
      <c r="BP155" s="72"/>
      <c r="BQ155" s="72"/>
      <c r="BR155" s="72"/>
      <c r="BS155" s="72"/>
      <c r="BT155" s="72"/>
      <c r="BU155" s="72"/>
      <c r="BV155" s="72"/>
      <c r="BW155" s="72"/>
      <c r="BX155" s="72"/>
      <c r="BY155" s="72"/>
      <c r="BZ155" s="72"/>
      <c r="CA155" s="72"/>
      <c r="CB155" s="72"/>
      <c r="CC155" s="72"/>
      <c r="CD155" s="72"/>
      <c r="CE155" s="72"/>
      <c r="CF155" s="72"/>
      <c r="CG155" s="72"/>
      <c r="CH155" s="72"/>
    </row>
    <row r="156" ht="15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/>
      <c r="BM156" s="72"/>
      <c r="BN156" s="72"/>
      <c r="BO156" s="72"/>
      <c r="BP156" s="72"/>
      <c r="BQ156" s="72"/>
      <c r="BR156" s="72"/>
      <c r="BS156" s="72"/>
      <c r="BT156" s="72"/>
      <c r="BU156" s="72"/>
      <c r="BV156" s="72"/>
      <c r="BW156" s="72"/>
      <c r="BX156" s="72"/>
      <c r="BY156" s="72"/>
      <c r="BZ156" s="72"/>
      <c r="CA156" s="72"/>
      <c r="CB156" s="72"/>
      <c r="CC156" s="72"/>
      <c r="CD156" s="72"/>
      <c r="CE156" s="72"/>
      <c r="CF156" s="72"/>
      <c r="CG156" s="72"/>
      <c r="CH156" s="72"/>
    </row>
    <row r="157" ht="15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/>
      <c r="BM157" s="72"/>
      <c r="BN157" s="72"/>
      <c r="BO157" s="72"/>
      <c r="BP157" s="72"/>
      <c r="BQ157" s="72"/>
      <c r="BR157" s="72"/>
      <c r="BS157" s="72"/>
      <c r="BT157" s="72"/>
      <c r="BU157" s="72"/>
      <c r="BV157" s="72"/>
      <c r="BW157" s="72"/>
      <c r="BX157" s="72"/>
      <c r="BY157" s="72"/>
      <c r="BZ157" s="72"/>
      <c r="CA157" s="72"/>
      <c r="CB157" s="72"/>
      <c r="CC157" s="72"/>
      <c r="CD157" s="72"/>
      <c r="CE157" s="72"/>
      <c r="CF157" s="72"/>
      <c r="CG157" s="72"/>
      <c r="CH157" s="72"/>
    </row>
    <row r="158" ht="15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/>
      <c r="BN158" s="72"/>
      <c r="BO158" s="72"/>
      <c r="BP158" s="72"/>
      <c r="BQ158" s="72"/>
      <c r="BR158" s="72"/>
      <c r="BS158" s="72"/>
      <c r="BT158" s="72"/>
      <c r="BU158" s="72"/>
      <c r="BV158" s="72"/>
      <c r="BW158" s="72"/>
      <c r="BX158" s="72"/>
      <c r="BY158" s="72"/>
      <c r="BZ158" s="72"/>
      <c r="CA158" s="72"/>
      <c r="CB158" s="72"/>
      <c r="CC158" s="72"/>
      <c r="CD158" s="72"/>
      <c r="CE158" s="72"/>
      <c r="CF158" s="72"/>
      <c r="CG158" s="72"/>
      <c r="CH158" s="72"/>
    </row>
    <row r="159" ht="15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/>
      <c r="BN159" s="72"/>
      <c r="BO159" s="72"/>
      <c r="BP159" s="72"/>
      <c r="BQ159" s="72"/>
      <c r="BR159" s="72"/>
      <c r="BS159" s="72"/>
      <c r="BT159" s="72"/>
      <c r="BU159" s="72"/>
      <c r="BV159" s="72"/>
      <c r="BW159" s="72"/>
      <c r="BX159" s="72"/>
      <c r="BY159" s="72"/>
      <c r="BZ159" s="72"/>
      <c r="CA159" s="72"/>
      <c r="CB159" s="72"/>
      <c r="CC159" s="72"/>
      <c r="CD159" s="72"/>
      <c r="CE159" s="72"/>
      <c r="CF159" s="72"/>
      <c r="CG159" s="72"/>
      <c r="CH159" s="72"/>
    </row>
    <row r="160" ht="15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/>
      <c r="BN160" s="72"/>
      <c r="BO160" s="72"/>
      <c r="BP160" s="72"/>
      <c r="BQ160" s="72"/>
      <c r="BR160" s="72"/>
      <c r="BS160" s="72"/>
      <c r="BT160" s="72"/>
      <c r="BU160" s="72"/>
      <c r="BV160" s="72"/>
      <c r="BW160" s="72"/>
      <c r="BX160" s="72"/>
      <c r="BY160" s="72"/>
      <c r="BZ160" s="72"/>
      <c r="CA160" s="72"/>
      <c r="CB160" s="72"/>
      <c r="CC160" s="72"/>
      <c r="CD160" s="72"/>
      <c r="CE160" s="72"/>
      <c r="CF160" s="72"/>
      <c r="CG160" s="72"/>
      <c r="CH160" s="72"/>
    </row>
    <row r="161" ht="15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/>
      <c r="BN161" s="72"/>
      <c r="BO161" s="72"/>
      <c r="BP161" s="72"/>
      <c r="BQ161" s="72"/>
      <c r="BR161" s="72"/>
      <c r="BS161" s="72"/>
      <c r="BT161" s="72"/>
      <c r="BU161" s="72"/>
      <c r="BV161" s="72"/>
      <c r="BW161" s="72"/>
      <c r="BX161" s="72"/>
      <c r="BY161" s="72"/>
      <c r="BZ161" s="72"/>
      <c r="CA161" s="72"/>
      <c r="CB161" s="72"/>
      <c r="CC161" s="72"/>
      <c r="CD161" s="72"/>
      <c r="CE161" s="72"/>
      <c r="CF161" s="72"/>
      <c r="CG161" s="72"/>
      <c r="CH161" s="72"/>
    </row>
    <row r="162" ht="15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/>
      <c r="BN162" s="72"/>
      <c r="BO162" s="72"/>
      <c r="BP162" s="72"/>
      <c r="BQ162" s="72"/>
      <c r="BR162" s="72"/>
      <c r="BS162" s="72"/>
      <c r="BT162" s="72"/>
      <c r="BU162" s="72"/>
      <c r="BV162" s="72"/>
      <c r="BW162" s="72"/>
      <c r="BX162" s="72"/>
      <c r="BY162" s="72"/>
      <c r="BZ162" s="72"/>
      <c r="CA162" s="72"/>
      <c r="CB162" s="72"/>
      <c r="CC162" s="72"/>
      <c r="CD162" s="72"/>
      <c r="CE162" s="72"/>
      <c r="CF162" s="72"/>
      <c r="CG162" s="72"/>
      <c r="CH162" s="72"/>
    </row>
    <row r="163" ht="15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/>
      <c r="BN163" s="72"/>
      <c r="BO163" s="72"/>
      <c r="BP163" s="72"/>
      <c r="BQ163" s="72"/>
      <c r="BR163" s="72"/>
      <c r="BS163" s="72"/>
      <c r="BT163" s="72"/>
      <c r="BU163" s="72"/>
      <c r="BV163" s="72"/>
      <c r="BW163" s="72"/>
      <c r="BX163" s="72"/>
      <c r="BY163" s="72"/>
      <c r="BZ163" s="72"/>
      <c r="CA163" s="72"/>
      <c r="CB163" s="72"/>
      <c r="CC163" s="72"/>
      <c r="CD163" s="72"/>
      <c r="CE163" s="72"/>
      <c r="CF163" s="72"/>
      <c r="CG163" s="72"/>
      <c r="CH163" s="72"/>
    </row>
    <row r="164" ht="15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  <c r="BS164" s="72"/>
      <c r="BT164" s="72"/>
      <c r="BU164" s="72"/>
      <c r="BV164" s="72"/>
      <c r="BW164" s="72"/>
      <c r="BX164" s="72"/>
      <c r="BY164" s="72"/>
      <c r="BZ164" s="72"/>
      <c r="CA164" s="72"/>
      <c r="CB164" s="72"/>
      <c r="CC164" s="72"/>
      <c r="CD164" s="72"/>
      <c r="CE164" s="72"/>
      <c r="CF164" s="72"/>
      <c r="CG164" s="72"/>
      <c r="CH164" s="72"/>
    </row>
    <row r="165" ht="15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  <c r="AT165" s="72"/>
      <c r="AU165" s="72"/>
      <c r="AV165" s="72"/>
      <c r="AW165" s="72"/>
      <c r="AX165" s="72"/>
      <c r="AY165" s="72"/>
      <c r="AZ165" s="72"/>
      <c r="BA165" s="72"/>
      <c r="BB165" s="72"/>
      <c r="BC165" s="72"/>
      <c r="BD165" s="72"/>
      <c r="BE165" s="72"/>
      <c r="BF165" s="72"/>
      <c r="BG165" s="72"/>
      <c r="BH165" s="72"/>
      <c r="BI165" s="72"/>
      <c r="BJ165" s="72"/>
      <c r="BK165" s="72"/>
      <c r="BL165" s="72"/>
      <c r="BM165" s="72"/>
      <c r="BN165" s="72"/>
      <c r="BO165" s="72"/>
      <c r="BP165" s="72"/>
      <c r="BQ165" s="72"/>
      <c r="BR165" s="72"/>
      <c r="BS165" s="72"/>
      <c r="BT165" s="72"/>
      <c r="BU165" s="72"/>
      <c r="BV165" s="72"/>
      <c r="BW165" s="72"/>
      <c r="BX165" s="72"/>
      <c r="BY165" s="72"/>
      <c r="BZ165" s="72"/>
      <c r="CA165" s="72"/>
      <c r="CB165" s="72"/>
      <c r="CC165" s="72"/>
      <c r="CD165" s="72"/>
      <c r="CE165" s="72"/>
      <c r="CF165" s="72"/>
      <c r="CG165" s="72"/>
      <c r="CH165" s="72"/>
    </row>
    <row r="166" ht="15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  <c r="AQ166" s="72"/>
      <c r="AR166" s="72"/>
      <c r="AS166" s="72"/>
      <c r="AT166" s="72"/>
      <c r="AU166" s="72"/>
      <c r="AV166" s="72"/>
      <c r="AW166" s="72"/>
      <c r="AX166" s="72"/>
      <c r="AY166" s="72"/>
      <c r="AZ166" s="72"/>
      <c r="BA166" s="72"/>
      <c r="BB166" s="72"/>
      <c r="BC166" s="72"/>
      <c r="BD166" s="72"/>
      <c r="BE166" s="72"/>
      <c r="BF166" s="72"/>
      <c r="BG166" s="72"/>
      <c r="BH166" s="72"/>
      <c r="BI166" s="72"/>
      <c r="BJ166" s="72"/>
      <c r="BK166" s="72"/>
      <c r="BL166" s="72"/>
      <c r="BM166" s="72"/>
      <c r="BN166" s="72"/>
      <c r="BO166" s="72"/>
      <c r="BP166" s="72"/>
      <c r="BQ166" s="72"/>
      <c r="BR166" s="72"/>
      <c r="BS166" s="72"/>
      <c r="BT166" s="72"/>
      <c r="BU166" s="72"/>
      <c r="BV166" s="72"/>
      <c r="BW166" s="72"/>
      <c r="BX166" s="72"/>
      <c r="BY166" s="72"/>
      <c r="BZ166" s="72"/>
      <c r="CA166" s="72"/>
      <c r="CB166" s="72"/>
      <c r="CC166" s="72"/>
      <c r="CD166" s="72"/>
      <c r="CE166" s="72"/>
      <c r="CF166" s="72"/>
      <c r="CG166" s="72"/>
      <c r="CH166" s="72"/>
    </row>
    <row r="167" ht="15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  <c r="AT167" s="72"/>
      <c r="AU167" s="72"/>
      <c r="AV167" s="72"/>
      <c r="AW167" s="72"/>
      <c r="AX167" s="72"/>
      <c r="AY167" s="72"/>
      <c r="AZ167" s="72"/>
      <c r="BA167" s="72"/>
      <c r="BB167" s="72"/>
      <c r="BC167" s="72"/>
      <c r="BD167" s="72"/>
      <c r="BE167" s="72"/>
      <c r="BF167" s="72"/>
      <c r="BG167" s="72"/>
      <c r="BH167" s="72"/>
      <c r="BI167" s="72"/>
      <c r="BJ167" s="72"/>
      <c r="BK167" s="72"/>
      <c r="BL167" s="72"/>
      <c r="BM167" s="72"/>
      <c r="BN167" s="72"/>
      <c r="BO167" s="72"/>
      <c r="BP167" s="72"/>
      <c r="BQ167" s="72"/>
      <c r="BR167" s="72"/>
      <c r="BS167" s="72"/>
      <c r="BT167" s="72"/>
      <c r="BU167" s="72"/>
      <c r="BV167" s="72"/>
      <c r="BW167" s="72"/>
      <c r="BX167" s="72"/>
      <c r="BY167" s="72"/>
      <c r="BZ167" s="72"/>
      <c r="CA167" s="72"/>
      <c r="CB167" s="72"/>
      <c r="CC167" s="72"/>
      <c r="CD167" s="72"/>
      <c r="CE167" s="72"/>
      <c r="CF167" s="72"/>
      <c r="CG167" s="72"/>
      <c r="CH167" s="72"/>
    </row>
    <row r="168" ht="15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  <c r="AT168" s="72"/>
      <c r="AU168" s="72"/>
      <c r="AV168" s="72"/>
      <c r="AW168" s="72"/>
      <c r="AX168" s="72"/>
      <c r="AY168" s="72"/>
      <c r="AZ168" s="72"/>
      <c r="BA168" s="72"/>
      <c r="BB168" s="72"/>
      <c r="BC168" s="72"/>
      <c r="BD168" s="72"/>
      <c r="BE168" s="72"/>
      <c r="BF168" s="72"/>
      <c r="BG168" s="72"/>
      <c r="BH168" s="72"/>
      <c r="BI168" s="72"/>
      <c r="BJ168" s="72"/>
      <c r="BK168" s="72"/>
      <c r="BL168" s="72"/>
      <c r="BM168" s="72"/>
      <c r="BN168" s="72"/>
      <c r="BO168" s="72"/>
      <c r="BP168" s="72"/>
      <c r="BQ168" s="72"/>
      <c r="BR168" s="72"/>
      <c r="BS168" s="72"/>
      <c r="BT168" s="72"/>
      <c r="BU168" s="72"/>
      <c r="BV168" s="72"/>
      <c r="BW168" s="72"/>
      <c r="BX168" s="72"/>
      <c r="BY168" s="72"/>
      <c r="BZ168" s="72"/>
      <c r="CA168" s="72"/>
      <c r="CB168" s="72"/>
      <c r="CC168" s="72"/>
      <c r="CD168" s="72"/>
      <c r="CE168" s="72"/>
      <c r="CF168" s="72"/>
      <c r="CG168" s="72"/>
      <c r="CH168" s="72"/>
    </row>
    <row r="169" ht="15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  <c r="AT169" s="72"/>
      <c r="AU169" s="72"/>
      <c r="AV169" s="72"/>
      <c r="AW169" s="72"/>
      <c r="AX169" s="72"/>
      <c r="AY169" s="72"/>
      <c r="AZ169" s="72"/>
      <c r="BA169" s="72"/>
      <c r="BB169" s="72"/>
      <c r="BC169" s="72"/>
      <c r="BD169" s="72"/>
      <c r="BE169" s="72"/>
      <c r="BF169" s="72"/>
      <c r="BG169" s="72"/>
      <c r="BH169" s="72"/>
      <c r="BI169" s="72"/>
      <c r="BJ169" s="72"/>
      <c r="BK169" s="72"/>
      <c r="BL169" s="72"/>
      <c r="BM169" s="72"/>
      <c r="BN169" s="72"/>
      <c r="BO169" s="72"/>
      <c r="BP169" s="72"/>
      <c r="BQ169" s="72"/>
      <c r="BR169" s="72"/>
      <c r="BS169" s="72"/>
      <c r="BT169" s="72"/>
      <c r="BU169" s="72"/>
      <c r="BV169" s="72"/>
      <c r="BW169" s="72"/>
      <c r="BX169" s="72"/>
      <c r="BY169" s="72"/>
      <c r="BZ169" s="72"/>
      <c r="CA169" s="72"/>
      <c r="CB169" s="72"/>
      <c r="CC169" s="72"/>
      <c r="CD169" s="72"/>
      <c r="CE169" s="72"/>
      <c r="CF169" s="72"/>
      <c r="CG169" s="72"/>
      <c r="CH169" s="72"/>
    </row>
    <row r="170" ht="15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  <c r="AT170" s="72"/>
      <c r="AU170" s="72"/>
      <c r="AV170" s="72"/>
      <c r="AW170" s="72"/>
      <c r="AX170" s="72"/>
      <c r="AY170" s="72"/>
      <c r="AZ170" s="72"/>
      <c r="BA170" s="72"/>
      <c r="BB170" s="72"/>
      <c r="BC170" s="72"/>
      <c r="BD170" s="72"/>
      <c r="BE170" s="72"/>
      <c r="BF170" s="72"/>
      <c r="BG170" s="72"/>
      <c r="BH170" s="72"/>
      <c r="BI170" s="72"/>
      <c r="BJ170" s="72"/>
      <c r="BK170" s="72"/>
      <c r="BL170" s="72"/>
      <c r="BM170" s="72"/>
      <c r="BN170" s="72"/>
      <c r="BO170" s="72"/>
      <c r="BP170" s="72"/>
      <c r="BQ170" s="72"/>
      <c r="BR170" s="72"/>
      <c r="BS170" s="72"/>
      <c r="BT170" s="72"/>
      <c r="BU170" s="72"/>
      <c r="BV170" s="72"/>
      <c r="BW170" s="72"/>
      <c r="BX170" s="72"/>
      <c r="BY170" s="72"/>
      <c r="BZ170" s="72"/>
      <c r="CA170" s="72"/>
      <c r="CB170" s="72"/>
      <c r="CC170" s="72"/>
      <c r="CD170" s="72"/>
      <c r="CE170" s="72"/>
      <c r="CF170" s="72"/>
      <c r="CG170" s="72"/>
      <c r="CH170" s="72"/>
    </row>
    <row r="171" ht="15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  <c r="AT171" s="72"/>
      <c r="AU171" s="72"/>
      <c r="AV171" s="72"/>
      <c r="AW171" s="72"/>
      <c r="AX171" s="72"/>
      <c r="AY171" s="72"/>
      <c r="AZ171" s="72"/>
      <c r="BA171" s="72"/>
      <c r="BB171" s="72"/>
      <c r="BC171" s="72"/>
      <c r="BD171" s="72"/>
      <c r="BE171" s="72"/>
      <c r="BF171" s="72"/>
      <c r="BG171" s="72"/>
      <c r="BH171" s="72"/>
      <c r="BI171" s="72"/>
      <c r="BJ171" s="72"/>
      <c r="BK171" s="72"/>
      <c r="BL171" s="72"/>
      <c r="BM171" s="72"/>
      <c r="BN171" s="72"/>
      <c r="BO171" s="72"/>
      <c r="BP171" s="72"/>
      <c r="BQ171" s="72"/>
      <c r="BR171" s="72"/>
      <c r="BS171" s="72"/>
      <c r="BT171" s="72"/>
      <c r="BU171" s="72"/>
      <c r="BV171" s="72"/>
      <c r="BW171" s="72"/>
      <c r="BX171" s="72"/>
      <c r="BY171" s="72"/>
      <c r="BZ171" s="72"/>
      <c r="CA171" s="72"/>
      <c r="CB171" s="72"/>
      <c r="CC171" s="72"/>
      <c r="CD171" s="72"/>
      <c r="CE171" s="72"/>
      <c r="CF171" s="72"/>
      <c r="CG171" s="72"/>
      <c r="CH171" s="72"/>
    </row>
    <row r="172" ht="15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  <c r="AT172" s="72"/>
      <c r="AU172" s="72"/>
      <c r="AV172" s="72"/>
      <c r="AW172" s="72"/>
      <c r="AX172" s="72"/>
      <c r="AY172" s="72"/>
      <c r="AZ172" s="72"/>
      <c r="BA172" s="72"/>
      <c r="BB172" s="72"/>
      <c r="BC172" s="72"/>
      <c r="BD172" s="72"/>
      <c r="BE172" s="72"/>
      <c r="BF172" s="72"/>
      <c r="BG172" s="72"/>
      <c r="BH172" s="72"/>
      <c r="BI172" s="72"/>
      <c r="BJ172" s="72"/>
      <c r="BK172" s="72"/>
      <c r="BL172" s="72"/>
      <c r="BM172" s="72"/>
      <c r="BN172" s="72"/>
      <c r="BO172" s="72"/>
      <c r="BP172" s="72"/>
      <c r="BQ172" s="72"/>
      <c r="BR172" s="72"/>
      <c r="BS172" s="72"/>
      <c r="BT172" s="72"/>
      <c r="BU172" s="72"/>
      <c r="BV172" s="72"/>
      <c r="BW172" s="72"/>
      <c r="BX172" s="72"/>
      <c r="BY172" s="72"/>
      <c r="BZ172" s="72"/>
      <c r="CA172" s="72"/>
      <c r="CB172" s="72"/>
      <c r="CC172" s="72"/>
      <c r="CD172" s="72"/>
      <c r="CE172" s="72"/>
      <c r="CF172" s="72"/>
      <c r="CG172" s="72"/>
      <c r="CH172" s="72"/>
    </row>
    <row r="173" ht="15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  <c r="AT173" s="72"/>
      <c r="AU173" s="72"/>
      <c r="AV173" s="72"/>
      <c r="AW173" s="72"/>
      <c r="AX173" s="72"/>
      <c r="AY173" s="72"/>
      <c r="AZ173" s="72"/>
      <c r="BA173" s="72"/>
      <c r="BB173" s="72"/>
      <c r="BC173" s="72"/>
      <c r="BD173" s="72"/>
      <c r="BE173" s="72"/>
      <c r="BF173" s="72"/>
      <c r="BG173" s="72"/>
      <c r="BH173" s="72"/>
      <c r="BI173" s="72"/>
      <c r="BJ173" s="72"/>
      <c r="BK173" s="72"/>
      <c r="BL173" s="72"/>
      <c r="BM173" s="72"/>
      <c r="BN173" s="72"/>
      <c r="BO173" s="72"/>
      <c r="BP173" s="72"/>
      <c r="BQ173" s="72"/>
      <c r="BR173" s="72"/>
      <c r="BS173" s="72"/>
      <c r="BT173" s="72"/>
      <c r="BU173" s="72"/>
      <c r="BV173" s="72"/>
      <c r="BW173" s="72"/>
      <c r="BX173" s="72"/>
      <c r="BY173" s="72"/>
      <c r="BZ173" s="72"/>
      <c r="CA173" s="72"/>
      <c r="CB173" s="72"/>
      <c r="CC173" s="72"/>
      <c r="CD173" s="72"/>
      <c r="CE173" s="72"/>
      <c r="CF173" s="72"/>
      <c r="CG173" s="72"/>
      <c r="CH173" s="72"/>
    </row>
    <row r="174" ht="15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  <c r="AT174" s="72"/>
      <c r="AU174" s="72"/>
      <c r="AV174" s="72"/>
      <c r="AW174" s="72"/>
      <c r="AX174" s="72"/>
      <c r="AY174" s="72"/>
      <c r="AZ174" s="72"/>
      <c r="BA174" s="72"/>
      <c r="BB174" s="72"/>
      <c r="BC174" s="72"/>
      <c r="BD174" s="72"/>
      <c r="BE174" s="72"/>
      <c r="BF174" s="72"/>
      <c r="BG174" s="72"/>
      <c r="BH174" s="72"/>
      <c r="BI174" s="72"/>
      <c r="BJ174" s="72"/>
      <c r="BK174" s="72"/>
      <c r="BL174" s="72"/>
      <c r="BM174" s="72"/>
      <c r="BN174" s="72"/>
      <c r="BO174" s="72"/>
      <c r="BP174" s="72"/>
      <c r="BQ174" s="72"/>
      <c r="BR174" s="72"/>
      <c r="BS174" s="72"/>
      <c r="BT174" s="72"/>
      <c r="BU174" s="72"/>
      <c r="BV174" s="72"/>
      <c r="BW174" s="72"/>
      <c r="BX174" s="72"/>
      <c r="BY174" s="72"/>
      <c r="BZ174" s="72"/>
      <c r="CA174" s="72"/>
      <c r="CB174" s="72"/>
      <c r="CC174" s="72"/>
      <c r="CD174" s="72"/>
      <c r="CE174" s="72"/>
      <c r="CF174" s="72"/>
      <c r="CG174" s="72"/>
      <c r="CH174" s="72"/>
    </row>
    <row r="175" ht="15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  <c r="AT175" s="72"/>
      <c r="AU175" s="72"/>
      <c r="AV175" s="72"/>
      <c r="AW175" s="72"/>
      <c r="AX175" s="72"/>
      <c r="AY175" s="72"/>
      <c r="AZ175" s="72"/>
      <c r="BA175" s="72"/>
      <c r="BB175" s="72"/>
      <c r="BC175" s="72"/>
      <c r="BD175" s="72"/>
      <c r="BE175" s="72"/>
      <c r="BF175" s="72"/>
      <c r="BG175" s="72"/>
      <c r="BH175" s="72"/>
      <c r="BI175" s="72"/>
      <c r="BJ175" s="72"/>
      <c r="BK175" s="72"/>
      <c r="BL175" s="72"/>
      <c r="BM175" s="72"/>
      <c r="BN175" s="72"/>
      <c r="BO175" s="72"/>
      <c r="BP175" s="72"/>
      <c r="BQ175" s="72"/>
      <c r="BR175" s="72"/>
      <c r="BS175" s="72"/>
      <c r="BT175" s="72"/>
      <c r="BU175" s="72"/>
      <c r="BV175" s="72"/>
      <c r="BW175" s="72"/>
      <c r="BX175" s="72"/>
      <c r="BY175" s="72"/>
      <c r="BZ175" s="72"/>
      <c r="CA175" s="72"/>
      <c r="CB175" s="72"/>
      <c r="CC175" s="72"/>
      <c r="CD175" s="72"/>
      <c r="CE175" s="72"/>
      <c r="CF175" s="72"/>
      <c r="CG175" s="72"/>
      <c r="CH175" s="72"/>
    </row>
    <row r="176" ht="15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/>
      <c r="BM176" s="72"/>
      <c r="BN176" s="72"/>
      <c r="BO176" s="72"/>
      <c r="BP176" s="72"/>
      <c r="BQ176" s="72"/>
      <c r="BR176" s="72"/>
      <c r="BS176" s="72"/>
      <c r="BT176" s="72"/>
      <c r="BU176" s="72"/>
      <c r="BV176" s="72"/>
      <c r="BW176" s="72"/>
      <c r="BX176" s="72"/>
      <c r="BY176" s="72"/>
      <c r="BZ176" s="72"/>
      <c r="CA176" s="72"/>
      <c r="CB176" s="72"/>
      <c r="CC176" s="72"/>
      <c r="CD176" s="72"/>
      <c r="CE176" s="72"/>
      <c r="CF176" s="72"/>
      <c r="CG176" s="72"/>
      <c r="CH176" s="72"/>
    </row>
    <row r="177" ht="15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  <c r="BM177" s="72"/>
      <c r="BN177" s="72"/>
      <c r="BO177" s="72"/>
      <c r="BP177" s="72"/>
      <c r="BQ177" s="72"/>
      <c r="BR177" s="72"/>
      <c r="BS177" s="72"/>
      <c r="BT177" s="72"/>
      <c r="BU177" s="72"/>
      <c r="BV177" s="72"/>
      <c r="BW177" s="72"/>
      <c r="BX177" s="72"/>
      <c r="BY177" s="72"/>
      <c r="BZ177" s="72"/>
      <c r="CA177" s="72"/>
      <c r="CB177" s="72"/>
      <c r="CC177" s="72"/>
      <c r="CD177" s="72"/>
      <c r="CE177" s="72"/>
      <c r="CF177" s="72"/>
      <c r="CG177" s="72"/>
      <c r="CH177" s="72"/>
    </row>
    <row r="178" ht="15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/>
      <c r="BM178" s="72"/>
      <c r="BN178" s="72"/>
      <c r="BO178" s="72"/>
      <c r="BP178" s="72"/>
      <c r="BQ178" s="72"/>
      <c r="BR178" s="72"/>
      <c r="BS178" s="72"/>
      <c r="BT178" s="72"/>
      <c r="BU178" s="72"/>
      <c r="BV178" s="72"/>
      <c r="BW178" s="72"/>
      <c r="BX178" s="72"/>
      <c r="BY178" s="72"/>
      <c r="BZ178" s="72"/>
      <c r="CA178" s="72"/>
      <c r="CB178" s="72"/>
      <c r="CC178" s="72"/>
      <c r="CD178" s="72"/>
      <c r="CE178" s="72"/>
      <c r="CF178" s="72"/>
      <c r="CG178" s="72"/>
      <c r="CH178" s="72"/>
    </row>
    <row r="179" ht="15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  <c r="BM179" s="72"/>
      <c r="BN179" s="72"/>
      <c r="BO179" s="72"/>
      <c r="BP179" s="72"/>
      <c r="BQ179" s="72"/>
      <c r="BR179" s="72"/>
      <c r="BS179" s="72"/>
      <c r="BT179" s="72"/>
      <c r="BU179" s="72"/>
      <c r="BV179" s="72"/>
      <c r="BW179" s="72"/>
      <c r="BX179" s="72"/>
      <c r="BY179" s="72"/>
      <c r="BZ179" s="72"/>
      <c r="CA179" s="72"/>
      <c r="CB179" s="72"/>
      <c r="CC179" s="72"/>
      <c r="CD179" s="72"/>
      <c r="CE179" s="72"/>
      <c r="CF179" s="72"/>
      <c r="CG179" s="72"/>
      <c r="CH179" s="72"/>
    </row>
    <row r="180" ht="15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  <c r="AT180" s="72"/>
      <c r="AU180" s="72"/>
      <c r="AV180" s="72"/>
      <c r="AW180" s="72"/>
      <c r="AX180" s="72"/>
      <c r="AY180" s="72"/>
      <c r="AZ180" s="72"/>
      <c r="BA180" s="72"/>
      <c r="BB180" s="72"/>
      <c r="BC180" s="72"/>
      <c r="BD180" s="72"/>
      <c r="BE180" s="72"/>
      <c r="BF180" s="72"/>
      <c r="BG180" s="72"/>
      <c r="BH180" s="72"/>
      <c r="BI180" s="72"/>
      <c r="BJ180" s="72"/>
      <c r="BK180" s="72"/>
      <c r="BL180" s="72"/>
      <c r="BM180" s="72"/>
      <c r="BN180" s="72"/>
      <c r="BO180" s="72"/>
      <c r="BP180" s="72"/>
      <c r="BQ180" s="72"/>
      <c r="BR180" s="72"/>
      <c r="BS180" s="72"/>
      <c r="BT180" s="72"/>
      <c r="BU180" s="72"/>
      <c r="BV180" s="72"/>
      <c r="BW180" s="72"/>
      <c r="BX180" s="72"/>
      <c r="BY180" s="72"/>
      <c r="BZ180" s="72"/>
      <c r="CA180" s="72"/>
      <c r="CB180" s="72"/>
      <c r="CC180" s="72"/>
      <c r="CD180" s="72"/>
      <c r="CE180" s="72"/>
      <c r="CF180" s="72"/>
      <c r="CG180" s="72"/>
      <c r="CH180" s="72"/>
    </row>
    <row r="181" ht="15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/>
      <c r="BM181" s="72"/>
      <c r="BN181" s="72"/>
      <c r="BO181" s="72"/>
      <c r="BP181" s="72"/>
      <c r="BQ181" s="72"/>
      <c r="BR181" s="72"/>
      <c r="BS181" s="72"/>
      <c r="BT181" s="72"/>
      <c r="BU181" s="72"/>
      <c r="BV181" s="72"/>
      <c r="BW181" s="72"/>
      <c r="BX181" s="72"/>
      <c r="BY181" s="72"/>
      <c r="BZ181" s="72"/>
      <c r="CA181" s="72"/>
      <c r="CB181" s="72"/>
      <c r="CC181" s="72"/>
      <c r="CD181" s="72"/>
      <c r="CE181" s="72"/>
      <c r="CF181" s="72"/>
      <c r="CG181" s="72"/>
      <c r="CH181" s="72"/>
    </row>
    <row r="182" ht="15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/>
      <c r="BM182" s="72"/>
      <c r="BN182" s="72"/>
      <c r="BO182" s="72"/>
      <c r="BP182" s="72"/>
      <c r="BQ182" s="72"/>
      <c r="BR182" s="72"/>
      <c r="BS182" s="72"/>
      <c r="BT182" s="72"/>
      <c r="BU182" s="72"/>
      <c r="BV182" s="72"/>
      <c r="BW182" s="72"/>
      <c r="BX182" s="72"/>
      <c r="BY182" s="72"/>
      <c r="BZ182" s="72"/>
      <c r="CA182" s="72"/>
      <c r="CB182" s="72"/>
      <c r="CC182" s="72"/>
      <c r="CD182" s="72"/>
      <c r="CE182" s="72"/>
      <c r="CF182" s="72"/>
      <c r="CG182" s="72"/>
      <c r="CH182" s="72"/>
    </row>
    <row r="183" ht="15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  <c r="BM183" s="72"/>
      <c r="BN183" s="72"/>
      <c r="BO183" s="72"/>
      <c r="BP183" s="72"/>
      <c r="BQ183" s="72"/>
      <c r="BR183" s="72"/>
      <c r="BS183" s="72"/>
      <c r="BT183" s="72"/>
      <c r="BU183" s="72"/>
      <c r="BV183" s="72"/>
      <c r="BW183" s="72"/>
      <c r="BX183" s="72"/>
      <c r="BY183" s="72"/>
      <c r="BZ183" s="72"/>
      <c r="CA183" s="72"/>
      <c r="CB183" s="72"/>
      <c r="CC183" s="72"/>
      <c r="CD183" s="72"/>
      <c r="CE183" s="72"/>
      <c r="CF183" s="72"/>
      <c r="CG183" s="72"/>
      <c r="CH183" s="72"/>
    </row>
    <row r="184" ht="15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/>
      <c r="BM184" s="72"/>
      <c r="BN184" s="72"/>
      <c r="BO184" s="72"/>
      <c r="BP184" s="72"/>
      <c r="BQ184" s="72"/>
      <c r="BR184" s="72"/>
      <c r="BS184" s="72"/>
      <c r="BT184" s="72"/>
      <c r="BU184" s="72"/>
      <c r="BV184" s="72"/>
      <c r="BW184" s="72"/>
      <c r="BX184" s="72"/>
      <c r="BY184" s="72"/>
      <c r="BZ184" s="72"/>
      <c r="CA184" s="72"/>
      <c r="CB184" s="72"/>
      <c r="CC184" s="72"/>
      <c r="CD184" s="72"/>
      <c r="CE184" s="72"/>
      <c r="CF184" s="72"/>
      <c r="CG184" s="72"/>
      <c r="CH184" s="72"/>
    </row>
    <row r="185" ht="15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  <c r="AT185" s="72"/>
      <c r="AU185" s="72"/>
      <c r="AV185" s="72"/>
      <c r="AW185" s="72"/>
      <c r="AX185" s="72"/>
      <c r="AY185" s="72"/>
      <c r="AZ185" s="72"/>
      <c r="BA185" s="72"/>
      <c r="BB185" s="72"/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  <c r="BM185" s="72"/>
      <c r="BN185" s="72"/>
      <c r="BO185" s="72"/>
      <c r="BP185" s="72"/>
      <c r="BQ185" s="72"/>
      <c r="BR185" s="72"/>
      <c r="BS185" s="72"/>
      <c r="BT185" s="72"/>
      <c r="BU185" s="72"/>
      <c r="BV185" s="72"/>
      <c r="BW185" s="72"/>
      <c r="BX185" s="72"/>
      <c r="BY185" s="72"/>
      <c r="BZ185" s="72"/>
      <c r="CA185" s="72"/>
      <c r="CB185" s="72"/>
      <c r="CC185" s="72"/>
      <c r="CD185" s="72"/>
      <c r="CE185" s="72"/>
      <c r="CF185" s="72"/>
      <c r="CG185" s="72"/>
      <c r="CH185" s="72"/>
    </row>
    <row r="186" ht="15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  <c r="AT186" s="72"/>
      <c r="AU186" s="72"/>
      <c r="AV186" s="72"/>
      <c r="AW186" s="72"/>
      <c r="AX186" s="72"/>
      <c r="AY186" s="72"/>
      <c r="AZ186" s="72"/>
      <c r="BA186" s="72"/>
      <c r="BB186" s="72"/>
      <c r="BC186" s="72"/>
      <c r="BD186" s="72"/>
      <c r="BE186" s="72"/>
      <c r="BF186" s="72"/>
      <c r="BG186" s="72"/>
      <c r="BH186" s="72"/>
      <c r="BI186" s="72"/>
      <c r="BJ186" s="72"/>
      <c r="BK186" s="72"/>
      <c r="BL186" s="72"/>
      <c r="BM186" s="72"/>
      <c r="BN186" s="72"/>
      <c r="BO186" s="72"/>
      <c r="BP186" s="72"/>
      <c r="BQ186" s="72"/>
      <c r="BR186" s="72"/>
      <c r="BS186" s="72"/>
      <c r="BT186" s="72"/>
      <c r="BU186" s="72"/>
      <c r="BV186" s="72"/>
      <c r="BW186" s="72"/>
      <c r="BX186" s="72"/>
      <c r="BY186" s="72"/>
      <c r="BZ186" s="72"/>
      <c r="CA186" s="72"/>
      <c r="CB186" s="72"/>
      <c r="CC186" s="72"/>
      <c r="CD186" s="72"/>
      <c r="CE186" s="72"/>
      <c r="CF186" s="72"/>
      <c r="CG186" s="72"/>
      <c r="CH186" s="72"/>
    </row>
    <row r="187" ht="15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  <c r="AT187" s="72"/>
      <c r="AU187" s="72"/>
      <c r="AV187" s="72"/>
      <c r="AW187" s="72"/>
      <c r="AX187" s="72"/>
      <c r="AY187" s="72"/>
      <c r="AZ187" s="72"/>
      <c r="BA187" s="72"/>
      <c r="BB187" s="72"/>
      <c r="BC187" s="72"/>
      <c r="BD187" s="72"/>
      <c r="BE187" s="72"/>
      <c r="BF187" s="72"/>
      <c r="BG187" s="72"/>
      <c r="BH187" s="72"/>
      <c r="BI187" s="72"/>
      <c r="BJ187" s="72"/>
      <c r="BK187" s="72"/>
      <c r="BL187" s="72"/>
      <c r="BM187" s="72"/>
      <c r="BN187" s="72"/>
      <c r="BO187" s="72"/>
      <c r="BP187" s="72"/>
      <c r="BQ187" s="72"/>
      <c r="BR187" s="72"/>
      <c r="BS187" s="72"/>
      <c r="BT187" s="72"/>
      <c r="BU187" s="72"/>
      <c r="BV187" s="72"/>
      <c r="BW187" s="72"/>
      <c r="BX187" s="72"/>
      <c r="BY187" s="72"/>
      <c r="BZ187" s="72"/>
      <c r="CA187" s="72"/>
      <c r="CB187" s="72"/>
      <c r="CC187" s="72"/>
      <c r="CD187" s="72"/>
      <c r="CE187" s="72"/>
      <c r="CF187" s="72"/>
      <c r="CG187" s="72"/>
      <c r="CH187" s="72"/>
    </row>
    <row r="188" ht="15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  <c r="AT188" s="72"/>
      <c r="AU188" s="72"/>
      <c r="AV188" s="72"/>
      <c r="AW188" s="72"/>
      <c r="AX188" s="72"/>
      <c r="AY188" s="72"/>
      <c r="AZ188" s="72"/>
      <c r="BA188" s="72"/>
      <c r="BB188" s="72"/>
      <c r="BC188" s="72"/>
      <c r="BD188" s="72"/>
      <c r="BE188" s="72"/>
      <c r="BF188" s="72"/>
      <c r="BG188" s="72"/>
      <c r="BH188" s="72"/>
      <c r="BI188" s="72"/>
      <c r="BJ188" s="72"/>
      <c r="BK188" s="72"/>
      <c r="BL188" s="72"/>
      <c r="BM188" s="72"/>
      <c r="BN188" s="72"/>
      <c r="BO188" s="72"/>
      <c r="BP188" s="72"/>
      <c r="BQ188" s="72"/>
      <c r="BR188" s="72"/>
      <c r="BS188" s="72"/>
      <c r="BT188" s="72"/>
      <c r="BU188" s="72"/>
      <c r="BV188" s="72"/>
      <c r="BW188" s="72"/>
      <c r="BX188" s="72"/>
      <c r="BY188" s="72"/>
      <c r="BZ188" s="72"/>
      <c r="CA188" s="72"/>
      <c r="CB188" s="72"/>
      <c r="CC188" s="72"/>
      <c r="CD188" s="72"/>
      <c r="CE188" s="72"/>
      <c r="CF188" s="72"/>
      <c r="CG188" s="72"/>
      <c r="CH188" s="72"/>
    </row>
    <row r="189" ht="15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  <c r="AT189" s="72"/>
      <c r="AU189" s="72"/>
      <c r="AV189" s="72"/>
      <c r="AW189" s="72"/>
      <c r="AX189" s="72"/>
      <c r="AY189" s="72"/>
      <c r="AZ189" s="72"/>
      <c r="BA189" s="72"/>
      <c r="BB189" s="72"/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  <c r="BM189" s="72"/>
      <c r="BN189" s="72"/>
      <c r="BO189" s="72"/>
      <c r="BP189" s="72"/>
      <c r="BQ189" s="72"/>
      <c r="BR189" s="72"/>
      <c r="BS189" s="72"/>
      <c r="BT189" s="72"/>
      <c r="BU189" s="72"/>
      <c r="BV189" s="72"/>
      <c r="BW189" s="72"/>
      <c r="BX189" s="72"/>
      <c r="BY189" s="72"/>
      <c r="BZ189" s="72"/>
      <c r="CA189" s="72"/>
      <c r="CB189" s="72"/>
      <c r="CC189" s="72"/>
      <c r="CD189" s="72"/>
      <c r="CE189" s="72"/>
      <c r="CF189" s="72"/>
      <c r="CG189" s="72"/>
      <c r="CH189" s="72"/>
    </row>
    <row r="190" ht="15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  <c r="AT190" s="72"/>
      <c r="AU190" s="72"/>
      <c r="AV190" s="72"/>
      <c r="AW190" s="72"/>
      <c r="AX190" s="72"/>
      <c r="AY190" s="72"/>
      <c r="AZ190" s="72"/>
      <c r="BA190" s="72"/>
      <c r="BB190" s="72"/>
      <c r="BC190" s="72"/>
      <c r="BD190" s="72"/>
      <c r="BE190" s="72"/>
      <c r="BF190" s="72"/>
      <c r="BG190" s="72"/>
      <c r="BH190" s="72"/>
      <c r="BI190" s="72"/>
      <c r="BJ190" s="72"/>
      <c r="BK190" s="72"/>
      <c r="BL190" s="72"/>
      <c r="BM190" s="72"/>
      <c r="BN190" s="72"/>
      <c r="BO190" s="72"/>
      <c r="BP190" s="72"/>
      <c r="BQ190" s="72"/>
      <c r="BR190" s="72"/>
      <c r="BS190" s="72"/>
      <c r="BT190" s="72"/>
      <c r="BU190" s="72"/>
      <c r="BV190" s="72"/>
      <c r="BW190" s="72"/>
      <c r="BX190" s="72"/>
      <c r="BY190" s="72"/>
      <c r="BZ190" s="72"/>
      <c r="CA190" s="72"/>
      <c r="CB190" s="72"/>
      <c r="CC190" s="72"/>
      <c r="CD190" s="72"/>
      <c r="CE190" s="72"/>
      <c r="CF190" s="72"/>
      <c r="CG190" s="72"/>
      <c r="CH190" s="72"/>
    </row>
    <row r="191" ht="15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/>
      <c r="BM191" s="72"/>
      <c r="BN191" s="72"/>
      <c r="BO191" s="72"/>
      <c r="BP191" s="72"/>
      <c r="BQ191" s="72"/>
      <c r="BR191" s="72"/>
      <c r="BS191" s="72"/>
      <c r="BT191" s="72"/>
      <c r="BU191" s="72"/>
      <c r="BV191" s="72"/>
      <c r="BW191" s="72"/>
      <c r="BX191" s="72"/>
      <c r="BY191" s="72"/>
      <c r="BZ191" s="72"/>
      <c r="CA191" s="72"/>
      <c r="CB191" s="72"/>
      <c r="CC191" s="72"/>
      <c r="CD191" s="72"/>
      <c r="CE191" s="72"/>
      <c r="CF191" s="72"/>
      <c r="CG191" s="72"/>
      <c r="CH191" s="72"/>
    </row>
    <row r="192" ht="15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  <c r="AT192" s="72"/>
      <c r="AU192" s="72"/>
      <c r="AV192" s="72"/>
      <c r="AW192" s="72"/>
      <c r="AX192" s="72"/>
      <c r="AY192" s="72"/>
      <c r="AZ192" s="72"/>
      <c r="BA192" s="72"/>
      <c r="BB192" s="72"/>
      <c r="BC192" s="72"/>
      <c r="BD192" s="72"/>
      <c r="BE192" s="72"/>
      <c r="BF192" s="72"/>
      <c r="BG192" s="72"/>
      <c r="BH192" s="72"/>
      <c r="BI192" s="72"/>
      <c r="BJ192" s="72"/>
      <c r="BK192" s="72"/>
      <c r="BL192" s="72"/>
      <c r="BM192" s="72"/>
      <c r="BN192" s="72"/>
      <c r="BO192" s="72"/>
      <c r="BP192" s="72"/>
      <c r="BQ192" s="72"/>
      <c r="BR192" s="72"/>
      <c r="BS192" s="72"/>
      <c r="BT192" s="72"/>
      <c r="BU192" s="72"/>
      <c r="BV192" s="72"/>
      <c r="BW192" s="72"/>
      <c r="BX192" s="72"/>
      <c r="BY192" s="72"/>
      <c r="BZ192" s="72"/>
      <c r="CA192" s="72"/>
      <c r="CB192" s="72"/>
      <c r="CC192" s="72"/>
      <c r="CD192" s="72"/>
      <c r="CE192" s="72"/>
      <c r="CF192" s="72"/>
      <c r="CG192" s="72"/>
      <c r="CH192" s="72"/>
    </row>
    <row r="193" ht="15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  <c r="AT193" s="72"/>
      <c r="AU193" s="72"/>
      <c r="AV193" s="72"/>
      <c r="AW193" s="72"/>
      <c r="AX193" s="72"/>
      <c r="AY193" s="72"/>
      <c r="AZ193" s="72"/>
      <c r="BA193" s="72"/>
      <c r="BB193" s="72"/>
      <c r="BC193" s="72"/>
      <c r="BD193" s="72"/>
      <c r="BE193" s="72"/>
      <c r="BF193" s="72"/>
      <c r="BG193" s="72"/>
      <c r="BH193" s="72"/>
      <c r="BI193" s="72"/>
      <c r="BJ193" s="72"/>
      <c r="BK193" s="72"/>
      <c r="BL193" s="72"/>
      <c r="BM193" s="72"/>
      <c r="BN193" s="72"/>
      <c r="BO193" s="72"/>
      <c r="BP193" s="72"/>
      <c r="BQ193" s="72"/>
      <c r="BR193" s="72"/>
      <c r="BS193" s="72"/>
      <c r="BT193" s="72"/>
      <c r="BU193" s="72"/>
      <c r="BV193" s="72"/>
      <c r="BW193" s="72"/>
      <c r="BX193" s="72"/>
      <c r="BY193" s="72"/>
      <c r="BZ193" s="72"/>
      <c r="CA193" s="72"/>
      <c r="CB193" s="72"/>
      <c r="CC193" s="72"/>
      <c r="CD193" s="72"/>
      <c r="CE193" s="72"/>
      <c r="CF193" s="72"/>
      <c r="CG193" s="72"/>
      <c r="CH193" s="72"/>
    </row>
    <row r="194" ht="15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  <c r="AT194" s="72"/>
      <c r="AU194" s="72"/>
      <c r="AV194" s="72"/>
      <c r="AW194" s="72"/>
      <c r="AX194" s="72"/>
      <c r="AY194" s="72"/>
      <c r="AZ194" s="72"/>
      <c r="BA194" s="72"/>
      <c r="BB194" s="72"/>
      <c r="BC194" s="72"/>
      <c r="BD194" s="72"/>
      <c r="BE194" s="72"/>
      <c r="BF194" s="72"/>
      <c r="BG194" s="72"/>
      <c r="BH194" s="72"/>
      <c r="BI194" s="72"/>
      <c r="BJ194" s="72"/>
      <c r="BK194" s="72"/>
      <c r="BL194" s="72"/>
      <c r="BM194" s="72"/>
      <c r="BN194" s="72"/>
      <c r="BO194" s="72"/>
      <c r="BP194" s="72"/>
      <c r="BQ194" s="72"/>
      <c r="BR194" s="72"/>
      <c r="BS194" s="72"/>
      <c r="BT194" s="72"/>
      <c r="BU194" s="72"/>
      <c r="BV194" s="72"/>
      <c r="BW194" s="72"/>
      <c r="BX194" s="72"/>
      <c r="BY194" s="72"/>
      <c r="BZ194" s="72"/>
      <c r="CA194" s="72"/>
      <c r="CB194" s="72"/>
      <c r="CC194" s="72"/>
      <c r="CD194" s="72"/>
      <c r="CE194" s="72"/>
      <c r="CF194" s="72"/>
      <c r="CG194" s="72"/>
      <c r="CH194" s="72"/>
    </row>
    <row r="195" ht="15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  <c r="AT195" s="72"/>
      <c r="AU195" s="72"/>
      <c r="AV195" s="72"/>
      <c r="AW195" s="72"/>
      <c r="AX195" s="72"/>
      <c r="AY195" s="72"/>
      <c r="AZ195" s="72"/>
      <c r="BA195" s="72"/>
      <c r="BB195" s="72"/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  <c r="BM195" s="72"/>
      <c r="BN195" s="72"/>
      <c r="BO195" s="72"/>
      <c r="BP195" s="72"/>
      <c r="BQ195" s="72"/>
      <c r="BR195" s="72"/>
      <c r="BS195" s="72"/>
      <c r="BT195" s="72"/>
      <c r="BU195" s="72"/>
      <c r="BV195" s="72"/>
      <c r="BW195" s="72"/>
      <c r="BX195" s="72"/>
      <c r="BY195" s="72"/>
      <c r="BZ195" s="72"/>
      <c r="CA195" s="72"/>
      <c r="CB195" s="72"/>
      <c r="CC195" s="72"/>
      <c r="CD195" s="72"/>
      <c r="CE195" s="72"/>
      <c r="CF195" s="72"/>
      <c r="CG195" s="72"/>
      <c r="CH195" s="72"/>
    </row>
    <row r="196" ht="15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/>
      <c r="BN196" s="72"/>
      <c r="BO196" s="72"/>
      <c r="BP196" s="72"/>
      <c r="BQ196" s="72"/>
      <c r="BR196" s="72"/>
      <c r="BS196" s="72"/>
      <c r="BT196" s="72"/>
      <c r="BU196" s="72"/>
      <c r="BV196" s="72"/>
      <c r="BW196" s="72"/>
      <c r="BX196" s="72"/>
      <c r="BY196" s="72"/>
      <c r="BZ196" s="72"/>
      <c r="CA196" s="72"/>
      <c r="CB196" s="72"/>
      <c r="CC196" s="72"/>
      <c r="CD196" s="72"/>
      <c r="CE196" s="72"/>
      <c r="CF196" s="72"/>
      <c r="CG196" s="72"/>
      <c r="CH196" s="72"/>
    </row>
    <row r="197" ht="15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/>
      <c r="AR197" s="72"/>
      <c r="AS197" s="72"/>
      <c r="AT197" s="72"/>
      <c r="AU197" s="72"/>
      <c r="AV197" s="72"/>
      <c r="AW197" s="72"/>
      <c r="AX197" s="72"/>
      <c r="AY197" s="72"/>
      <c r="AZ197" s="72"/>
      <c r="BA197" s="72"/>
      <c r="BB197" s="72"/>
      <c r="BC197" s="72"/>
      <c r="BD197" s="72"/>
      <c r="BE197" s="72"/>
      <c r="BF197" s="72"/>
      <c r="BG197" s="72"/>
      <c r="BH197" s="72"/>
      <c r="BI197" s="72"/>
      <c r="BJ197" s="72"/>
      <c r="BK197" s="72"/>
      <c r="BL197" s="72"/>
      <c r="BM197" s="72"/>
      <c r="BN197" s="72"/>
      <c r="BO197" s="72"/>
      <c r="BP197" s="72"/>
      <c r="BQ197" s="72"/>
      <c r="BR197" s="72"/>
      <c r="BS197" s="72"/>
      <c r="BT197" s="72"/>
      <c r="BU197" s="72"/>
      <c r="BV197" s="72"/>
      <c r="BW197" s="72"/>
      <c r="BX197" s="72"/>
      <c r="BY197" s="72"/>
      <c r="BZ197" s="72"/>
      <c r="CA197" s="72"/>
      <c r="CB197" s="72"/>
      <c r="CC197" s="72"/>
      <c r="CD197" s="72"/>
      <c r="CE197" s="72"/>
      <c r="CF197" s="72"/>
      <c r="CG197" s="72"/>
      <c r="CH197" s="72"/>
    </row>
    <row r="198" ht="15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  <c r="AQ198" s="72"/>
      <c r="AR198" s="72"/>
      <c r="AS198" s="72"/>
      <c r="AT198" s="72"/>
      <c r="AU198" s="72"/>
      <c r="AV198" s="72"/>
      <c r="AW198" s="72"/>
      <c r="AX198" s="72"/>
      <c r="AY198" s="72"/>
      <c r="AZ198" s="72"/>
      <c r="BA198" s="72"/>
      <c r="BB198" s="72"/>
      <c r="BC198" s="72"/>
      <c r="BD198" s="72"/>
      <c r="BE198" s="72"/>
      <c r="BF198" s="72"/>
      <c r="BG198" s="72"/>
      <c r="BH198" s="72"/>
      <c r="BI198" s="72"/>
      <c r="BJ198" s="72"/>
      <c r="BK198" s="72"/>
      <c r="BL198" s="72"/>
      <c r="BM198" s="72"/>
      <c r="BN198" s="72"/>
      <c r="BO198" s="72"/>
      <c r="BP198" s="72"/>
      <c r="BQ198" s="72"/>
      <c r="BR198" s="72"/>
      <c r="BS198" s="72"/>
      <c r="BT198" s="72"/>
      <c r="BU198" s="72"/>
      <c r="BV198" s="72"/>
      <c r="BW198" s="72"/>
      <c r="BX198" s="72"/>
      <c r="BY198" s="72"/>
      <c r="BZ198" s="72"/>
      <c r="CA198" s="72"/>
      <c r="CB198" s="72"/>
      <c r="CC198" s="72"/>
      <c r="CD198" s="72"/>
      <c r="CE198" s="72"/>
      <c r="CF198" s="72"/>
      <c r="CG198" s="72"/>
      <c r="CH198" s="72"/>
    </row>
    <row r="199" ht="15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  <c r="AQ199" s="72"/>
      <c r="AR199" s="72"/>
      <c r="AS199" s="72"/>
      <c r="AT199" s="72"/>
      <c r="AU199" s="72"/>
      <c r="AV199" s="72"/>
      <c r="AW199" s="72"/>
      <c r="AX199" s="72"/>
      <c r="AY199" s="72"/>
      <c r="AZ199" s="72"/>
      <c r="BA199" s="72"/>
      <c r="BB199" s="72"/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  <c r="BM199" s="72"/>
      <c r="BN199" s="72"/>
      <c r="BO199" s="72"/>
      <c r="BP199" s="72"/>
      <c r="BQ199" s="72"/>
      <c r="BR199" s="72"/>
      <c r="BS199" s="72"/>
      <c r="BT199" s="72"/>
      <c r="BU199" s="72"/>
      <c r="BV199" s="72"/>
      <c r="BW199" s="72"/>
      <c r="BX199" s="72"/>
      <c r="BY199" s="72"/>
      <c r="BZ199" s="72"/>
      <c r="CA199" s="72"/>
      <c r="CB199" s="72"/>
      <c r="CC199" s="72"/>
      <c r="CD199" s="72"/>
      <c r="CE199" s="72"/>
      <c r="CF199" s="72"/>
      <c r="CG199" s="72"/>
      <c r="CH199" s="72"/>
    </row>
    <row r="200" ht="15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  <c r="AQ200" s="72"/>
      <c r="AR200" s="72"/>
      <c r="AS200" s="72"/>
      <c r="AT200" s="72"/>
      <c r="AU200" s="72"/>
      <c r="AV200" s="72"/>
      <c r="AW200" s="72"/>
      <c r="AX200" s="72"/>
      <c r="AY200" s="72"/>
      <c r="AZ200" s="72"/>
      <c r="BA200" s="72"/>
      <c r="BB200" s="72"/>
      <c r="BC200" s="72"/>
      <c r="BD200" s="72"/>
      <c r="BE200" s="72"/>
      <c r="BF200" s="72"/>
      <c r="BG200" s="72"/>
      <c r="BH200" s="72"/>
      <c r="BI200" s="72"/>
      <c r="BJ200" s="72"/>
      <c r="BK200" s="72"/>
      <c r="BL200" s="72"/>
      <c r="BM200" s="72"/>
      <c r="BN200" s="72"/>
      <c r="BO200" s="72"/>
      <c r="BP200" s="72"/>
      <c r="BQ200" s="72"/>
      <c r="BR200" s="72"/>
      <c r="BS200" s="72"/>
      <c r="BT200" s="72"/>
      <c r="BU200" s="72"/>
      <c r="BV200" s="72"/>
      <c r="BW200" s="72"/>
      <c r="BX200" s="72"/>
      <c r="BY200" s="72"/>
      <c r="BZ200" s="72"/>
      <c r="CA200" s="72"/>
      <c r="CB200" s="72"/>
      <c r="CC200" s="72"/>
      <c r="CD200" s="72"/>
      <c r="CE200" s="72"/>
      <c r="CF200" s="72"/>
      <c r="CG200" s="72"/>
      <c r="CH200" s="72"/>
    </row>
    <row r="201" ht="15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72"/>
      <c r="BO201" s="72"/>
      <c r="BP201" s="72"/>
      <c r="BQ201" s="72"/>
      <c r="BR201" s="72"/>
      <c r="BS201" s="72"/>
      <c r="BT201" s="72"/>
      <c r="BU201" s="72"/>
      <c r="BV201" s="72"/>
      <c r="BW201" s="72"/>
      <c r="BX201" s="72"/>
      <c r="BY201" s="72"/>
      <c r="BZ201" s="72"/>
      <c r="CA201" s="72"/>
      <c r="CB201" s="72"/>
      <c r="CC201" s="72"/>
      <c r="CD201" s="72"/>
      <c r="CE201" s="72"/>
      <c r="CF201" s="72"/>
      <c r="CG201" s="72"/>
      <c r="CH201" s="72"/>
    </row>
    <row r="202" ht="15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72"/>
      <c r="BO202" s="72"/>
      <c r="BP202" s="72"/>
      <c r="BQ202" s="72"/>
      <c r="BR202" s="72"/>
      <c r="BS202" s="72"/>
      <c r="BT202" s="72"/>
      <c r="BU202" s="72"/>
      <c r="BV202" s="72"/>
      <c r="BW202" s="72"/>
      <c r="BX202" s="72"/>
      <c r="BY202" s="72"/>
      <c r="BZ202" s="72"/>
      <c r="CA202" s="72"/>
      <c r="CB202" s="72"/>
      <c r="CC202" s="72"/>
      <c r="CD202" s="72"/>
      <c r="CE202" s="72"/>
      <c r="CF202" s="72"/>
      <c r="CG202" s="72"/>
      <c r="CH202" s="72"/>
    </row>
    <row r="203" ht="15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72"/>
      <c r="BO203" s="72"/>
      <c r="BP203" s="72"/>
      <c r="BQ203" s="72"/>
      <c r="BR203" s="72"/>
      <c r="BS203" s="72"/>
      <c r="BT203" s="72"/>
      <c r="BU203" s="72"/>
      <c r="BV203" s="72"/>
      <c r="BW203" s="72"/>
      <c r="BX203" s="72"/>
      <c r="BY203" s="72"/>
      <c r="BZ203" s="72"/>
      <c r="CA203" s="72"/>
      <c r="CB203" s="72"/>
      <c r="CC203" s="72"/>
      <c r="CD203" s="72"/>
      <c r="CE203" s="72"/>
      <c r="CF203" s="72"/>
      <c r="CG203" s="72"/>
      <c r="CH203" s="72"/>
    </row>
    <row r="204" ht="15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72"/>
      <c r="BO204" s="72"/>
      <c r="BP204" s="72"/>
      <c r="BQ204" s="72"/>
      <c r="BR204" s="72"/>
      <c r="BS204" s="72"/>
      <c r="BT204" s="72"/>
      <c r="BU204" s="72"/>
      <c r="BV204" s="72"/>
      <c r="BW204" s="72"/>
      <c r="BX204" s="72"/>
      <c r="BY204" s="72"/>
      <c r="BZ204" s="72"/>
      <c r="CA204" s="72"/>
      <c r="CB204" s="72"/>
      <c r="CC204" s="72"/>
      <c r="CD204" s="72"/>
      <c r="CE204" s="72"/>
      <c r="CF204" s="72"/>
      <c r="CG204" s="72"/>
      <c r="CH204" s="72"/>
    </row>
    <row r="205" ht="15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72"/>
      <c r="BO205" s="72"/>
      <c r="BP205" s="72"/>
      <c r="BQ205" s="72"/>
      <c r="BR205" s="72"/>
      <c r="BS205" s="72"/>
      <c r="BT205" s="72"/>
      <c r="BU205" s="72"/>
      <c r="BV205" s="72"/>
      <c r="BW205" s="72"/>
      <c r="BX205" s="72"/>
      <c r="BY205" s="72"/>
      <c r="BZ205" s="72"/>
      <c r="CA205" s="72"/>
      <c r="CB205" s="72"/>
      <c r="CC205" s="72"/>
      <c r="CD205" s="72"/>
      <c r="CE205" s="72"/>
      <c r="CF205" s="72"/>
      <c r="CG205" s="72"/>
      <c r="CH205" s="72"/>
    </row>
    <row r="206" ht="15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72"/>
      <c r="BO206" s="72"/>
      <c r="BP206" s="72"/>
      <c r="BQ206" s="72"/>
      <c r="BR206" s="72"/>
      <c r="BS206" s="72"/>
      <c r="BT206" s="72"/>
      <c r="BU206" s="72"/>
      <c r="BV206" s="72"/>
      <c r="BW206" s="72"/>
      <c r="BX206" s="72"/>
      <c r="BY206" s="72"/>
      <c r="BZ206" s="72"/>
      <c r="CA206" s="72"/>
      <c r="CB206" s="72"/>
      <c r="CC206" s="72"/>
      <c r="CD206" s="72"/>
      <c r="CE206" s="72"/>
      <c r="CF206" s="72"/>
      <c r="CG206" s="72"/>
      <c r="CH206" s="72"/>
    </row>
    <row r="207" ht="15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72"/>
      <c r="BO207" s="72"/>
      <c r="BP207" s="72"/>
      <c r="BQ207" s="72"/>
      <c r="BR207" s="72"/>
      <c r="BS207" s="72"/>
      <c r="BT207" s="72"/>
      <c r="BU207" s="72"/>
      <c r="BV207" s="72"/>
      <c r="BW207" s="72"/>
      <c r="BX207" s="72"/>
      <c r="BY207" s="72"/>
      <c r="BZ207" s="72"/>
      <c r="CA207" s="72"/>
      <c r="CB207" s="72"/>
      <c r="CC207" s="72"/>
      <c r="CD207" s="72"/>
      <c r="CE207" s="72"/>
      <c r="CF207" s="72"/>
      <c r="CG207" s="72"/>
      <c r="CH207" s="72"/>
    </row>
    <row r="208" ht="15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72"/>
      <c r="BO208" s="72"/>
      <c r="BP208" s="72"/>
      <c r="BQ208" s="72"/>
      <c r="BR208" s="72"/>
      <c r="BS208" s="72"/>
      <c r="BT208" s="72"/>
      <c r="BU208" s="72"/>
      <c r="BV208" s="72"/>
      <c r="BW208" s="72"/>
      <c r="BX208" s="72"/>
      <c r="BY208" s="72"/>
      <c r="BZ208" s="72"/>
      <c r="CA208" s="72"/>
      <c r="CB208" s="72"/>
      <c r="CC208" s="72"/>
      <c r="CD208" s="72"/>
      <c r="CE208" s="72"/>
      <c r="CF208" s="72"/>
      <c r="CG208" s="72"/>
      <c r="CH208" s="72"/>
    </row>
    <row r="209" ht="15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72"/>
      <c r="BO209" s="72"/>
      <c r="BP209" s="72"/>
      <c r="BQ209" s="72"/>
      <c r="BR209" s="72"/>
      <c r="BS209" s="72"/>
      <c r="BT209" s="72"/>
      <c r="BU209" s="72"/>
      <c r="BV209" s="72"/>
      <c r="BW209" s="72"/>
      <c r="BX209" s="72"/>
      <c r="BY209" s="72"/>
      <c r="BZ209" s="72"/>
      <c r="CA209" s="72"/>
      <c r="CB209" s="72"/>
      <c r="CC209" s="72"/>
      <c r="CD209" s="72"/>
      <c r="CE209" s="72"/>
      <c r="CF209" s="72"/>
      <c r="CG209" s="72"/>
      <c r="CH209" s="72"/>
    </row>
    <row r="210" ht="15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72"/>
      <c r="BO210" s="72"/>
      <c r="BP210" s="72"/>
      <c r="BQ210" s="72"/>
      <c r="BR210" s="72"/>
      <c r="BS210" s="72"/>
      <c r="BT210" s="72"/>
      <c r="BU210" s="72"/>
      <c r="BV210" s="72"/>
      <c r="BW210" s="72"/>
      <c r="BX210" s="72"/>
      <c r="BY210" s="72"/>
      <c r="BZ210" s="72"/>
      <c r="CA210" s="72"/>
      <c r="CB210" s="72"/>
      <c r="CC210" s="72"/>
      <c r="CD210" s="72"/>
      <c r="CE210" s="72"/>
      <c r="CF210" s="72"/>
      <c r="CG210" s="72"/>
      <c r="CH210" s="72"/>
    </row>
    <row r="211" ht="15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  <c r="AQ211" s="72"/>
      <c r="AR211" s="72"/>
      <c r="AS211" s="72"/>
      <c r="AT211" s="72"/>
      <c r="AU211" s="72"/>
      <c r="AV211" s="72"/>
      <c r="AW211" s="72"/>
      <c r="AX211" s="72"/>
      <c r="AY211" s="72"/>
      <c r="AZ211" s="72"/>
      <c r="BA211" s="72"/>
      <c r="BB211" s="72"/>
      <c r="BC211" s="72"/>
      <c r="BD211" s="72"/>
      <c r="BE211" s="72"/>
      <c r="BF211" s="72"/>
      <c r="BG211" s="72"/>
      <c r="BH211" s="72"/>
      <c r="BI211" s="72"/>
      <c r="BJ211" s="72"/>
      <c r="BK211" s="72"/>
      <c r="BL211" s="72"/>
      <c r="BM211" s="72"/>
      <c r="BN211" s="72"/>
      <c r="BO211" s="72"/>
      <c r="BP211" s="72"/>
      <c r="BQ211" s="72"/>
      <c r="BR211" s="72"/>
      <c r="BS211" s="72"/>
      <c r="BT211" s="72"/>
      <c r="BU211" s="72"/>
      <c r="BV211" s="72"/>
      <c r="BW211" s="72"/>
      <c r="BX211" s="72"/>
      <c r="BY211" s="72"/>
      <c r="BZ211" s="72"/>
      <c r="CA211" s="72"/>
      <c r="CB211" s="72"/>
      <c r="CC211" s="72"/>
      <c r="CD211" s="72"/>
      <c r="CE211" s="72"/>
      <c r="CF211" s="72"/>
      <c r="CG211" s="72"/>
      <c r="CH211" s="72"/>
    </row>
    <row r="212" ht="15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  <c r="AQ212" s="72"/>
      <c r="AR212" s="72"/>
      <c r="AS212" s="72"/>
      <c r="AT212" s="72"/>
      <c r="AU212" s="72"/>
      <c r="AV212" s="72"/>
      <c r="AW212" s="72"/>
      <c r="AX212" s="72"/>
      <c r="AY212" s="72"/>
      <c r="AZ212" s="72"/>
      <c r="BA212" s="72"/>
      <c r="BB212" s="72"/>
      <c r="BC212" s="72"/>
      <c r="BD212" s="72"/>
      <c r="BE212" s="72"/>
      <c r="BF212" s="72"/>
      <c r="BG212" s="72"/>
      <c r="BH212" s="72"/>
      <c r="BI212" s="72"/>
      <c r="BJ212" s="72"/>
      <c r="BK212" s="72"/>
      <c r="BL212" s="72"/>
      <c r="BM212" s="72"/>
      <c r="BN212" s="72"/>
      <c r="BO212" s="72"/>
      <c r="BP212" s="72"/>
      <c r="BQ212" s="72"/>
      <c r="BR212" s="72"/>
      <c r="BS212" s="72"/>
      <c r="BT212" s="72"/>
      <c r="BU212" s="72"/>
      <c r="BV212" s="72"/>
      <c r="BW212" s="72"/>
      <c r="BX212" s="72"/>
      <c r="BY212" s="72"/>
      <c r="BZ212" s="72"/>
      <c r="CA212" s="72"/>
      <c r="CB212" s="72"/>
      <c r="CC212" s="72"/>
      <c r="CD212" s="72"/>
      <c r="CE212" s="72"/>
      <c r="CF212" s="72"/>
      <c r="CG212" s="72"/>
      <c r="CH212" s="72"/>
    </row>
    <row r="213" ht="15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  <c r="AQ213" s="72"/>
      <c r="AR213" s="72"/>
      <c r="AS213" s="72"/>
      <c r="AT213" s="72"/>
      <c r="AU213" s="72"/>
      <c r="AV213" s="72"/>
      <c r="AW213" s="72"/>
      <c r="AX213" s="72"/>
      <c r="AY213" s="72"/>
      <c r="AZ213" s="72"/>
      <c r="BA213" s="72"/>
      <c r="BB213" s="72"/>
      <c r="BC213" s="72"/>
      <c r="BD213" s="72"/>
      <c r="BE213" s="72"/>
      <c r="BF213" s="72"/>
      <c r="BG213" s="72"/>
      <c r="BH213" s="72"/>
      <c r="BI213" s="72"/>
      <c r="BJ213" s="72"/>
      <c r="BK213" s="72"/>
      <c r="BL213" s="72"/>
      <c r="BM213" s="72"/>
      <c r="BN213" s="72"/>
      <c r="BO213" s="72"/>
      <c r="BP213" s="72"/>
      <c r="BQ213" s="72"/>
      <c r="BR213" s="72"/>
      <c r="BS213" s="72"/>
      <c r="BT213" s="72"/>
      <c r="BU213" s="72"/>
      <c r="BV213" s="72"/>
      <c r="BW213" s="72"/>
      <c r="BX213" s="72"/>
      <c r="BY213" s="72"/>
      <c r="BZ213" s="72"/>
      <c r="CA213" s="72"/>
      <c r="CB213" s="72"/>
      <c r="CC213" s="72"/>
      <c r="CD213" s="72"/>
      <c r="CE213" s="72"/>
      <c r="CF213" s="72"/>
      <c r="CG213" s="72"/>
      <c r="CH213" s="72"/>
    </row>
    <row r="214" ht="15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  <c r="AQ214" s="72"/>
      <c r="AR214" s="72"/>
      <c r="AS214" s="72"/>
      <c r="AT214" s="72"/>
      <c r="AU214" s="72"/>
      <c r="AV214" s="72"/>
      <c r="AW214" s="72"/>
      <c r="AX214" s="72"/>
      <c r="AY214" s="72"/>
      <c r="AZ214" s="72"/>
      <c r="BA214" s="72"/>
      <c r="BB214" s="72"/>
      <c r="BC214" s="72"/>
      <c r="BD214" s="72"/>
      <c r="BE214" s="72"/>
      <c r="BF214" s="72"/>
      <c r="BG214" s="72"/>
      <c r="BH214" s="72"/>
      <c r="BI214" s="72"/>
      <c r="BJ214" s="72"/>
      <c r="BK214" s="72"/>
      <c r="BL214" s="72"/>
      <c r="BM214" s="72"/>
      <c r="BN214" s="72"/>
      <c r="BO214" s="72"/>
      <c r="BP214" s="72"/>
      <c r="BQ214" s="72"/>
      <c r="BR214" s="72"/>
      <c r="BS214" s="72"/>
      <c r="BT214" s="72"/>
      <c r="BU214" s="72"/>
      <c r="BV214" s="72"/>
      <c r="BW214" s="72"/>
      <c r="BX214" s="72"/>
      <c r="BY214" s="72"/>
      <c r="BZ214" s="72"/>
      <c r="CA214" s="72"/>
      <c r="CB214" s="72"/>
      <c r="CC214" s="72"/>
      <c r="CD214" s="72"/>
      <c r="CE214" s="72"/>
      <c r="CF214" s="72"/>
      <c r="CG214" s="72"/>
      <c r="CH214" s="72"/>
    </row>
    <row r="215" ht="15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  <c r="AQ215" s="72"/>
      <c r="AR215" s="72"/>
      <c r="AS215" s="72"/>
      <c r="AT215" s="72"/>
      <c r="AU215" s="72"/>
      <c r="AV215" s="72"/>
      <c r="AW215" s="72"/>
      <c r="AX215" s="72"/>
      <c r="AY215" s="72"/>
      <c r="AZ215" s="72"/>
      <c r="BA215" s="72"/>
      <c r="BB215" s="72"/>
      <c r="BC215" s="72"/>
      <c r="BD215" s="72"/>
      <c r="BE215" s="72"/>
      <c r="BF215" s="72"/>
      <c r="BG215" s="72"/>
      <c r="BH215" s="72"/>
      <c r="BI215" s="72"/>
      <c r="BJ215" s="72"/>
      <c r="BK215" s="72"/>
      <c r="BL215" s="72"/>
      <c r="BM215" s="72"/>
      <c r="BN215" s="72"/>
      <c r="BO215" s="72"/>
      <c r="BP215" s="72"/>
      <c r="BQ215" s="72"/>
      <c r="BR215" s="72"/>
      <c r="BS215" s="72"/>
      <c r="BT215" s="72"/>
      <c r="BU215" s="72"/>
      <c r="BV215" s="72"/>
      <c r="BW215" s="72"/>
      <c r="BX215" s="72"/>
      <c r="BY215" s="72"/>
      <c r="BZ215" s="72"/>
      <c r="CA215" s="72"/>
      <c r="CB215" s="72"/>
      <c r="CC215" s="72"/>
      <c r="CD215" s="72"/>
      <c r="CE215" s="72"/>
      <c r="CF215" s="72"/>
      <c r="CG215" s="72"/>
      <c r="CH215" s="72"/>
    </row>
    <row r="216" ht="15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  <c r="AQ216" s="72"/>
      <c r="AR216" s="72"/>
      <c r="AS216" s="72"/>
      <c r="AT216" s="72"/>
      <c r="AU216" s="72"/>
      <c r="AV216" s="72"/>
      <c r="AW216" s="72"/>
      <c r="AX216" s="72"/>
      <c r="AY216" s="72"/>
      <c r="AZ216" s="72"/>
      <c r="BA216" s="72"/>
      <c r="BB216" s="72"/>
      <c r="BC216" s="72"/>
      <c r="BD216" s="72"/>
      <c r="BE216" s="72"/>
      <c r="BF216" s="72"/>
      <c r="BG216" s="72"/>
      <c r="BH216" s="72"/>
      <c r="BI216" s="72"/>
      <c r="BJ216" s="72"/>
      <c r="BK216" s="72"/>
      <c r="BL216" s="72"/>
      <c r="BM216" s="72"/>
      <c r="BN216" s="72"/>
      <c r="BO216" s="72"/>
      <c r="BP216" s="72"/>
      <c r="BQ216" s="72"/>
      <c r="BR216" s="72"/>
      <c r="BS216" s="72"/>
      <c r="BT216" s="72"/>
      <c r="BU216" s="72"/>
      <c r="BV216" s="72"/>
      <c r="BW216" s="72"/>
      <c r="BX216" s="72"/>
      <c r="BY216" s="72"/>
      <c r="BZ216" s="72"/>
      <c r="CA216" s="72"/>
      <c r="CB216" s="72"/>
      <c r="CC216" s="72"/>
      <c r="CD216" s="72"/>
      <c r="CE216" s="72"/>
      <c r="CF216" s="72"/>
      <c r="CG216" s="72"/>
      <c r="CH216" s="72"/>
    </row>
    <row r="217" ht="15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  <c r="AS217" s="72"/>
      <c r="AT217" s="72"/>
      <c r="AU217" s="72"/>
      <c r="AV217" s="72"/>
      <c r="AW217" s="72"/>
      <c r="AX217" s="72"/>
      <c r="AY217" s="72"/>
      <c r="AZ217" s="72"/>
      <c r="BA217" s="72"/>
      <c r="BB217" s="72"/>
      <c r="BC217" s="72"/>
      <c r="BD217" s="72"/>
      <c r="BE217" s="72"/>
      <c r="BF217" s="72"/>
      <c r="BG217" s="72"/>
      <c r="BH217" s="72"/>
      <c r="BI217" s="72"/>
      <c r="BJ217" s="72"/>
      <c r="BK217" s="72"/>
      <c r="BL217" s="72"/>
      <c r="BM217" s="72"/>
      <c r="BN217" s="72"/>
      <c r="BO217" s="72"/>
      <c r="BP217" s="72"/>
      <c r="BQ217" s="72"/>
      <c r="BR217" s="72"/>
      <c r="BS217" s="72"/>
      <c r="BT217" s="72"/>
      <c r="BU217" s="72"/>
      <c r="BV217" s="72"/>
      <c r="BW217" s="72"/>
      <c r="BX217" s="72"/>
      <c r="BY217" s="72"/>
      <c r="BZ217" s="72"/>
      <c r="CA217" s="72"/>
      <c r="CB217" s="72"/>
      <c r="CC217" s="72"/>
      <c r="CD217" s="72"/>
      <c r="CE217" s="72"/>
      <c r="CF217" s="72"/>
      <c r="CG217" s="72"/>
      <c r="CH217" s="72"/>
    </row>
    <row r="218" ht="15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  <c r="AQ218" s="72"/>
      <c r="AR218" s="72"/>
      <c r="AS218" s="72"/>
      <c r="AT218" s="72"/>
      <c r="AU218" s="72"/>
      <c r="AV218" s="72"/>
      <c r="AW218" s="72"/>
      <c r="AX218" s="72"/>
      <c r="AY218" s="72"/>
      <c r="AZ218" s="72"/>
      <c r="BA218" s="72"/>
      <c r="BB218" s="72"/>
      <c r="BC218" s="72"/>
      <c r="BD218" s="72"/>
      <c r="BE218" s="72"/>
      <c r="BF218" s="72"/>
      <c r="BG218" s="72"/>
      <c r="BH218" s="72"/>
      <c r="BI218" s="72"/>
      <c r="BJ218" s="72"/>
      <c r="BK218" s="72"/>
      <c r="BL218" s="72"/>
      <c r="BM218" s="72"/>
      <c r="BN218" s="72"/>
      <c r="BO218" s="72"/>
      <c r="BP218" s="72"/>
      <c r="BQ218" s="72"/>
      <c r="BR218" s="72"/>
      <c r="BS218" s="72"/>
      <c r="BT218" s="72"/>
      <c r="BU218" s="72"/>
      <c r="BV218" s="72"/>
      <c r="BW218" s="72"/>
      <c r="BX218" s="72"/>
      <c r="BY218" s="72"/>
      <c r="BZ218" s="72"/>
      <c r="CA218" s="72"/>
      <c r="CB218" s="72"/>
      <c r="CC218" s="72"/>
      <c r="CD218" s="72"/>
      <c r="CE218" s="72"/>
      <c r="CF218" s="72"/>
      <c r="CG218" s="72"/>
      <c r="CH218" s="72"/>
    </row>
    <row r="219" ht="15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  <c r="AQ219" s="72"/>
      <c r="AR219" s="72"/>
      <c r="AS219" s="72"/>
      <c r="AT219" s="72"/>
      <c r="AU219" s="72"/>
      <c r="AV219" s="72"/>
      <c r="AW219" s="72"/>
      <c r="AX219" s="72"/>
      <c r="AY219" s="72"/>
      <c r="AZ219" s="72"/>
      <c r="BA219" s="72"/>
      <c r="BB219" s="72"/>
      <c r="BC219" s="72"/>
      <c r="BD219" s="72"/>
      <c r="BE219" s="72"/>
      <c r="BF219" s="72"/>
      <c r="BG219" s="72"/>
      <c r="BH219" s="72"/>
      <c r="BI219" s="72"/>
      <c r="BJ219" s="72"/>
      <c r="BK219" s="72"/>
      <c r="BL219" s="72"/>
      <c r="BM219" s="72"/>
      <c r="BN219" s="72"/>
      <c r="BO219" s="72"/>
      <c r="BP219" s="72"/>
      <c r="BQ219" s="72"/>
      <c r="BR219" s="72"/>
      <c r="BS219" s="72"/>
      <c r="BT219" s="72"/>
      <c r="BU219" s="72"/>
      <c r="BV219" s="72"/>
      <c r="BW219" s="72"/>
      <c r="BX219" s="72"/>
      <c r="BY219" s="72"/>
      <c r="BZ219" s="72"/>
      <c r="CA219" s="72"/>
      <c r="CB219" s="72"/>
      <c r="CC219" s="72"/>
      <c r="CD219" s="72"/>
      <c r="CE219" s="72"/>
      <c r="CF219" s="72"/>
      <c r="CG219" s="72"/>
      <c r="CH219" s="72"/>
    </row>
    <row r="220" ht="15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  <c r="AQ220" s="72"/>
      <c r="AR220" s="72"/>
      <c r="AS220" s="72"/>
      <c r="AT220" s="72"/>
      <c r="AU220" s="72"/>
      <c r="AV220" s="72"/>
      <c r="AW220" s="72"/>
      <c r="AX220" s="72"/>
      <c r="AY220" s="72"/>
      <c r="AZ220" s="72"/>
      <c r="BA220" s="72"/>
      <c r="BB220" s="72"/>
      <c r="BC220" s="72"/>
      <c r="BD220" s="72"/>
      <c r="BE220" s="72"/>
      <c r="BF220" s="72"/>
      <c r="BG220" s="72"/>
      <c r="BH220" s="72"/>
      <c r="BI220" s="72"/>
      <c r="BJ220" s="72"/>
      <c r="BK220" s="72"/>
      <c r="BL220" s="72"/>
      <c r="BM220" s="72"/>
      <c r="BN220" s="72"/>
      <c r="BO220" s="72"/>
      <c r="BP220" s="72"/>
      <c r="BQ220" s="72"/>
      <c r="BR220" s="72"/>
      <c r="BS220" s="72"/>
      <c r="BT220" s="72"/>
      <c r="BU220" s="72"/>
      <c r="BV220" s="72"/>
      <c r="BW220" s="72"/>
      <c r="BX220" s="72"/>
      <c r="BY220" s="72"/>
      <c r="BZ220" s="72"/>
      <c r="CA220" s="72"/>
      <c r="CB220" s="72"/>
      <c r="CC220" s="72"/>
      <c r="CD220" s="72"/>
      <c r="CE220" s="72"/>
      <c r="CF220" s="72"/>
      <c r="CG220" s="72"/>
      <c r="CH220" s="72"/>
    </row>
    <row r="221" ht="15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  <c r="AQ221" s="72"/>
      <c r="AR221" s="72"/>
      <c r="AS221" s="72"/>
      <c r="AT221" s="72"/>
      <c r="AU221" s="72"/>
      <c r="AV221" s="72"/>
      <c r="AW221" s="72"/>
      <c r="AX221" s="72"/>
      <c r="AY221" s="72"/>
      <c r="AZ221" s="72"/>
      <c r="BA221" s="72"/>
      <c r="BB221" s="72"/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  <c r="BM221" s="72"/>
      <c r="BN221" s="72"/>
      <c r="BO221" s="72"/>
      <c r="BP221" s="72"/>
      <c r="BQ221" s="72"/>
      <c r="BR221" s="72"/>
      <c r="BS221" s="72"/>
      <c r="BT221" s="72"/>
      <c r="BU221" s="72"/>
      <c r="BV221" s="72"/>
      <c r="BW221" s="72"/>
      <c r="BX221" s="72"/>
      <c r="BY221" s="72"/>
      <c r="BZ221" s="72"/>
      <c r="CA221" s="72"/>
      <c r="CB221" s="72"/>
      <c r="CC221" s="72"/>
      <c r="CD221" s="72"/>
      <c r="CE221" s="72"/>
      <c r="CF221" s="72"/>
      <c r="CG221" s="72"/>
      <c r="CH221" s="72"/>
    </row>
    <row r="222" ht="15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  <c r="AQ222" s="72"/>
      <c r="AR222" s="72"/>
      <c r="AS222" s="72"/>
      <c r="AT222" s="72"/>
      <c r="AU222" s="72"/>
      <c r="AV222" s="72"/>
      <c r="AW222" s="72"/>
      <c r="AX222" s="72"/>
      <c r="AY222" s="72"/>
      <c r="AZ222" s="72"/>
      <c r="BA222" s="72"/>
      <c r="BB222" s="72"/>
      <c r="BC222" s="72"/>
      <c r="BD222" s="72"/>
      <c r="BE222" s="72"/>
      <c r="BF222" s="72"/>
      <c r="BG222" s="72"/>
      <c r="BH222" s="72"/>
      <c r="BI222" s="72"/>
      <c r="BJ222" s="72"/>
      <c r="BK222" s="72"/>
      <c r="BL222" s="72"/>
      <c r="BM222" s="72"/>
      <c r="BN222" s="72"/>
      <c r="BO222" s="72"/>
      <c r="BP222" s="72"/>
      <c r="BQ222" s="72"/>
      <c r="BR222" s="72"/>
      <c r="BS222" s="72"/>
      <c r="BT222" s="72"/>
      <c r="BU222" s="72"/>
      <c r="BV222" s="72"/>
      <c r="BW222" s="72"/>
      <c r="BX222" s="72"/>
      <c r="BY222" s="72"/>
      <c r="BZ222" s="72"/>
      <c r="CA222" s="72"/>
      <c r="CB222" s="72"/>
      <c r="CC222" s="72"/>
      <c r="CD222" s="72"/>
      <c r="CE222" s="72"/>
      <c r="CF222" s="72"/>
      <c r="CG222" s="72"/>
      <c r="CH222" s="72"/>
    </row>
    <row r="223" ht="15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  <c r="AQ223" s="72"/>
      <c r="AR223" s="72"/>
      <c r="AS223" s="72"/>
      <c r="AT223" s="72"/>
      <c r="AU223" s="72"/>
      <c r="AV223" s="72"/>
      <c r="AW223" s="72"/>
      <c r="AX223" s="72"/>
      <c r="AY223" s="72"/>
      <c r="AZ223" s="72"/>
      <c r="BA223" s="72"/>
      <c r="BB223" s="72"/>
      <c r="BC223" s="72"/>
      <c r="BD223" s="72"/>
      <c r="BE223" s="72"/>
      <c r="BF223" s="72"/>
      <c r="BG223" s="72"/>
      <c r="BH223" s="72"/>
      <c r="BI223" s="72"/>
      <c r="BJ223" s="72"/>
      <c r="BK223" s="72"/>
      <c r="BL223" s="72"/>
      <c r="BM223" s="72"/>
      <c r="BN223" s="72"/>
      <c r="BO223" s="72"/>
      <c r="BP223" s="72"/>
      <c r="BQ223" s="72"/>
      <c r="BR223" s="72"/>
      <c r="BS223" s="72"/>
      <c r="BT223" s="72"/>
      <c r="BU223" s="72"/>
      <c r="BV223" s="72"/>
      <c r="BW223" s="72"/>
      <c r="BX223" s="72"/>
      <c r="BY223" s="72"/>
      <c r="BZ223" s="72"/>
      <c r="CA223" s="72"/>
      <c r="CB223" s="72"/>
      <c r="CC223" s="72"/>
      <c r="CD223" s="72"/>
      <c r="CE223" s="72"/>
      <c r="CF223" s="72"/>
      <c r="CG223" s="72"/>
      <c r="CH223" s="72"/>
    </row>
    <row r="224" ht="15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  <c r="AQ224" s="72"/>
      <c r="AR224" s="72"/>
      <c r="AS224" s="72"/>
      <c r="AT224" s="72"/>
      <c r="AU224" s="72"/>
      <c r="AV224" s="72"/>
      <c r="AW224" s="72"/>
      <c r="AX224" s="72"/>
      <c r="AY224" s="72"/>
      <c r="AZ224" s="72"/>
      <c r="BA224" s="72"/>
      <c r="BB224" s="72"/>
      <c r="BC224" s="72"/>
      <c r="BD224" s="72"/>
      <c r="BE224" s="72"/>
      <c r="BF224" s="72"/>
      <c r="BG224" s="72"/>
      <c r="BH224" s="72"/>
      <c r="BI224" s="72"/>
      <c r="BJ224" s="72"/>
      <c r="BK224" s="72"/>
      <c r="BL224" s="72"/>
      <c r="BM224" s="72"/>
      <c r="BN224" s="72"/>
      <c r="BO224" s="72"/>
      <c r="BP224" s="72"/>
      <c r="BQ224" s="72"/>
      <c r="BR224" s="72"/>
      <c r="BS224" s="72"/>
      <c r="BT224" s="72"/>
      <c r="BU224" s="72"/>
      <c r="BV224" s="72"/>
      <c r="BW224" s="72"/>
      <c r="BX224" s="72"/>
      <c r="BY224" s="72"/>
      <c r="BZ224" s="72"/>
      <c r="CA224" s="72"/>
      <c r="CB224" s="72"/>
      <c r="CC224" s="72"/>
      <c r="CD224" s="72"/>
      <c r="CE224" s="72"/>
      <c r="CF224" s="72"/>
      <c r="CG224" s="72"/>
      <c r="CH224" s="72"/>
    </row>
    <row r="225" ht="15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  <c r="AQ225" s="72"/>
      <c r="AR225" s="72"/>
      <c r="AS225" s="72"/>
      <c r="AT225" s="72"/>
      <c r="AU225" s="72"/>
      <c r="AV225" s="72"/>
      <c r="AW225" s="72"/>
      <c r="AX225" s="72"/>
      <c r="AY225" s="72"/>
      <c r="AZ225" s="72"/>
      <c r="BA225" s="72"/>
      <c r="BB225" s="72"/>
      <c r="BC225" s="72"/>
      <c r="BD225" s="72"/>
      <c r="BE225" s="72"/>
      <c r="BF225" s="72"/>
      <c r="BG225" s="72"/>
      <c r="BH225" s="72"/>
      <c r="BI225" s="72"/>
      <c r="BJ225" s="72"/>
      <c r="BK225" s="72"/>
      <c r="BL225" s="72"/>
      <c r="BM225" s="72"/>
      <c r="BN225" s="72"/>
      <c r="BO225" s="72"/>
      <c r="BP225" s="72"/>
      <c r="BQ225" s="72"/>
      <c r="BR225" s="72"/>
      <c r="BS225" s="72"/>
      <c r="BT225" s="72"/>
      <c r="BU225" s="72"/>
      <c r="BV225" s="72"/>
      <c r="BW225" s="72"/>
      <c r="BX225" s="72"/>
      <c r="BY225" s="72"/>
      <c r="BZ225" s="72"/>
      <c r="CA225" s="72"/>
      <c r="CB225" s="72"/>
      <c r="CC225" s="72"/>
      <c r="CD225" s="72"/>
      <c r="CE225" s="72"/>
      <c r="CF225" s="72"/>
      <c r="CG225" s="72"/>
      <c r="CH225" s="72"/>
    </row>
    <row r="226" ht="15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  <c r="AQ226" s="72"/>
      <c r="AR226" s="72"/>
      <c r="AS226" s="72"/>
      <c r="AT226" s="72"/>
      <c r="AU226" s="72"/>
      <c r="AV226" s="72"/>
      <c r="AW226" s="72"/>
      <c r="AX226" s="72"/>
      <c r="AY226" s="72"/>
      <c r="AZ226" s="72"/>
      <c r="BA226" s="72"/>
      <c r="BB226" s="72"/>
      <c r="BC226" s="72"/>
      <c r="BD226" s="72"/>
      <c r="BE226" s="72"/>
      <c r="BF226" s="72"/>
      <c r="BG226" s="72"/>
      <c r="BH226" s="72"/>
      <c r="BI226" s="72"/>
      <c r="BJ226" s="72"/>
      <c r="BK226" s="72"/>
      <c r="BL226" s="72"/>
      <c r="BM226" s="72"/>
      <c r="BN226" s="72"/>
      <c r="BO226" s="72"/>
      <c r="BP226" s="72"/>
      <c r="BQ226" s="72"/>
      <c r="BR226" s="72"/>
      <c r="BS226" s="72"/>
      <c r="BT226" s="72"/>
      <c r="BU226" s="72"/>
      <c r="BV226" s="72"/>
      <c r="BW226" s="72"/>
      <c r="BX226" s="72"/>
      <c r="BY226" s="72"/>
      <c r="BZ226" s="72"/>
      <c r="CA226" s="72"/>
      <c r="CB226" s="72"/>
      <c r="CC226" s="72"/>
      <c r="CD226" s="72"/>
      <c r="CE226" s="72"/>
      <c r="CF226" s="72"/>
      <c r="CG226" s="72"/>
      <c r="CH226" s="72"/>
    </row>
    <row r="227" ht="15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  <c r="AQ227" s="72"/>
      <c r="AR227" s="72"/>
      <c r="AS227" s="72"/>
      <c r="AT227" s="72"/>
      <c r="AU227" s="72"/>
      <c r="AV227" s="72"/>
      <c r="AW227" s="72"/>
      <c r="AX227" s="72"/>
      <c r="AY227" s="72"/>
      <c r="AZ227" s="72"/>
      <c r="BA227" s="72"/>
      <c r="BB227" s="72"/>
      <c r="BC227" s="72"/>
      <c r="BD227" s="72"/>
      <c r="BE227" s="72"/>
      <c r="BF227" s="72"/>
      <c r="BG227" s="72"/>
      <c r="BH227" s="72"/>
      <c r="BI227" s="72"/>
      <c r="BJ227" s="72"/>
      <c r="BK227" s="72"/>
      <c r="BL227" s="72"/>
      <c r="BM227" s="72"/>
      <c r="BN227" s="72"/>
      <c r="BO227" s="72"/>
      <c r="BP227" s="72"/>
      <c r="BQ227" s="72"/>
      <c r="BR227" s="72"/>
      <c r="BS227" s="72"/>
      <c r="BT227" s="72"/>
      <c r="BU227" s="72"/>
      <c r="BV227" s="72"/>
      <c r="BW227" s="72"/>
      <c r="BX227" s="72"/>
      <c r="BY227" s="72"/>
      <c r="BZ227" s="72"/>
      <c r="CA227" s="72"/>
      <c r="CB227" s="72"/>
      <c r="CC227" s="72"/>
      <c r="CD227" s="72"/>
      <c r="CE227" s="72"/>
      <c r="CF227" s="72"/>
      <c r="CG227" s="72"/>
      <c r="CH227" s="72"/>
    </row>
    <row r="228" ht="15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  <c r="AQ228" s="72"/>
      <c r="AR228" s="72"/>
      <c r="AS228" s="72"/>
      <c r="AT228" s="72"/>
      <c r="AU228" s="72"/>
      <c r="AV228" s="72"/>
      <c r="AW228" s="72"/>
      <c r="AX228" s="72"/>
      <c r="AY228" s="72"/>
      <c r="AZ228" s="72"/>
      <c r="BA228" s="72"/>
      <c r="BB228" s="72"/>
      <c r="BC228" s="72"/>
      <c r="BD228" s="72"/>
      <c r="BE228" s="72"/>
      <c r="BF228" s="72"/>
      <c r="BG228" s="72"/>
      <c r="BH228" s="72"/>
      <c r="BI228" s="72"/>
      <c r="BJ228" s="72"/>
      <c r="BK228" s="72"/>
      <c r="BL228" s="72"/>
      <c r="BM228" s="72"/>
      <c r="BN228" s="72"/>
      <c r="BO228" s="72"/>
      <c r="BP228" s="72"/>
      <c r="BQ228" s="72"/>
      <c r="BR228" s="72"/>
      <c r="BS228" s="72"/>
      <c r="BT228" s="72"/>
      <c r="BU228" s="72"/>
      <c r="BV228" s="72"/>
      <c r="BW228" s="72"/>
      <c r="BX228" s="72"/>
      <c r="BY228" s="72"/>
      <c r="BZ228" s="72"/>
      <c r="CA228" s="72"/>
      <c r="CB228" s="72"/>
      <c r="CC228" s="72"/>
      <c r="CD228" s="72"/>
      <c r="CE228" s="72"/>
      <c r="CF228" s="72"/>
      <c r="CG228" s="72"/>
      <c r="CH228" s="72"/>
    </row>
    <row r="229" ht="15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  <c r="AQ229" s="72"/>
      <c r="AR229" s="72"/>
      <c r="AS229" s="72"/>
      <c r="AT229" s="72"/>
      <c r="AU229" s="72"/>
      <c r="AV229" s="72"/>
      <c r="AW229" s="72"/>
      <c r="AX229" s="72"/>
      <c r="AY229" s="72"/>
      <c r="AZ229" s="72"/>
      <c r="BA229" s="72"/>
      <c r="BB229" s="72"/>
      <c r="BC229" s="72"/>
      <c r="BD229" s="72"/>
      <c r="BE229" s="72"/>
      <c r="BF229" s="72"/>
      <c r="BG229" s="72"/>
      <c r="BH229" s="72"/>
      <c r="BI229" s="72"/>
      <c r="BJ229" s="72"/>
      <c r="BK229" s="72"/>
      <c r="BL229" s="72"/>
      <c r="BM229" s="72"/>
      <c r="BN229" s="72"/>
      <c r="BO229" s="72"/>
      <c r="BP229" s="72"/>
      <c r="BQ229" s="72"/>
      <c r="BR229" s="72"/>
      <c r="BS229" s="72"/>
      <c r="BT229" s="72"/>
      <c r="BU229" s="72"/>
      <c r="BV229" s="72"/>
      <c r="BW229" s="72"/>
      <c r="BX229" s="72"/>
      <c r="BY229" s="72"/>
      <c r="BZ229" s="72"/>
      <c r="CA229" s="72"/>
      <c r="CB229" s="72"/>
      <c r="CC229" s="72"/>
      <c r="CD229" s="72"/>
      <c r="CE229" s="72"/>
      <c r="CF229" s="72"/>
      <c r="CG229" s="72"/>
      <c r="CH229" s="72"/>
    </row>
    <row r="230" ht="15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  <c r="AQ230" s="72"/>
      <c r="AR230" s="72"/>
      <c r="AS230" s="72"/>
      <c r="AT230" s="72"/>
      <c r="AU230" s="72"/>
      <c r="AV230" s="72"/>
      <c r="AW230" s="72"/>
      <c r="AX230" s="72"/>
      <c r="AY230" s="72"/>
      <c r="AZ230" s="72"/>
      <c r="BA230" s="72"/>
      <c r="BB230" s="72"/>
      <c r="BC230" s="72"/>
      <c r="BD230" s="72"/>
      <c r="BE230" s="72"/>
      <c r="BF230" s="72"/>
      <c r="BG230" s="72"/>
      <c r="BH230" s="72"/>
      <c r="BI230" s="72"/>
      <c r="BJ230" s="72"/>
      <c r="BK230" s="72"/>
      <c r="BL230" s="72"/>
      <c r="BM230" s="72"/>
      <c r="BN230" s="72"/>
      <c r="BO230" s="72"/>
      <c r="BP230" s="72"/>
      <c r="BQ230" s="72"/>
      <c r="BR230" s="72"/>
      <c r="BS230" s="72"/>
      <c r="BT230" s="72"/>
      <c r="BU230" s="72"/>
      <c r="BV230" s="72"/>
      <c r="BW230" s="72"/>
      <c r="BX230" s="72"/>
      <c r="BY230" s="72"/>
      <c r="BZ230" s="72"/>
      <c r="CA230" s="72"/>
      <c r="CB230" s="72"/>
      <c r="CC230" s="72"/>
      <c r="CD230" s="72"/>
      <c r="CE230" s="72"/>
      <c r="CF230" s="72"/>
      <c r="CG230" s="72"/>
      <c r="CH230" s="72"/>
    </row>
    <row r="231" ht="15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  <c r="AQ231" s="72"/>
      <c r="AR231" s="72"/>
      <c r="AS231" s="72"/>
      <c r="AT231" s="72"/>
      <c r="AU231" s="72"/>
      <c r="AV231" s="72"/>
      <c r="AW231" s="72"/>
      <c r="AX231" s="72"/>
      <c r="AY231" s="72"/>
      <c r="AZ231" s="72"/>
      <c r="BA231" s="72"/>
      <c r="BB231" s="72"/>
      <c r="BC231" s="72"/>
      <c r="BD231" s="72"/>
      <c r="BE231" s="72"/>
      <c r="BF231" s="72"/>
      <c r="BG231" s="72"/>
      <c r="BH231" s="72"/>
      <c r="BI231" s="72"/>
      <c r="BJ231" s="72"/>
      <c r="BK231" s="72"/>
      <c r="BL231" s="72"/>
      <c r="BM231" s="72"/>
      <c r="BN231" s="72"/>
      <c r="BO231" s="72"/>
      <c r="BP231" s="72"/>
      <c r="BQ231" s="72"/>
      <c r="BR231" s="72"/>
      <c r="BS231" s="72"/>
      <c r="BT231" s="72"/>
      <c r="BU231" s="72"/>
      <c r="BV231" s="72"/>
      <c r="BW231" s="72"/>
      <c r="BX231" s="72"/>
      <c r="BY231" s="72"/>
      <c r="BZ231" s="72"/>
      <c r="CA231" s="72"/>
      <c r="CB231" s="72"/>
      <c r="CC231" s="72"/>
      <c r="CD231" s="72"/>
      <c r="CE231" s="72"/>
      <c r="CF231" s="72"/>
      <c r="CG231" s="72"/>
      <c r="CH231" s="72"/>
    </row>
    <row r="232" ht="15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  <c r="AQ232" s="72"/>
      <c r="AR232" s="72"/>
      <c r="AS232" s="72"/>
      <c r="AT232" s="72"/>
      <c r="AU232" s="72"/>
      <c r="AV232" s="72"/>
      <c r="AW232" s="72"/>
      <c r="AX232" s="72"/>
      <c r="AY232" s="72"/>
      <c r="AZ232" s="72"/>
      <c r="BA232" s="72"/>
      <c r="BB232" s="72"/>
      <c r="BC232" s="72"/>
      <c r="BD232" s="72"/>
      <c r="BE232" s="72"/>
      <c r="BF232" s="72"/>
      <c r="BG232" s="72"/>
      <c r="BH232" s="72"/>
      <c r="BI232" s="72"/>
      <c r="BJ232" s="72"/>
      <c r="BK232" s="72"/>
      <c r="BL232" s="72"/>
      <c r="BM232" s="72"/>
      <c r="BN232" s="72"/>
      <c r="BO232" s="72"/>
      <c r="BP232" s="72"/>
      <c r="BQ232" s="72"/>
      <c r="BR232" s="72"/>
      <c r="BS232" s="72"/>
      <c r="BT232" s="72"/>
      <c r="BU232" s="72"/>
      <c r="BV232" s="72"/>
      <c r="BW232" s="72"/>
      <c r="BX232" s="72"/>
      <c r="BY232" s="72"/>
      <c r="BZ232" s="72"/>
      <c r="CA232" s="72"/>
      <c r="CB232" s="72"/>
      <c r="CC232" s="72"/>
      <c r="CD232" s="72"/>
      <c r="CE232" s="72"/>
      <c r="CF232" s="72"/>
      <c r="CG232" s="72"/>
      <c r="CH232" s="72"/>
    </row>
    <row r="233" ht="15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  <c r="AQ233" s="72"/>
      <c r="AR233" s="72"/>
      <c r="AS233" s="72"/>
      <c r="AT233" s="72"/>
      <c r="AU233" s="72"/>
      <c r="AV233" s="72"/>
      <c r="AW233" s="72"/>
      <c r="AX233" s="72"/>
      <c r="AY233" s="72"/>
      <c r="AZ233" s="72"/>
      <c r="BA233" s="72"/>
      <c r="BB233" s="72"/>
      <c r="BC233" s="72"/>
      <c r="BD233" s="72"/>
      <c r="BE233" s="72"/>
      <c r="BF233" s="72"/>
      <c r="BG233" s="72"/>
      <c r="BH233" s="72"/>
      <c r="BI233" s="72"/>
      <c r="BJ233" s="72"/>
      <c r="BK233" s="72"/>
      <c r="BL233" s="72"/>
      <c r="BM233" s="72"/>
      <c r="BN233" s="72"/>
      <c r="BO233" s="72"/>
      <c r="BP233" s="72"/>
      <c r="BQ233" s="72"/>
      <c r="BR233" s="72"/>
      <c r="BS233" s="72"/>
      <c r="BT233" s="72"/>
      <c r="BU233" s="72"/>
      <c r="BV233" s="72"/>
      <c r="BW233" s="72"/>
      <c r="BX233" s="72"/>
      <c r="BY233" s="72"/>
      <c r="BZ233" s="72"/>
      <c r="CA233" s="72"/>
      <c r="CB233" s="72"/>
      <c r="CC233" s="72"/>
      <c r="CD233" s="72"/>
      <c r="CE233" s="72"/>
      <c r="CF233" s="72"/>
      <c r="CG233" s="72"/>
      <c r="CH233" s="72"/>
    </row>
    <row r="234" ht="15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  <c r="AQ234" s="72"/>
      <c r="AR234" s="72"/>
      <c r="AS234" s="72"/>
      <c r="AT234" s="72"/>
      <c r="AU234" s="72"/>
      <c r="AV234" s="72"/>
      <c r="AW234" s="72"/>
      <c r="AX234" s="72"/>
      <c r="AY234" s="72"/>
      <c r="AZ234" s="72"/>
      <c r="BA234" s="72"/>
      <c r="BB234" s="72"/>
      <c r="BC234" s="72"/>
      <c r="BD234" s="72"/>
      <c r="BE234" s="72"/>
      <c r="BF234" s="72"/>
      <c r="BG234" s="72"/>
      <c r="BH234" s="72"/>
      <c r="BI234" s="72"/>
      <c r="BJ234" s="72"/>
      <c r="BK234" s="72"/>
      <c r="BL234" s="72"/>
      <c r="BM234" s="72"/>
      <c r="BN234" s="72"/>
      <c r="BO234" s="72"/>
      <c r="BP234" s="72"/>
      <c r="BQ234" s="72"/>
      <c r="BR234" s="72"/>
      <c r="BS234" s="72"/>
      <c r="BT234" s="72"/>
      <c r="BU234" s="72"/>
      <c r="BV234" s="72"/>
      <c r="BW234" s="72"/>
      <c r="BX234" s="72"/>
      <c r="BY234" s="72"/>
      <c r="BZ234" s="72"/>
      <c r="CA234" s="72"/>
      <c r="CB234" s="72"/>
      <c r="CC234" s="72"/>
      <c r="CD234" s="72"/>
      <c r="CE234" s="72"/>
      <c r="CF234" s="72"/>
      <c r="CG234" s="72"/>
      <c r="CH234" s="72"/>
    </row>
    <row r="235" ht="15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  <c r="AQ235" s="72"/>
      <c r="AR235" s="72"/>
      <c r="AS235" s="72"/>
      <c r="AT235" s="72"/>
      <c r="AU235" s="72"/>
      <c r="AV235" s="72"/>
      <c r="AW235" s="72"/>
      <c r="AX235" s="72"/>
      <c r="AY235" s="72"/>
      <c r="AZ235" s="72"/>
      <c r="BA235" s="72"/>
      <c r="BB235" s="72"/>
      <c r="BC235" s="72"/>
      <c r="BD235" s="72"/>
      <c r="BE235" s="72"/>
      <c r="BF235" s="72"/>
      <c r="BG235" s="72"/>
      <c r="BH235" s="72"/>
      <c r="BI235" s="72"/>
      <c r="BJ235" s="72"/>
      <c r="BK235" s="72"/>
      <c r="BL235" s="72"/>
      <c r="BM235" s="72"/>
      <c r="BN235" s="72"/>
      <c r="BO235" s="72"/>
      <c r="BP235" s="72"/>
      <c r="BQ235" s="72"/>
      <c r="BR235" s="72"/>
      <c r="BS235" s="72"/>
      <c r="BT235" s="72"/>
      <c r="BU235" s="72"/>
      <c r="BV235" s="72"/>
      <c r="BW235" s="72"/>
      <c r="BX235" s="72"/>
      <c r="BY235" s="72"/>
      <c r="BZ235" s="72"/>
      <c r="CA235" s="72"/>
      <c r="CB235" s="72"/>
      <c r="CC235" s="72"/>
      <c r="CD235" s="72"/>
      <c r="CE235" s="72"/>
      <c r="CF235" s="72"/>
      <c r="CG235" s="72"/>
      <c r="CH235" s="72"/>
    </row>
    <row r="236" ht="15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  <c r="AQ236" s="72"/>
      <c r="AR236" s="72"/>
      <c r="AS236" s="72"/>
      <c r="AT236" s="72"/>
      <c r="AU236" s="72"/>
      <c r="AV236" s="72"/>
      <c r="AW236" s="72"/>
      <c r="AX236" s="72"/>
      <c r="AY236" s="72"/>
      <c r="AZ236" s="72"/>
      <c r="BA236" s="72"/>
      <c r="BB236" s="72"/>
      <c r="BC236" s="72"/>
      <c r="BD236" s="72"/>
      <c r="BE236" s="72"/>
      <c r="BF236" s="72"/>
      <c r="BG236" s="72"/>
      <c r="BH236" s="72"/>
      <c r="BI236" s="72"/>
      <c r="BJ236" s="72"/>
      <c r="BK236" s="72"/>
      <c r="BL236" s="72"/>
      <c r="BM236" s="72"/>
      <c r="BN236" s="72"/>
      <c r="BO236" s="72"/>
      <c r="BP236" s="72"/>
      <c r="BQ236" s="72"/>
      <c r="BR236" s="72"/>
      <c r="BS236" s="72"/>
      <c r="BT236" s="72"/>
      <c r="BU236" s="72"/>
      <c r="BV236" s="72"/>
      <c r="BW236" s="72"/>
      <c r="BX236" s="72"/>
      <c r="BY236" s="72"/>
      <c r="BZ236" s="72"/>
      <c r="CA236" s="72"/>
      <c r="CB236" s="72"/>
      <c r="CC236" s="72"/>
      <c r="CD236" s="72"/>
      <c r="CE236" s="72"/>
      <c r="CF236" s="72"/>
      <c r="CG236" s="72"/>
      <c r="CH236" s="72"/>
    </row>
    <row r="237" ht="15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  <c r="AQ237" s="72"/>
      <c r="AR237" s="72"/>
      <c r="AS237" s="72"/>
      <c r="AT237" s="72"/>
      <c r="AU237" s="72"/>
      <c r="AV237" s="72"/>
      <c r="AW237" s="72"/>
      <c r="AX237" s="72"/>
      <c r="AY237" s="72"/>
      <c r="AZ237" s="72"/>
      <c r="BA237" s="72"/>
      <c r="BB237" s="72"/>
      <c r="BC237" s="72"/>
      <c r="BD237" s="72"/>
      <c r="BE237" s="72"/>
      <c r="BF237" s="72"/>
      <c r="BG237" s="72"/>
      <c r="BH237" s="72"/>
      <c r="BI237" s="72"/>
      <c r="BJ237" s="72"/>
      <c r="BK237" s="72"/>
      <c r="BL237" s="72"/>
      <c r="BM237" s="72"/>
      <c r="BN237" s="72"/>
      <c r="BO237" s="72"/>
      <c r="BP237" s="72"/>
      <c r="BQ237" s="72"/>
      <c r="BR237" s="72"/>
      <c r="BS237" s="72"/>
      <c r="BT237" s="72"/>
      <c r="BU237" s="72"/>
      <c r="BV237" s="72"/>
      <c r="BW237" s="72"/>
      <c r="BX237" s="72"/>
      <c r="BY237" s="72"/>
      <c r="BZ237" s="72"/>
      <c r="CA237" s="72"/>
      <c r="CB237" s="72"/>
      <c r="CC237" s="72"/>
      <c r="CD237" s="72"/>
      <c r="CE237" s="72"/>
      <c r="CF237" s="72"/>
      <c r="CG237" s="72"/>
      <c r="CH237" s="72"/>
    </row>
    <row r="238" ht="15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  <c r="AQ238" s="72"/>
      <c r="AR238" s="72"/>
      <c r="AS238" s="72"/>
      <c r="AT238" s="72"/>
      <c r="AU238" s="72"/>
      <c r="AV238" s="72"/>
      <c r="AW238" s="72"/>
      <c r="AX238" s="72"/>
      <c r="AY238" s="72"/>
      <c r="AZ238" s="72"/>
      <c r="BA238" s="72"/>
      <c r="BB238" s="72"/>
      <c r="BC238" s="72"/>
      <c r="BD238" s="72"/>
      <c r="BE238" s="72"/>
      <c r="BF238" s="72"/>
      <c r="BG238" s="72"/>
      <c r="BH238" s="72"/>
      <c r="BI238" s="72"/>
      <c r="BJ238" s="72"/>
      <c r="BK238" s="72"/>
      <c r="BL238" s="72"/>
      <c r="BM238" s="72"/>
      <c r="BN238" s="72"/>
      <c r="BO238" s="72"/>
      <c r="BP238" s="72"/>
      <c r="BQ238" s="72"/>
      <c r="BR238" s="72"/>
      <c r="BS238" s="72"/>
      <c r="BT238" s="72"/>
      <c r="BU238" s="72"/>
      <c r="BV238" s="72"/>
      <c r="BW238" s="72"/>
      <c r="BX238" s="72"/>
      <c r="BY238" s="72"/>
      <c r="BZ238" s="72"/>
      <c r="CA238" s="72"/>
      <c r="CB238" s="72"/>
      <c r="CC238" s="72"/>
      <c r="CD238" s="72"/>
      <c r="CE238" s="72"/>
      <c r="CF238" s="72"/>
      <c r="CG238" s="72"/>
      <c r="CH238" s="72"/>
    </row>
    <row r="239" ht="15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  <c r="AQ239" s="72"/>
      <c r="AR239" s="72"/>
      <c r="AS239" s="72"/>
      <c r="AT239" s="72"/>
      <c r="AU239" s="72"/>
      <c r="AV239" s="72"/>
      <c r="AW239" s="72"/>
      <c r="AX239" s="72"/>
      <c r="AY239" s="72"/>
      <c r="AZ239" s="72"/>
      <c r="BA239" s="72"/>
      <c r="BB239" s="72"/>
      <c r="BC239" s="72"/>
      <c r="BD239" s="72"/>
      <c r="BE239" s="72"/>
      <c r="BF239" s="72"/>
      <c r="BG239" s="72"/>
      <c r="BH239" s="72"/>
      <c r="BI239" s="72"/>
      <c r="BJ239" s="72"/>
      <c r="BK239" s="72"/>
      <c r="BL239" s="72"/>
      <c r="BM239" s="72"/>
      <c r="BN239" s="72"/>
      <c r="BO239" s="72"/>
      <c r="BP239" s="72"/>
      <c r="BQ239" s="72"/>
      <c r="BR239" s="72"/>
      <c r="BS239" s="72"/>
      <c r="BT239" s="72"/>
      <c r="BU239" s="72"/>
      <c r="BV239" s="72"/>
      <c r="BW239" s="72"/>
      <c r="BX239" s="72"/>
      <c r="BY239" s="72"/>
      <c r="BZ239" s="72"/>
      <c r="CA239" s="72"/>
      <c r="CB239" s="72"/>
      <c r="CC239" s="72"/>
      <c r="CD239" s="72"/>
      <c r="CE239" s="72"/>
      <c r="CF239" s="72"/>
      <c r="CG239" s="72"/>
      <c r="CH239" s="72"/>
    </row>
    <row r="240" ht="15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  <c r="AQ240" s="72"/>
      <c r="AR240" s="72"/>
      <c r="AS240" s="72"/>
      <c r="AT240" s="72"/>
      <c r="AU240" s="72"/>
      <c r="AV240" s="72"/>
      <c r="AW240" s="72"/>
      <c r="AX240" s="72"/>
      <c r="AY240" s="72"/>
      <c r="AZ240" s="72"/>
      <c r="BA240" s="72"/>
      <c r="BB240" s="72"/>
      <c r="BC240" s="72"/>
      <c r="BD240" s="72"/>
      <c r="BE240" s="72"/>
      <c r="BF240" s="72"/>
      <c r="BG240" s="72"/>
      <c r="BH240" s="72"/>
      <c r="BI240" s="72"/>
      <c r="BJ240" s="72"/>
      <c r="BK240" s="72"/>
      <c r="BL240" s="72"/>
      <c r="BM240" s="72"/>
      <c r="BN240" s="72"/>
      <c r="BO240" s="72"/>
      <c r="BP240" s="72"/>
      <c r="BQ240" s="72"/>
      <c r="BR240" s="72"/>
      <c r="BS240" s="72"/>
      <c r="BT240" s="72"/>
      <c r="BU240" s="72"/>
      <c r="BV240" s="72"/>
      <c r="BW240" s="72"/>
      <c r="BX240" s="72"/>
      <c r="BY240" s="72"/>
      <c r="BZ240" s="72"/>
      <c r="CA240" s="72"/>
      <c r="CB240" s="72"/>
      <c r="CC240" s="72"/>
      <c r="CD240" s="72"/>
      <c r="CE240" s="72"/>
      <c r="CF240" s="72"/>
      <c r="CG240" s="72"/>
      <c r="CH240" s="72"/>
    </row>
    <row r="241" ht="15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  <c r="AQ241" s="72"/>
      <c r="AR241" s="72"/>
      <c r="AS241" s="72"/>
      <c r="AT241" s="72"/>
      <c r="AU241" s="72"/>
      <c r="AV241" s="72"/>
      <c r="AW241" s="72"/>
      <c r="AX241" s="72"/>
      <c r="AY241" s="72"/>
      <c r="AZ241" s="72"/>
      <c r="BA241" s="72"/>
      <c r="BB241" s="72"/>
      <c r="BC241" s="72"/>
      <c r="BD241" s="72"/>
      <c r="BE241" s="72"/>
      <c r="BF241" s="72"/>
      <c r="BG241" s="72"/>
      <c r="BH241" s="72"/>
      <c r="BI241" s="72"/>
      <c r="BJ241" s="72"/>
      <c r="BK241" s="72"/>
      <c r="BL241" s="72"/>
      <c r="BM241" s="72"/>
      <c r="BN241" s="72"/>
      <c r="BO241" s="72"/>
      <c r="BP241" s="72"/>
      <c r="BQ241" s="72"/>
      <c r="BR241" s="72"/>
      <c r="BS241" s="72"/>
      <c r="BT241" s="72"/>
      <c r="BU241" s="72"/>
      <c r="BV241" s="72"/>
      <c r="BW241" s="72"/>
      <c r="BX241" s="72"/>
      <c r="BY241" s="72"/>
      <c r="BZ241" s="72"/>
      <c r="CA241" s="72"/>
      <c r="CB241" s="72"/>
      <c r="CC241" s="72"/>
      <c r="CD241" s="72"/>
      <c r="CE241" s="72"/>
      <c r="CF241" s="72"/>
      <c r="CG241" s="72"/>
      <c r="CH241" s="72"/>
    </row>
    <row r="242" ht="15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  <c r="AQ242" s="72"/>
      <c r="AR242" s="72"/>
      <c r="AS242" s="72"/>
      <c r="AT242" s="72"/>
      <c r="AU242" s="72"/>
      <c r="AV242" s="72"/>
      <c r="AW242" s="72"/>
      <c r="AX242" s="72"/>
      <c r="AY242" s="72"/>
      <c r="AZ242" s="72"/>
      <c r="BA242" s="72"/>
      <c r="BB242" s="72"/>
      <c r="BC242" s="72"/>
      <c r="BD242" s="72"/>
      <c r="BE242" s="72"/>
      <c r="BF242" s="72"/>
      <c r="BG242" s="72"/>
      <c r="BH242" s="72"/>
      <c r="BI242" s="72"/>
      <c r="BJ242" s="72"/>
      <c r="BK242" s="72"/>
      <c r="BL242" s="72"/>
      <c r="BM242" s="72"/>
      <c r="BN242" s="72"/>
      <c r="BO242" s="72"/>
      <c r="BP242" s="72"/>
      <c r="BQ242" s="72"/>
      <c r="BR242" s="72"/>
      <c r="BS242" s="72"/>
      <c r="BT242" s="72"/>
      <c r="BU242" s="72"/>
      <c r="BV242" s="72"/>
      <c r="BW242" s="72"/>
      <c r="BX242" s="72"/>
      <c r="BY242" s="72"/>
      <c r="BZ242" s="72"/>
      <c r="CA242" s="72"/>
      <c r="CB242" s="72"/>
      <c r="CC242" s="72"/>
      <c r="CD242" s="72"/>
      <c r="CE242" s="72"/>
      <c r="CF242" s="72"/>
      <c r="CG242" s="72"/>
      <c r="CH242" s="72"/>
    </row>
    <row r="243" ht="15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  <c r="AQ243" s="72"/>
      <c r="AR243" s="72"/>
      <c r="AS243" s="72"/>
      <c r="AT243" s="72"/>
      <c r="AU243" s="72"/>
      <c r="AV243" s="72"/>
      <c r="AW243" s="72"/>
      <c r="AX243" s="72"/>
      <c r="AY243" s="72"/>
      <c r="AZ243" s="72"/>
      <c r="BA243" s="72"/>
      <c r="BB243" s="72"/>
      <c r="BC243" s="72"/>
      <c r="BD243" s="72"/>
      <c r="BE243" s="72"/>
      <c r="BF243" s="72"/>
      <c r="BG243" s="72"/>
      <c r="BH243" s="72"/>
      <c r="BI243" s="72"/>
      <c r="BJ243" s="72"/>
      <c r="BK243" s="72"/>
      <c r="BL243" s="72"/>
      <c r="BM243" s="72"/>
      <c r="BN243" s="72"/>
      <c r="BO243" s="72"/>
      <c r="BP243" s="72"/>
      <c r="BQ243" s="72"/>
      <c r="BR243" s="72"/>
      <c r="BS243" s="72"/>
      <c r="BT243" s="72"/>
      <c r="BU243" s="72"/>
      <c r="BV243" s="72"/>
      <c r="BW243" s="72"/>
      <c r="BX243" s="72"/>
      <c r="BY243" s="72"/>
      <c r="BZ243" s="72"/>
      <c r="CA243" s="72"/>
      <c r="CB243" s="72"/>
      <c r="CC243" s="72"/>
      <c r="CD243" s="72"/>
      <c r="CE243" s="72"/>
      <c r="CF243" s="72"/>
      <c r="CG243" s="72"/>
      <c r="CH243" s="72"/>
    </row>
    <row r="244" ht="15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  <c r="AQ244" s="72"/>
      <c r="AR244" s="72"/>
      <c r="AS244" s="72"/>
      <c r="AT244" s="72"/>
      <c r="AU244" s="72"/>
      <c r="AV244" s="72"/>
      <c r="AW244" s="72"/>
      <c r="AX244" s="72"/>
      <c r="AY244" s="72"/>
      <c r="AZ244" s="72"/>
      <c r="BA244" s="72"/>
      <c r="BB244" s="72"/>
      <c r="BC244" s="72"/>
      <c r="BD244" s="72"/>
      <c r="BE244" s="72"/>
      <c r="BF244" s="72"/>
      <c r="BG244" s="72"/>
      <c r="BH244" s="72"/>
      <c r="BI244" s="72"/>
      <c r="BJ244" s="72"/>
      <c r="BK244" s="72"/>
      <c r="BL244" s="72"/>
      <c r="BM244" s="72"/>
      <c r="BN244" s="72"/>
      <c r="BO244" s="72"/>
      <c r="BP244" s="72"/>
      <c r="BQ244" s="72"/>
      <c r="BR244" s="72"/>
      <c r="BS244" s="72"/>
      <c r="BT244" s="72"/>
      <c r="BU244" s="72"/>
      <c r="BV244" s="72"/>
      <c r="BW244" s="72"/>
      <c r="BX244" s="72"/>
      <c r="BY244" s="72"/>
      <c r="BZ244" s="72"/>
      <c r="CA244" s="72"/>
      <c r="CB244" s="72"/>
      <c r="CC244" s="72"/>
      <c r="CD244" s="72"/>
      <c r="CE244" s="72"/>
      <c r="CF244" s="72"/>
      <c r="CG244" s="72"/>
      <c r="CH244" s="72"/>
    </row>
    <row r="245" ht="15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  <c r="AQ245" s="72"/>
      <c r="AR245" s="72"/>
      <c r="AS245" s="72"/>
      <c r="AT245" s="72"/>
      <c r="AU245" s="72"/>
      <c r="AV245" s="72"/>
      <c r="AW245" s="72"/>
      <c r="AX245" s="72"/>
      <c r="AY245" s="72"/>
      <c r="AZ245" s="72"/>
      <c r="BA245" s="72"/>
      <c r="BB245" s="72"/>
      <c r="BC245" s="72"/>
      <c r="BD245" s="72"/>
      <c r="BE245" s="72"/>
      <c r="BF245" s="72"/>
      <c r="BG245" s="72"/>
      <c r="BH245" s="72"/>
      <c r="BI245" s="72"/>
      <c r="BJ245" s="72"/>
      <c r="BK245" s="72"/>
      <c r="BL245" s="72"/>
      <c r="BM245" s="72"/>
      <c r="BN245" s="72"/>
      <c r="BO245" s="72"/>
      <c r="BP245" s="72"/>
      <c r="BQ245" s="72"/>
      <c r="BR245" s="72"/>
      <c r="BS245" s="72"/>
      <c r="BT245" s="72"/>
      <c r="BU245" s="72"/>
      <c r="BV245" s="72"/>
      <c r="BW245" s="72"/>
      <c r="BX245" s="72"/>
      <c r="BY245" s="72"/>
      <c r="BZ245" s="72"/>
      <c r="CA245" s="72"/>
      <c r="CB245" s="72"/>
      <c r="CC245" s="72"/>
      <c r="CD245" s="72"/>
      <c r="CE245" s="72"/>
      <c r="CF245" s="72"/>
      <c r="CG245" s="72"/>
      <c r="CH245" s="72"/>
    </row>
    <row r="246" ht="15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  <c r="AQ246" s="72"/>
      <c r="AR246" s="72"/>
      <c r="AS246" s="72"/>
      <c r="AT246" s="72"/>
      <c r="AU246" s="72"/>
      <c r="AV246" s="72"/>
      <c r="AW246" s="72"/>
      <c r="AX246" s="72"/>
      <c r="AY246" s="72"/>
      <c r="AZ246" s="72"/>
      <c r="BA246" s="72"/>
      <c r="BB246" s="72"/>
      <c r="BC246" s="72"/>
      <c r="BD246" s="72"/>
      <c r="BE246" s="72"/>
      <c r="BF246" s="72"/>
      <c r="BG246" s="72"/>
      <c r="BH246" s="72"/>
      <c r="BI246" s="72"/>
      <c r="BJ246" s="72"/>
      <c r="BK246" s="72"/>
      <c r="BL246" s="72"/>
      <c r="BM246" s="72"/>
      <c r="BN246" s="72"/>
      <c r="BO246" s="72"/>
      <c r="BP246" s="72"/>
      <c r="BQ246" s="72"/>
      <c r="BR246" s="72"/>
      <c r="BS246" s="72"/>
      <c r="BT246" s="72"/>
      <c r="BU246" s="72"/>
      <c r="BV246" s="72"/>
      <c r="BW246" s="72"/>
      <c r="BX246" s="72"/>
      <c r="BY246" s="72"/>
      <c r="BZ246" s="72"/>
      <c r="CA246" s="72"/>
      <c r="CB246" s="72"/>
      <c r="CC246" s="72"/>
      <c r="CD246" s="72"/>
      <c r="CE246" s="72"/>
      <c r="CF246" s="72"/>
      <c r="CG246" s="72"/>
      <c r="CH246" s="72"/>
    </row>
    <row r="247" ht="15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  <c r="AR247" s="72"/>
      <c r="AS247" s="72"/>
      <c r="AT247" s="72"/>
      <c r="AU247" s="72"/>
      <c r="AV247" s="72"/>
      <c r="AW247" s="72"/>
      <c r="AX247" s="72"/>
      <c r="AY247" s="72"/>
      <c r="AZ247" s="72"/>
      <c r="BA247" s="72"/>
      <c r="BB247" s="72"/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  <c r="BM247" s="72"/>
      <c r="BN247" s="72"/>
      <c r="BO247" s="72"/>
      <c r="BP247" s="72"/>
      <c r="BQ247" s="72"/>
      <c r="BR247" s="72"/>
      <c r="BS247" s="72"/>
      <c r="BT247" s="72"/>
      <c r="BU247" s="72"/>
      <c r="BV247" s="72"/>
      <c r="BW247" s="72"/>
      <c r="BX247" s="72"/>
      <c r="BY247" s="72"/>
      <c r="BZ247" s="72"/>
      <c r="CA247" s="72"/>
      <c r="CB247" s="72"/>
      <c r="CC247" s="72"/>
      <c r="CD247" s="72"/>
      <c r="CE247" s="72"/>
      <c r="CF247" s="72"/>
      <c r="CG247" s="72"/>
      <c r="CH247" s="72"/>
    </row>
    <row r="248" ht="15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  <c r="AQ248" s="72"/>
      <c r="AR248" s="72"/>
      <c r="AS248" s="72"/>
      <c r="AT248" s="72"/>
      <c r="AU248" s="72"/>
      <c r="AV248" s="72"/>
      <c r="AW248" s="72"/>
      <c r="AX248" s="72"/>
      <c r="AY248" s="72"/>
      <c r="AZ248" s="72"/>
      <c r="BA248" s="72"/>
      <c r="BB248" s="72"/>
      <c r="BC248" s="72"/>
      <c r="BD248" s="72"/>
      <c r="BE248" s="72"/>
      <c r="BF248" s="72"/>
      <c r="BG248" s="72"/>
      <c r="BH248" s="72"/>
      <c r="BI248" s="72"/>
      <c r="BJ248" s="72"/>
      <c r="BK248" s="72"/>
      <c r="BL248" s="72"/>
      <c r="BM248" s="72"/>
      <c r="BN248" s="72"/>
      <c r="BO248" s="72"/>
      <c r="BP248" s="72"/>
      <c r="BQ248" s="72"/>
      <c r="BR248" s="72"/>
      <c r="BS248" s="72"/>
      <c r="BT248" s="72"/>
      <c r="BU248" s="72"/>
      <c r="BV248" s="72"/>
      <c r="BW248" s="72"/>
      <c r="BX248" s="72"/>
      <c r="BY248" s="72"/>
      <c r="BZ248" s="72"/>
      <c r="CA248" s="72"/>
      <c r="CB248" s="72"/>
      <c r="CC248" s="72"/>
      <c r="CD248" s="72"/>
      <c r="CE248" s="72"/>
      <c r="CF248" s="72"/>
      <c r="CG248" s="72"/>
      <c r="CH248" s="72"/>
    </row>
    <row r="249" ht="15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  <c r="AQ249" s="72"/>
      <c r="AR249" s="72"/>
      <c r="AS249" s="72"/>
      <c r="AT249" s="72"/>
      <c r="AU249" s="72"/>
      <c r="AV249" s="72"/>
      <c r="AW249" s="72"/>
      <c r="AX249" s="72"/>
      <c r="AY249" s="72"/>
      <c r="AZ249" s="72"/>
      <c r="BA249" s="72"/>
      <c r="BB249" s="72"/>
      <c r="BC249" s="72"/>
      <c r="BD249" s="72"/>
      <c r="BE249" s="72"/>
      <c r="BF249" s="72"/>
      <c r="BG249" s="72"/>
      <c r="BH249" s="72"/>
      <c r="BI249" s="72"/>
      <c r="BJ249" s="72"/>
      <c r="BK249" s="72"/>
      <c r="BL249" s="72"/>
      <c r="BM249" s="72"/>
      <c r="BN249" s="72"/>
      <c r="BO249" s="72"/>
      <c r="BP249" s="72"/>
      <c r="BQ249" s="72"/>
      <c r="BR249" s="72"/>
      <c r="BS249" s="72"/>
      <c r="BT249" s="72"/>
      <c r="BU249" s="72"/>
      <c r="BV249" s="72"/>
      <c r="BW249" s="72"/>
      <c r="BX249" s="72"/>
      <c r="BY249" s="72"/>
      <c r="BZ249" s="72"/>
      <c r="CA249" s="72"/>
      <c r="CB249" s="72"/>
      <c r="CC249" s="72"/>
      <c r="CD249" s="72"/>
      <c r="CE249" s="72"/>
      <c r="CF249" s="72"/>
      <c r="CG249" s="72"/>
      <c r="CH249" s="72"/>
    </row>
    <row r="250" ht="15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  <c r="AQ250" s="72"/>
      <c r="AR250" s="72"/>
      <c r="AS250" s="72"/>
      <c r="AT250" s="72"/>
      <c r="AU250" s="72"/>
      <c r="AV250" s="72"/>
      <c r="AW250" s="72"/>
      <c r="AX250" s="72"/>
      <c r="AY250" s="72"/>
      <c r="AZ250" s="72"/>
      <c r="BA250" s="72"/>
      <c r="BB250" s="72"/>
      <c r="BC250" s="72"/>
      <c r="BD250" s="72"/>
      <c r="BE250" s="72"/>
      <c r="BF250" s="72"/>
      <c r="BG250" s="72"/>
      <c r="BH250" s="72"/>
      <c r="BI250" s="72"/>
      <c r="BJ250" s="72"/>
      <c r="BK250" s="72"/>
      <c r="BL250" s="72"/>
      <c r="BM250" s="72"/>
      <c r="BN250" s="72"/>
      <c r="BO250" s="72"/>
      <c r="BP250" s="72"/>
      <c r="BQ250" s="72"/>
      <c r="BR250" s="72"/>
      <c r="BS250" s="72"/>
      <c r="BT250" s="72"/>
      <c r="BU250" s="72"/>
      <c r="BV250" s="72"/>
      <c r="BW250" s="72"/>
      <c r="BX250" s="72"/>
      <c r="BY250" s="72"/>
      <c r="BZ250" s="72"/>
      <c r="CA250" s="72"/>
      <c r="CB250" s="72"/>
      <c r="CC250" s="72"/>
      <c r="CD250" s="72"/>
      <c r="CE250" s="72"/>
      <c r="CF250" s="72"/>
      <c r="CG250" s="72"/>
      <c r="CH250" s="72"/>
    </row>
    <row r="251" ht="15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  <c r="AQ251" s="72"/>
      <c r="AR251" s="72"/>
      <c r="AS251" s="72"/>
      <c r="AT251" s="72"/>
      <c r="AU251" s="72"/>
      <c r="AV251" s="72"/>
      <c r="AW251" s="72"/>
      <c r="AX251" s="72"/>
      <c r="AY251" s="72"/>
      <c r="AZ251" s="72"/>
      <c r="BA251" s="72"/>
      <c r="BB251" s="72"/>
      <c r="BC251" s="72"/>
      <c r="BD251" s="72"/>
      <c r="BE251" s="72"/>
      <c r="BF251" s="72"/>
      <c r="BG251" s="72"/>
      <c r="BH251" s="72"/>
      <c r="BI251" s="72"/>
      <c r="BJ251" s="72"/>
      <c r="BK251" s="72"/>
      <c r="BL251" s="72"/>
      <c r="BM251" s="72"/>
      <c r="BN251" s="72"/>
      <c r="BO251" s="72"/>
      <c r="BP251" s="72"/>
      <c r="BQ251" s="72"/>
      <c r="BR251" s="72"/>
      <c r="BS251" s="72"/>
      <c r="BT251" s="72"/>
      <c r="BU251" s="72"/>
      <c r="BV251" s="72"/>
      <c r="BW251" s="72"/>
      <c r="BX251" s="72"/>
      <c r="BY251" s="72"/>
      <c r="BZ251" s="72"/>
      <c r="CA251" s="72"/>
      <c r="CB251" s="72"/>
      <c r="CC251" s="72"/>
      <c r="CD251" s="72"/>
      <c r="CE251" s="72"/>
      <c r="CF251" s="72"/>
      <c r="CG251" s="72"/>
      <c r="CH251" s="72"/>
    </row>
    <row r="252" ht="15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  <c r="AQ252" s="72"/>
      <c r="AR252" s="72"/>
      <c r="AS252" s="72"/>
      <c r="AT252" s="72"/>
      <c r="AU252" s="72"/>
      <c r="AV252" s="72"/>
      <c r="AW252" s="72"/>
      <c r="AX252" s="72"/>
      <c r="AY252" s="72"/>
      <c r="AZ252" s="72"/>
      <c r="BA252" s="72"/>
      <c r="BB252" s="72"/>
      <c r="BC252" s="72"/>
      <c r="BD252" s="72"/>
      <c r="BE252" s="72"/>
      <c r="BF252" s="72"/>
      <c r="BG252" s="72"/>
      <c r="BH252" s="72"/>
      <c r="BI252" s="72"/>
      <c r="BJ252" s="72"/>
      <c r="BK252" s="72"/>
      <c r="BL252" s="72"/>
      <c r="BM252" s="72"/>
      <c r="BN252" s="72"/>
      <c r="BO252" s="72"/>
      <c r="BP252" s="72"/>
      <c r="BQ252" s="72"/>
      <c r="BR252" s="72"/>
      <c r="BS252" s="72"/>
      <c r="BT252" s="72"/>
      <c r="BU252" s="72"/>
      <c r="BV252" s="72"/>
      <c r="BW252" s="72"/>
      <c r="BX252" s="72"/>
      <c r="BY252" s="72"/>
      <c r="BZ252" s="72"/>
      <c r="CA252" s="72"/>
      <c r="CB252" s="72"/>
      <c r="CC252" s="72"/>
      <c r="CD252" s="72"/>
      <c r="CE252" s="72"/>
      <c r="CF252" s="72"/>
      <c r="CG252" s="72"/>
      <c r="CH252" s="72"/>
    </row>
    <row r="253" ht="15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  <c r="AQ253" s="72"/>
      <c r="AR253" s="72"/>
      <c r="AS253" s="72"/>
      <c r="AT253" s="72"/>
      <c r="AU253" s="72"/>
      <c r="AV253" s="72"/>
      <c r="AW253" s="72"/>
      <c r="AX253" s="72"/>
      <c r="AY253" s="72"/>
      <c r="AZ253" s="72"/>
      <c r="BA253" s="72"/>
      <c r="BB253" s="72"/>
      <c r="BC253" s="72"/>
      <c r="BD253" s="72"/>
      <c r="BE253" s="72"/>
      <c r="BF253" s="72"/>
      <c r="BG253" s="72"/>
      <c r="BH253" s="72"/>
      <c r="BI253" s="72"/>
      <c r="BJ253" s="72"/>
      <c r="BK253" s="72"/>
      <c r="BL253" s="72"/>
      <c r="BM253" s="72"/>
      <c r="BN253" s="72"/>
      <c r="BO253" s="72"/>
      <c r="BP253" s="72"/>
      <c r="BQ253" s="72"/>
      <c r="BR253" s="72"/>
      <c r="BS253" s="72"/>
      <c r="BT253" s="72"/>
      <c r="BU253" s="72"/>
      <c r="BV253" s="72"/>
      <c r="BW253" s="72"/>
      <c r="BX253" s="72"/>
      <c r="BY253" s="72"/>
      <c r="BZ253" s="72"/>
      <c r="CA253" s="72"/>
      <c r="CB253" s="72"/>
      <c r="CC253" s="72"/>
      <c r="CD253" s="72"/>
      <c r="CE253" s="72"/>
      <c r="CF253" s="72"/>
      <c r="CG253" s="72"/>
      <c r="CH253" s="72"/>
    </row>
    <row r="254" ht="15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  <c r="AQ254" s="72"/>
      <c r="AR254" s="72"/>
      <c r="AS254" s="72"/>
      <c r="AT254" s="72"/>
      <c r="AU254" s="72"/>
      <c r="AV254" s="72"/>
      <c r="AW254" s="72"/>
      <c r="AX254" s="72"/>
      <c r="AY254" s="72"/>
      <c r="AZ254" s="72"/>
      <c r="BA254" s="72"/>
      <c r="BB254" s="72"/>
      <c r="BC254" s="72"/>
      <c r="BD254" s="72"/>
      <c r="BE254" s="72"/>
      <c r="BF254" s="72"/>
      <c r="BG254" s="72"/>
      <c r="BH254" s="72"/>
      <c r="BI254" s="72"/>
      <c r="BJ254" s="72"/>
      <c r="BK254" s="72"/>
      <c r="BL254" s="72"/>
      <c r="BM254" s="72"/>
      <c r="BN254" s="72"/>
      <c r="BO254" s="72"/>
      <c r="BP254" s="72"/>
      <c r="BQ254" s="72"/>
      <c r="BR254" s="72"/>
      <c r="BS254" s="72"/>
      <c r="BT254" s="72"/>
      <c r="BU254" s="72"/>
      <c r="BV254" s="72"/>
      <c r="BW254" s="72"/>
      <c r="BX254" s="72"/>
      <c r="BY254" s="72"/>
      <c r="BZ254" s="72"/>
      <c r="CA254" s="72"/>
      <c r="CB254" s="72"/>
      <c r="CC254" s="72"/>
      <c r="CD254" s="72"/>
      <c r="CE254" s="72"/>
      <c r="CF254" s="72"/>
      <c r="CG254" s="72"/>
      <c r="CH254" s="72"/>
    </row>
    <row r="255" ht="15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  <c r="AQ255" s="72"/>
      <c r="AR255" s="72"/>
      <c r="AS255" s="72"/>
      <c r="AT255" s="72"/>
      <c r="AU255" s="72"/>
      <c r="AV255" s="72"/>
      <c r="AW255" s="72"/>
      <c r="AX255" s="72"/>
      <c r="AY255" s="72"/>
      <c r="AZ255" s="72"/>
      <c r="BA255" s="72"/>
      <c r="BB255" s="72"/>
      <c r="BC255" s="72"/>
      <c r="BD255" s="72"/>
      <c r="BE255" s="72"/>
      <c r="BF255" s="72"/>
      <c r="BG255" s="72"/>
      <c r="BH255" s="72"/>
      <c r="BI255" s="72"/>
      <c r="BJ255" s="72"/>
      <c r="BK255" s="72"/>
      <c r="BL255" s="72"/>
      <c r="BM255" s="72"/>
      <c r="BN255" s="72"/>
      <c r="BO255" s="72"/>
      <c r="BP255" s="72"/>
      <c r="BQ255" s="72"/>
      <c r="BR255" s="72"/>
      <c r="BS255" s="72"/>
      <c r="BT255" s="72"/>
      <c r="BU255" s="72"/>
      <c r="BV255" s="72"/>
      <c r="BW255" s="72"/>
      <c r="BX255" s="72"/>
      <c r="BY255" s="72"/>
      <c r="BZ255" s="72"/>
      <c r="CA255" s="72"/>
      <c r="CB255" s="72"/>
      <c r="CC255" s="72"/>
      <c r="CD255" s="72"/>
      <c r="CE255" s="72"/>
      <c r="CF255" s="72"/>
      <c r="CG255" s="72"/>
      <c r="CH255" s="72"/>
    </row>
    <row r="256" ht="15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  <c r="AQ256" s="72"/>
      <c r="AR256" s="72"/>
      <c r="AS256" s="72"/>
      <c r="AT256" s="72"/>
      <c r="AU256" s="72"/>
      <c r="AV256" s="72"/>
      <c r="AW256" s="72"/>
      <c r="AX256" s="72"/>
      <c r="AY256" s="72"/>
      <c r="AZ256" s="72"/>
      <c r="BA256" s="72"/>
      <c r="BB256" s="72"/>
      <c r="BC256" s="72"/>
      <c r="BD256" s="72"/>
      <c r="BE256" s="72"/>
      <c r="BF256" s="72"/>
      <c r="BG256" s="72"/>
      <c r="BH256" s="72"/>
      <c r="BI256" s="72"/>
      <c r="BJ256" s="72"/>
      <c r="BK256" s="72"/>
      <c r="BL256" s="72"/>
      <c r="BM256" s="72"/>
      <c r="BN256" s="72"/>
      <c r="BO256" s="72"/>
      <c r="BP256" s="72"/>
      <c r="BQ256" s="72"/>
      <c r="BR256" s="72"/>
      <c r="BS256" s="72"/>
      <c r="BT256" s="72"/>
      <c r="BU256" s="72"/>
      <c r="BV256" s="72"/>
      <c r="BW256" s="72"/>
      <c r="BX256" s="72"/>
      <c r="BY256" s="72"/>
      <c r="BZ256" s="72"/>
      <c r="CA256" s="72"/>
      <c r="CB256" s="72"/>
      <c r="CC256" s="72"/>
      <c r="CD256" s="72"/>
      <c r="CE256" s="72"/>
      <c r="CF256" s="72"/>
      <c r="CG256" s="72"/>
      <c r="CH256" s="72"/>
    </row>
    <row r="257" ht="15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  <c r="AQ257" s="72"/>
      <c r="AR257" s="72"/>
      <c r="AS257" s="72"/>
      <c r="AT257" s="72"/>
      <c r="AU257" s="72"/>
      <c r="AV257" s="72"/>
      <c r="AW257" s="72"/>
      <c r="AX257" s="72"/>
      <c r="AY257" s="72"/>
      <c r="AZ257" s="72"/>
      <c r="BA257" s="72"/>
      <c r="BB257" s="72"/>
      <c r="BC257" s="72"/>
      <c r="BD257" s="72"/>
      <c r="BE257" s="72"/>
      <c r="BF257" s="72"/>
      <c r="BG257" s="72"/>
      <c r="BH257" s="72"/>
      <c r="BI257" s="72"/>
      <c r="BJ257" s="72"/>
      <c r="BK257" s="72"/>
      <c r="BL257" s="72"/>
      <c r="BM257" s="72"/>
      <c r="BN257" s="72"/>
      <c r="BO257" s="72"/>
      <c r="BP257" s="72"/>
      <c r="BQ257" s="72"/>
      <c r="BR257" s="72"/>
      <c r="BS257" s="72"/>
      <c r="BT257" s="72"/>
      <c r="BU257" s="72"/>
      <c r="BV257" s="72"/>
      <c r="BW257" s="72"/>
      <c r="BX257" s="72"/>
      <c r="BY257" s="72"/>
      <c r="BZ257" s="72"/>
      <c r="CA257" s="72"/>
      <c r="CB257" s="72"/>
      <c r="CC257" s="72"/>
      <c r="CD257" s="72"/>
      <c r="CE257" s="72"/>
      <c r="CF257" s="72"/>
      <c r="CG257" s="72"/>
      <c r="CH257" s="72"/>
    </row>
    <row r="258" ht="15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  <c r="AQ258" s="72"/>
      <c r="AR258" s="72"/>
      <c r="AS258" s="72"/>
      <c r="AT258" s="72"/>
      <c r="AU258" s="72"/>
      <c r="AV258" s="72"/>
      <c r="AW258" s="72"/>
      <c r="AX258" s="72"/>
      <c r="AY258" s="72"/>
      <c r="AZ258" s="72"/>
      <c r="BA258" s="72"/>
      <c r="BB258" s="72"/>
      <c r="BC258" s="72"/>
      <c r="BD258" s="72"/>
      <c r="BE258" s="72"/>
      <c r="BF258" s="72"/>
      <c r="BG258" s="72"/>
      <c r="BH258" s="72"/>
      <c r="BI258" s="72"/>
      <c r="BJ258" s="72"/>
      <c r="BK258" s="72"/>
      <c r="BL258" s="72"/>
      <c r="BM258" s="72"/>
      <c r="BN258" s="72"/>
      <c r="BO258" s="72"/>
      <c r="BP258" s="72"/>
      <c r="BQ258" s="72"/>
      <c r="BR258" s="72"/>
      <c r="BS258" s="72"/>
      <c r="BT258" s="72"/>
      <c r="BU258" s="72"/>
      <c r="BV258" s="72"/>
      <c r="BW258" s="72"/>
      <c r="BX258" s="72"/>
      <c r="BY258" s="72"/>
      <c r="BZ258" s="72"/>
      <c r="CA258" s="72"/>
      <c r="CB258" s="72"/>
      <c r="CC258" s="72"/>
      <c r="CD258" s="72"/>
      <c r="CE258" s="72"/>
      <c r="CF258" s="72"/>
      <c r="CG258" s="72"/>
      <c r="CH258" s="72"/>
    </row>
    <row r="259" ht="15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  <c r="AQ259" s="72"/>
      <c r="AR259" s="72"/>
      <c r="AS259" s="72"/>
      <c r="AT259" s="72"/>
      <c r="AU259" s="72"/>
      <c r="AV259" s="72"/>
      <c r="AW259" s="72"/>
      <c r="AX259" s="72"/>
      <c r="AY259" s="72"/>
      <c r="AZ259" s="72"/>
      <c r="BA259" s="72"/>
      <c r="BB259" s="72"/>
      <c r="BC259" s="72"/>
      <c r="BD259" s="72"/>
      <c r="BE259" s="72"/>
      <c r="BF259" s="72"/>
      <c r="BG259" s="72"/>
      <c r="BH259" s="72"/>
      <c r="BI259" s="72"/>
      <c r="BJ259" s="72"/>
      <c r="BK259" s="72"/>
      <c r="BL259" s="72"/>
      <c r="BM259" s="72"/>
      <c r="BN259" s="72"/>
      <c r="BO259" s="72"/>
      <c r="BP259" s="72"/>
      <c r="BQ259" s="72"/>
      <c r="BR259" s="72"/>
      <c r="BS259" s="72"/>
      <c r="BT259" s="72"/>
      <c r="BU259" s="72"/>
      <c r="BV259" s="72"/>
      <c r="BW259" s="72"/>
      <c r="BX259" s="72"/>
      <c r="BY259" s="72"/>
      <c r="BZ259" s="72"/>
      <c r="CA259" s="72"/>
      <c r="CB259" s="72"/>
      <c r="CC259" s="72"/>
      <c r="CD259" s="72"/>
      <c r="CE259" s="72"/>
      <c r="CF259" s="72"/>
      <c r="CG259" s="72"/>
      <c r="CH259" s="72"/>
    </row>
    <row r="260" ht="15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  <c r="AQ260" s="72"/>
      <c r="AR260" s="72"/>
      <c r="AS260" s="72"/>
      <c r="AT260" s="72"/>
      <c r="AU260" s="72"/>
      <c r="AV260" s="72"/>
      <c r="AW260" s="72"/>
      <c r="AX260" s="72"/>
      <c r="AY260" s="72"/>
      <c r="AZ260" s="72"/>
      <c r="BA260" s="72"/>
      <c r="BB260" s="72"/>
      <c r="BC260" s="72"/>
      <c r="BD260" s="72"/>
      <c r="BE260" s="72"/>
      <c r="BF260" s="72"/>
      <c r="BG260" s="72"/>
      <c r="BH260" s="72"/>
      <c r="BI260" s="72"/>
      <c r="BJ260" s="72"/>
      <c r="BK260" s="72"/>
      <c r="BL260" s="72"/>
      <c r="BM260" s="72"/>
      <c r="BN260" s="72"/>
      <c r="BO260" s="72"/>
      <c r="BP260" s="72"/>
      <c r="BQ260" s="72"/>
      <c r="BR260" s="72"/>
      <c r="BS260" s="72"/>
      <c r="BT260" s="72"/>
      <c r="BU260" s="72"/>
      <c r="BV260" s="72"/>
      <c r="BW260" s="72"/>
      <c r="BX260" s="72"/>
      <c r="BY260" s="72"/>
      <c r="BZ260" s="72"/>
      <c r="CA260" s="72"/>
      <c r="CB260" s="72"/>
      <c r="CC260" s="72"/>
      <c r="CD260" s="72"/>
      <c r="CE260" s="72"/>
      <c r="CF260" s="72"/>
      <c r="CG260" s="72"/>
      <c r="CH260" s="72"/>
    </row>
    <row r="261" ht="15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  <c r="AQ261" s="72"/>
      <c r="AR261" s="72"/>
      <c r="AS261" s="72"/>
      <c r="AT261" s="72"/>
      <c r="AU261" s="72"/>
      <c r="AV261" s="72"/>
      <c r="AW261" s="72"/>
      <c r="AX261" s="72"/>
      <c r="AY261" s="72"/>
      <c r="AZ261" s="72"/>
      <c r="BA261" s="72"/>
      <c r="BB261" s="72"/>
      <c r="BC261" s="72"/>
      <c r="BD261" s="72"/>
      <c r="BE261" s="72"/>
      <c r="BF261" s="72"/>
      <c r="BG261" s="72"/>
      <c r="BH261" s="72"/>
      <c r="BI261" s="72"/>
      <c r="BJ261" s="72"/>
      <c r="BK261" s="72"/>
      <c r="BL261" s="72"/>
      <c r="BM261" s="72"/>
      <c r="BN261" s="72"/>
      <c r="BO261" s="72"/>
      <c r="BP261" s="72"/>
      <c r="BQ261" s="72"/>
      <c r="BR261" s="72"/>
      <c r="BS261" s="72"/>
      <c r="BT261" s="72"/>
      <c r="BU261" s="72"/>
      <c r="BV261" s="72"/>
      <c r="BW261" s="72"/>
      <c r="BX261" s="72"/>
      <c r="BY261" s="72"/>
      <c r="BZ261" s="72"/>
      <c r="CA261" s="72"/>
      <c r="CB261" s="72"/>
      <c r="CC261" s="72"/>
      <c r="CD261" s="72"/>
      <c r="CE261" s="72"/>
      <c r="CF261" s="72"/>
      <c r="CG261" s="72"/>
      <c r="CH261" s="72"/>
    </row>
    <row r="262" ht="15.7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  <c r="AQ262" s="72"/>
      <c r="AR262" s="72"/>
      <c r="AS262" s="72"/>
      <c r="AT262" s="72"/>
      <c r="AU262" s="72"/>
      <c r="AV262" s="72"/>
      <c r="AW262" s="72"/>
      <c r="AX262" s="72"/>
      <c r="AY262" s="72"/>
      <c r="AZ262" s="72"/>
      <c r="BA262" s="72"/>
      <c r="BB262" s="72"/>
      <c r="BC262" s="72"/>
      <c r="BD262" s="72"/>
      <c r="BE262" s="72"/>
      <c r="BF262" s="72"/>
      <c r="BG262" s="72"/>
      <c r="BH262" s="72"/>
      <c r="BI262" s="72"/>
      <c r="BJ262" s="72"/>
      <c r="BK262" s="72"/>
      <c r="BL262" s="72"/>
      <c r="BM262" s="72"/>
      <c r="BN262" s="72"/>
      <c r="BO262" s="72"/>
      <c r="BP262" s="72"/>
      <c r="BQ262" s="72"/>
      <c r="BR262" s="72"/>
      <c r="BS262" s="72"/>
      <c r="BT262" s="72"/>
      <c r="BU262" s="72"/>
      <c r="BV262" s="72"/>
      <c r="BW262" s="72"/>
      <c r="BX262" s="72"/>
      <c r="BY262" s="72"/>
      <c r="BZ262" s="72"/>
      <c r="CA262" s="72"/>
      <c r="CB262" s="72"/>
      <c r="CC262" s="72"/>
      <c r="CD262" s="72"/>
      <c r="CE262" s="72"/>
      <c r="CF262" s="72"/>
      <c r="CG262" s="72"/>
      <c r="CH262" s="72"/>
    </row>
    <row r="263" ht="15.7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  <c r="AQ263" s="72"/>
      <c r="AR263" s="72"/>
      <c r="AS263" s="72"/>
      <c r="AT263" s="72"/>
      <c r="AU263" s="72"/>
      <c r="AV263" s="72"/>
      <c r="AW263" s="72"/>
      <c r="AX263" s="72"/>
      <c r="AY263" s="72"/>
      <c r="AZ263" s="72"/>
      <c r="BA263" s="72"/>
      <c r="BB263" s="72"/>
      <c r="BC263" s="72"/>
      <c r="BD263" s="72"/>
      <c r="BE263" s="72"/>
      <c r="BF263" s="72"/>
      <c r="BG263" s="72"/>
      <c r="BH263" s="72"/>
      <c r="BI263" s="72"/>
      <c r="BJ263" s="72"/>
      <c r="BK263" s="72"/>
      <c r="BL263" s="72"/>
      <c r="BM263" s="72"/>
      <c r="BN263" s="72"/>
      <c r="BO263" s="72"/>
      <c r="BP263" s="72"/>
      <c r="BQ263" s="72"/>
      <c r="BR263" s="72"/>
      <c r="BS263" s="72"/>
      <c r="BT263" s="72"/>
      <c r="BU263" s="72"/>
      <c r="BV263" s="72"/>
      <c r="BW263" s="72"/>
      <c r="BX263" s="72"/>
      <c r="BY263" s="72"/>
      <c r="BZ263" s="72"/>
      <c r="CA263" s="72"/>
      <c r="CB263" s="72"/>
      <c r="CC263" s="72"/>
      <c r="CD263" s="72"/>
      <c r="CE263" s="72"/>
      <c r="CF263" s="72"/>
      <c r="CG263" s="72"/>
      <c r="CH263" s="72"/>
    </row>
    <row r="264" ht="15.7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  <c r="AQ264" s="72"/>
      <c r="AR264" s="72"/>
      <c r="AS264" s="72"/>
      <c r="AT264" s="72"/>
      <c r="AU264" s="72"/>
      <c r="AV264" s="72"/>
      <c r="AW264" s="72"/>
      <c r="AX264" s="72"/>
      <c r="AY264" s="72"/>
      <c r="AZ264" s="72"/>
      <c r="BA264" s="72"/>
      <c r="BB264" s="72"/>
      <c r="BC264" s="72"/>
      <c r="BD264" s="72"/>
      <c r="BE264" s="72"/>
      <c r="BF264" s="72"/>
      <c r="BG264" s="72"/>
      <c r="BH264" s="72"/>
      <c r="BI264" s="72"/>
      <c r="BJ264" s="72"/>
      <c r="BK264" s="72"/>
      <c r="BL264" s="72"/>
      <c r="BM264" s="72"/>
      <c r="BN264" s="72"/>
      <c r="BO264" s="72"/>
      <c r="BP264" s="72"/>
      <c r="BQ264" s="72"/>
      <c r="BR264" s="72"/>
      <c r="BS264" s="72"/>
      <c r="BT264" s="72"/>
      <c r="BU264" s="72"/>
      <c r="BV264" s="72"/>
      <c r="BW264" s="72"/>
      <c r="BX264" s="72"/>
      <c r="BY264" s="72"/>
      <c r="BZ264" s="72"/>
      <c r="CA264" s="72"/>
      <c r="CB264" s="72"/>
      <c r="CC264" s="72"/>
      <c r="CD264" s="72"/>
      <c r="CE264" s="72"/>
      <c r="CF264" s="72"/>
      <c r="CG264" s="72"/>
      <c r="CH264" s="72"/>
    </row>
    <row r="265" ht="15.7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  <c r="AQ265" s="72"/>
      <c r="AR265" s="72"/>
      <c r="AS265" s="72"/>
      <c r="AT265" s="72"/>
      <c r="AU265" s="72"/>
      <c r="AV265" s="72"/>
      <c r="AW265" s="72"/>
      <c r="AX265" s="72"/>
      <c r="AY265" s="72"/>
      <c r="AZ265" s="72"/>
      <c r="BA265" s="72"/>
      <c r="BB265" s="72"/>
      <c r="BC265" s="72"/>
      <c r="BD265" s="72"/>
      <c r="BE265" s="72"/>
      <c r="BF265" s="72"/>
      <c r="BG265" s="72"/>
      <c r="BH265" s="72"/>
      <c r="BI265" s="72"/>
      <c r="BJ265" s="72"/>
      <c r="BK265" s="72"/>
      <c r="BL265" s="72"/>
      <c r="BM265" s="72"/>
      <c r="BN265" s="72"/>
      <c r="BO265" s="72"/>
      <c r="BP265" s="72"/>
      <c r="BQ265" s="72"/>
      <c r="BR265" s="72"/>
      <c r="BS265" s="72"/>
      <c r="BT265" s="72"/>
      <c r="BU265" s="72"/>
      <c r="BV265" s="72"/>
      <c r="BW265" s="72"/>
      <c r="BX265" s="72"/>
      <c r="BY265" s="72"/>
      <c r="BZ265" s="72"/>
      <c r="CA265" s="72"/>
      <c r="CB265" s="72"/>
      <c r="CC265" s="72"/>
      <c r="CD265" s="72"/>
      <c r="CE265" s="72"/>
      <c r="CF265" s="72"/>
      <c r="CG265" s="72"/>
      <c r="CH265" s="72"/>
    </row>
    <row r="266" ht="15.7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  <c r="AQ266" s="72"/>
      <c r="AR266" s="72"/>
      <c r="AS266" s="72"/>
      <c r="AT266" s="72"/>
      <c r="AU266" s="72"/>
      <c r="AV266" s="72"/>
      <c r="AW266" s="72"/>
      <c r="AX266" s="72"/>
      <c r="AY266" s="72"/>
      <c r="AZ266" s="72"/>
      <c r="BA266" s="72"/>
      <c r="BB266" s="72"/>
      <c r="BC266" s="72"/>
      <c r="BD266" s="72"/>
      <c r="BE266" s="72"/>
      <c r="BF266" s="72"/>
      <c r="BG266" s="72"/>
      <c r="BH266" s="72"/>
      <c r="BI266" s="72"/>
      <c r="BJ266" s="72"/>
      <c r="BK266" s="72"/>
      <c r="BL266" s="72"/>
      <c r="BM266" s="72"/>
      <c r="BN266" s="72"/>
      <c r="BO266" s="72"/>
      <c r="BP266" s="72"/>
      <c r="BQ266" s="72"/>
      <c r="BR266" s="72"/>
      <c r="BS266" s="72"/>
      <c r="BT266" s="72"/>
      <c r="BU266" s="72"/>
      <c r="BV266" s="72"/>
      <c r="BW266" s="72"/>
      <c r="BX266" s="72"/>
      <c r="BY266" s="72"/>
      <c r="BZ266" s="72"/>
      <c r="CA266" s="72"/>
      <c r="CB266" s="72"/>
      <c r="CC266" s="72"/>
      <c r="CD266" s="72"/>
      <c r="CE266" s="72"/>
      <c r="CF266" s="72"/>
      <c r="CG266" s="72"/>
      <c r="CH266" s="72"/>
    </row>
    <row r="267" ht="15.7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  <c r="AQ267" s="72"/>
      <c r="AR267" s="72"/>
      <c r="AS267" s="72"/>
      <c r="AT267" s="72"/>
      <c r="AU267" s="72"/>
      <c r="AV267" s="72"/>
      <c r="AW267" s="72"/>
      <c r="AX267" s="72"/>
      <c r="AY267" s="72"/>
      <c r="AZ267" s="72"/>
      <c r="BA267" s="72"/>
      <c r="BB267" s="72"/>
      <c r="BC267" s="72"/>
      <c r="BD267" s="72"/>
      <c r="BE267" s="72"/>
      <c r="BF267" s="72"/>
      <c r="BG267" s="72"/>
      <c r="BH267" s="72"/>
      <c r="BI267" s="72"/>
      <c r="BJ267" s="72"/>
      <c r="BK267" s="72"/>
      <c r="BL267" s="72"/>
      <c r="BM267" s="72"/>
      <c r="BN267" s="72"/>
      <c r="BO267" s="72"/>
      <c r="BP267" s="72"/>
      <c r="BQ267" s="72"/>
      <c r="BR267" s="72"/>
      <c r="BS267" s="72"/>
      <c r="BT267" s="72"/>
      <c r="BU267" s="72"/>
      <c r="BV267" s="72"/>
      <c r="BW267" s="72"/>
      <c r="BX267" s="72"/>
      <c r="BY267" s="72"/>
      <c r="BZ267" s="72"/>
      <c r="CA267" s="72"/>
      <c r="CB267" s="72"/>
      <c r="CC267" s="72"/>
      <c r="CD267" s="72"/>
      <c r="CE267" s="72"/>
      <c r="CF267" s="72"/>
      <c r="CG267" s="72"/>
      <c r="CH267" s="72"/>
    </row>
    <row r="268" ht="15.7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  <c r="AQ268" s="72"/>
      <c r="AR268" s="72"/>
      <c r="AS268" s="72"/>
      <c r="AT268" s="72"/>
      <c r="AU268" s="72"/>
      <c r="AV268" s="72"/>
      <c r="AW268" s="72"/>
      <c r="AX268" s="72"/>
      <c r="AY268" s="72"/>
      <c r="AZ268" s="72"/>
      <c r="BA268" s="72"/>
      <c r="BB268" s="72"/>
      <c r="BC268" s="72"/>
      <c r="BD268" s="72"/>
      <c r="BE268" s="72"/>
      <c r="BF268" s="72"/>
      <c r="BG268" s="72"/>
      <c r="BH268" s="72"/>
      <c r="BI268" s="72"/>
      <c r="BJ268" s="72"/>
      <c r="BK268" s="72"/>
      <c r="BL268" s="72"/>
      <c r="BM268" s="72"/>
      <c r="BN268" s="72"/>
      <c r="BO268" s="72"/>
      <c r="BP268" s="72"/>
      <c r="BQ268" s="72"/>
      <c r="BR268" s="72"/>
      <c r="BS268" s="72"/>
      <c r="BT268" s="72"/>
      <c r="BU268" s="72"/>
      <c r="BV268" s="72"/>
      <c r="BW268" s="72"/>
      <c r="BX268" s="72"/>
      <c r="BY268" s="72"/>
      <c r="BZ268" s="72"/>
      <c r="CA268" s="72"/>
      <c r="CB268" s="72"/>
      <c r="CC268" s="72"/>
      <c r="CD268" s="72"/>
      <c r="CE268" s="72"/>
      <c r="CF268" s="72"/>
      <c r="CG268" s="72"/>
      <c r="CH268" s="72"/>
    </row>
    <row r="269" ht="15.7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  <c r="AQ269" s="72"/>
      <c r="AR269" s="72"/>
      <c r="AS269" s="72"/>
      <c r="AT269" s="72"/>
      <c r="AU269" s="72"/>
      <c r="AV269" s="72"/>
      <c r="AW269" s="72"/>
      <c r="AX269" s="72"/>
      <c r="AY269" s="72"/>
      <c r="AZ269" s="72"/>
      <c r="BA269" s="72"/>
      <c r="BB269" s="72"/>
      <c r="BC269" s="72"/>
      <c r="BD269" s="72"/>
      <c r="BE269" s="72"/>
      <c r="BF269" s="72"/>
      <c r="BG269" s="72"/>
      <c r="BH269" s="72"/>
      <c r="BI269" s="72"/>
      <c r="BJ269" s="72"/>
      <c r="BK269" s="72"/>
      <c r="BL269" s="72"/>
      <c r="BM269" s="72"/>
      <c r="BN269" s="72"/>
      <c r="BO269" s="72"/>
      <c r="BP269" s="72"/>
      <c r="BQ269" s="72"/>
      <c r="BR269" s="72"/>
      <c r="BS269" s="72"/>
      <c r="BT269" s="72"/>
      <c r="BU269" s="72"/>
      <c r="BV269" s="72"/>
      <c r="BW269" s="72"/>
      <c r="BX269" s="72"/>
      <c r="BY269" s="72"/>
      <c r="BZ269" s="72"/>
      <c r="CA269" s="72"/>
      <c r="CB269" s="72"/>
      <c r="CC269" s="72"/>
      <c r="CD269" s="72"/>
      <c r="CE269" s="72"/>
      <c r="CF269" s="72"/>
      <c r="CG269" s="72"/>
      <c r="CH269" s="72"/>
    </row>
    <row r="270" ht="15.7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  <c r="AQ270" s="72"/>
      <c r="AR270" s="72"/>
      <c r="AS270" s="72"/>
      <c r="AT270" s="72"/>
      <c r="AU270" s="72"/>
      <c r="AV270" s="72"/>
      <c r="AW270" s="72"/>
      <c r="AX270" s="72"/>
      <c r="AY270" s="72"/>
      <c r="AZ270" s="72"/>
      <c r="BA270" s="72"/>
      <c r="BB270" s="72"/>
      <c r="BC270" s="72"/>
      <c r="BD270" s="72"/>
      <c r="BE270" s="72"/>
      <c r="BF270" s="72"/>
      <c r="BG270" s="72"/>
      <c r="BH270" s="72"/>
      <c r="BI270" s="72"/>
      <c r="BJ270" s="72"/>
      <c r="BK270" s="72"/>
      <c r="BL270" s="72"/>
      <c r="BM270" s="72"/>
      <c r="BN270" s="72"/>
      <c r="BO270" s="72"/>
      <c r="BP270" s="72"/>
      <c r="BQ270" s="72"/>
      <c r="BR270" s="72"/>
      <c r="BS270" s="72"/>
      <c r="BT270" s="72"/>
      <c r="BU270" s="72"/>
      <c r="BV270" s="72"/>
      <c r="BW270" s="72"/>
      <c r="BX270" s="72"/>
      <c r="BY270" s="72"/>
      <c r="BZ270" s="72"/>
      <c r="CA270" s="72"/>
      <c r="CB270" s="72"/>
      <c r="CC270" s="72"/>
      <c r="CD270" s="72"/>
      <c r="CE270" s="72"/>
      <c r="CF270" s="72"/>
      <c r="CG270" s="72"/>
      <c r="CH270" s="72"/>
    </row>
    <row r="271" ht="15.7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  <c r="AQ271" s="72"/>
      <c r="AR271" s="72"/>
      <c r="AS271" s="72"/>
      <c r="AT271" s="72"/>
      <c r="AU271" s="72"/>
      <c r="AV271" s="72"/>
      <c r="AW271" s="72"/>
      <c r="AX271" s="72"/>
      <c r="AY271" s="72"/>
      <c r="AZ271" s="72"/>
      <c r="BA271" s="72"/>
      <c r="BB271" s="72"/>
      <c r="BC271" s="72"/>
      <c r="BD271" s="72"/>
      <c r="BE271" s="72"/>
      <c r="BF271" s="72"/>
      <c r="BG271" s="72"/>
      <c r="BH271" s="72"/>
      <c r="BI271" s="72"/>
      <c r="BJ271" s="72"/>
      <c r="BK271" s="72"/>
      <c r="BL271" s="72"/>
      <c r="BM271" s="72"/>
      <c r="BN271" s="72"/>
      <c r="BO271" s="72"/>
      <c r="BP271" s="72"/>
      <c r="BQ271" s="72"/>
      <c r="BR271" s="72"/>
      <c r="BS271" s="72"/>
      <c r="BT271" s="72"/>
      <c r="BU271" s="72"/>
      <c r="BV271" s="72"/>
      <c r="BW271" s="72"/>
      <c r="BX271" s="72"/>
      <c r="BY271" s="72"/>
      <c r="BZ271" s="72"/>
      <c r="CA271" s="72"/>
      <c r="CB271" s="72"/>
      <c r="CC271" s="72"/>
      <c r="CD271" s="72"/>
      <c r="CE271" s="72"/>
      <c r="CF271" s="72"/>
      <c r="CG271" s="72"/>
      <c r="CH271" s="72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46:CH46"/>
    <mergeCell ref="A47:CH47"/>
    <mergeCell ref="A48:CH48"/>
    <mergeCell ref="A71:CH71"/>
    <mergeCell ref="A72:CH72"/>
    <mergeCell ref="A1:CH1"/>
    <mergeCell ref="A2:CH2"/>
    <mergeCell ref="A5:CH5"/>
    <mergeCell ref="A7:CH7"/>
    <mergeCell ref="A8:CH8"/>
    <mergeCell ref="A21:CH21"/>
    <mergeCell ref="A22:CH22"/>
  </mergeCells>
  <conditionalFormatting sqref="I5:CD72">
    <cfRule type="cellIs" dxfId="0" priority="1" operator="equal">
      <formula>"Present"</formula>
    </cfRule>
  </conditionalFormatting>
  <conditionalFormatting sqref="I5:CD72">
    <cfRule type="cellIs" dxfId="1" priority="2" operator="equal">
      <formula>"Absent"</formula>
    </cfRule>
  </conditionalFormatting>
  <conditionalFormatting sqref="I5:CD72">
    <cfRule type="cellIs" dxfId="2" priority="3" operator="equal">
      <formula>"Leave"</formula>
    </cfRule>
  </conditionalFormatting>
  <conditionalFormatting sqref="I5:CD72">
    <cfRule type="cellIs" dxfId="3" priority="4" operator="equal">
      <formula>"Late"</formula>
    </cfRule>
  </conditionalFormatting>
  <conditionalFormatting sqref="I5:CD72">
    <cfRule type="cellIs" dxfId="4" priority="5" operator="equal">
      <formula>"Sat Off"</formula>
    </cfRule>
  </conditionalFormatting>
  <conditionalFormatting sqref="I5:CD72">
    <cfRule type="cellIs" dxfId="5" priority="6" operator="equal">
      <formula>"N/A"</formula>
    </cfRule>
  </conditionalFormatting>
  <conditionalFormatting sqref="I5:CD72">
    <cfRule type="cellIs" dxfId="6" priority="7" operator="equal">
      <formula>"Dropout"</formula>
    </cfRule>
  </conditionalFormatting>
  <conditionalFormatting sqref="I5:CD72">
    <cfRule type="cellIs" dxfId="7" priority="8" operator="equal">
      <formula>"OFF"</formula>
    </cfRule>
  </conditionalFormatting>
  <dataValidations>
    <dataValidation type="list" allowBlank="1" sqref="F6 F9:F20 F23:F45 F49:F70 F73:F123">
      <formula1>"✓,—"</formula1>
    </dataValidation>
    <dataValidation type="list" allowBlank="1" sqref="I6:CD6 I9:CD20 I23:CD45 I49:CD70 I73:CD123">
      <formula1>"Present,Absent,Leave,Late,Sat Off,N/A,Dropout"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5C38"/>
    <pageSetUpPr/>
  </sheetPr>
  <sheetViews>
    <sheetView workbookViewId="0">
      <pane xSplit="8.0" ySplit="4.0" topLeftCell="I5" activePane="bottomRight" state="frozen"/>
      <selection activeCell="I1" sqref="I1" pane="topRight"/>
      <selection activeCell="A5" sqref="A5" pane="bottomLeft"/>
      <selection activeCell="I5" sqref="I5" pane="bottomRight"/>
    </sheetView>
  </sheetViews>
  <sheetFormatPr customHeight="1" defaultColWidth="14.43" defaultRowHeight="15.0"/>
  <cols>
    <col customWidth="1" min="1" max="1" width="5.0"/>
    <col customWidth="1" min="2" max="2" width="32.0"/>
    <col customWidth="1" min="3" max="3" width="18.0"/>
    <col customWidth="1" min="4" max="4" width="10.0"/>
    <col customWidth="1" min="5" max="5" width="13.0"/>
    <col customWidth="1" min="6" max="6" width="7.0"/>
    <col customWidth="1" min="7" max="7" width="5.0"/>
    <col customWidth="1" min="8" max="8" width="14.0"/>
    <col customWidth="1" min="9" max="82" width="13.0"/>
    <col customWidth="1" min="83" max="84" width="8.0"/>
    <col customWidth="1" min="85" max="85" width="7.0"/>
    <col customWidth="1" min="86" max="86" width="8.0"/>
  </cols>
  <sheetData>
    <row r="1" ht="27.75" customHeight="1">
      <c r="A1" s="4" t="s">
        <v>762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3"/>
    </row>
    <row r="2" ht="15.75" customHeight="1">
      <c r="A2" s="18" t="s">
        <v>763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3"/>
    </row>
    <row r="3" ht="15.75" customHeight="1">
      <c r="A3" s="5" t="s">
        <v>3</v>
      </c>
      <c r="B3" s="5" t="s">
        <v>6</v>
      </c>
      <c r="C3" s="5" t="s">
        <v>7</v>
      </c>
      <c r="D3" s="5" t="s">
        <v>39</v>
      </c>
      <c r="E3" s="5" t="s">
        <v>40</v>
      </c>
      <c r="F3" s="5" t="s">
        <v>11</v>
      </c>
      <c r="G3" s="5" t="s">
        <v>12</v>
      </c>
      <c r="H3" s="5" t="s">
        <v>41</v>
      </c>
      <c r="I3" s="5" t="s">
        <v>42</v>
      </c>
      <c r="J3" s="5" t="s">
        <v>43</v>
      </c>
      <c r="K3" s="5" t="s">
        <v>44</v>
      </c>
      <c r="L3" s="5" t="s">
        <v>45</v>
      </c>
      <c r="M3" s="5" t="s">
        <v>46</v>
      </c>
      <c r="N3" s="5" t="s">
        <v>47</v>
      </c>
      <c r="O3" s="5" t="s">
        <v>48</v>
      </c>
      <c r="P3" s="5" t="s">
        <v>49</v>
      </c>
      <c r="Q3" s="5" t="s">
        <v>50</v>
      </c>
      <c r="R3" s="5" t="s">
        <v>51</v>
      </c>
      <c r="S3" s="5" t="s">
        <v>52</v>
      </c>
      <c r="T3" s="5" t="s">
        <v>53</v>
      </c>
      <c r="U3" s="5" t="s">
        <v>54</v>
      </c>
      <c r="V3" s="5" t="s">
        <v>55</v>
      </c>
      <c r="W3" s="5" t="s">
        <v>56</v>
      </c>
      <c r="X3" s="5" t="s">
        <v>57</v>
      </c>
      <c r="Y3" s="5" t="s">
        <v>58</v>
      </c>
      <c r="Z3" s="5" t="s">
        <v>59</v>
      </c>
      <c r="AA3" s="5" t="s">
        <v>60</v>
      </c>
      <c r="AB3" s="5" t="s">
        <v>61</v>
      </c>
      <c r="AC3" s="5" t="s">
        <v>62</v>
      </c>
      <c r="AD3" s="5" t="s">
        <v>63</v>
      </c>
      <c r="AE3" s="5" t="s">
        <v>64</v>
      </c>
      <c r="AF3" s="5" t="s">
        <v>65</v>
      </c>
      <c r="AG3" s="5" t="s">
        <v>66</v>
      </c>
      <c r="AH3" s="5" t="s">
        <v>67</v>
      </c>
      <c r="AI3" s="5" t="s">
        <v>68</v>
      </c>
      <c r="AJ3" s="5" t="s">
        <v>69</v>
      </c>
      <c r="AK3" s="5" t="s">
        <v>70</v>
      </c>
      <c r="AL3" s="5" t="s">
        <v>71</v>
      </c>
      <c r="AM3" s="5" t="s">
        <v>72</v>
      </c>
      <c r="AN3" s="5" t="s">
        <v>73</v>
      </c>
      <c r="AO3" s="5" t="s">
        <v>75</v>
      </c>
      <c r="AP3" s="5" t="s">
        <v>77</v>
      </c>
      <c r="AQ3" s="5" t="s">
        <v>78</v>
      </c>
      <c r="AR3" s="5" t="s">
        <v>79</v>
      </c>
      <c r="AS3" s="5" t="s">
        <v>80</v>
      </c>
      <c r="AT3" s="5" t="s">
        <v>81</v>
      </c>
      <c r="AU3" s="5" t="s">
        <v>82</v>
      </c>
      <c r="AV3" s="5" t="s">
        <v>83</v>
      </c>
      <c r="AW3" s="5" t="s">
        <v>84</v>
      </c>
      <c r="AX3" s="5" t="s">
        <v>85</v>
      </c>
      <c r="AY3" s="5" t="s">
        <v>86</v>
      </c>
      <c r="AZ3" s="5" t="s">
        <v>87</v>
      </c>
      <c r="BA3" s="5" t="s">
        <v>88</v>
      </c>
      <c r="BB3" s="5" t="s">
        <v>89</v>
      </c>
      <c r="BC3" s="5" t="s">
        <v>90</v>
      </c>
      <c r="BD3" s="5" t="s">
        <v>91</v>
      </c>
      <c r="BE3" s="5" t="s">
        <v>92</v>
      </c>
      <c r="BF3" s="5" t="s">
        <v>93</v>
      </c>
      <c r="BG3" s="5" t="s">
        <v>94</v>
      </c>
      <c r="BH3" s="5" t="s">
        <v>95</v>
      </c>
      <c r="BI3" s="5" t="s">
        <v>96</v>
      </c>
      <c r="BJ3" s="5" t="s">
        <v>97</v>
      </c>
      <c r="BK3" s="5" t="s">
        <v>98</v>
      </c>
      <c r="BL3" s="5" t="s">
        <v>99</v>
      </c>
      <c r="BM3" s="5" t="s">
        <v>100</v>
      </c>
      <c r="BN3" s="5" t="s">
        <v>101</v>
      </c>
      <c r="BO3" s="5" t="s">
        <v>102</v>
      </c>
      <c r="BP3" s="5" t="s">
        <v>103</v>
      </c>
      <c r="BQ3" s="5" t="s">
        <v>104</v>
      </c>
      <c r="BR3" s="5" t="s">
        <v>105</v>
      </c>
      <c r="BS3" s="5" t="s">
        <v>106</v>
      </c>
      <c r="BT3" s="5" t="s">
        <v>107</v>
      </c>
      <c r="BU3" s="5" t="s">
        <v>108</v>
      </c>
      <c r="BV3" s="5" t="s">
        <v>109</v>
      </c>
      <c r="BW3" s="5" t="s">
        <v>110</v>
      </c>
      <c r="BX3" s="5" t="s">
        <v>111</v>
      </c>
      <c r="BY3" s="5" t="s">
        <v>112</v>
      </c>
      <c r="BZ3" s="5" t="s">
        <v>113</v>
      </c>
      <c r="CA3" s="5" t="s">
        <v>114</v>
      </c>
      <c r="CB3" s="5" t="s">
        <v>115</v>
      </c>
      <c r="CC3" s="5" t="s">
        <v>116</v>
      </c>
      <c r="CD3" s="5" t="s">
        <v>117</v>
      </c>
      <c r="CE3" s="5" t="s">
        <v>19</v>
      </c>
      <c r="CF3" s="5" t="s">
        <v>21</v>
      </c>
      <c r="CG3" s="5" t="s">
        <v>25</v>
      </c>
      <c r="CH3" s="5" t="s">
        <v>14</v>
      </c>
    </row>
    <row r="4" ht="15.75" customHeight="1">
      <c r="A4" s="38"/>
      <c r="B4" s="38"/>
      <c r="C4" s="38"/>
      <c r="D4" s="38"/>
      <c r="E4" s="38"/>
      <c r="F4" s="38"/>
      <c r="G4" s="38"/>
      <c r="H4" s="38"/>
      <c r="I4" s="39" t="s">
        <v>118</v>
      </c>
      <c r="J4" s="39" t="s">
        <v>119</v>
      </c>
      <c r="K4" s="39" t="s">
        <v>120</v>
      </c>
      <c r="L4" s="39" t="s">
        <v>121</v>
      </c>
      <c r="M4" s="39" t="s">
        <v>122</v>
      </c>
      <c r="N4" s="39" t="s">
        <v>123</v>
      </c>
      <c r="O4" s="39" t="s">
        <v>124</v>
      </c>
      <c r="P4" s="39" t="s">
        <v>125</v>
      </c>
      <c r="Q4" s="39" t="s">
        <v>126</v>
      </c>
      <c r="R4" s="39" t="s">
        <v>127</v>
      </c>
      <c r="S4" s="39" t="s">
        <v>128</v>
      </c>
      <c r="T4" s="39" t="s">
        <v>129</v>
      </c>
      <c r="U4" s="39" t="s">
        <v>130</v>
      </c>
      <c r="V4" s="39" t="s">
        <v>131</v>
      </c>
      <c r="W4" s="39" t="s">
        <v>132</v>
      </c>
      <c r="X4" s="39" t="s">
        <v>133</v>
      </c>
      <c r="Y4" s="39" t="s">
        <v>134</v>
      </c>
      <c r="Z4" s="39" t="s">
        <v>135</v>
      </c>
      <c r="AA4" s="39" t="s">
        <v>136</v>
      </c>
      <c r="AB4" s="39" t="s">
        <v>137</v>
      </c>
      <c r="AC4" s="39" t="s">
        <v>138</v>
      </c>
      <c r="AD4" s="39" t="s">
        <v>139</v>
      </c>
      <c r="AE4" s="39" t="s">
        <v>140</v>
      </c>
      <c r="AF4" s="39" t="s">
        <v>141</v>
      </c>
      <c r="AG4" s="39" t="s">
        <v>142</v>
      </c>
      <c r="AH4" s="39" t="s">
        <v>143</v>
      </c>
      <c r="AI4" s="39" t="s">
        <v>144</v>
      </c>
      <c r="AJ4" s="39" t="s">
        <v>145</v>
      </c>
      <c r="AK4" s="39" t="s">
        <v>146</v>
      </c>
      <c r="AL4" s="39" t="s">
        <v>147</v>
      </c>
      <c r="AM4" s="39" t="s">
        <v>148</v>
      </c>
      <c r="AN4" s="39" t="s">
        <v>149</v>
      </c>
      <c r="AO4" s="39" t="s">
        <v>150</v>
      </c>
      <c r="AP4" s="39" t="s">
        <v>151</v>
      </c>
      <c r="AQ4" s="39" t="s">
        <v>152</v>
      </c>
      <c r="AR4" s="39" t="s">
        <v>153</v>
      </c>
      <c r="AS4" s="39" t="s">
        <v>154</v>
      </c>
      <c r="AT4" s="39" t="s">
        <v>155</v>
      </c>
      <c r="AU4" s="39" t="s">
        <v>156</v>
      </c>
      <c r="AV4" s="39" t="s">
        <v>157</v>
      </c>
      <c r="AW4" s="39" t="s">
        <v>158</v>
      </c>
      <c r="AX4" s="39" t="s">
        <v>159</v>
      </c>
      <c r="AY4" s="39" t="s">
        <v>160</v>
      </c>
      <c r="AZ4" s="39" t="s">
        <v>161</v>
      </c>
      <c r="BA4" s="39" t="s">
        <v>162</v>
      </c>
      <c r="BB4" s="39" t="s">
        <v>163</v>
      </c>
      <c r="BC4" s="39" t="s">
        <v>164</v>
      </c>
      <c r="BD4" s="39" t="s">
        <v>165</v>
      </c>
      <c r="BE4" s="39" t="s">
        <v>166</v>
      </c>
      <c r="BF4" s="39" t="s">
        <v>167</v>
      </c>
      <c r="BG4" s="39" t="s">
        <v>168</v>
      </c>
      <c r="BH4" s="39" t="s">
        <v>169</v>
      </c>
      <c r="BI4" s="39" t="s">
        <v>170</v>
      </c>
      <c r="BJ4" s="39" t="s">
        <v>171</v>
      </c>
      <c r="BK4" s="39" t="s">
        <v>172</v>
      </c>
      <c r="BL4" s="39" t="s">
        <v>173</v>
      </c>
      <c r="BM4" s="39" t="s">
        <v>174</v>
      </c>
      <c r="BN4" s="39" t="s">
        <v>175</v>
      </c>
      <c r="BO4" s="39" t="s">
        <v>176</v>
      </c>
      <c r="BP4" s="39" t="s">
        <v>177</v>
      </c>
      <c r="BQ4" s="39" t="s">
        <v>178</v>
      </c>
      <c r="BR4" s="39" t="s">
        <v>179</v>
      </c>
      <c r="BS4" s="39" t="s">
        <v>180</v>
      </c>
      <c r="BT4" s="39" t="s">
        <v>181</v>
      </c>
      <c r="BU4" s="39" t="s">
        <v>182</v>
      </c>
      <c r="BV4" s="39" t="s">
        <v>183</v>
      </c>
      <c r="BW4" s="39" t="s">
        <v>184</v>
      </c>
      <c r="BX4" s="39" t="s">
        <v>185</v>
      </c>
      <c r="BY4" s="39" t="s">
        <v>186</v>
      </c>
      <c r="BZ4" s="39" t="s">
        <v>187</v>
      </c>
      <c r="CA4" s="39" t="s">
        <v>188</v>
      </c>
      <c r="CB4" s="39" t="s">
        <v>189</v>
      </c>
      <c r="CC4" s="39" t="s">
        <v>190</v>
      </c>
      <c r="CD4" s="39" t="s">
        <v>191</v>
      </c>
      <c r="CE4" s="38"/>
      <c r="CF4" s="38"/>
      <c r="CG4" s="38"/>
      <c r="CH4" s="38"/>
    </row>
    <row r="5" ht="18.0" customHeight="1">
      <c r="A5" s="11" t="s">
        <v>192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3"/>
    </row>
    <row r="6" ht="18.0" customHeight="1">
      <c r="A6" s="42">
        <v>1.0</v>
      </c>
      <c r="B6" s="43" t="s">
        <v>768</v>
      </c>
      <c r="C6" s="97"/>
      <c r="D6" s="45" t="str">
        <f>IF(C6&lt;&gt;"",HYPERLINK("tel:"&amp;SUBSTITUTE(SUBSTITUTE(C6," ",""),"+","+"),"📞 Call"),"")</f>
        <v/>
      </c>
      <c r="E6" s="115" t="str">
        <f>IF(C6&lt;&gt;"",HYPERLINK("https://wa.me/"&amp;SUBSTITUTE(SUBSTITUTE(C6,"+","")," ",""),"💬 WhatsApp"),"")</f>
        <v/>
      </c>
      <c r="F6" s="47"/>
      <c r="G6" s="47"/>
      <c r="H6" s="47" t="s">
        <v>195</v>
      </c>
      <c r="I6" s="48" t="s">
        <v>196</v>
      </c>
      <c r="J6" s="48" t="s">
        <v>196</v>
      </c>
      <c r="K6" s="49" t="s">
        <v>197</v>
      </c>
      <c r="L6" s="48" t="s">
        <v>196</v>
      </c>
      <c r="M6" s="48" t="s">
        <v>196</v>
      </c>
      <c r="N6" s="48" t="s">
        <v>196</v>
      </c>
      <c r="O6" s="50" t="s">
        <v>37</v>
      </c>
      <c r="P6" s="48" t="s">
        <v>196</v>
      </c>
      <c r="Q6" s="48" t="s">
        <v>196</v>
      </c>
      <c r="R6" s="48" t="s">
        <v>196</v>
      </c>
      <c r="S6" s="52" t="s">
        <v>196</v>
      </c>
      <c r="T6" s="53" t="s">
        <v>196</v>
      </c>
      <c r="U6" s="52" t="s">
        <v>196</v>
      </c>
      <c r="V6" s="53" t="s">
        <v>196</v>
      </c>
      <c r="W6" s="54" t="str">
        <f>IF('⚙ OFF Weekends'!$D$18="OFF","OFF","")</f>
        <v>OFF</v>
      </c>
      <c r="X6" s="53" t="s">
        <v>196</v>
      </c>
      <c r="Y6" s="52" t="s">
        <v>196</v>
      </c>
      <c r="Z6" s="53" t="s">
        <v>196</v>
      </c>
      <c r="AA6" s="52" t="s">
        <v>196</v>
      </c>
      <c r="AB6" s="53" t="s">
        <v>196</v>
      </c>
      <c r="AC6" s="52" t="s">
        <v>196</v>
      </c>
      <c r="AD6" s="56" t="str">
        <f>IF('⚙ OFF Weekends'!$D$25="OFF","OFF","")</f>
        <v/>
      </c>
      <c r="AE6" s="54" t="str">
        <f>IF('⚙ OFF Weekends'!$D$26="OFF","OFF","")</f>
        <v/>
      </c>
      <c r="AF6" s="56" t="str">
        <f>IF('⚙ OFF Weekends'!$D$27="OFF","OFF","")</f>
        <v/>
      </c>
      <c r="AG6" s="54" t="str">
        <f>IF('⚙ OFF Weekends'!$D$28="OFF","OFF","")</f>
        <v/>
      </c>
      <c r="AH6" s="56" t="str">
        <f>IF('⚙ OFF Weekends'!$D$29="OFF","OFF","")</f>
        <v/>
      </c>
      <c r="AI6" s="54" t="str">
        <f>IF('⚙ OFF Weekends'!$D$30="OFF","OFF","")</f>
        <v/>
      </c>
      <c r="AJ6" s="56" t="str">
        <f>IF('⚙ OFF Weekends'!$D$31="OFF","OFF","")</f>
        <v/>
      </c>
      <c r="AK6" s="54" t="str">
        <f>IF('⚙ OFF Weekends'!$D$32="OFF","OFF","")</f>
        <v/>
      </c>
      <c r="AL6" s="56" t="str">
        <f>IF('⚙ OFF Weekends'!$D$33="OFF","OFF","")</f>
        <v/>
      </c>
      <c r="AM6" s="54" t="str">
        <f>IF('⚙ OFF Weekends'!$D$34="OFF","OFF","")</f>
        <v/>
      </c>
      <c r="AN6" s="56" t="str">
        <f>IF('⚙ OFF Weekends'!$D$35="OFF","OFF","")</f>
        <v/>
      </c>
      <c r="AO6" s="54" t="str">
        <f>IF('⚙ OFF Weekends'!$D$36="OFF","OFF","")</f>
        <v/>
      </c>
      <c r="AP6" s="56" t="str">
        <f>IF('⚙ OFF Weekends'!$D$37="OFF","OFF","")</f>
        <v/>
      </c>
      <c r="AQ6" s="54" t="str">
        <f>IF('⚙ OFF Weekends'!$D$38="OFF","OFF","")</f>
        <v/>
      </c>
      <c r="AR6" s="56" t="str">
        <f>IF('⚙ OFF Weekends'!$D$39="OFF","OFF","")</f>
        <v/>
      </c>
      <c r="AS6" s="54" t="str">
        <f>IF('⚙ OFF Weekends'!$D$40="OFF","OFF","")</f>
        <v/>
      </c>
      <c r="AT6" s="56" t="str">
        <f>IF('⚙ OFF Weekends'!$D$41="OFF","OFF","")</f>
        <v/>
      </c>
      <c r="AU6" s="54" t="str">
        <f>IF('⚙ OFF Weekends'!$D$42="OFF","OFF","")</f>
        <v/>
      </c>
      <c r="AV6" s="56" t="str">
        <f>IF('⚙ OFF Weekends'!$D$43="OFF","OFF","")</f>
        <v/>
      </c>
      <c r="AW6" s="54" t="str">
        <f>IF('⚙ OFF Weekends'!$D$44="OFF","OFF","")</f>
        <v/>
      </c>
      <c r="AX6" s="56" t="str">
        <f>IF('⚙ OFF Weekends'!$D$45="OFF","OFF","")</f>
        <v/>
      </c>
      <c r="AY6" s="54" t="str">
        <f>IF('⚙ OFF Weekends'!$D$46="OFF","OFF","")</f>
        <v/>
      </c>
      <c r="AZ6" s="56" t="str">
        <f>IF('⚙ OFF Weekends'!$D$47="OFF","OFF","")</f>
        <v/>
      </c>
      <c r="BA6" s="54" t="str">
        <f>IF('⚙ OFF Weekends'!$D$48="OFF","OFF","")</f>
        <v/>
      </c>
      <c r="BB6" s="56" t="str">
        <f>IF('⚙ OFF Weekends'!$D$49="OFF","OFF","")</f>
        <v/>
      </c>
      <c r="BC6" s="54" t="str">
        <f>IF('⚙ OFF Weekends'!$D$50="OFF","OFF","")</f>
        <v/>
      </c>
      <c r="BD6" s="56" t="str">
        <f>IF('⚙ OFF Weekends'!$D$51="OFF","OFF","")</f>
        <v/>
      </c>
      <c r="BE6" s="54" t="str">
        <f>IF('⚙ OFF Weekends'!$D$52="OFF","OFF","")</f>
        <v/>
      </c>
      <c r="BF6" s="56" t="str">
        <f>IF('⚙ OFF Weekends'!$D$53="OFF","OFF","")</f>
        <v/>
      </c>
      <c r="BG6" s="54" t="str">
        <f>IF('⚙ OFF Weekends'!$D$54="OFF","OFF","")</f>
        <v/>
      </c>
      <c r="BH6" s="56" t="str">
        <f>IF('⚙ OFF Weekends'!$D$55="OFF","OFF","")</f>
        <v/>
      </c>
      <c r="BI6" s="54" t="str">
        <f>IF('⚙ OFF Weekends'!$D$56="OFF","OFF","")</f>
        <v/>
      </c>
      <c r="BJ6" s="56" t="str">
        <f>IF('⚙ OFF Weekends'!$D$57="OFF","OFF","")</f>
        <v/>
      </c>
      <c r="BK6" s="54" t="str">
        <f>IF('⚙ OFF Weekends'!$D$58="OFF","OFF","")</f>
        <v/>
      </c>
      <c r="BL6" s="56" t="str">
        <f>IF('⚙ OFF Weekends'!$D$59="OFF","OFF","")</f>
        <v/>
      </c>
      <c r="BM6" s="54" t="str">
        <f>IF('⚙ OFF Weekends'!$D$60="OFF","OFF","")</f>
        <v/>
      </c>
      <c r="BN6" s="56" t="str">
        <f>IF('⚙ OFF Weekends'!$D$61="OFF","OFF","")</f>
        <v/>
      </c>
      <c r="BO6" s="54" t="str">
        <f>IF('⚙ OFF Weekends'!$D$62="OFF","OFF","")</f>
        <v/>
      </c>
      <c r="BP6" s="56" t="str">
        <f>IF('⚙ OFF Weekends'!$D$63="OFF","OFF","")</f>
        <v/>
      </c>
      <c r="BQ6" s="54" t="str">
        <f>IF('⚙ OFF Weekends'!$D$64="OFF","OFF","")</f>
        <v/>
      </c>
      <c r="BR6" s="56" t="str">
        <f>IF('⚙ OFF Weekends'!$D$65="OFF","OFF","")</f>
        <v/>
      </c>
      <c r="BS6" s="54" t="str">
        <f>IF('⚙ OFF Weekends'!$D$66="OFF","OFF","")</f>
        <v/>
      </c>
      <c r="BT6" s="56" t="str">
        <f>IF('⚙ OFF Weekends'!$D$67="OFF","OFF","")</f>
        <v/>
      </c>
      <c r="BU6" s="54" t="str">
        <f>IF('⚙ OFF Weekends'!$D$68="OFF","OFF","")</f>
        <v/>
      </c>
      <c r="BV6" s="56" t="str">
        <f>IF('⚙ OFF Weekends'!$D$69="OFF","OFF","")</f>
        <v/>
      </c>
      <c r="BW6" s="54" t="str">
        <f>IF('⚙ OFF Weekends'!$D$70="OFF","OFF","")</f>
        <v/>
      </c>
      <c r="BX6" s="56" t="str">
        <f>IF('⚙ OFF Weekends'!$D$71="OFF","OFF","")</f>
        <v/>
      </c>
      <c r="BY6" s="54" t="str">
        <f>IF('⚙ OFF Weekends'!$D$72="OFF","OFF","")</f>
        <v/>
      </c>
      <c r="BZ6" s="56" t="str">
        <f>IF('⚙ OFF Weekends'!$D$73="OFF","OFF","")</f>
        <v/>
      </c>
      <c r="CA6" s="54" t="str">
        <f>IF('⚙ OFF Weekends'!$D$74="OFF","OFF","")</f>
        <v/>
      </c>
      <c r="CB6" s="56" t="str">
        <f>IF('⚙ OFF Weekends'!$D$75="OFF","OFF","")</f>
        <v/>
      </c>
      <c r="CC6" s="54" t="str">
        <f>IF('⚙ OFF Weekends'!$D$76="OFF","OFF","")</f>
        <v/>
      </c>
      <c r="CD6" s="56" t="str">
        <f>IF('⚙ OFF Weekends'!$D$77="OFF","OFF","")</f>
        <v/>
      </c>
      <c r="CE6" s="42">
        <f>COUNTIF(I6:CD6,"Present")+COUNTIF(I6:CD6,"Late")</f>
        <v>19</v>
      </c>
      <c r="CF6" s="42">
        <f>COUNTIF(I6:CD6,"Absent")</f>
        <v>0</v>
      </c>
      <c r="CG6" s="42">
        <f>COUNTIF(I6:CD6,"Leave")</f>
        <v>0</v>
      </c>
      <c r="CH6" s="42" t="str">
        <f>IF(CE6+CF6=0,"0%",TEXT(CE6/(CE6+CF6),"0%"))</f>
        <v>100%</v>
      </c>
    </row>
    <row r="7" ht="6.0" customHeight="1">
      <c r="A7" s="67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3"/>
    </row>
    <row r="8" ht="18.0" customHeight="1">
      <c r="A8" s="9" t="s">
        <v>204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3"/>
    </row>
    <row r="9" ht="18.0" customHeight="1">
      <c r="A9" s="68">
        <v>1.0</v>
      </c>
      <c r="B9" s="25" t="s">
        <v>773</v>
      </c>
      <c r="C9" s="69"/>
      <c r="D9" s="70" t="str">
        <f t="shared" ref="D9:D15" si="1">IF(C9&lt;&gt;"",HYPERLINK("tel:"&amp;SUBSTITUTE(SUBSTITUTE(C9," ",""),"+","+"),"📞 Call"),"")</f>
        <v/>
      </c>
      <c r="E9" s="99" t="str">
        <f t="shared" ref="E9:E15" si="2">IF(C9&lt;&gt;"",HYPERLINK("https://wa.me/"&amp;SUBSTITUTE(SUBSTITUTE(C9,"+","")," ",""),"💬 WhatsApp"),"")</f>
        <v/>
      </c>
      <c r="F9" s="21"/>
      <c r="G9" s="21"/>
      <c r="H9" s="21" t="s">
        <v>268</v>
      </c>
      <c r="I9" s="48" t="s">
        <v>196</v>
      </c>
      <c r="J9" s="48" t="s">
        <v>196</v>
      </c>
      <c r="K9" s="49" t="s">
        <v>197</v>
      </c>
      <c r="L9" s="48" t="s">
        <v>196</v>
      </c>
      <c r="M9" s="48" t="s">
        <v>196</v>
      </c>
      <c r="N9" s="48" t="s">
        <v>196</v>
      </c>
      <c r="O9" s="48" t="s">
        <v>196</v>
      </c>
      <c r="P9" s="48" t="s">
        <v>196</v>
      </c>
      <c r="Q9" s="48" t="s">
        <v>196</v>
      </c>
      <c r="R9" s="48" t="s">
        <v>196</v>
      </c>
      <c r="S9" s="52" t="s">
        <v>198</v>
      </c>
      <c r="T9" s="53" t="s">
        <v>196</v>
      </c>
      <c r="U9" s="52" t="s">
        <v>196</v>
      </c>
      <c r="V9" s="53" t="s">
        <v>196</v>
      </c>
      <c r="W9" s="54" t="str">
        <f>IF('⚙ OFF Weekends'!$D$18="OFF","OFF","")</f>
        <v>OFF</v>
      </c>
      <c r="X9" s="53" t="s">
        <v>196</v>
      </c>
      <c r="Y9" s="52" t="s">
        <v>198</v>
      </c>
      <c r="Z9" s="53" t="s">
        <v>196</v>
      </c>
      <c r="AA9" s="52" t="s">
        <v>196</v>
      </c>
      <c r="AB9" s="53" t="s">
        <v>196</v>
      </c>
      <c r="AC9" s="52" t="s">
        <v>196</v>
      </c>
      <c r="AD9" s="56" t="str">
        <f>IF('⚙ OFF Weekends'!$D$25="OFF","OFF","")</f>
        <v/>
      </c>
      <c r="AE9" s="54" t="str">
        <f>IF('⚙ OFF Weekends'!$D$26="OFF","OFF","")</f>
        <v/>
      </c>
      <c r="AF9" s="56" t="str">
        <f>IF('⚙ OFF Weekends'!$D$27="OFF","OFF","")</f>
        <v/>
      </c>
      <c r="AG9" s="54" t="str">
        <f>IF('⚙ OFF Weekends'!$D$28="OFF","OFF","")</f>
        <v/>
      </c>
      <c r="AH9" s="56" t="str">
        <f>IF('⚙ OFF Weekends'!$D$29="OFF","OFF","")</f>
        <v/>
      </c>
      <c r="AI9" s="54" t="str">
        <f>IF('⚙ OFF Weekends'!$D$30="OFF","OFF","")</f>
        <v/>
      </c>
      <c r="AJ9" s="56" t="str">
        <f>IF('⚙ OFF Weekends'!$D$31="OFF","OFF","")</f>
        <v/>
      </c>
      <c r="AK9" s="54" t="str">
        <f>IF('⚙ OFF Weekends'!$D$32="OFF","OFF","")</f>
        <v/>
      </c>
      <c r="AL9" s="56" t="str">
        <f>IF('⚙ OFF Weekends'!$D$33="OFF","OFF","")</f>
        <v/>
      </c>
      <c r="AM9" s="54" t="str">
        <f>IF('⚙ OFF Weekends'!$D$34="OFF","OFF","")</f>
        <v/>
      </c>
      <c r="AN9" s="56" t="str">
        <f>IF('⚙ OFF Weekends'!$D$35="OFF","OFF","")</f>
        <v/>
      </c>
      <c r="AO9" s="54" t="str">
        <f>IF('⚙ OFF Weekends'!$D$36="OFF","OFF","")</f>
        <v/>
      </c>
      <c r="AP9" s="56" t="str">
        <f>IF('⚙ OFF Weekends'!$D$37="OFF","OFF","")</f>
        <v/>
      </c>
      <c r="AQ9" s="54" t="str">
        <f>IF('⚙ OFF Weekends'!$D$38="OFF","OFF","")</f>
        <v/>
      </c>
      <c r="AR9" s="56" t="str">
        <f>IF('⚙ OFF Weekends'!$D$39="OFF","OFF","")</f>
        <v/>
      </c>
      <c r="AS9" s="54" t="str">
        <f>IF('⚙ OFF Weekends'!$D$40="OFF","OFF","")</f>
        <v/>
      </c>
      <c r="AT9" s="56" t="str">
        <f>IF('⚙ OFF Weekends'!$D$41="OFF","OFF","")</f>
        <v/>
      </c>
      <c r="AU9" s="54" t="str">
        <f>IF('⚙ OFF Weekends'!$D$42="OFF","OFF","")</f>
        <v/>
      </c>
      <c r="AV9" s="56" t="str">
        <f>IF('⚙ OFF Weekends'!$D$43="OFF","OFF","")</f>
        <v/>
      </c>
      <c r="AW9" s="54" t="str">
        <f>IF('⚙ OFF Weekends'!$D$44="OFF","OFF","")</f>
        <v/>
      </c>
      <c r="AX9" s="56" t="str">
        <f>IF('⚙ OFF Weekends'!$D$45="OFF","OFF","")</f>
        <v/>
      </c>
      <c r="AY9" s="54" t="str">
        <f>IF('⚙ OFF Weekends'!$D$46="OFF","OFF","")</f>
        <v/>
      </c>
      <c r="AZ9" s="56" t="str">
        <f>IF('⚙ OFF Weekends'!$D$47="OFF","OFF","")</f>
        <v/>
      </c>
      <c r="BA9" s="54" t="str">
        <f>IF('⚙ OFF Weekends'!$D$48="OFF","OFF","")</f>
        <v/>
      </c>
      <c r="BB9" s="56" t="str">
        <f>IF('⚙ OFF Weekends'!$D$49="OFF","OFF","")</f>
        <v/>
      </c>
      <c r="BC9" s="54" t="str">
        <f>IF('⚙ OFF Weekends'!$D$50="OFF","OFF","")</f>
        <v/>
      </c>
      <c r="BD9" s="56" t="str">
        <f>IF('⚙ OFF Weekends'!$D$51="OFF","OFF","")</f>
        <v/>
      </c>
      <c r="BE9" s="54" t="str">
        <f>IF('⚙ OFF Weekends'!$D$52="OFF","OFF","")</f>
        <v/>
      </c>
      <c r="BF9" s="56" t="str">
        <f>IF('⚙ OFF Weekends'!$D$53="OFF","OFF","")</f>
        <v/>
      </c>
      <c r="BG9" s="54" t="str">
        <f>IF('⚙ OFF Weekends'!$D$54="OFF","OFF","")</f>
        <v/>
      </c>
      <c r="BH9" s="56" t="str">
        <f>IF('⚙ OFF Weekends'!$D$55="OFF","OFF","")</f>
        <v/>
      </c>
      <c r="BI9" s="54" t="str">
        <f>IF('⚙ OFF Weekends'!$D$56="OFF","OFF","")</f>
        <v/>
      </c>
      <c r="BJ9" s="56" t="str">
        <f>IF('⚙ OFF Weekends'!$D$57="OFF","OFF","")</f>
        <v/>
      </c>
      <c r="BK9" s="54" t="str">
        <f>IF('⚙ OFF Weekends'!$D$58="OFF","OFF","")</f>
        <v/>
      </c>
      <c r="BL9" s="56" t="str">
        <f>IF('⚙ OFF Weekends'!$D$59="OFF","OFF","")</f>
        <v/>
      </c>
      <c r="BM9" s="54" t="str">
        <f>IF('⚙ OFF Weekends'!$D$60="OFF","OFF","")</f>
        <v/>
      </c>
      <c r="BN9" s="56" t="str">
        <f>IF('⚙ OFF Weekends'!$D$61="OFF","OFF","")</f>
        <v/>
      </c>
      <c r="BO9" s="54" t="str">
        <f>IF('⚙ OFF Weekends'!$D$62="OFF","OFF","")</f>
        <v/>
      </c>
      <c r="BP9" s="56" t="str">
        <f>IF('⚙ OFF Weekends'!$D$63="OFF","OFF","")</f>
        <v/>
      </c>
      <c r="BQ9" s="54" t="str">
        <f>IF('⚙ OFF Weekends'!$D$64="OFF","OFF","")</f>
        <v/>
      </c>
      <c r="BR9" s="56" t="str">
        <f>IF('⚙ OFF Weekends'!$D$65="OFF","OFF","")</f>
        <v/>
      </c>
      <c r="BS9" s="54" t="str">
        <f>IF('⚙ OFF Weekends'!$D$66="OFF","OFF","")</f>
        <v/>
      </c>
      <c r="BT9" s="56" t="str">
        <f>IF('⚙ OFF Weekends'!$D$67="OFF","OFF","")</f>
        <v/>
      </c>
      <c r="BU9" s="54" t="str">
        <f>IF('⚙ OFF Weekends'!$D$68="OFF","OFF","")</f>
        <v/>
      </c>
      <c r="BV9" s="56" t="str">
        <f>IF('⚙ OFF Weekends'!$D$69="OFF","OFF","")</f>
        <v/>
      </c>
      <c r="BW9" s="54" t="str">
        <f>IF('⚙ OFF Weekends'!$D$70="OFF","OFF","")</f>
        <v/>
      </c>
      <c r="BX9" s="56" t="str">
        <f>IF('⚙ OFF Weekends'!$D$71="OFF","OFF","")</f>
        <v/>
      </c>
      <c r="BY9" s="54" t="str">
        <f>IF('⚙ OFF Weekends'!$D$72="OFF","OFF","")</f>
        <v/>
      </c>
      <c r="BZ9" s="56" t="str">
        <f>IF('⚙ OFF Weekends'!$D$73="OFF","OFF","")</f>
        <v/>
      </c>
      <c r="CA9" s="54" t="str">
        <f>IF('⚙ OFF Weekends'!$D$74="OFF","OFF","")</f>
        <v/>
      </c>
      <c r="CB9" s="56" t="str">
        <f>IF('⚙ OFF Weekends'!$D$75="OFF","OFF","")</f>
        <v/>
      </c>
      <c r="CC9" s="54" t="str">
        <f>IF('⚙ OFF Weekends'!$D$76="OFF","OFF","")</f>
        <v/>
      </c>
      <c r="CD9" s="56" t="str">
        <f>IF('⚙ OFF Weekends'!$D$77="OFF","OFF","")</f>
        <v/>
      </c>
      <c r="CE9" s="68">
        <f t="shared" ref="CE9:CE15" si="3">COUNTIF(I9:CD9,"Present")+COUNTIF(I9:CD9,"Late")</f>
        <v>17</v>
      </c>
      <c r="CF9" s="68">
        <f t="shared" ref="CF9:CF15" si="4">COUNTIF(I9:CD9,"Absent")</f>
        <v>0</v>
      </c>
      <c r="CG9" s="68">
        <f t="shared" ref="CG9:CG15" si="5">COUNTIF(I9:CD9,"Leave")</f>
        <v>2</v>
      </c>
      <c r="CH9" s="68" t="str">
        <f t="shared" ref="CH9:CH15" si="6">IF(CE9+CF9=0,"0%",TEXT(CE9/(CE9+CF9),"0%"))</f>
        <v>100%</v>
      </c>
    </row>
    <row r="10" ht="18.0" customHeight="1">
      <c r="A10" s="73">
        <v>2.0</v>
      </c>
      <c r="B10" s="35" t="s">
        <v>777</v>
      </c>
      <c r="C10" s="74"/>
      <c r="D10" s="75" t="str">
        <f t="shared" si="1"/>
        <v/>
      </c>
      <c r="E10" s="80" t="str">
        <f t="shared" si="2"/>
        <v/>
      </c>
      <c r="F10" s="34"/>
      <c r="G10" s="34"/>
      <c r="H10" s="34" t="s">
        <v>268</v>
      </c>
      <c r="I10" s="54" t="str">
        <f>IF('⚙ OFF Weekends'!$D$4="OFF","OFF","")</f>
        <v/>
      </c>
      <c r="J10" s="56" t="str">
        <f>IF('⚙ OFF Weekends'!$D$5="OFF","OFF","")</f>
        <v/>
      </c>
      <c r="K10" s="49" t="s">
        <v>197</v>
      </c>
      <c r="L10" s="56" t="str">
        <f>IF('⚙ OFF Weekends'!$D$7="OFF","OFF","")</f>
        <v/>
      </c>
      <c r="M10" s="54" t="str">
        <f>IF('⚙ OFF Weekends'!$D$8="OFF","OFF","")</f>
        <v/>
      </c>
      <c r="N10" s="79" t="s">
        <v>223</v>
      </c>
      <c r="O10" s="54" t="str">
        <f>IF('⚙ OFF Weekends'!$D$10="OFF","OFF","")</f>
        <v/>
      </c>
      <c r="P10" s="56" t="str">
        <f>IF('⚙ OFF Weekends'!$D$11="OFF","OFF","")</f>
        <v/>
      </c>
      <c r="Q10" s="54" t="str">
        <f>IF('⚙ OFF Weekends'!$D$12="OFF","OFF","")</f>
        <v/>
      </c>
      <c r="R10" s="48" t="s">
        <v>196</v>
      </c>
      <c r="S10" s="54" t="str">
        <f>IF('⚙ OFF Weekends'!$D$14="OFF","OFF","")</f>
        <v/>
      </c>
      <c r="T10" s="56" t="str">
        <f>IF('⚙ OFF Weekends'!$D$15="OFF","OFF","")</f>
        <v/>
      </c>
      <c r="U10" s="54" t="str">
        <f>IF('⚙ OFF Weekends'!$D$16="OFF","OFF","")</f>
        <v/>
      </c>
      <c r="V10" s="53" t="s">
        <v>37</v>
      </c>
      <c r="W10" s="54" t="str">
        <f>IF('⚙ OFF Weekends'!$D$18="OFF","OFF","")</f>
        <v>OFF</v>
      </c>
      <c r="X10" s="56" t="str">
        <f>IF('⚙ OFF Weekends'!$D$19="OFF","OFF","")</f>
        <v/>
      </c>
      <c r="Y10" s="54" t="str">
        <f>IF('⚙ OFF Weekends'!$D$20="OFF","OFF","")</f>
        <v/>
      </c>
      <c r="Z10" s="53" t="s">
        <v>196</v>
      </c>
      <c r="AA10" s="54" t="str">
        <f>IF('⚙ OFF Weekends'!$D$22="OFF","OFF","")</f>
        <v/>
      </c>
      <c r="AB10" s="53" t="s">
        <v>223</v>
      </c>
      <c r="AC10" s="52" t="s">
        <v>223</v>
      </c>
      <c r="AD10" s="56" t="str">
        <f>IF('⚙ OFF Weekends'!$D$25="OFF","OFF","")</f>
        <v/>
      </c>
      <c r="AE10" s="54" t="str">
        <f>IF('⚙ OFF Weekends'!$D$26="OFF","OFF","")</f>
        <v/>
      </c>
      <c r="AF10" s="56" t="str">
        <f>IF('⚙ OFF Weekends'!$D$27="OFF","OFF","")</f>
        <v/>
      </c>
      <c r="AG10" s="54" t="str">
        <f>IF('⚙ OFF Weekends'!$D$28="OFF","OFF","")</f>
        <v/>
      </c>
      <c r="AH10" s="56" t="str">
        <f>IF('⚙ OFF Weekends'!$D$29="OFF","OFF","")</f>
        <v/>
      </c>
      <c r="AI10" s="54" t="str">
        <f>IF('⚙ OFF Weekends'!$D$30="OFF","OFF","")</f>
        <v/>
      </c>
      <c r="AJ10" s="56" t="str">
        <f>IF('⚙ OFF Weekends'!$D$31="OFF","OFF","")</f>
        <v/>
      </c>
      <c r="AK10" s="54" t="str">
        <f>IF('⚙ OFF Weekends'!$D$32="OFF","OFF","")</f>
        <v/>
      </c>
      <c r="AL10" s="56" t="str">
        <f>IF('⚙ OFF Weekends'!$D$33="OFF","OFF","")</f>
        <v/>
      </c>
      <c r="AM10" s="54" t="str">
        <f>IF('⚙ OFF Weekends'!$D$34="OFF","OFF","")</f>
        <v/>
      </c>
      <c r="AN10" s="56" t="str">
        <f>IF('⚙ OFF Weekends'!$D$35="OFF","OFF","")</f>
        <v/>
      </c>
      <c r="AO10" s="54" t="str">
        <f>IF('⚙ OFF Weekends'!$D$36="OFF","OFF","")</f>
        <v/>
      </c>
      <c r="AP10" s="56" t="str">
        <f>IF('⚙ OFF Weekends'!$D$37="OFF","OFF","")</f>
        <v/>
      </c>
      <c r="AQ10" s="54" t="str">
        <f>IF('⚙ OFF Weekends'!$D$38="OFF","OFF","")</f>
        <v/>
      </c>
      <c r="AR10" s="56" t="str">
        <f>IF('⚙ OFF Weekends'!$D$39="OFF","OFF","")</f>
        <v/>
      </c>
      <c r="AS10" s="54" t="str">
        <f>IF('⚙ OFF Weekends'!$D$40="OFF","OFF","")</f>
        <v/>
      </c>
      <c r="AT10" s="56" t="str">
        <f>IF('⚙ OFF Weekends'!$D$41="OFF","OFF","")</f>
        <v/>
      </c>
      <c r="AU10" s="54" t="str">
        <f>IF('⚙ OFF Weekends'!$D$42="OFF","OFF","")</f>
        <v/>
      </c>
      <c r="AV10" s="56" t="str">
        <f>IF('⚙ OFF Weekends'!$D$43="OFF","OFF","")</f>
        <v/>
      </c>
      <c r="AW10" s="54" t="str">
        <f>IF('⚙ OFF Weekends'!$D$44="OFF","OFF","")</f>
        <v/>
      </c>
      <c r="AX10" s="56" t="str">
        <f>IF('⚙ OFF Weekends'!$D$45="OFF","OFF","")</f>
        <v/>
      </c>
      <c r="AY10" s="54" t="str">
        <f>IF('⚙ OFF Weekends'!$D$46="OFF","OFF","")</f>
        <v/>
      </c>
      <c r="AZ10" s="56" t="str">
        <f>IF('⚙ OFF Weekends'!$D$47="OFF","OFF","")</f>
        <v/>
      </c>
      <c r="BA10" s="54" t="str">
        <f>IF('⚙ OFF Weekends'!$D$48="OFF","OFF","")</f>
        <v/>
      </c>
      <c r="BB10" s="56" t="str">
        <f>IF('⚙ OFF Weekends'!$D$49="OFF","OFF","")</f>
        <v/>
      </c>
      <c r="BC10" s="54" t="str">
        <f>IF('⚙ OFF Weekends'!$D$50="OFF","OFF","")</f>
        <v/>
      </c>
      <c r="BD10" s="56" t="str">
        <f>IF('⚙ OFF Weekends'!$D$51="OFF","OFF","")</f>
        <v/>
      </c>
      <c r="BE10" s="54" t="str">
        <f>IF('⚙ OFF Weekends'!$D$52="OFF","OFF","")</f>
        <v/>
      </c>
      <c r="BF10" s="56" t="str">
        <f>IF('⚙ OFF Weekends'!$D$53="OFF","OFF","")</f>
        <v/>
      </c>
      <c r="BG10" s="54" t="str">
        <f>IF('⚙ OFF Weekends'!$D$54="OFF","OFF","")</f>
        <v/>
      </c>
      <c r="BH10" s="56" t="str">
        <f>IF('⚙ OFF Weekends'!$D$55="OFF","OFF","")</f>
        <v/>
      </c>
      <c r="BI10" s="54" t="str">
        <f>IF('⚙ OFF Weekends'!$D$56="OFF","OFF","")</f>
        <v/>
      </c>
      <c r="BJ10" s="56" t="str">
        <f>IF('⚙ OFF Weekends'!$D$57="OFF","OFF","")</f>
        <v/>
      </c>
      <c r="BK10" s="54" t="str">
        <f>IF('⚙ OFF Weekends'!$D$58="OFF","OFF","")</f>
        <v/>
      </c>
      <c r="BL10" s="56" t="str">
        <f>IF('⚙ OFF Weekends'!$D$59="OFF","OFF","")</f>
        <v/>
      </c>
      <c r="BM10" s="54" t="str">
        <f>IF('⚙ OFF Weekends'!$D$60="OFF","OFF","")</f>
        <v/>
      </c>
      <c r="BN10" s="56" t="str">
        <f>IF('⚙ OFF Weekends'!$D$61="OFF","OFF","")</f>
        <v/>
      </c>
      <c r="BO10" s="54" t="str">
        <f>IF('⚙ OFF Weekends'!$D$62="OFF","OFF","")</f>
        <v/>
      </c>
      <c r="BP10" s="56" t="str">
        <f>IF('⚙ OFF Weekends'!$D$63="OFF","OFF","")</f>
        <v/>
      </c>
      <c r="BQ10" s="54" t="str">
        <f>IF('⚙ OFF Weekends'!$D$64="OFF","OFF","")</f>
        <v/>
      </c>
      <c r="BR10" s="56" t="str">
        <f>IF('⚙ OFF Weekends'!$D$65="OFF","OFF","")</f>
        <v/>
      </c>
      <c r="BS10" s="54" t="str">
        <f>IF('⚙ OFF Weekends'!$D$66="OFF","OFF","")</f>
        <v/>
      </c>
      <c r="BT10" s="56" t="str">
        <f>IF('⚙ OFF Weekends'!$D$67="OFF","OFF","")</f>
        <v/>
      </c>
      <c r="BU10" s="54" t="str">
        <f>IF('⚙ OFF Weekends'!$D$68="OFF","OFF","")</f>
        <v/>
      </c>
      <c r="BV10" s="56" t="str">
        <f>IF('⚙ OFF Weekends'!$D$69="OFF","OFF","")</f>
        <v/>
      </c>
      <c r="BW10" s="54" t="str">
        <f>IF('⚙ OFF Weekends'!$D$70="OFF","OFF","")</f>
        <v/>
      </c>
      <c r="BX10" s="56" t="str">
        <f>IF('⚙ OFF Weekends'!$D$71="OFF","OFF","")</f>
        <v/>
      </c>
      <c r="BY10" s="54" t="str">
        <f>IF('⚙ OFF Weekends'!$D$72="OFF","OFF","")</f>
        <v/>
      </c>
      <c r="BZ10" s="56" t="str">
        <f>IF('⚙ OFF Weekends'!$D$73="OFF","OFF","")</f>
        <v/>
      </c>
      <c r="CA10" s="54" t="str">
        <f>IF('⚙ OFF Weekends'!$D$74="OFF","OFF","")</f>
        <v/>
      </c>
      <c r="CB10" s="56" t="str">
        <f>IF('⚙ OFF Weekends'!$D$75="OFF","OFF","")</f>
        <v/>
      </c>
      <c r="CC10" s="54" t="str">
        <f>IF('⚙ OFF Weekends'!$D$76="OFF","OFF","")</f>
        <v/>
      </c>
      <c r="CD10" s="56" t="str">
        <f>IF('⚙ OFF Weekends'!$D$77="OFF","OFF","")</f>
        <v/>
      </c>
      <c r="CE10" s="73">
        <f t="shared" si="3"/>
        <v>3</v>
      </c>
      <c r="CF10" s="73">
        <f t="shared" si="4"/>
        <v>3</v>
      </c>
      <c r="CG10" s="73">
        <f t="shared" si="5"/>
        <v>0</v>
      </c>
      <c r="CH10" s="73" t="str">
        <f t="shared" si="6"/>
        <v>50%</v>
      </c>
    </row>
    <row r="11" ht="18.0" customHeight="1">
      <c r="A11" s="68">
        <v>3.0</v>
      </c>
      <c r="B11" s="25" t="s">
        <v>781</v>
      </c>
      <c r="C11" s="69"/>
      <c r="D11" s="70" t="str">
        <f t="shared" si="1"/>
        <v/>
      </c>
      <c r="E11" s="99" t="str">
        <f t="shared" si="2"/>
        <v/>
      </c>
      <c r="F11" s="21"/>
      <c r="G11" s="21"/>
      <c r="H11" s="21" t="s">
        <v>268</v>
      </c>
      <c r="I11" s="48" t="s">
        <v>196</v>
      </c>
      <c r="J11" s="48" t="s">
        <v>196</v>
      </c>
      <c r="K11" s="49" t="s">
        <v>197</v>
      </c>
      <c r="L11" s="48" t="s">
        <v>196</v>
      </c>
      <c r="M11" s="48" t="s">
        <v>196</v>
      </c>
      <c r="N11" s="48" t="s">
        <v>196</v>
      </c>
      <c r="O11" s="48" t="s">
        <v>196</v>
      </c>
      <c r="P11" s="48" t="s">
        <v>196</v>
      </c>
      <c r="Q11" s="48" t="s">
        <v>196</v>
      </c>
      <c r="R11" s="48" t="s">
        <v>196</v>
      </c>
      <c r="S11" s="52" t="s">
        <v>196</v>
      </c>
      <c r="T11" s="56" t="str">
        <f>IF('⚙ OFF Weekends'!$D$15="OFF","OFF","")</f>
        <v/>
      </c>
      <c r="U11" s="52" t="s">
        <v>196</v>
      </c>
      <c r="V11" s="53" t="s">
        <v>196</v>
      </c>
      <c r="W11" s="54" t="str">
        <f>IF('⚙ OFF Weekends'!$D$18="OFF","OFF","")</f>
        <v>OFF</v>
      </c>
      <c r="X11" s="53" t="s">
        <v>196</v>
      </c>
      <c r="Y11" s="52" t="s">
        <v>196</v>
      </c>
      <c r="Z11" s="53" t="s">
        <v>196</v>
      </c>
      <c r="AA11" s="52" t="s">
        <v>223</v>
      </c>
      <c r="AB11" s="53" t="s">
        <v>196</v>
      </c>
      <c r="AC11" s="52" t="s">
        <v>196</v>
      </c>
      <c r="AD11" s="56" t="str">
        <f>IF('⚙ OFF Weekends'!$D$25="OFF","OFF","")</f>
        <v/>
      </c>
      <c r="AE11" s="54" t="str">
        <f>IF('⚙ OFF Weekends'!$D$26="OFF","OFF","")</f>
        <v/>
      </c>
      <c r="AF11" s="56" t="str">
        <f>IF('⚙ OFF Weekends'!$D$27="OFF","OFF","")</f>
        <v/>
      </c>
      <c r="AG11" s="54" t="str">
        <f>IF('⚙ OFF Weekends'!$D$28="OFF","OFF","")</f>
        <v/>
      </c>
      <c r="AH11" s="56" t="str">
        <f>IF('⚙ OFF Weekends'!$D$29="OFF","OFF","")</f>
        <v/>
      </c>
      <c r="AI11" s="54" t="str">
        <f>IF('⚙ OFF Weekends'!$D$30="OFF","OFF","")</f>
        <v/>
      </c>
      <c r="AJ11" s="56" t="str">
        <f>IF('⚙ OFF Weekends'!$D$31="OFF","OFF","")</f>
        <v/>
      </c>
      <c r="AK11" s="54" t="str">
        <f>IF('⚙ OFF Weekends'!$D$32="OFF","OFF","")</f>
        <v/>
      </c>
      <c r="AL11" s="56" t="str">
        <f>IF('⚙ OFF Weekends'!$D$33="OFF","OFF","")</f>
        <v/>
      </c>
      <c r="AM11" s="54" t="str">
        <f>IF('⚙ OFF Weekends'!$D$34="OFF","OFF","")</f>
        <v/>
      </c>
      <c r="AN11" s="56" t="str">
        <f>IF('⚙ OFF Weekends'!$D$35="OFF","OFF","")</f>
        <v/>
      </c>
      <c r="AO11" s="54" t="str">
        <f>IF('⚙ OFF Weekends'!$D$36="OFF","OFF","")</f>
        <v/>
      </c>
      <c r="AP11" s="56" t="str">
        <f>IF('⚙ OFF Weekends'!$D$37="OFF","OFF","")</f>
        <v/>
      </c>
      <c r="AQ11" s="54" t="str">
        <f>IF('⚙ OFF Weekends'!$D$38="OFF","OFF","")</f>
        <v/>
      </c>
      <c r="AR11" s="56" t="str">
        <f>IF('⚙ OFF Weekends'!$D$39="OFF","OFF","")</f>
        <v/>
      </c>
      <c r="AS11" s="54" t="str">
        <f>IF('⚙ OFF Weekends'!$D$40="OFF","OFF","")</f>
        <v/>
      </c>
      <c r="AT11" s="56" t="str">
        <f>IF('⚙ OFF Weekends'!$D$41="OFF","OFF","")</f>
        <v/>
      </c>
      <c r="AU11" s="54" t="str">
        <f>IF('⚙ OFF Weekends'!$D$42="OFF","OFF","")</f>
        <v/>
      </c>
      <c r="AV11" s="56" t="str">
        <f>IF('⚙ OFF Weekends'!$D$43="OFF","OFF","")</f>
        <v/>
      </c>
      <c r="AW11" s="54" t="str">
        <f>IF('⚙ OFF Weekends'!$D$44="OFF","OFF","")</f>
        <v/>
      </c>
      <c r="AX11" s="56" t="str">
        <f>IF('⚙ OFF Weekends'!$D$45="OFF","OFF","")</f>
        <v/>
      </c>
      <c r="AY11" s="54" t="str">
        <f>IF('⚙ OFF Weekends'!$D$46="OFF","OFF","")</f>
        <v/>
      </c>
      <c r="AZ11" s="56" t="str">
        <f>IF('⚙ OFF Weekends'!$D$47="OFF","OFF","")</f>
        <v/>
      </c>
      <c r="BA11" s="54" t="str">
        <f>IF('⚙ OFF Weekends'!$D$48="OFF","OFF","")</f>
        <v/>
      </c>
      <c r="BB11" s="56" t="str">
        <f>IF('⚙ OFF Weekends'!$D$49="OFF","OFF","")</f>
        <v/>
      </c>
      <c r="BC11" s="54" t="str">
        <f>IF('⚙ OFF Weekends'!$D$50="OFF","OFF","")</f>
        <v/>
      </c>
      <c r="BD11" s="56" t="str">
        <f>IF('⚙ OFF Weekends'!$D$51="OFF","OFF","")</f>
        <v/>
      </c>
      <c r="BE11" s="54" t="str">
        <f>IF('⚙ OFF Weekends'!$D$52="OFF","OFF","")</f>
        <v/>
      </c>
      <c r="BF11" s="56" t="str">
        <f>IF('⚙ OFF Weekends'!$D$53="OFF","OFF","")</f>
        <v/>
      </c>
      <c r="BG11" s="54" t="str">
        <f>IF('⚙ OFF Weekends'!$D$54="OFF","OFF","")</f>
        <v/>
      </c>
      <c r="BH11" s="56" t="str">
        <f>IF('⚙ OFF Weekends'!$D$55="OFF","OFF","")</f>
        <v/>
      </c>
      <c r="BI11" s="54" t="str">
        <f>IF('⚙ OFF Weekends'!$D$56="OFF","OFF","")</f>
        <v/>
      </c>
      <c r="BJ11" s="56" t="str">
        <f>IF('⚙ OFF Weekends'!$D$57="OFF","OFF","")</f>
        <v/>
      </c>
      <c r="BK11" s="54" t="str">
        <f>IF('⚙ OFF Weekends'!$D$58="OFF","OFF","")</f>
        <v/>
      </c>
      <c r="BL11" s="56" t="str">
        <f>IF('⚙ OFF Weekends'!$D$59="OFF","OFF","")</f>
        <v/>
      </c>
      <c r="BM11" s="54" t="str">
        <f>IF('⚙ OFF Weekends'!$D$60="OFF","OFF","")</f>
        <v/>
      </c>
      <c r="BN11" s="56" t="str">
        <f>IF('⚙ OFF Weekends'!$D$61="OFF","OFF","")</f>
        <v/>
      </c>
      <c r="BO11" s="54" t="str">
        <f>IF('⚙ OFF Weekends'!$D$62="OFF","OFF","")</f>
        <v/>
      </c>
      <c r="BP11" s="56" t="str">
        <f>IF('⚙ OFF Weekends'!$D$63="OFF","OFF","")</f>
        <v/>
      </c>
      <c r="BQ11" s="54" t="str">
        <f>IF('⚙ OFF Weekends'!$D$64="OFF","OFF","")</f>
        <v/>
      </c>
      <c r="BR11" s="56" t="str">
        <f>IF('⚙ OFF Weekends'!$D$65="OFF","OFF","")</f>
        <v/>
      </c>
      <c r="BS11" s="54" t="str">
        <f>IF('⚙ OFF Weekends'!$D$66="OFF","OFF","")</f>
        <v/>
      </c>
      <c r="BT11" s="56" t="str">
        <f>IF('⚙ OFF Weekends'!$D$67="OFF","OFF","")</f>
        <v/>
      </c>
      <c r="BU11" s="54" t="str">
        <f>IF('⚙ OFF Weekends'!$D$68="OFF","OFF","")</f>
        <v/>
      </c>
      <c r="BV11" s="56" t="str">
        <f>IF('⚙ OFF Weekends'!$D$69="OFF","OFF","")</f>
        <v/>
      </c>
      <c r="BW11" s="54" t="str">
        <f>IF('⚙ OFF Weekends'!$D$70="OFF","OFF","")</f>
        <v/>
      </c>
      <c r="BX11" s="56" t="str">
        <f>IF('⚙ OFF Weekends'!$D$71="OFF","OFF","")</f>
        <v/>
      </c>
      <c r="BY11" s="54" t="str">
        <f>IF('⚙ OFF Weekends'!$D$72="OFF","OFF","")</f>
        <v/>
      </c>
      <c r="BZ11" s="56" t="str">
        <f>IF('⚙ OFF Weekends'!$D$73="OFF","OFF","")</f>
        <v/>
      </c>
      <c r="CA11" s="54" t="str">
        <f>IF('⚙ OFF Weekends'!$D$74="OFF","OFF","")</f>
        <v/>
      </c>
      <c r="CB11" s="56" t="str">
        <f>IF('⚙ OFF Weekends'!$D$75="OFF","OFF","")</f>
        <v/>
      </c>
      <c r="CC11" s="54" t="str">
        <f>IF('⚙ OFF Weekends'!$D$76="OFF","OFF","")</f>
        <v/>
      </c>
      <c r="CD11" s="56" t="str">
        <f>IF('⚙ OFF Weekends'!$D$77="OFF","OFF","")</f>
        <v/>
      </c>
      <c r="CE11" s="68">
        <f t="shared" si="3"/>
        <v>17</v>
      </c>
      <c r="CF11" s="68">
        <f t="shared" si="4"/>
        <v>1</v>
      </c>
      <c r="CG11" s="68">
        <f t="shared" si="5"/>
        <v>0</v>
      </c>
      <c r="CH11" s="68" t="str">
        <f t="shared" si="6"/>
        <v>94%</v>
      </c>
    </row>
    <row r="12" ht="18.0" customHeight="1">
      <c r="A12" s="73">
        <v>4.0</v>
      </c>
      <c r="B12" s="35" t="s">
        <v>784</v>
      </c>
      <c r="C12" s="74"/>
      <c r="D12" s="75" t="str">
        <f t="shared" si="1"/>
        <v/>
      </c>
      <c r="E12" s="80" t="str">
        <f t="shared" si="2"/>
        <v/>
      </c>
      <c r="F12" s="34"/>
      <c r="G12" s="34"/>
      <c r="H12" s="34" t="s">
        <v>268</v>
      </c>
      <c r="I12" s="48" t="s">
        <v>196</v>
      </c>
      <c r="J12" s="48" t="s">
        <v>196</v>
      </c>
      <c r="K12" s="49" t="s">
        <v>197</v>
      </c>
      <c r="L12" s="48" t="s">
        <v>196</v>
      </c>
      <c r="M12" s="48" t="s">
        <v>196</v>
      </c>
      <c r="N12" s="48" t="s">
        <v>196</v>
      </c>
      <c r="O12" s="48" t="s">
        <v>196</v>
      </c>
      <c r="P12" s="48" t="s">
        <v>196</v>
      </c>
      <c r="Q12" s="48" t="s">
        <v>196</v>
      </c>
      <c r="R12" s="48" t="s">
        <v>196</v>
      </c>
      <c r="S12" s="52" t="s">
        <v>198</v>
      </c>
      <c r="T12" s="53" t="s">
        <v>196</v>
      </c>
      <c r="U12" s="52" t="s">
        <v>196</v>
      </c>
      <c r="V12" s="53" t="s">
        <v>196</v>
      </c>
      <c r="W12" s="54" t="str">
        <f>IF('⚙ OFF Weekends'!$D$18="OFF","OFF","")</f>
        <v>OFF</v>
      </c>
      <c r="X12" s="53" t="s">
        <v>198</v>
      </c>
      <c r="Y12" s="52" t="s">
        <v>198</v>
      </c>
      <c r="Z12" s="53" t="s">
        <v>198</v>
      </c>
      <c r="AA12" s="52" t="s">
        <v>198</v>
      </c>
      <c r="AB12" s="53" t="s">
        <v>198</v>
      </c>
      <c r="AC12" s="52" t="s">
        <v>198</v>
      </c>
      <c r="AD12" s="56" t="str">
        <f>IF('⚙ OFF Weekends'!$D$25="OFF","OFF","")</f>
        <v/>
      </c>
      <c r="AE12" s="54" t="str">
        <f>IF('⚙ OFF Weekends'!$D$26="OFF","OFF","")</f>
        <v/>
      </c>
      <c r="AF12" s="56" t="str">
        <f>IF('⚙ OFF Weekends'!$D$27="OFF","OFF","")</f>
        <v/>
      </c>
      <c r="AG12" s="54" t="str">
        <f>IF('⚙ OFF Weekends'!$D$28="OFF","OFF","")</f>
        <v/>
      </c>
      <c r="AH12" s="56" t="str">
        <f>IF('⚙ OFF Weekends'!$D$29="OFF","OFF","")</f>
        <v/>
      </c>
      <c r="AI12" s="54" t="str">
        <f>IF('⚙ OFF Weekends'!$D$30="OFF","OFF","")</f>
        <v/>
      </c>
      <c r="AJ12" s="56" t="str">
        <f>IF('⚙ OFF Weekends'!$D$31="OFF","OFF","")</f>
        <v/>
      </c>
      <c r="AK12" s="54" t="str">
        <f>IF('⚙ OFF Weekends'!$D$32="OFF","OFF","")</f>
        <v/>
      </c>
      <c r="AL12" s="56" t="str">
        <f>IF('⚙ OFF Weekends'!$D$33="OFF","OFF","")</f>
        <v/>
      </c>
      <c r="AM12" s="54" t="str">
        <f>IF('⚙ OFF Weekends'!$D$34="OFF","OFF","")</f>
        <v/>
      </c>
      <c r="AN12" s="56" t="str">
        <f>IF('⚙ OFF Weekends'!$D$35="OFF","OFF","")</f>
        <v/>
      </c>
      <c r="AO12" s="54" t="str">
        <f>IF('⚙ OFF Weekends'!$D$36="OFF","OFF","")</f>
        <v/>
      </c>
      <c r="AP12" s="56" t="str">
        <f>IF('⚙ OFF Weekends'!$D$37="OFF","OFF","")</f>
        <v/>
      </c>
      <c r="AQ12" s="54" t="str">
        <f>IF('⚙ OFF Weekends'!$D$38="OFF","OFF","")</f>
        <v/>
      </c>
      <c r="AR12" s="56" t="str">
        <f>IF('⚙ OFF Weekends'!$D$39="OFF","OFF","")</f>
        <v/>
      </c>
      <c r="AS12" s="54" t="str">
        <f>IF('⚙ OFF Weekends'!$D$40="OFF","OFF","")</f>
        <v/>
      </c>
      <c r="AT12" s="56" t="str">
        <f>IF('⚙ OFF Weekends'!$D$41="OFF","OFF","")</f>
        <v/>
      </c>
      <c r="AU12" s="54" t="str">
        <f>IF('⚙ OFF Weekends'!$D$42="OFF","OFF","")</f>
        <v/>
      </c>
      <c r="AV12" s="56" t="str">
        <f>IF('⚙ OFF Weekends'!$D$43="OFF","OFF","")</f>
        <v/>
      </c>
      <c r="AW12" s="54" t="str">
        <f>IF('⚙ OFF Weekends'!$D$44="OFF","OFF","")</f>
        <v/>
      </c>
      <c r="AX12" s="56" t="str">
        <f>IF('⚙ OFF Weekends'!$D$45="OFF","OFF","")</f>
        <v/>
      </c>
      <c r="AY12" s="54" t="str">
        <f>IF('⚙ OFF Weekends'!$D$46="OFF","OFF","")</f>
        <v/>
      </c>
      <c r="AZ12" s="56" t="str">
        <f>IF('⚙ OFF Weekends'!$D$47="OFF","OFF","")</f>
        <v/>
      </c>
      <c r="BA12" s="54" t="str">
        <f>IF('⚙ OFF Weekends'!$D$48="OFF","OFF","")</f>
        <v/>
      </c>
      <c r="BB12" s="56" t="str">
        <f>IF('⚙ OFF Weekends'!$D$49="OFF","OFF","")</f>
        <v/>
      </c>
      <c r="BC12" s="54" t="str">
        <f>IF('⚙ OFF Weekends'!$D$50="OFF","OFF","")</f>
        <v/>
      </c>
      <c r="BD12" s="56" t="str">
        <f>IF('⚙ OFF Weekends'!$D$51="OFF","OFF","")</f>
        <v/>
      </c>
      <c r="BE12" s="54" t="str">
        <f>IF('⚙ OFF Weekends'!$D$52="OFF","OFF","")</f>
        <v/>
      </c>
      <c r="BF12" s="56" t="str">
        <f>IF('⚙ OFF Weekends'!$D$53="OFF","OFF","")</f>
        <v/>
      </c>
      <c r="BG12" s="54" t="str">
        <f>IF('⚙ OFF Weekends'!$D$54="OFF","OFF","")</f>
        <v/>
      </c>
      <c r="BH12" s="56" t="str">
        <f>IF('⚙ OFF Weekends'!$D$55="OFF","OFF","")</f>
        <v/>
      </c>
      <c r="BI12" s="54" t="str">
        <f>IF('⚙ OFF Weekends'!$D$56="OFF","OFF","")</f>
        <v/>
      </c>
      <c r="BJ12" s="56" t="str">
        <f>IF('⚙ OFF Weekends'!$D$57="OFF","OFF","")</f>
        <v/>
      </c>
      <c r="BK12" s="54" t="str">
        <f>IF('⚙ OFF Weekends'!$D$58="OFF","OFF","")</f>
        <v/>
      </c>
      <c r="BL12" s="56" t="str">
        <f>IF('⚙ OFF Weekends'!$D$59="OFF","OFF","")</f>
        <v/>
      </c>
      <c r="BM12" s="54" t="str">
        <f>IF('⚙ OFF Weekends'!$D$60="OFF","OFF","")</f>
        <v/>
      </c>
      <c r="BN12" s="56" t="str">
        <f>IF('⚙ OFF Weekends'!$D$61="OFF","OFF","")</f>
        <v/>
      </c>
      <c r="BO12" s="54" t="str">
        <f>IF('⚙ OFF Weekends'!$D$62="OFF","OFF","")</f>
        <v/>
      </c>
      <c r="BP12" s="56" t="str">
        <f>IF('⚙ OFF Weekends'!$D$63="OFF","OFF","")</f>
        <v/>
      </c>
      <c r="BQ12" s="54" t="str">
        <f>IF('⚙ OFF Weekends'!$D$64="OFF","OFF","")</f>
        <v/>
      </c>
      <c r="BR12" s="56" t="str">
        <f>IF('⚙ OFF Weekends'!$D$65="OFF","OFF","")</f>
        <v/>
      </c>
      <c r="BS12" s="54" t="str">
        <f>IF('⚙ OFF Weekends'!$D$66="OFF","OFF","")</f>
        <v/>
      </c>
      <c r="BT12" s="56" t="str">
        <f>IF('⚙ OFF Weekends'!$D$67="OFF","OFF","")</f>
        <v/>
      </c>
      <c r="BU12" s="54" t="str">
        <f>IF('⚙ OFF Weekends'!$D$68="OFF","OFF","")</f>
        <v/>
      </c>
      <c r="BV12" s="56" t="str">
        <f>IF('⚙ OFF Weekends'!$D$69="OFF","OFF","")</f>
        <v/>
      </c>
      <c r="BW12" s="54" t="str">
        <f>IF('⚙ OFF Weekends'!$D$70="OFF","OFF","")</f>
        <v/>
      </c>
      <c r="BX12" s="56" t="str">
        <f>IF('⚙ OFF Weekends'!$D$71="OFF","OFF","")</f>
        <v/>
      </c>
      <c r="BY12" s="54" t="str">
        <f>IF('⚙ OFF Weekends'!$D$72="OFF","OFF","")</f>
        <v/>
      </c>
      <c r="BZ12" s="56" t="str">
        <f>IF('⚙ OFF Weekends'!$D$73="OFF","OFF","")</f>
        <v/>
      </c>
      <c r="CA12" s="54" t="str">
        <f>IF('⚙ OFF Weekends'!$D$74="OFF","OFF","")</f>
        <v/>
      </c>
      <c r="CB12" s="56" t="str">
        <f>IF('⚙ OFF Weekends'!$D$75="OFF","OFF","")</f>
        <v/>
      </c>
      <c r="CC12" s="54" t="str">
        <f>IF('⚙ OFF Weekends'!$D$76="OFF","OFF","")</f>
        <v/>
      </c>
      <c r="CD12" s="56" t="str">
        <f>IF('⚙ OFF Weekends'!$D$77="OFF","OFF","")</f>
        <v/>
      </c>
      <c r="CE12" s="73">
        <f t="shared" si="3"/>
        <v>12</v>
      </c>
      <c r="CF12" s="73">
        <f t="shared" si="4"/>
        <v>0</v>
      </c>
      <c r="CG12" s="73">
        <f t="shared" si="5"/>
        <v>7</v>
      </c>
      <c r="CH12" s="73" t="str">
        <f t="shared" si="6"/>
        <v>100%</v>
      </c>
    </row>
    <row r="13" ht="18.0" customHeight="1">
      <c r="A13" s="84">
        <v>5.0</v>
      </c>
      <c r="B13" s="89"/>
      <c r="C13" s="89"/>
      <c r="D13" s="87" t="str">
        <f t="shared" si="1"/>
        <v/>
      </c>
      <c r="E13" s="93" t="str">
        <f t="shared" si="2"/>
        <v/>
      </c>
      <c r="F13" s="89"/>
      <c r="G13" s="89"/>
      <c r="H13" s="89"/>
      <c r="I13" s="90" t="str">
        <f>IF('⚙ OFF Weekends'!$D$4="OFF","OFF","")</f>
        <v/>
      </c>
      <c r="J13" s="90" t="str">
        <f>IF('⚙ OFF Weekends'!$D$5="OFF","OFF","")</f>
        <v/>
      </c>
      <c r="K13" s="90" t="str">
        <f>IF('⚙ OFF Weekends'!$D$6="OFF","OFF","")</f>
        <v/>
      </c>
      <c r="L13" s="90" t="str">
        <f>IF('⚙ OFF Weekends'!$D$7="OFF","OFF","")</f>
        <v/>
      </c>
      <c r="M13" s="90" t="str">
        <f>IF('⚙ OFF Weekends'!$D$8="OFF","OFF","")</f>
        <v/>
      </c>
      <c r="N13" s="90" t="str">
        <f>IF('⚙ OFF Weekends'!$D$9="OFF","OFF","")</f>
        <v/>
      </c>
      <c r="O13" s="90" t="str">
        <f>IF('⚙ OFF Weekends'!$D$10="OFF","OFF","")</f>
        <v/>
      </c>
      <c r="P13" s="90" t="str">
        <f>IF('⚙ OFF Weekends'!$D$11="OFF","OFF","")</f>
        <v/>
      </c>
      <c r="Q13" s="90" t="str">
        <f>IF('⚙ OFF Weekends'!$D$12="OFF","OFF","")</f>
        <v/>
      </c>
      <c r="R13" s="90" t="str">
        <f>IF('⚙ OFF Weekends'!$D$13="OFF","OFF","")</f>
        <v/>
      </c>
      <c r="S13" s="90" t="str">
        <f>IF('⚙ OFF Weekends'!$D$14="OFF","OFF","")</f>
        <v/>
      </c>
      <c r="T13" s="90" t="str">
        <f>IF('⚙ OFF Weekends'!$D$15="OFF","OFF","")</f>
        <v/>
      </c>
      <c r="U13" s="90" t="str">
        <f>IF('⚙ OFF Weekends'!$D$16="OFF","OFF","")</f>
        <v/>
      </c>
      <c r="V13" s="90" t="str">
        <f>IF('⚙ OFF Weekends'!$D$17="OFF","OFF","")</f>
        <v/>
      </c>
      <c r="W13" s="90" t="str">
        <f>IF('⚙ OFF Weekends'!$D$18="OFF","OFF","")</f>
        <v>OFF</v>
      </c>
      <c r="X13" s="90" t="str">
        <f>IF('⚙ OFF Weekends'!$D$19="OFF","OFF","")</f>
        <v/>
      </c>
      <c r="Y13" s="90" t="str">
        <f>IF('⚙ OFF Weekends'!$D$20="OFF","OFF","")</f>
        <v/>
      </c>
      <c r="Z13" s="90" t="str">
        <f>IF('⚙ OFF Weekends'!$D$21="OFF","OFF","")</f>
        <v/>
      </c>
      <c r="AA13" s="90" t="str">
        <f>IF('⚙ OFF Weekends'!$D$22="OFF","OFF","")</f>
        <v/>
      </c>
      <c r="AB13" s="90" t="str">
        <f>IF('⚙ OFF Weekends'!$D$23="OFF","OFF","")</f>
        <v/>
      </c>
      <c r="AC13" s="90" t="str">
        <f>IF('⚙ OFF Weekends'!$D$24="OFF","OFF","")</f>
        <v/>
      </c>
      <c r="AD13" s="90" t="str">
        <f>IF('⚙ OFF Weekends'!$D$25="OFF","OFF","")</f>
        <v/>
      </c>
      <c r="AE13" s="90" t="str">
        <f>IF('⚙ OFF Weekends'!$D$26="OFF","OFF","")</f>
        <v/>
      </c>
      <c r="AF13" s="90" t="str">
        <f>IF('⚙ OFF Weekends'!$D$27="OFF","OFF","")</f>
        <v/>
      </c>
      <c r="AG13" s="90" t="str">
        <f>IF('⚙ OFF Weekends'!$D$28="OFF","OFF","")</f>
        <v/>
      </c>
      <c r="AH13" s="90" t="str">
        <f>IF('⚙ OFF Weekends'!$D$29="OFF","OFF","")</f>
        <v/>
      </c>
      <c r="AI13" s="90" t="str">
        <f>IF('⚙ OFF Weekends'!$D$30="OFF","OFF","")</f>
        <v/>
      </c>
      <c r="AJ13" s="90" t="str">
        <f>IF('⚙ OFF Weekends'!$D$31="OFF","OFF","")</f>
        <v/>
      </c>
      <c r="AK13" s="90" t="str">
        <f>IF('⚙ OFF Weekends'!$D$32="OFF","OFF","")</f>
        <v/>
      </c>
      <c r="AL13" s="90" t="str">
        <f>IF('⚙ OFF Weekends'!$D$33="OFF","OFF","")</f>
        <v/>
      </c>
      <c r="AM13" s="90" t="str">
        <f>IF('⚙ OFF Weekends'!$D$34="OFF","OFF","")</f>
        <v/>
      </c>
      <c r="AN13" s="90" t="str">
        <f>IF('⚙ OFF Weekends'!$D$35="OFF","OFF","")</f>
        <v/>
      </c>
      <c r="AO13" s="90" t="str">
        <f>IF('⚙ OFF Weekends'!$D$36="OFF","OFF","")</f>
        <v/>
      </c>
      <c r="AP13" s="90" t="str">
        <f>IF('⚙ OFF Weekends'!$D$37="OFF","OFF","")</f>
        <v/>
      </c>
      <c r="AQ13" s="90" t="str">
        <f>IF('⚙ OFF Weekends'!$D$38="OFF","OFF","")</f>
        <v/>
      </c>
      <c r="AR13" s="90" t="str">
        <f>IF('⚙ OFF Weekends'!$D$39="OFF","OFF","")</f>
        <v/>
      </c>
      <c r="AS13" s="90" t="str">
        <f>IF('⚙ OFF Weekends'!$D$40="OFF","OFF","")</f>
        <v/>
      </c>
      <c r="AT13" s="90" t="str">
        <f>IF('⚙ OFF Weekends'!$D$41="OFF","OFF","")</f>
        <v/>
      </c>
      <c r="AU13" s="90" t="str">
        <f>IF('⚙ OFF Weekends'!$D$42="OFF","OFF","")</f>
        <v/>
      </c>
      <c r="AV13" s="90" t="str">
        <f>IF('⚙ OFF Weekends'!$D$43="OFF","OFF","")</f>
        <v/>
      </c>
      <c r="AW13" s="90" t="str">
        <f>IF('⚙ OFF Weekends'!$D$44="OFF","OFF","")</f>
        <v/>
      </c>
      <c r="AX13" s="90" t="str">
        <f>IF('⚙ OFF Weekends'!$D$45="OFF","OFF","")</f>
        <v/>
      </c>
      <c r="AY13" s="90" t="str">
        <f>IF('⚙ OFF Weekends'!$D$46="OFF","OFF","")</f>
        <v/>
      </c>
      <c r="AZ13" s="90" t="str">
        <f>IF('⚙ OFF Weekends'!$D$47="OFF","OFF","")</f>
        <v/>
      </c>
      <c r="BA13" s="90" t="str">
        <f>IF('⚙ OFF Weekends'!$D$48="OFF","OFF","")</f>
        <v/>
      </c>
      <c r="BB13" s="90" t="str">
        <f>IF('⚙ OFF Weekends'!$D$49="OFF","OFF","")</f>
        <v/>
      </c>
      <c r="BC13" s="90" t="str">
        <f>IF('⚙ OFF Weekends'!$D$50="OFF","OFF","")</f>
        <v/>
      </c>
      <c r="BD13" s="90" t="str">
        <f>IF('⚙ OFF Weekends'!$D$51="OFF","OFF","")</f>
        <v/>
      </c>
      <c r="BE13" s="90" t="str">
        <f>IF('⚙ OFF Weekends'!$D$52="OFF","OFF","")</f>
        <v/>
      </c>
      <c r="BF13" s="90" t="str">
        <f>IF('⚙ OFF Weekends'!$D$53="OFF","OFF","")</f>
        <v/>
      </c>
      <c r="BG13" s="90" t="str">
        <f>IF('⚙ OFF Weekends'!$D$54="OFF","OFF","")</f>
        <v/>
      </c>
      <c r="BH13" s="90" t="str">
        <f>IF('⚙ OFF Weekends'!$D$55="OFF","OFF","")</f>
        <v/>
      </c>
      <c r="BI13" s="90" t="str">
        <f>IF('⚙ OFF Weekends'!$D$56="OFF","OFF","")</f>
        <v/>
      </c>
      <c r="BJ13" s="90" t="str">
        <f>IF('⚙ OFF Weekends'!$D$57="OFF","OFF","")</f>
        <v/>
      </c>
      <c r="BK13" s="90" t="str">
        <f>IF('⚙ OFF Weekends'!$D$58="OFF","OFF","")</f>
        <v/>
      </c>
      <c r="BL13" s="90" t="str">
        <f>IF('⚙ OFF Weekends'!$D$59="OFF","OFF","")</f>
        <v/>
      </c>
      <c r="BM13" s="90" t="str">
        <f>IF('⚙ OFF Weekends'!$D$60="OFF","OFF","")</f>
        <v/>
      </c>
      <c r="BN13" s="90" t="str">
        <f>IF('⚙ OFF Weekends'!$D$61="OFF","OFF","")</f>
        <v/>
      </c>
      <c r="BO13" s="90" t="str">
        <f>IF('⚙ OFF Weekends'!$D$62="OFF","OFF","")</f>
        <v/>
      </c>
      <c r="BP13" s="90" t="str">
        <f>IF('⚙ OFF Weekends'!$D$63="OFF","OFF","")</f>
        <v/>
      </c>
      <c r="BQ13" s="90" t="str">
        <f>IF('⚙ OFF Weekends'!$D$64="OFF","OFF","")</f>
        <v/>
      </c>
      <c r="BR13" s="90" t="str">
        <f>IF('⚙ OFF Weekends'!$D$65="OFF","OFF","")</f>
        <v/>
      </c>
      <c r="BS13" s="90" t="str">
        <f>IF('⚙ OFF Weekends'!$D$66="OFF","OFF","")</f>
        <v/>
      </c>
      <c r="BT13" s="90" t="str">
        <f>IF('⚙ OFF Weekends'!$D$67="OFF","OFF","")</f>
        <v/>
      </c>
      <c r="BU13" s="90" t="str">
        <f>IF('⚙ OFF Weekends'!$D$68="OFF","OFF","")</f>
        <v/>
      </c>
      <c r="BV13" s="90" t="str">
        <f>IF('⚙ OFF Weekends'!$D$69="OFF","OFF","")</f>
        <v/>
      </c>
      <c r="BW13" s="90" t="str">
        <f>IF('⚙ OFF Weekends'!$D$70="OFF","OFF","")</f>
        <v/>
      </c>
      <c r="BX13" s="90" t="str">
        <f>IF('⚙ OFF Weekends'!$D$71="OFF","OFF","")</f>
        <v/>
      </c>
      <c r="BY13" s="90" t="str">
        <f>IF('⚙ OFF Weekends'!$D$72="OFF","OFF","")</f>
        <v/>
      </c>
      <c r="BZ13" s="90" t="str">
        <f>IF('⚙ OFF Weekends'!$D$73="OFF","OFF","")</f>
        <v/>
      </c>
      <c r="CA13" s="90" t="str">
        <f>IF('⚙ OFF Weekends'!$D$74="OFF","OFF","")</f>
        <v/>
      </c>
      <c r="CB13" s="90" t="str">
        <f>IF('⚙ OFF Weekends'!$D$75="OFF","OFF","")</f>
        <v/>
      </c>
      <c r="CC13" s="90" t="str">
        <f>IF('⚙ OFF Weekends'!$D$76="OFF","OFF","")</f>
        <v/>
      </c>
      <c r="CD13" s="90" t="str">
        <f>IF('⚙ OFF Weekends'!$D$77="OFF","OFF","")</f>
        <v/>
      </c>
      <c r="CE13" s="92">
        <f t="shared" si="3"/>
        <v>0</v>
      </c>
      <c r="CF13" s="92">
        <f t="shared" si="4"/>
        <v>0</v>
      </c>
      <c r="CG13" s="92">
        <f t="shared" si="5"/>
        <v>0</v>
      </c>
      <c r="CH13" s="92" t="str">
        <f t="shared" si="6"/>
        <v>0%</v>
      </c>
    </row>
    <row r="14" ht="18.0" customHeight="1">
      <c r="A14" s="84">
        <v>6.0</v>
      </c>
      <c r="B14" s="89"/>
      <c r="C14" s="89"/>
      <c r="D14" s="87" t="str">
        <f t="shared" si="1"/>
        <v/>
      </c>
      <c r="E14" s="93" t="str">
        <f t="shared" si="2"/>
        <v/>
      </c>
      <c r="F14" s="89"/>
      <c r="G14" s="89"/>
      <c r="H14" s="89"/>
      <c r="I14" s="90" t="str">
        <f>IF('⚙ OFF Weekends'!$D$4="OFF","OFF","")</f>
        <v/>
      </c>
      <c r="J14" s="90" t="str">
        <f>IF('⚙ OFF Weekends'!$D$5="OFF","OFF","")</f>
        <v/>
      </c>
      <c r="K14" s="90" t="str">
        <f>IF('⚙ OFF Weekends'!$D$6="OFF","OFF","")</f>
        <v/>
      </c>
      <c r="L14" s="90" t="str">
        <f>IF('⚙ OFF Weekends'!$D$7="OFF","OFF","")</f>
        <v/>
      </c>
      <c r="M14" s="90" t="str">
        <f>IF('⚙ OFF Weekends'!$D$8="OFF","OFF","")</f>
        <v/>
      </c>
      <c r="N14" s="90" t="str">
        <f>IF('⚙ OFF Weekends'!$D$9="OFF","OFF","")</f>
        <v/>
      </c>
      <c r="O14" s="90" t="str">
        <f>IF('⚙ OFF Weekends'!$D$10="OFF","OFF","")</f>
        <v/>
      </c>
      <c r="P14" s="90" t="str">
        <f>IF('⚙ OFF Weekends'!$D$11="OFF","OFF","")</f>
        <v/>
      </c>
      <c r="Q14" s="90" t="str">
        <f>IF('⚙ OFF Weekends'!$D$12="OFF","OFF","")</f>
        <v/>
      </c>
      <c r="R14" s="90" t="str">
        <f>IF('⚙ OFF Weekends'!$D$13="OFF","OFF","")</f>
        <v/>
      </c>
      <c r="S14" s="90" t="str">
        <f>IF('⚙ OFF Weekends'!$D$14="OFF","OFF","")</f>
        <v/>
      </c>
      <c r="T14" s="90" t="str">
        <f>IF('⚙ OFF Weekends'!$D$15="OFF","OFF","")</f>
        <v/>
      </c>
      <c r="U14" s="90" t="str">
        <f>IF('⚙ OFF Weekends'!$D$16="OFF","OFF","")</f>
        <v/>
      </c>
      <c r="V14" s="90" t="str">
        <f>IF('⚙ OFF Weekends'!$D$17="OFF","OFF","")</f>
        <v/>
      </c>
      <c r="W14" s="90" t="str">
        <f>IF('⚙ OFF Weekends'!$D$18="OFF","OFF","")</f>
        <v>OFF</v>
      </c>
      <c r="X14" s="90" t="str">
        <f>IF('⚙ OFF Weekends'!$D$19="OFF","OFF","")</f>
        <v/>
      </c>
      <c r="Y14" s="90" t="str">
        <f>IF('⚙ OFF Weekends'!$D$20="OFF","OFF","")</f>
        <v/>
      </c>
      <c r="Z14" s="90" t="str">
        <f>IF('⚙ OFF Weekends'!$D$21="OFF","OFF","")</f>
        <v/>
      </c>
      <c r="AA14" s="90" t="str">
        <f>IF('⚙ OFF Weekends'!$D$22="OFF","OFF","")</f>
        <v/>
      </c>
      <c r="AB14" s="90" t="str">
        <f>IF('⚙ OFF Weekends'!$D$23="OFF","OFF","")</f>
        <v/>
      </c>
      <c r="AC14" s="90" t="str">
        <f>IF('⚙ OFF Weekends'!$D$24="OFF","OFF","")</f>
        <v/>
      </c>
      <c r="AD14" s="90" t="str">
        <f>IF('⚙ OFF Weekends'!$D$25="OFF","OFF","")</f>
        <v/>
      </c>
      <c r="AE14" s="90" t="str">
        <f>IF('⚙ OFF Weekends'!$D$26="OFF","OFF","")</f>
        <v/>
      </c>
      <c r="AF14" s="90" t="str">
        <f>IF('⚙ OFF Weekends'!$D$27="OFF","OFF","")</f>
        <v/>
      </c>
      <c r="AG14" s="90" t="str">
        <f>IF('⚙ OFF Weekends'!$D$28="OFF","OFF","")</f>
        <v/>
      </c>
      <c r="AH14" s="90" t="str">
        <f>IF('⚙ OFF Weekends'!$D$29="OFF","OFF","")</f>
        <v/>
      </c>
      <c r="AI14" s="90" t="str">
        <f>IF('⚙ OFF Weekends'!$D$30="OFF","OFF","")</f>
        <v/>
      </c>
      <c r="AJ14" s="90" t="str">
        <f>IF('⚙ OFF Weekends'!$D$31="OFF","OFF","")</f>
        <v/>
      </c>
      <c r="AK14" s="90" t="str">
        <f>IF('⚙ OFF Weekends'!$D$32="OFF","OFF","")</f>
        <v/>
      </c>
      <c r="AL14" s="90" t="str">
        <f>IF('⚙ OFF Weekends'!$D$33="OFF","OFF","")</f>
        <v/>
      </c>
      <c r="AM14" s="90" t="str">
        <f>IF('⚙ OFF Weekends'!$D$34="OFF","OFF","")</f>
        <v/>
      </c>
      <c r="AN14" s="90" t="str">
        <f>IF('⚙ OFF Weekends'!$D$35="OFF","OFF","")</f>
        <v/>
      </c>
      <c r="AO14" s="90" t="str">
        <f>IF('⚙ OFF Weekends'!$D$36="OFF","OFF","")</f>
        <v/>
      </c>
      <c r="AP14" s="90" t="str">
        <f>IF('⚙ OFF Weekends'!$D$37="OFF","OFF","")</f>
        <v/>
      </c>
      <c r="AQ14" s="90" t="str">
        <f>IF('⚙ OFF Weekends'!$D$38="OFF","OFF","")</f>
        <v/>
      </c>
      <c r="AR14" s="90" t="str">
        <f>IF('⚙ OFF Weekends'!$D$39="OFF","OFF","")</f>
        <v/>
      </c>
      <c r="AS14" s="90" t="str">
        <f>IF('⚙ OFF Weekends'!$D$40="OFF","OFF","")</f>
        <v/>
      </c>
      <c r="AT14" s="90" t="str">
        <f>IF('⚙ OFF Weekends'!$D$41="OFF","OFF","")</f>
        <v/>
      </c>
      <c r="AU14" s="90" t="str">
        <f>IF('⚙ OFF Weekends'!$D$42="OFF","OFF","")</f>
        <v/>
      </c>
      <c r="AV14" s="90" t="str">
        <f>IF('⚙ OFF Weekends'!$D$43="OFF","OFF","")</f>
        <v/>
      </c>
      <c r="AW14" s="90" t="str">
        <f>IF('⚙ OFF Weekends'!$D$44="OFF","OFF","")</f>
        <v/>
      </c>
      <c r="AX14" s="90" t="str">
        <f>IF('⚙ OFF Weekends'!$D$45="OFF","OFF","")</f>
        <v/>
      </c>
      <c r="AY14" s="90" t="str">
        <f>IF('⚙ OFF Weekends'!$D$46="OFF","OFF","")</f>
        <v/>
      </c>
      <c r="AZ14" s="90" t="str">
        <f>IF('⚙ OFF Weekends'!$D$47="OFF","OFF","")</f>
        <v/>
      </c>
      <c r="BA14" s="90" t="str">
        <f>IF('⚙ OFF Weekends'!$D$48="OFF","OFF","")</f>
        <v/>
      </c>
      <c r="BB14" s="90" t="str">
        <f>IF('⚙ OFF Weekends'!$D$49="OFF","OFF","")</f>
        <v/>
      </c>
      <c r="BC14" s="90" t="str">
        <f>IF('⚙ OFF Weekends'!$D$50="OFF","OFF","")</f>
        <v/>
      </c>
      <c r="BD14" s="90" t="str">
        <f>IF('⚙ OFF Weekends'!$D$51="OFF","OFF","")</f>
        <v/>
      </c>
      <c r="BE14" s="90" t="str">
        <f>IF('⚙ OFF Weekends'!$D$52="OFF","OFF","")</f>
        <v/>
      </c>
      <c r="BF14" s="90" t="str">
        <f>IF('⚙ OFF Weekends'!$D$53="OFF","OFF","")</f>
        <v/>
      </c>
      <c r="BG14" s="90" t="str">
        <f>IF('⚙ OFF Weekends'!$D$54="OFF","OFF","")</f>
        <v/>
      </c>
      <c r="BH14" s="90" t="str">
        <f>IF('⚙ OFF Weekends'!$D$55="OFF","OFF","")</f>
        <v/>
      </c>
      <c r="BI14" s="90" t="str">
        <f>IF('⚙ OFF Weekends'!$D$56="OFF","OFF","")</f>
        <v/>
      </c>
      <c r="BJ14" s="90" t="str">
        <f>IF('⚙ OFF Weekends'!$D$57="OFF","OFF","")</f>
        <v/>
      </c>
      <c r="BK14" s="90" t="str">
        <f>IF('⚙ OFF Weekends'!$D$58="OFF","OFF","")</f>
        <v/>
      </c>
      <c r="BL14" s="90" t="str">
        <f>IF('⚙ OFF Weekends'!$D$59="OFF","OFF","")</f>
        <v/>
      </c>
      <c r="BM14" s="90" t="str">
        <f>IF('⚙ OFF Weekends'!$D$60="OFF","OFF","")</f>
        <v/>
      </c>
      <c r="BN14" s="90" t="str">
        <f>IF('⚙ OFF Weekends'!$D$61="OFF","OFF","")</f>
        <v/>
      </c>
      <c r="BO14" s="90" t="str">
        <f>IF('⚙ OFF Weekends'!$D$62="OFF","OFF","")</f>
        <v/>
      </c>
      <c r="BP14" s="90" t="str">
        <f>IF('⚙ OFF Weekends'!$D$63="OFF","OFF","")</f>
        <v/>
      </c>
      <c r="BQ14" s="90" t="str">
        <f>IF('⚙ OFF Weekends'!$D$64="OFF","OFF","")</f>
        <v/>
      </c>
      <c r="BR14" s="90" t="str">
        <f>IF('⚙ OFF Weekends'!$D$65="OFF","OFF","")</f>
        <v/>
      </c>
      <c r="BS14" s="90" t="str">
        <f>IF('⚙ OFF Weekends'!$D$66="OFF","OFF","")</f>
        <v/>
      </c>
      <c r="BT14" s="90" t="str">
        <f>IF('⚙ OFF Weekends'!$D$67="OFF","OFF","")</f>
        <v/>
      </c>
      <c r="BU14" s="90" t="str">
        <f>IF('⚙ OFF Weekends'!$D$68="OFF","OFF","")</f>
        <v/>
      </c>
      <c r="BV14" s="90" t="str">
        <f>IF('⚙ OFF Weekends'!$D$69="OFF","OFF","")</f>
        <v/>
      </c>
      <c r="BW14" s="90" t="str">
        <f>IF('⚙ OFF Weekends'!$D$70="OFF","OFF","")</f>
        <v/>
      </c>
      <c r="BX14" s="90" t="str">
        <f>IF('⚙ OFF Weekends'!$D$71="OFF","OFF","")</f>
        <v/>
      </c>
      <c r="BY14" s="90" t="str">
        <f>IF('⚙ OFF Weekends'!$D$72="OFF","OFF","")</f>
        <v/>
      </c>
      <c r="BZ14" s="90" t="str">
        <f>IF('⚙ OFF Weekends'!$D$73="OFF","OFF","")</f>
        <v/>
      </c>
      <c r="CA14" s="90" t="str">
        <f>IF('⚙ OFF Weekends'!$D$74="OFF","OFF","")</f>
        <v/>
      </c>
      <c r="CB14" s="90" t="str">
        <f>IF('⚙ OFF Weekends'!$D$75="OFF","OFF","")</f>
        <v/>
      </c>
      <c r="CC14" s="90" t="str">
        <f>IF('⚙ OFF Weekends'!$D$76="OFF","OFF","")</f>
        <v/>
      </c>
      <c r="CD14" s="90" t="str">
        <f>IF('⚙ OFF Weekends'!$D$77="OFF","OFF","")</f>
        <v/>
      </c>
      <c r="CE14" s="92">
        <f t="shared" si="3"/>
        <v>0</v>
      </c>
      <c r="CF14" s="92">
        <f t="shared" si="4"/>
        <v>0</v>
      </c>
      <c r="CG14" s="92">
        <f t="shared" si="5"/>
        <v>0</v>
      </c>
      <c r="CH14" s="92" t="str">
        <f t="shared" si="6"/>
        <v>0%</v>
      </c>
    </row>
    <row r="15" ht="18.0" customHeight="1">
      <c r="A15" s="84">
        <v>7.0</v>
      </c>
      <c r="B15" s="89"/>
      <c r="C15" s="89"/>
      <c r="D15" s="87" t="str">
        <f t="shared" si="1"/>
        <v/>
      </c>
      <c r="E15" s="93" t="str">
        <f t="shared" si="2"/>
        <v/>
      </c>
      <c r="F15" s="89"/>
      <c r="G15" s="89"/>
      <c r="H15" s="89"/>
      <c r="I15" s="90" t="str">
        <f>IF('⚙ OFF Weekends'!$D$4="OFF","OFF","")</f>
        <v/>
      </c>
      <c r="J15" s="90" t="str">
        <f>IF('⚙ OFF Weekends'!$D$5="OFF","OFF","")</f>
        <v/>
      </c>
      <c r="K15" s="90" t="str">
        <f>IF('⚙ OFF Weekends'!$D$6="OFF","OFF","")</f>
        <v/>
      </c>
      <c r="L15" s="90" t="str">
        <f>IF('⚙ OFF Weekends'!$D$7="OFF","OFF","")</f>
        <v/>
      </c>
      <c r="M15" s="90" t="str">
        <f>IF('⚙ OFF Weekends'!$D$8="OFF","OFF","")</f>
        <v/>
      </c>
      <c r="N15" s="90" t="str">
        <f>IF('⚙ OFF Weekends'!$D$9="OFF","OFF","")</f>
        <v/>
      </c>
      <c r="O15" s="90" t="str">
        <f>IF('⚙ OFF Weekends'!$D$10="OFF","OFF","")</f>
        <v/>
      </c>
      <c r="P15" s="90" t="str">
        <f>IF('⚙ OFF Weekends'!$D$11="OFF","OFF","")</f>
        <v/>
      </c>
      <c r="Q15" s="90" t="str">
        <f>IF('⚙ OFF Weekends'!$D$12="OFF","OFF","")</f>
        <v/>
      </c>
      <c r="R15" s="90" t="str">
        <f>IF('⚙ OFF Weekends'!$D$13="OFF","OFF","")</f>
        <v/>
      </c>
      <c r="S15" s="90" t="str">
        <f>IF('⚙ OFF Weekends'!$D$14="OFF","OFF","")</f>
        <v/>
      </c>
      <c r="T15" s="90" t="str">
        <f>IF('⚙ OFF Weekends'!$D$15="OFF","OFF","")</f>
        <v/>
      </c>
      <c r="U15" s="90" t="str">
        <f>IF('⚙ OFF Weekends'!$D$16="OFF","OFF","")</f>
        <v/>
      </c>
      <c r="V15" s="90" t="str">
        <f>IF('⚙ OFF Weekends'!$D$17="OFF","OFF","")</f>
        <v/>
      </c>
      <c r="W15" s="90" t="str">
        <f>IF('⚙ OFF Weekends'!$D$18="OFF","OFF","")</f>
        <v>OFF</v>
      </c>
      <c r="X15" s="90" t="str">
        <f>IF('⚙ OFF Weekends'!$D$19="OFF","OFF","")</f>
        <v/>
      </c>
      <c r="Y15" s="90" t="str">
        <f>IF('⚙ OFF Weekends'!$D$20="OFF","OFF","")</f>
        <v/>
      </c>
      <c r="Z15" s="90" t="str">
        <f>IF('⚙ OFF Weekends'!$D$21="OFF","OFF","")</f>
        <v/>
      </c>
      <c r="AA15" s="90" t="str">
        <f>IF('⚙ OFF Weekends'!$D$22="OFF","OFF","")</f>
        <v/>
      </c>
      <c r="AB15" s="90" t="str">
        <f>IF('⚙ OFF Weekends'!$D$23="OFF","OFF","")</f>
        <v/>
      </c>
      <c r="AC15" s="90" t="str">
        <f>IF('⚙ OFF Weekends'!$D$24="OFF","OFF","")</f>
        <v/>
      </c>
      <c r="AD15" s="90" t="str">
        <f>IF('⚙ OFF Weekends'!$D$25="OFF","OFF","")</f>
        <v/>
      </c>
      <c r="AE15" s="90" t="str">
        <f>IF('⚙ OFF Weekends'!$D$26="OFF","OFF","")</f>
        <v/>
      </c>
      <c r="AF15" s="90" t="str">
        <f>IF('⚙ OFF Weekends'!$D$27="OFF","OFF","")</f>
        <v/>
      </c>
      <c r="AG15" s="90" t="str">
        <f>IF('⚙ OFF Weekends'!$D$28="OFF","OFF","")</f>
        <v/>
      </c>
      <c r="AH15" s="90" t="str">
        <f>IF('⚙ OFF Weekends'!$D$29="OFF","OFF","")</f>
        <v/>
      </c>
      <c r="AI15" s="90" t="str">
        <f>IF('⚙ OFF Weekends'!$D$30="OFF","OFF","")</f>
        <v/>
      </c>
      <c r="AJ15" s="90" t="str">
        <f>IF('⚙ OFF Weekends'!$D$31="OFF","OFF","")</f>
        <v/>
      </c>
      <c r="AK15" s="90" t="str">
        <f>IF('⚙ OFF Weekends'!$D$32="OFF","OFF","")</f>
        <v/>
      </c>
      <c r="AL15" s="90" t="str">
        <f>IF('⚙ OFF Weekends'!$D$33="OFF","OFF","")</f>
        <v/>
      </c>
      <c r="AM15" s="90" t="str">
        <f>IF('⚙ OFF Weekends'!$D$34="OFF","OFF","")</f>
        <v/>
      </c>
      <c r="AN15" s="90" t="str">
        <f>IF('⚙ OFF Weekends'!$D$35="OFF","OFF","")</f>
        <v/>
      </c>
      <c r="AO15" s="90" t="str">
        <f>IF('⚙ OFF Weekends'!$D$36="OFF","OFF","")</f>
        <v/>
      </c>
      <c r="AP15" s="90" t="str">
        <f>IF('⚙ OFF Weekends'!$D$37="OFF","OFF","")</f>
        <v/>
      </c>
      <c r="AQ15" s="90" t="str">
        <f>IF('⚙ OFF Weekends'!$D$38="OFF","OFF","")</f>
        <v/>
      </c>
      <c r="AR15" s="90" t="str">
        <f>IF('⚙ OFF Weekends'!$D$39="OFF","OFF","")</f>
        <v/>
      </c>
      <c r="AS15" s="90" t="str">
        <f>IF('⚙ OFF Weekends'!$D$40="OFF","OFF","")</f>
        <v/>
      </c>
      <c r="AT15" s="90" t="str">
        <f>IF('⚙ OFF Weekends'!$D$41="OFF","OFF","")</f>
        <v/>
      </c>
      <c r="AU15" s="90" t="str">
        <f>IF('⚙ OFF Weekends'!$D$42="OFF","OFF","")</f>
        <v/>
      </c>
      <c r="AV15" s="90" t="str">
        <f>IF('⚙ OFF Weekends'!$D$43="OFF","OFF","")</f>
        <v/>
      </c>
      <c r="AW15" s="90" t="str">
        <f>IF('⚙ OFF Weekends'!$D$44="OFF","OFF","")</f>
        <v/>
      </c>
      <c r="AX15" s="90" t="str">
        <f>IF('⚙ OFF Weekends'!$D$45="OFF","OFF","")</f>
        <v/>
      </c>
      <c r="AY15" s="90" t="str">
        <f>IF('⚙ OFF Weekends'!$D$46="OFF","OFF","")</f>
        <v/>
      </c>
      <c r="AZ15" s="90" t="str">
        <f>IF('⚙ OFF Weekends'!$D$47="OFF","OFF","")</f>
        <v/>
      </c>
      <c r="BA15" s="90" t="str">
        <f>IF('⚙ OFF Weekends'!$D$48="OFF","OFF","")</f>
        <v/>
      </c>
      <c r="BB15" s="90" t="str">
        <f>IF('⚙ OFF Weekends'!$D$49="OFF","OFF","")</f>
        <v/>
      </c>
      <c r="BC15" s="90" t="str">
        <f>IF('⚙ OFF Weekends'!$D$50="OFF","OFF","")</f>
        <v/>
      </c>
      <c r="BD15" s="90" t="str">
        <f>IF('⚙ OFF Weekends'!$D$51="OFF","OFF","")</f>
        <v/>
      </c>
      <c r="BE15" s="90" t="str">
        <f>IF('⚙ OFF Weekends'!$D$52="OFF","OFF","")</f>
        <v/>
      </c>
      <c r="BF15" s="90" t="str">
        <f>IF('⚙ OFF Weekends'!$D$53="OFF","OFF","")</f>
        <v/>
      </c>
      <c r="BG15" s="90" t="str">
        <f>IF('⚙ OFF Weekends'!$D$54="OFF","OFF","")</f>
        <v/>
      </c>
      <c r="BH15" s="90" t="str">
        <f>IF('⚙ OFF Weekends'!$D$55="OFF","OFF","")</f>
        <v/>
      </c>
      <c r="BI15" s="90" t="str">
        <f>IF('⚙ OFF Weekends'!$D$56="OFF","OFF","")</f>
        <v/>
      </c>
      <c r="BJ15" s="90" t="str">
        <f>IF('⚙ OFF Weekends'!$D$57="OFF","OFF","")</f>
        <v/>
      </c>
      <c r="BK15" s="90" t="str">
        <f>IF('⚙ OFF Weekends'!$D$58="OFF","OFF","")</f>
        <v/>
      </c>
      <c r="BL15" s="90" t="str">
        <f>IF('⚙ OFF Weekends'!$D$59="OFF","OFF","")</f>
        <v/>
      </c>
      <c r="BM15" s="90" t="str">
        <f>IF('⚙ OFF Weekends'!$D$60="OFF","OFF","")</f>
        <v/>
      </c>
      <c r="BN15" s="90" t="str">
        <f>IF('⚙ OFF Weekends'!$D$61="OFF","OFF","")</f>
        <v/>
      </c>
      <c r="BO15" s="90" t="str">
        <f>IF('⚙ OFF Weekends'!$D$62="OFF","OFF","")</f>
        <v/>
      </c>
      <c r="BP15" s="90" t="str">
        <f>IF('⚙ OFF Weekends'!$D$63="OFF","OFF","")</f>
        <v/>
      </c>
      <c r="BQ15" s="90" t="str">
        <f>IF('⚙ OFF Weekends'!$D$64="OFF","OFF","")</f>
        <v/>
      </c>
      <c r="BR15" s="90" t="str">
        <f>IF('⚙ OFF Weekends'!$D$65="OFF","OFF","")</f>
        <v/>
      </c>
      <c r="BS15" s="90" t="str">
        <f>IF('⚙ OFF Weekends'!$D$66="OFF","OFF","")</f>
        <v/>
      </c>
      <c r="BT15" s="90" t="str">
        <f>IF('⚙ OFF Weekends'!$D$67="OFF","OFF","")</f>
        <v/>
      </c>
      <c r="BU15" s="90" t="str">
        <f>IF('⚙ OFF Weekends'!$D$68="OFF","OFF","")</f>
        <v/>
      </c>
      <c r="BV15" s="90" t="str">
        <f>IF('⚙ OFF Weekends'!$D$69="OFF","OFF","")</f>
        <v/>
      </c>
      <c r="BW15" s="90" t="str">
        <f>IF('⚙ OFF Weekends'!$D$70="OFF","OFF","")</f>
        <v/>
      </c>
      <c r="BX15" s="90" t="str">
        <f>IF('⚙ OFF Weekends'!$D$71="OFF","OFF","")</f>
        <v/>
      </c>
      <c r="BY15" s="90" t="str">
        <f>IF('⚙ OFF Weekends'!$D$72="OFF","OFF","")</f>
        <v/>
      </c>
      <c r="BZ15" s="90" t="str">
        <f>IF('⚙ OFF Weekends'!$D$73="OFF","OFF","")</f>
        <v/>
      </c>
      <c r="CA15" s="90" t="str">
        <f>IF('⚙ OFF Weekends'!$D$74="OFF","OFF","")</f>
        <v/>
      </c>
      <c r="CB15" s="90" t="str">
        <f>IF('⚙ OFF Weekends'!$D$75="OFF","OFF","")</f>
        <v/>
      </c>
      <c r="CC15" s="90" t="str">
        <f>IF('⚙ OFF Weekends'!$D$76="OFF","OFF","")</f>
        <v/>
      </c>
      <c r="CD15" s="90" t="str">
        <f>IF('⚙ OFF Weekends'!$D$77="OFF","OFF","")</f>
        <v/>
      </c>
      <c r="CE15" s="92">
        <f t="shared" si="3"/>
        <v>0</v>
      </c>
      <c r="CF15" s="92">
        <f t="shared" si="4"/>
        <v>0</v>
      </c>
      <c r="CG15" s="92">
        <f t="shared" si="5"/>
        <v>0</v>
      </c>
      <c r="CH15" s="92" t="str">
        <f t="shared" si="6"/>
        <v>0%</v>
      </c>
    </row>
    <row r="16" ht="6.0" customHeight="1">
      <c r="A16" s="67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3"/>
    </row>
    <row r="17" ht="19.5" customHeight="1">
      <c r="A17" s="8" t="s">
        <v>790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3"/>
    </row>
    <row r="18" ht="18.0" customHeight="1">
      <c r="A18" s="95">
        <v>1.0</v>
      </c>
      <c r="B18" s="12" t="s">
        <v>791</v>
      </c>
      <c r="C18" s="14" t="s">
        <v>792</v>
      </c>
      <c r="D18" s="17" t="str">
        <f t="shared" ref="D18:D40" si="7">IF(C18&lt;&gt;"",HYPERLINK("tel:"&amp;SUBSTITUTE(SUBSTITUTE(C18," ",""),"+","+"),"📞 Call"),"")</f>
        <v>📞 Call</v>
      </c>
      <c r="E18" s="19" t="str">
        <f t="shared" ref="E18:E40" si="8">IF(C18&lt;&gt;"",HYPERLINK("https://wa.me/"&amp;SUBSTITUTE(SUBSTITUTE(C18,"+","")," ",""),"💬 WhatsApp"),"")</f>
        <v>💬 WhatsApp</v>
      </c>
      <c r="F18" s="10"/>
      <c r="G18" s="10" t="s">
        <v>294</v>
      </c>
      <c r="H18" s="10" t="s">
        <v>299</v>
      </c>
      <c r="I18" s="79" t="s">
        <v>223</v>
      </c>
      <c r="J18" s="79" t="s">
        <v>223</v>
      </c>
      <c r="K18" s="49" t="s">
        <v>197</v>
      </c>
      <c r="L18" s="79" t="s">
        <v>223</v>
      </c>
      <c r="M18" s="79" t="s">
        <v>223</v>
      </c>
      <c r="N18" s="79" t="s">
        <v>223</v>
      </c>
      <c r="O18" s="79" t="s">
        <v>223</v>
      </c>
      <c r="P18" s="79" t="s">
        <v>223</v>
      </c>
      <c r="Q18" s="79" t="s">
        <v>223</v>
      </c>
      <c r="R18" s="79" t="s">
        <v>223</v>
      </c>
      <c r="S18" s="52" t="s">
        <v>223</v>
      </c>
      <c r="T18" s="53" t="s">
        <v>223</v>
      </c>
      <c r="U18" s="52" t="s">
        <v>223</v>
      </c>
      <c r="V18" s="53" t="s">
        <v>223</v>
      </c>
      <c r="W18" s="54" t="str">
        <f>IF('⚙ OFF Weekends'!$D$18="OFF","OFF","")</f>
        <v>OFF</v>
      </c>
      <c r="X18" s="53" t="s">
        <v>223</v>
      </c>
      <c r="Y18" s="52" t="s">
        <v>223</v>
      </c>
      <c r="Z18" s="53" t="s">
        <v>223</v>
      </c>
      <c r="AA18" s="52" t="s">
        <v>223</v>
      </c>
      <c r="AB18" s="53" t="s">
        <v>296</v>
      </c>
      <c r="AC18" s="54" t="str">
        <f>IF('⚙ OFF Weekends'!$D$24="OFF","OFF","")</f>
        <v/>
      </c>
      <c r="AD18" s="56" t="str">
        <f>IF('⚙ OFF Weekends'!$D$25="OFF","OFF","")</f>
        <v/>
      </c>
      <c r="AE18" s="54" t="str">
        <f>IF('⚙ OFF Weekends'!$D$26="OFF","OFF","")</f>
        <v/>
      </c>
      <c r="AF18" s="56" t="str">
        <f>IF('⚙ OFF Weekends'!$D$27="OFF","OFF","")</f>
        <v/>
      </c>
      <c r="AG18" s="54" t="str">
        <f>IF('⚙ OFF Weekends'!$D$28="OFF","OFF","")</f>
        <v/>
      </c>
      <c r="AH18" s="56" t="str">
        <f>IF('⚙ OFF Weekends'!$D$29="OFF","OFF","")</f>
        <v/>
      </c>
      <c r="AI18" s="54" t="str">
        <f>IF('⚙ OFF Weekends'!$D$30="OFF","OFF","")</f>
        <v/>
      </c>
      <c r="AJ18" s="56" t="str">
        <f>IF('⚙ OFF Weekends'!$D$31="OFF","OFF","")</f>
        <v/>
      </c>
      <c r="AK18" s="54" t="str">
        <f>IF('⚙ OFF Weekends'!$D$32="OFF","OFF","")</f>
        <v/>
      </c>
      <c r="AL18" s="56" t="str">
        <f>IF('⚙ OFF Weekends'!$D$33="OFF","OFF","")</f>
        <v/>
      </c>
      <c r="AM18" s="54" t="str">
        <f>IF('⚙ OFF Weekends'!$D$34="OFF","OFF","")</f>
        <v/>
      </c>
      <c r="AN18" s="56" t="str">
        <f>IF('⚙ OFF Weekends'!$D$35="OFF","OFF","")</f>
        <v/>
      </c>
      <c r="AO18" s="54" t="str">
        <f>IF('⚙ OFF Weekends'!$D$36="OFF","OFF","")</f>
        <v/>
      </c>
      <c r="AP18" s="56" t="str">
        <f>IF('⚙ OFF Weekends'!$D$37="OFF","OFF","")</f>
        <v/>
      </c>
      <c r="AQ18" s="54" t="str">
        <f>IF('⚙ OFF Weekends'!$D$38="OFF","OFF","")</f>
        <v/>
      </c>
      <c r="AR18" s="56" t="str">
        <f>IF('⚙ OFF Weekends'!$D$39="OFF","OFF","")</f>
        <v/>
      </c>
      <c r="AS18" s="54" t="str">
        <f>IF('⚙ OFF Weekends'!$D$40="OFF","OFF","")</f>
        <v/>
      </c>
      <c r="AT18" s="56" t="str">
        <f>IF('⚙ OFF Weekends'!$D$41="OFF","OFF","")</f>
        <v/>
      </c>
      <c r="AU18" s="54" t="str">
        <f>IF('⚙ OFF Weekends'!$D$42="OFF","OFF","")</f>
        <v/>
      </c>
      <c r="AV18" s="56" t="str">
        <f>IF('⚙ OFF Weekends'!$D$43="OFF","OFF","")</f>
        <v/>
      </c>
      <c r="AW18" s="54" t="str">
        <f>IF('⚙ OFF Weekends'!$D$44="OFF","OFF","")</f>
        <v/>
      </c>
      <c r="AX18" s="56" t="str">
        <f>IF('⚙ OFF Weekends'!$D$45="OFF","OFF","")</f>
        <v/>
      </c>
      <c r="AY18" s="54" t="str">
        <f>IF('⚙ OFF Weekends'!$D$46="OFF","OFF","")</f>
        <v/>
      </c>
      <c r="AZ18" s="56" t="str">
        <f>IF('⚙ OFF Weekends'!$D$47="OFF","OFF","")</f>
        <v/>
      </c>
      <c r="BA18" s="54" t="str">
        <f>IF('⚙ OFF Weekends'!$D$48="OFF","OFF","")</f>
        <v/>
      </c>
      <c r="BB18" s="56" t="str">
        <f>IF('⚙ OFF Weekends'!$D$49="OFF","OFF","")</f>
        <v/>
      </c>
      <c r="BC18" s="54" t="str">
        <f>IF('⚙ OFF Weekends'!$D$50="OFF","OFF","")</f>
        <v/>
      </c>
      <c r="BD18" s="56" t="str">
        <f>IF('⚙ OFF Weekends'!$D$51="OFF","OFF","")</f>
        <v/>
      </c>
      <c r="BE18" s="54" t="str">
        <f>IF('⚙ OFF Weekends'!$D$52="OFF","OFF","")</f>
        <v/>
      </c>
      <c r="BF18" s="56" t="str">
        <f>IF('⚙ OFF Weekends'!$D$53="OFF","OFF","")</f>
        <v/>
      </c>
      <c r="BG18" s="54" t="str">
        <f>IF('⚙ OFF Weekends'!$D$54="OFF","OFF","")</f>
        <v/>
      </c>
      <c r="BH18" s="56" t="str">
        <f>IF('⚙ OFF Weekends'!$D$55="OFF","OFF","")</f>
        <v/>
      </c>
      <c r="BI18" s="54" t="str">
        <f>IF('⚙ OFF Weekends'!$D$56="OFF","OFF","")</f>
        <v/>
      </c>
      <c r="BJ18" s="56" t="str">
        <f>IF('⚙ OFF Weekends'!$D$57="OFF","OFF","")</f>
        <v/>
      </c>
      <c r="BK18" s="54" t="str">
        <f>IF('⚙ OFF Weekends'!$D$58="OFF","OFF","")</f>
        <v/>
      </c>
      <c r="BL18" s="56" t="str">
        <f>IF('⚙ OFF Weekends'!$D$59="OFF","OFF","")</f>
        <v/>
      </c>
      <c r="BM18" s="54" t="str">
        <f>IF('⚙ OFF Weekends'!$D$60="OFF","OFF","")</f>
        <v/>
      </c>
      <c r="BN18" s="56" t="str">
        <f>IF('⚙ OFF Weekends'!$D$61="OFF","OFF","")</f>
        <v/>
      </c>
      <c r="BO18" s="54" t="str">
        <f>IF('⚙ OFF Weekends'!$D$62="OFF","OFF","")</f>
        <v/>
      </c>
      <c r="BP18" s="56" t="str">
        <f>IF('⚙ OFF Weekends'!$D$63="OFF","OFF","")</f>
        <v/>
      </c>
      <c r="BQ18" s="54" t="str">
        <f>IF('⚙ OFF Weekends'!$D$64="OFF","OFF","")</f>
        <v/>
      </c>
      <c r="BR18" s="56" t="str">
        <f>IF('⚙ OFF Weekends'!$D$65="OFF","OFF","")</f>
        <v/>
      </c>
      <c r="BS18" s="54" t="str">
        <f>IF('⚙ OFF Weekends'!$D$66="OFF","OFF","")</f>
        <v/>
      </c>
      <c r="BT18" s="56" t="str">
        <f>IF('⚙ OFF Weekends'!$D$67="OFF","OFF","")</f>
        <v/>
      </c>
      <c r="BU18" s="54" t="str">
        <f>IF('⚙ OFF Weekends'!$D$68="OFF","OFF","")</f>
        <v/>
      </c>
      <c r="BV18" s="56" t="str">
        <f>IF('⚙ OFF Weekends'!$D$69="OFF","OFF","")</f>
        <v/>
      </c>
      <c r="BW18" s="54" t="str">
        <f>IF('⚙ OFF Weekends'!$D$70="OFF","OFF","")</f>
        <v/>
      </c>
      <c r="BX18" s="56" t="str">
        <f>IF('⚙ OFF Weekends'!$D$71="OFF","OFF","")</f>
        <v/>
      </c>
      <c r="BY18" s="54" t="str">
        <f>IF('⚙ OFF Weekends'!$D$72="OFF","OFF","")</f>
        <v/>
      </c>
      <c r="BZ18" s="56" t="str">
        <f>IF('⚙ OFF Weekends'!$D$73="OFF","OFF","")</f>
        <v/>
      </c>
      <c r="CA18" s="54" t="str">
        <f>IF('⚙ OFF Weekends'!$D$74="OFF","OFF","")</f>
        <v/>
      </c>
      <c r="CB18" s="56" t="str">
        <f>IF('⚙ OFF Weekends'!$D$75="OFF","OFF","")</f>
        <v/>
      </c>
      <c r="CC18" s="54" t="str">
        <f>IF('⚙ OFF Weekends'!$D$76="OFF","OFF","")</f>
        <v/>
      </c>
      <c r="CD18" s="56" t="str">
        <f>IF('⚙ OFF Weekends'!$D$77="OFF","OFF","")</f>
        <v/>
      </c>
      <c r="CE18" s="95">
        <f t="shared" ref="CE18:CE40" si="9">COUNTIF(I18:CD18,"Present")+COUNTIF(I18:CD18,"Late")</f>
        <v>0</v>
      </c>
      <c r="CF18" s="95">
        <f t="shared" ref="CF18:CF40" si="10">COUNTIF(I18:CD18,"Absent")</f>
        <v>17</v>
      </c>
      <c r="CG18" s="95">
        <f t="shared" ref="CG18:CG40" si="11">COUNTIF(I18:CD18,"Leave")</f>
        <v>0</v>
      </c>
      <c r="CH18" s="95" t="str">
        <f t="shared" ref="CH18:CH40" si="12">IF(CE18+CF18=0,"0%",TEXT(CE18/(CE18+CF18),"0%"))</f>
        <v>0%</v>
      </c>
    </row>
    <row r="19" ht="18.0" customHeight="1">
      <c r="A19" s="96">
        <v>2.0</v>
      </c>
      <c r="B19" s="22" t="s">
        <v>794</v>
      </c>
      <c r="C19" s="23" t="s">
        <v>795</v>
      </c>
      <c r="D19" s="24" t="str">
        <f t="shared" si="7"/>
        <v>📞 Call</v>
      </c>
      <c r="E19" s="41" t="str">
        <f t="shared" si="8"/>
        <v>💬 WhatsApp</v>
      </c>
      <c r="F19" s="20"/>
      <c r="G19" s="20" t="s">
        <v>294</v>
      </c>
      <c r="H19" s="20"/>
      <c r="I19" s="50" t="s">
        <v>37</v>
      </c>
      <c r="J19" s="50" t="s">
        <v>37</v>
      </c>
      <c r="K19" s="49" t="s">
        <v>197</v>
      </c>
      <c r="L19" s="50" t="s">
        <v>37</v>
      </c>
      <c r="M19" s="48" t="s">
        <v>196</v>
      </c>
      <c r="N19" s="50" t="s">
        <v>37</v>
      </c>
      <c r="O19" s="79" t="s">
        <v>223</v>
      </c>
      <c r="P19" s="79" t="s">
        <v>223</v>
      </c>
      <c r="Q19" s="79" t="s">
        <v>223</v>
      </c>
      <c r="R19" s="79" t="s">
        <v>223</v>
      </c>
      <c r="S19" s="52" t="s">
        <v>223</v>
      </c>
      <c r="T19" s="53" t="s">
        <v>37</v>
      </c>
      <c r="U19" s="52" t="s">
        <v>223</v>
      </c>
      <c r="V19" s="53" t="s">
        <v>223</v>
      </c>
      <c r="W19" s="54" t="str">
        <f>IF('⚙ OFF Weekends'!$D$18="OFF","OFF","")</f>
        <v>OFF</v>
      </c>
      <c r="X19" s="53" t="s">
        <v>223</v>
      </c>
      <c r="Y19" s="52" t="s">
        <v>223</v>
      </c>
      <c r="Z19" s="53" t="s">
        <v>223</v>
      </c>
      <c r="AA19" s="52" t="s">
        <v>223</v>
      </c>
      <c r="AB19" s="53" t="s">
        <v>296</v>
      </c>
      <c r="AC19" s="54" t="str">
        <f>IF('⚙ OFF Weekends'!$D$24="OFF","OFF","")</f>
        <v/>
      </c>
      <c r="AD19" s="56" t="str">
        <f>IF('⚙ OFF Weekends'!$D$25="OFF","OFF","")</f>
        <v/>
      </c>
      <c r="AE19" s="54" t="str">
        <f>IF('⚙ OFF Weekends'!$D$26="OFF","OFF","")</f>
        <v/>
      </c>
      <c r="AF19" s="56" t="str">
        <f>IF('⚙ OFF Weekends'!$D$27="OFF","OFF","")</f>
        <v/>
      </c>
      <c r="AG19" s="54" t="str">
        <f>IF('⚙ OFF Weekends'!$D$28="OFF","OFF","")</f>
        <v/>
      </c>
      <c r="AH19" s="56" t="str">
        <f>IF('⚙ OFF Weekends'!$D$29="OFF","OFF","")</f>
        <v/>
      </c>
      <c r="AI19" s="54" t="str">
        <f>IF('⚙ OFF Weekends'!$D$30="OFF","OFF","")</f>
        <v/>
      </c>
      <c r="AJ19" s="56" t="str">
        <f>IF('⚙ OFF Weekends'!$D$31="OFF","OFF","")</f>
        <v/>
      </c>
      <c r="AK19" s="54" t="str">
        <f>IF('⚙ OFF Weekends'!$D$32="OFF","OFF","")</f>
        <v/>
      </c>
      <c r="AL19" s="56" t="str">
        <f>IF('⚙ OFF Weekends'!$D$33="OFF","OFF","")</f>
        <v/>
      </c>
      <c r="AM19" s="54" t="str">
        <f>IF('⚙ OFF Weekends'!$D$34="OFF","OFF","")</f>
        <v/>
      </c>
      <c r="AN19" s="56" t="str">
        <f>IF('⚙ OFF Weekends'!$D$35="OFF","OFF","")</f>
        <v/>
      </c>
      <c r="AO19" s="54" t="str">
        <f>IF('⚙ OFF Weekends'!$D$36="OFF","OFF","")</f>
        <v/>
      </c>
      <c r="AP19" s="56" t="str">
        <f>IF('⚙ OFF Weekends'!$D$37="OFF","OFF","")</f>
        <v/>
      </c>
      <c r="AQ19" s="54" t="str">
        <f>IF('⚙ OFF Weekends'!$D$38="OFF","OFF","")</f>
        <v/>
      </c>
      <c r="AR19" s="56" t="str">
        <f>IF('⚙ OFF Weekends'!$D$39="OFF","OFF","")</f>
        <v/>
      </c>
      <c r="AS19" s="54" t="str">
        <f>IF('⚙ OFF Weekends'!$D$40="OFF","OFF","")</f>
        <v/>
      </c>
      <c r="AT19" s="56" t="str">
        <f>IF('⚙ OFF Weekends'!$D$41="OFF","OFF","")</f>
        <v/>
      </c>
      <c r="AU19" s="54" t="str">
        <f>IF('⚙ OFF Weekends'!$D$42="OFF","OFF","")</f>
        <v/>
      </c>
      <c r="AV19" s="56" t="str">
        <f>IF('⚙ OFF Weekends'!$D$43="OFF","OFF","")</f>
        <v/>
      </c>
      <c r="AW19" s="54" t="str">
        <f>IF('⚙ OFF Weekends'!$D$44="OFF","OFF","")</f>
        <v/>
      </c>
      <c r="AX19" s="56" t="str">
        <f>IF('⚙ OFF Weekends'!$D$45="OFF","OFF","")</f>
        <v/>
      </c>
      <c r="AY19" s="54" t="str">
        <f>IF('⚙ OFF Weekends'!$D$46="OFF","OFF","")</f>
        <v/>
      </c>
      <c r="AZ19" s="56" t="str">
        <f>IF('⚙ OFF Weekends'!$D$47="OFF","OFF","")</f>
        <v/>
      </c>
      <c r="BA19" s="54" t="str">
        <f>IF('⚙ OFF Weekends'!$D$48="OFF","OFF","")</f>
        <v/>
      </c>
      <c r="BB19" s="56" t="str">
        <f>IF('⚙ OFF Weekends'!$D$49="OFF","OFF","")</f>
        <v/>
      </c>
      <c r="BC19" s="54" t="str">
        <f>IF('⚙ OFF Weekends'!$D$50="OFF","OFF","")</f>
        <v/>
      </c>
      <c r="BD19" s="56" t="str">
        <f>IF('⚙ OFF Weekends'!$D$51="OFF","OFF","")</f>
        <v/>
      </c>
      <c r="BE19" s="54" t="str">
        <f>IF('⚙ OFF Weekends'!$D$52="OFF","OFF","")</f>
        <v/>
      </c>
      <c r="BF19" s="56" t="str">
        <f>IF('⚙ OFF Weekends'!$D$53="OFF","OFF","")</f>
        <v/>
      </c>
      <c r="BG19" s="54" t="str">
        <f>IF('⚙ OFF Weekends'!$D$54="OFF","OFF","")</f>
        <v/>
      </c>
      <c r="BH19" s="56" t="str">
        <f>IF('⚙ OFF Weekends'!$D$55="OFF","OFF","")</f>
        <v/>
      </c>
      <c r="BI19" s="54" t="str">
        <f>IF('⚙ OFF Weekends'!$D$56="OFF","OFF","")</f>
        <v/>
      </c>
      <c r="BJ19" s="56" t="str">
        <f>IF('⚙ OFF Weekends'!$D$57="OFF","OFF","")</f>
        <v/>
      </c>
      <c r="BK19" s="54" t="str">
        <f>IF('⚙ OFF Weekends'!$D$58="OFF","OFF","")</f>
        <v/>
      </c>
      <c r="BL19" s="56" t="str">
        <f>IF('⚙ OFF Weekends'!$D$59="OFF","OFF","")</f>
        <v/>
      </c>
      <c r="BM19" s="54" t="str">
        <f>IF('⚙ OFF Weekends'!$D$60="OFF","OFF","")</f>
        <v/>
      </c>
      <c r="BN19" s="56" t="str">
        <f>IF('⚙ OFF Weekends'!$D$61="OFF","OFF","")</f>
        <v/>
      </c>
      <c r="BO19" s="54" t="str">
        <f>IF('⚙ OFF Weekends'!$D$62="OFF","OFF","")</f>
        <v/>
      </c>
      <c r="BP19" s="56" t="str">
        <f>IF('⚙ OFF Weekends'!$D$63="OFF","OFF","")</f>
        <v/>
      </c>
      <c r="BQ19" s="54" t="str">
        <f>IF('⚙ OFF Weekends'!$D$64="OFF","OFF","")</f>
        <v/>
      </c>
      <c r="BR19" s="56" t="str">
        <f>IF('⚙ OFF Weekends'!$D$65="OFF","OFF","")</f>
        <v/>
      </c>
      <c r="BS19" s="54" t="str">
        <f>IF('⚙ OFF Weekends'!$D$66="OFF","OFF","")</f>
        <v/>
      </c>
      <c r="BT19" s="56" t="str">
        <f>IF('⚙ OFF Weekends'!$D$67="OFF","OFF","")</f>
        <v/>
      </c>
      <c r="BU19" s="54" t="str">
        <f>IF('⚙ OFF Weekends'!$D$68="OFF","OFF","")</f>
        <v/>
      </c>
      <c r="BV19" s="56" t="str">
        <f>IF('⚙ OFF Weekends'!$D$69="OFF","OFF","")</f>
        <v/>
      </c>
      <c r="BW19" s="54" t="str">
        <f>IF('⚙ OFF Weekends'!$D$70="OFF","OFF","")</f>
        <v/>
      </c>
      <c r="BX19" s="56" t="str">
        <f>IF('⚙ OFF Weekends'!$D$71="OFF","OFF","")</f>
        <v/>
      </c>
      <c r="BY19" s="54" t="str">
        <f>IF('⚙ OFF Weekends'!$D$72="OFF","OFF","")</f>
        <v/>
      </c>
      <c r="BZ19" s="56" t="str">
        <f>IF('⚙ OFF Weekends'!$D$73="OFF","OFF","")</f>
        <v/>
      </c>
      <c r="CA19" s="54" t="str">
        <f>IF('⚙ OFF Weekends'!$D$74="OFF","OFF","")</f>
        <v/>
      </c>
      <c r="CB19" s="56" t="str">
        <f>IF('⚙ OFF Weekends'!$D$75="OFF","OFF","")</f>
        <v/>
      </c>
      <c r="CC19" s="54" t="str">
        <f>IF('⚙ OFF Weekends'!$D$76="OFF","OFF","")</f>
        <v/>
      </c>
      <c r="CD19" s="56" t="str">
        <f>IF('⚙ OFF Weekends'!$D$77="OFF","OFF","")</f>
        <v/>
      </c>
      <c r="CE19" s="96">
        <f t="shared" si="9"/>
        <v>6</v>
      </c>
      <c r="CF19" s="96">
        <f t="shared" si="10"/>
        <v>11</v>
      </c>
      <c r="CG19" s="96">
        <f t="shared" si="11"/>
        <v>0</v>
      </c>
      <c r="CH19" s="96" t="str">
        <f t="shared" si="12"/>
        <v>35%</v>
      </c>
    </row>
    <row r="20" ht="18.0" customHeight="1">
      <c r="A20" s="95">
        <v>3.0</v>
      </c>
      <c r="B20" s="12" t="s">
        <v>798</v>
      </c>
      <c r="C20" s="14" t="s">
        <v>799</v>
      </c>
      <c r="D20" s="17" t="str">
        <f t="shared" si="7"/>
        <v>📞 Call</v>
      </c>
      <c r="E20" s="19" t="str">
        <f t="shared" si="8"/>
        <v>💬 WhatsApp</v>
      </c>
      <c r="F20" s="10"/>
      <c r="G20" s="10" t="s">
        <v>294</v>
      </c>
      <c r="H20" s="10" t="s">
        <v>295</v>
      </c>
      <c r="I20" s="48" t="s">
        <v>196</v>
      </c>
      <c r="J20" s="77" t="s">
        <v>198</v>
      </c>
      <c r="K20" s="49" t="s">
        <v>197</v>
      </c>
      <c r="L20" s="79" t="s">
        <v>223</v>
      </c>
      <c r="M20" s="48" t="s">
        <v>196</v>
      </c>
      <c r="N20" s="79" t="s">
        <v>223</v>
      </c>
      <c r="O20" s="77" t="s">
        <v>198</v>
      </c>
      <c r="P20" s="50" t="s">
        <v>37</v>
      </c>
      <c r="Q20" s="50" t="s">
        <v>37</v>
      </c>
      <c r="R20" s="50" t="s">
        <v>37</v>
      </c>
      <c r="S20" s="52" t="s">
        <v>198</v>
      </c>
      <c r="T20" s="53" t="s">
        <v>196</v>
      </c>
      <c r="U20" s="54" t="str">
        <f>IF('⚙ OFF Weekends'!$D$16="OFF","OFF","")</f>
        <v/>
      </c>
      <c r="V20" s="56" t="str">
        <f>IF('⚙ OFF Weekends'!$D$17="OFF","OFF","")</f>
        <v/>
      </c>
      <c r="W20" s="54" t="str">
        <f>IF('⚙ OFF Weekends'!$D$18="OFF","OFF","")</f>
        <v>OFF</v>
      </c>
      <c r="X20" s="56" t="str">
        <f>IF('⚙ OFF Weekends'!$D$19="OFF","OFF","")</f>
        <v/>
      </c>
      <c r="Y20" s="54" t="str">
        <f>IF('⚙ OFF Weekends'!$D$20="OFF","OFF","")</f>
        <v/>
      </c>
      <c r="Z20" s="56" t="str">
        <f>IF('⚙ OFF Weekends'!$D$21="OFF","OFF","")</f>
        <v/>
      </c>
      <c r="AA20" s="54" t="str">
        <f>IF('⚙ OFF Weekends'!$D$22="OFF","OFF","")</f>
        <v/>
      </c>
      <c r="AB20" s="53"/>
      <c r="AC20" s="54" t="str">
        <f>IF('⚙ OFF Weekends'!$D$24="OFF","OFF","")</f>
        <v/>
      </c>
      <c r="AD20" s="56" t="str">
        <f>IF('⚙ OFF Weekends'!$D$25="OFF","OFF","")</f>
        <v/>
      </c>
      <c r="AE20" s="54" t="str">
        <f>IF('⚙ OFF Weekends'!$D$26="OFF","OFF","")</f>
        <v/>
      </c>
      <c r="AF20" s="56" t="str">
        <f>IF('⚙ OFF Weekends'!$D$27="OFF","OFF","")</f>
        <v/>
      </c>
      <c r="AG20" s="54" t="str">
        <f>IF('⚙ OFF Weekends'!$D$28="OFF","OFF","")</f>
        <v/>
      </c>
      <c r="AH20" s="56" t="str">
        <f>IF('⚙ OFF Weekends'!$D$29="OFF","OFF","")</f>
        <v/>
      </c>
      <c r="AI20" s="54" t="str">
        <f>IF('⚙ OFF Weekends'!$D$30="OFF","OFF","")</f>
        <v/>
      </c>
      <c r="AJ20" s="56" t="str">
        <f>IF('⚙ OFF Weekends'!$D$31="OFF","OFF","")</f>
        <v/>
      </c>
      <c r="AK20" s="54" t="str">
        <f>IF('⚙ OFF Weekends'!$D$32="OFF","OFF","")</f>
        <v/>
      </c>
      <c r="AL20" s="56" t="str">
        <f>IF('⚙ OFF Weekends'!$D$33="OFF","OFF","")</f>
        <v/>
      </c>
      <c r="AM20" s="54" t="str">
        <f>IF('⚙ OFF Weekends'!$D$34="OFF","OFF","")</f>
        <v/>
      </c>
      <c r="AN20" s="56" t="str">
        <f>IF('⚙ OFF Weekends'!$D$35="OFF","OFF","")</f>
        <v/>
      </c>
      <c r="AO20" s="54" t="str">
        <f>IF('⚙ OFF Weekends'!$D$36="OFF","OFF","")</f>
        <v/>
      </c>
      <c r="AP20" s="56" t="str">
        <f>IF('⚙ OFF Weekends'!$D$37="OFF","OFF","")</f>
        <v/>
      </c>
      <c r="AQ20" s="54" t="str">
        <f>IF('⚙ OFF Weekends'!$D$38="OFF","OFF","")</f>
        <v/>
      </c>
      <c r="AR20" s="56" t="str">
        <f>IF('⚙ OFF Weekends'!$D$39="OFF","OFF","")</f>
        <v/>
      </c>
      <c r="AS20" s="54" t="str">
        <f>IF('⚙ OFF Weekends'!$D$40="OFF","OFF","")</f>
        <v/>
      </c>
      <c r="AT20" s="56" t="str">
        <f>IF('⚙ OFF Weekends'!$D$41="OFF","OFF","")</f>
        <v/>
      </c>
      <c r="AU20" s="54" t="str">
        <f>IF('⚙ OFF Weekends'!$D$42="OFF","OFF","")</f>
        <v/>
      </c>
      <c r="AV20" s="56" t="str">
        <f>IF('⚙ OFF Weekends'!$D$43="OFF","OFF","")</f>
        <v/>
      </c>
      <c r="AW20" s="54" t="str">
        <f>IF('⚙ OFF Weekends'!$D$44="OFF","OFF","")</f>
        <v/>
      </c>
      <c r="AX20" s="56" t="str">
        <f>IF('⚙ OFF Weekends'!$D$45="OFF","OFF","")</f>
        <v/>
      </c>
      <c r="AY20" s="54" t="str">
        <f>IF('⚙ OFF Weekends'!$D$46="OFF","OFF","")</f>
        <v/>
      </c>
      <c r="AZ20" s="56" t="str">
        <f>IF('⚙ OFF Weekends'!$D$47="OFF","OFF","")</f>
        <v/>
      </c>
      <c r="BA20" s="54" t="str">
        <f>IF('⚙ OFF Weekends'!$D$48="OFF","OFF","")</f>
        <v/>
      </c>
      <c r="BB20" s="56" t="str">
        <f>IF('⚙ OFF Weekends'!$D$49="OFF","OFF","")</f>
        <v/>
      </c>
      <c r="BC20" s="54" t="str">
        <f>IF('⚙ OFF Weekends'!$D$50="OFF","OFF","")</f>
        <v/>
      </c>
      <c r="BD20" s="56" t="str">
        <f>IF('⚙ OFF Weekends'!$D$51="OFF","OFF","")</f>
        <v/>
      </c>
      <c r="BE20" s="54" t="str">
        <f>IF('⚙ OFF Weekends'!$D$52="OFF","OFF","")</f>
        <v/>
      </c>
      <c r="BF20" s="56" t="str">
        <f>IF('⚙ OFF Weekends'!$D$53="OFF","OFF","")</f>
        <v/>
      </c>
      <c r="BG20" s="54" t="str">
        <f>IF('⚙ OFF Weekends'!$D$54="OFF","OFF","")</f>
        <v/>
      </c>
      <c r="BH20" s="56" t="str">
        <f>IF('⚙ OFF Weekends'!$D$55="OFF","OFF","")</f>
        <v/>
      </c>
      <c r="BI20" s="54" t="str">
        <f>IF('⚙ OFF Weekends'!$D$56="OFF","OFF","")</f>
        <v/>
      </c>
      <c r="BJ20" s="56" t="str">
        <f>IF('⚙ OFF Weekends'!$D$57="OFF","OFF","")</f>
        <v/>
      </c>
      <c r="BK20" s="54" t="str">
        <f>IF('⚙ OFF Weekends'!$D$58="OFF","OFF","")</f>
        <v/>
      </c>
      <c r="BL20" s="56" t="str">
        <f>IF('⚙ OFF Weekends'!$D$59="OFF","OFF","")</f>
        <v/>
      </c>
      <c r="BM20" s="54" t="str">
        <f>IF('⚙ OFF Weekends'!$D$60="OFF","OFF","")</f>
        <v/>
      </c>
      <c r="BN20" s="56" t="str">
        <f>IF('⚙ OFF Weekends'!$D$61="OFF","OFF","")</f>
        <v/>
      </c>
      <c r="BO20" s="54" t="str">
        <f>IF('⚙ OFF Weekends'!$D$62="OFF","OFF","")</f>
        <v/>
      </c>
      <c r="BP20" s="56" t="str">
        <f>IF('⚙ OFF Weekends'!$D$63="OFF","OFF","")</f>
        <v/>
      </c>
      <c r="BQ20" s="54" t="str">
        <f>IF('⚙ OFF Weekends'!$D$64="OFF","OFF","")</f>
        <v/>
      </c>
      <c r="BR20" s="56" t="str">
        <f>IF('⚙ OFF Weekends'!$D$65="OFF","OFF","")</f>
        <v/>
      </c>
      <c r="BS20" s="54" t="str">
        <f>IF('⚙ OFF Weekends'!$D$66="OFF","OFF","")</f>
        <v/>
      </c>
      <c r="BT20" s="56" t="str">
        <f>IF('⚙ OFF Weekends'!$D$67="OFF","OFF","")</f>
        <v/>
      </c>
      <c r="BU20" s="54" t="str">
        <f>IF('⚙ OFF Weekends'!$D$68="OFF","OFF","")</f>
        <v/>
      </c>
      <c r="BV20" s="56" t="str">
        <f>IF('⚙ OFF Weekends'!$D$69="OFF","OFF","")</f>
        <v/>
      </c>
      <c r="BW20" s="54" t="str">
        <f>IF('⚙ OFF Weekends'!$D$70="OFF","OFF","")</f>
        <v/>
      </c>
      <c r="BX20" s="56" t="str">
        <f>IF('⚙ OFF Weekends'!$D$71="OFF","OFF","")</f>
        <v/>
      </c>
      <c r="BY20" s="54" t="str">
        <f>IF('⚙ OFF Weekends'!$D$72="OFF","OFF","")</f>
        <v/>
      </c>
      <c r="BZ20" s="56" t="str">
        <f>IF('⚙ OFF Weekends'!$D$73="OFF","OFF","")</f>
        <v/>
      </c>
      <c r="CA20" s="54" t="str">
        <f>IF('⚙ OFF Weekends'!$D$74="OFF","OFF","")</f>
        <v/>
      </c>
      <c r="CB20" s="56" t="str">
        <f>IF('⚙ OFF Weekends'!$D$75="OFF","OFF","")</f>
        <v/>
      </c>
      <c r="CC20" s="54" t="str">
        <f>IF('⚙ OFF Weekends'!$D$76="OFF","OFF","")</f>
        <v/>
      </c>
      <c r="CD20" s="56" t="str">
        <f>IF('⚙ OFF Weekends'!$D$77="OFF","OFF","")</f>
        <v/>
      </c>
      <c r="CE20" s="95">
        <f t="shared" si="9"/>
        <v>6</v>
      </c>
      <c r="CF20" s="95">
        <f t="shared" si="10"/>
        <v>2</v>
      </c>
      <c r="CG20" s="95">
        <f t="shared" si="11"/>
        <v>3</v>
      </c>
      <c r="CH20" s="95" t="str">
        <f t="shared" si="12"/>
        <v>75%</v>
      </c>
    </row>
    <row r="21" ht="18.0" customHeight="1">
      <c r="A21" s="96">
        <v>4.0</v>
      </c>
      <c r="B21" s="22" t="s">
        <v>800</v>
      </c>
      <c r="C21" s="23" t="s">
        <v>801</v>
      </c>
      <c r="D21" s="24" t="str">
        <f t="shared" si="7"/>
        <v>📞 Call</v>
      </c>
      <c r="E21" s="41" t="str">
        <f t="shared" si="8"/>
        <v>💬 WhatsApp</v>
      </c>
      <c r="F21" s="20"/>
      <c r="G21" s="20" t="s">
        <v>381</v>
      </c>
      <c r="H21" s="20" t="s">
        <v>295</v>
      </c>
      <c r="I21" s="48" t="s">
        <v>196</v>
      </c>
      <c r="J21" s="48" t="s">
        <v>196</v>
      </c>
      <c r="K21" s="49" t="s">
        <v>197</v>
      </c>
      <c r="L21" s="48" t="s">
        <v>196</v>
      </c>
      <c r="M21" s="50" t="s">
        <v>37</v>
      </c>
      <c r="N21" s="50" t="s">
        <v>37</v>
      </c>
      <c r="O21" s="48" t="s">
        <v>196</v>
      </c>
      <c r="P21" s="50" t="s">
        <v>37</v>
      </c>
      <c r="Q21" s="79" t="s">
        <v>223</v>
      </c>
      <c r="R21" s="50" t="s">
        <v>37</v>
      </c>
      <c r="S21" s="52" t="s">
        <v>196</v>
      </c>
      <c r="T21" s="53" t="s">
        <v>196</v>
      </c>
      <c r="U21" s="52" t="s">
        <v>37</v>
      </c>
      <c r="V21" s="53" t="s">
        <v>37</v>
      </c>
      <c r="W21" s="54" t="str">
        <f>IF('⚙ OFF Weekends'!$D$18="OFF","OFF","")</f>
        <v>OFF</v>
      </c>
      <c r="X21" s="53" t="s">
        <v>223</v>
      </c>
      <c r="Y21" s="52" t="s">
        <v>223</v>
      </c>
      <c r="Z21" s="53" t="s">
        <v>223</v>
      </c>
      <c r="AA21" s="52" t="s">
        <v>223</v>
      </c>
      <c r="AB21" s="53" t="s">
        <v>223</v>
      </c>
      <c r="AC21" s="54" t="str">
        <f>IF('⚙ OFF Weekends'!$D$24="OFF","OFF","")</f>
        <v/>
      </c>
      <c r="AD21" s="56" t="str">
        <f>IF('⚙ OFF Weekends'!$D$25="OFF","OFF","")</f>
        <v/>
      </c>
      <c r="AE21" s="54" t="str">
        <f>IF('⚙ OFF Weekends'!$D$26="OFF","OFF","")</f>
        <v/>
      </c>
      <c r="AF21" s="56" t="str">
        <f>IF('⚙ OFF Weekends'!$D$27="OFF","OFF","")</f>
        <v/>
      </c>
      <c r="AG21" s="54" t="str">
        <f>IF('⚙ OFF Weekends'!$D$28="OFF","OFF","")</f>
        <v/>
      </c>
      <c r="AH21" s="56" t="str">
        <f>IF('⚙ OFF Weekends'!$D$29="OFF","OFF","")</f>
        <v/>
      </c>
      <c r="AI21" s="54" t="str">
        <f>IF('⚙ OFF Weekends'!$D$30="OFF","OFF","")</f>
        <v/>
      </c>
      <c r="AJ21" s="56" t="str">
        <f>IF('⚙ OFF Weekends'!$D$31="OFF","OFF","")</f>
        <v/>
      </c>
      <c r="AK21" s="54" t="str">
        <f>IF('⚙ OFF Weekends'!$D$32="OFF","OFF","")</f>
        <v/>
      </c>
      <c r="AL21" s="56" t="str">
        <f>IF('⚙ OFF Weekends'!$D$33="OFF","OFF","")</f>
        <v/>
      </c>
      <c r="AM21" s="54" t="str">
        <f>IF('⚙ OFF Weekends'!$D$34="OFF","OFF","")</f>
        <v/>
      </c>
      <c r="AN21" s="56" t="str">
        <f>IF('⚙ OFF Weekends'!$D$35="OFF","OFF","")</f>
        <v/>
      </c>
      <c r="AO21" s="54" t="str">
        <f>IF('⚙ OFF Weekends'!$D$36="OFF","OFF","")</f>
        <v/>
      </c>
      <c r="AP21" s="56" t="str">
        <f>IF('⚙ OFF Weekends'!$D$37="OFF","OFF","")</f>
        <v/>
      </c>
      <c r="AQ21" s="54" t="str">
        <f>IF('⚙ OFF Weekends'!$D$38="OFF","OFF","")</f>
        <v/>
      </c>
      <c r="AR21" s="56" t="str">
        <f>IF('⚙ OFF Weekends'!$D$39="OFF","OFF","")</f>
        <v/>
      </c>
      <c r="AS21" s="54" t="str">
        <f>IF('⚙ OFF Weekends'!$D$40="OFF","OFF","")</f>
        <v/>
      </c>
      <c r="AT21" s="56" t="str">
        <f>IF('⚙ OFF Weekends'!$D$41="OFF","OFF","")</f>
        <v/>
      </c>
      <c r="AU21" s="54" t="str">
        <f>IF('⚙ OFF Weekends'!$D$42="OFF","OFF","")</f>
        <v/>
      </c>
      <c r="AV21" s="56" t="str">
        <f>IF('⚙ OFF Weekends'!$D$43="OFF","OFF","")</f>
        <v/>
      </c>
      <c r="AW21" s="54" t="str">
        <f>IF('⚙ OFF Weekends'!$D$44="OFF","OFF","")</f>
        <v/>
      </c>
      <c r="AX21" s="56" t="str">
        <f>IF('⚙ OFF Weekends'!$D$45="OFF","OFF","")</f>
        <v/>
      </c>
      <c r="AY21" s="54" t="str">
        <f>IF('⚙ OFF Weekends'!$D$46="OFF","OFF","")</f>
        <v/>
      </c>
      <c r="AZ21" s="56" t="str">
        <f>IF('⚙ OFF Weekends'!$D$47="OFF","OFF","")</f>
        <v/>
      </c>
      <c r="BA21" s="54" t="str">
        <f>IF('⚙ OFF Weekends'!$D$48="OFF","OFF","")</f>
        <v/>
      </c>
      <c r="BB21" s="56" t="str">
        <f>IF('⚙ OFF Weekends'!$D$49="OFF","OFF","")</f>
        <v/>
      </c>
      <c r="BC21" s="54" t="str">
        <f>IF('⚙ OFF Weekends'!$D$50="OFF","OFF","")</f>
        <v/>
      </c>
      <c r="BD21" s="56" t="str">
        <f>IF('⚙ OFF Weekends'!$D$51="OFF","OFF","")</f>
        <v/>
      </c>
      <c r="BE21" s="54" t="str">
        <f>IF('⚙ OFF Weekends'!$D$52="OFF","OFF","")</f>
        <v/>
      </c>
      <c r="BF21" s="56" t="str">
        <f>IF('⚙ OFF Weekends'!$D$53="OFF","OFF","")</f>
        <v/>
      </c>
      <c r="BG21" s="54" t="str">
        <f>IF('⚙ OFF Weekends'!$D$54="OFF","OFF","")</f>
        <v/>
      </c>
      <c r="BH21" s="56" t="str">
        <f>IF('⚙ OFF Weekends'!$D$55="OFF","OFF","")</f>
        <v/>
      </c>
      <c r="BI21" s="54" t="str">
        <f>IF('⚙ OFF Weekends'!$D$56="OFF","OFF","")</f>
        <v/>
      </c>
      <c r="BJ21" s="56" t="str">
        <f>IF('⚙ OFF Weekends'!$D$57="OFF","OFF","")</f>
        <v/>
      </c>
      <c r="BK21" s="54" t="str">
        <f>IF('⚙ OFF Weekends'!$D$58="OFF","OFF","")</f>
        <v/>
      </c>
      <c r="BL21" s="56" t="str">
        <f>IF('⚙ OFF Weekends'!$D$59="OFF","OFF","")</f>
        <v/>
      </c>
      <c r="BM21" s="54" t="str">
        <f>IF('⚙ OFF Weekends'!$D$60="OFF","OFF","")</f>
        <v/>
      </c>
      <c r="BN21" s="56" t="str">
        <f>IF('⚙ OFF Weekends'!$D$61="OFF","OFF","")</f>
        <v/>
      </c>
      <c r="BO21" s="54" t="str">
        <f>IF('⚙ OFF Weekends'!$D$62="OFF","OFF","")</f>
        <v/>
      </c>
      <c r="BP21" s="56" t="str">
        <f>IF('⚙ OFF Weekends'!$D$63="OFF","OFF","")</f>
        <v/>
      </c>
      <c r="BQ21" s="54" t="str">
        <f>IF('⚙ OFF Weekends'!$D$64="OFF","OFF","")</f>
        <v/>
      </c>
      <c r="BR21" s="56" t="str">
        <f>IF('⚙ OFF Weekends'!$D$65="OFF","OFF","")</f>
        <v/>
      </c>
      <c r="BS21" s="54" t="str">
        <f>IF('⚙ OFF Weekends'!$D$66="OFF","OFF","")</f>
        <v/>
      </c>
      <c r="BT21" s="56" t="str">
        <f>IF('⚙ OFF Weekends'!$D$67="OFF","OFF","")</f>
        <v/>
      </c>
      <c r="BU21" s="54" t="str">
        <f>IF('⚙ OFF Weekends'!$D$68="OFF","OFF","")</f>
        <v/>
      </c>
      <c r="BV21" s="56" t="str">
        <f>IF('⚙ OFF Weekends'!$D$69="OFF","OFF","")</f>
        <v/>
      </c>
      <c r="BW21" s="54" t="str">
        <f>IF('⚙ OFF Weekends'!$D$70="OFF","OFF","")</f>
        <v/>
      </c>
      <c r="BX21" s="56" t="str">
        <f>IF('⚙ OFF Weekends'!$D$71="OFF","OFF","")</f>
        <v/>
      </c>
      <c r="BY21" s="54" t="str">
        <f>IF('⚙ OFF Weekends'!$D$72="OFF","OFF","")</f>
        <v/>
      </c>
      <c r="BZ21" s="56" t="str">
        <f>IF('⚙ OFF Weekends'!$D$73="OFF","OFF","")</f>
        <v/>
      </c>
      <c r="CA21" s="54" t="str">
        <f>IF('⚙ OFF Weekends'!$D$74="OFF","OFF","")</f>
        <v/>
      </c>
      <c r="CB21" s="56" t="str">
        <f>IF('⚙ OFF Weekends'!$D$75="OFF","OFF","")</f>
        <v/>
      </c>
      <c r="CC21" s="54" t="str">
        <f>IF('⚙ OFF Weekends'!$D$76="OFF","OFF","")</f>
        <v/>
      </c>
      <c r="CD21" s="56" t="str">
        <f>IF('⚙ OFF Weekends'!$D$77="OFF","OFF","")</f>
        <v/>
      </c>
      <c r="CE21" s="96">
        <f t="shared" si="9"/>
        <v>12</v>
      </c>
      <c r="CF21" s="96">
        <f t="shared" si="10"/>
        <v>6</v>
      </c>
      <c r="CG21" s="96">
        <f t="shared" si="11"/>
        <v>0</v>
      </c>
      <c r="CH21" s="96" t="str">
        <f t="shared" si="12"/>
        <v>67%</v>
      </c>
    </row>
    <row r="22" ht="18.0" customHeight="1">
      <c r="A22" s="95">
        <v>5.0</v>
      </c>
      <c r="B22" s="12" t="s">
        <v>803</v>
      </c>
      <c r="C22" s="14" t="s">
        <v>804</v>
      </c>
      <c r="D22" s="17" t="str">
        <f t="shared" si="7"/>
        <v>📞 Call</v>
      </c>
      <c r="E22" s="19" t="str">
        <f t="shared" si="8"/>
        <v>💬 WhatsApp</v>
      </c>
      <c r="F22" s="10"/>
      <c r="G22" s="10" t="s">
        <v>339</v>
      </c>
      <c r="H22" s="10"/>
      <c r="I22" s="50" t="s">
        <v>37</v>
      </c>
      <c r="J22" s="50" t="s">
        <v>37</v>
      </c>
      <c r="K22" s="49" t="s">
        <v>197</v>
      </c>
      <c r="L22" s="50" t="s">
        <v>37</v>
      </c>
      <c r="M22" s="48" t="s">
        <v>196</v>
      </c>
      <c r="N22" s="50" t="s">
        <v>37</v>
      </c>
      <c r="O22" s="79" t="s">
        <v>223</v>
      </c>
      <c r="P22" s="79" t="s">
        <v>223</v>
      </c>
      <c r="Q22" s="79" t="s">
        <v>223</v>
      </c>
      <c r="R22" s="79" t="s">
        <v>223</v>
      </c>
      <c r="S22" s="52" t="s">
        <v>223</v>
      </c>
      <c r="T22" s="53" t="s">
        <v>37</v>
      </c>
      <c r="U22" s="52" t="s">
        <v>223</v>
      </c>
      <c r="V22" s="53" t="s">
        <v>223</v>
      </c>
      <c r="W22" s="54" t="str">
        <f>IF('⚙ OFF Weekends'!$D$18="OFF","OFF","")</f>
        <v>OFF</v>
      </c>
      <c r="X22" s="53" t="s">
        <v>223</v>
      </c>
      <c r="Y22" s="52" t="s">
        <v>223</v>
      </c>
      <c r="Z22" s="53" t="s">
        <v>223</v>
      </c>
      <c r="AA22" s="52" t="s">
        <v>223</v>
      </c>
      <c r="AB22" s="53" t="s">
        <v>296</v>
      </c>
      <c r="AC22" s="54" t="str">
        <f>IF('⚙ OFF Weekends'!$D$24="OFF","OFF","")</f>
        <v/>
      </c>
      <c r="AD22" s="56" t="str">
        <f>IF('⚙ OFF Weekends'!$D$25="OFF","OFF","")</f>
        <v/>
      </c>
      <c r="AE22" s="54" t="str">
        <f>IF('⚙ OFF Weekends'!$D$26="OFF","OFF","")</f>
        <v/>
      </c>
      <c r="AF22" s="56" t="str">
        <f>IF('⚙ OFF Weekends'!$D$27="OFF","OFF","")</f>
        <v/>
      </c>
      <c r="AG22" s="54" t="str">
        <f>IF('⚙ OFF Weekends'!$D$28="OFF","OFF","")</f>
        <v/>
      </c>
      <c r="AH22" s="56" t="str">
        <f>IF('⚙ OFF Weekends'!$D$29="OFF","OFF","")</f>
        <v/>
      </c>
      <c r="AI22" s="54" t="str">
        <f>IF('⚙ OFF Weekends'!$D$30="OFF","OFF","")</f>
        <v/>
      </c>
      <c r="AJ22" s="56" t="str">
        <f>IF('⚙ OFF Weekends'!$D$31="OFF","OFF","")</f>
        <v/>
      </c>
      <c r="AK22" s="54" t="str">
        <f>IF('⚙ OFF Weekends'!$D$32="OFF","OFF","")</f>
        <v/>
      </c>
      <c r="AL22" s="56" t="str">
        <f>IF('⚙ OFF Weekends'!$D$33="OFF","OFF","")</f>
        <v/>
      </c>
      <c r="AM22" s="54" t="str">
        <f>IF('⚙ OFF Weekends'!$D$34="OFF","OFF","")</f>
        <v/>
      </c>
      <c r="AN22" s="56" t="str">
        <f>IF('⚙ OFF Weekends'!$D$35="OFF","OFF","")</f>
        <v/>
      </c>
      <c r="AO22" s="54" t="str">
        <f>IF('⚙ OFF Weekends'!$D$36="OFF","OFF","")</f>
        <v/>
      </c>
      <c r="AP22" s="56" t="str">
        <f>IF('⚙ OFF Weekends'!$D$37="OFF","OFF","")</f>
        <v/>
      </c>
      <c r="AQ22" s="54" t="str">
        <f>IF('⚙ OFF Weekends'!$D$38="OFF","OFF","")</f>
        <v/>
      </c>
      <c r="AR22" s="56" t="str">
        <f>IF('⚙ OFF Weekends'!$D$39="OFF","OFF","")</f>
        <v/>
      </c>
      <c r="AS22" s="54" t="str">
        <f>IF('⚙ OFF Weekends'!$D$40="OFF","OFF","")</f>
        <v/>
      </c>
      <c r="AT22" s="56" t="str">
        <f>IF('⚙ OFF Weekends'!$D$41="OFF","OFF","")</f>
        <v/>
      </c>
      <c r="AU22" s="54" t="str">
        <f>IF('⚙ OFF Weekends'!$D$42="OFF","OFF","")</f>
        <v/>
      </c>
      <c r="AV22" s="56" t="str">
        <f>IF('⚙ OFF Weekends'!$D$43="OFF","OFF","")</f>
        <v/>
      </c>
      <c r="AW22" s="54" t="str">
        <f>IF('⚙ OFF Weekends'!$D$44="OFF","OFF","")</f>
        <v/>
      </c>
      <c r="AX22" s="56" t="str">
        <f>IF('⚙ OFF Weekends'!$D$45="OFF","OFF","")</f>
        <v/>
      </c>
      <c r="AY22" s="54" t="str">
        <f>IF('⚙ OFF Weekends'!$D$46="OFF","OFF","")</f>
        <v/>
      </c>
      <c r="AZ22" s="56" t="str">
        <f>IF('⚙ OFF Weekends'!$D$47="OFF","OFF","")</f>
        <v/>
      </c>
      <c r="BA22" s="54" t="str">
        <f>IF('⚙ OFF Weekends'!$D$48="OFF","OFF","")</f>
        <v/>
      </c>
      <c r="BB22" s="56" t="str">
        <f>IF('⚙ OFF Weekends'!$D$49="OFF","OFF","")</f>
        <v/>
      </c>
      <c r="BC22" s="54" t="str">
        <f>IF('⚙ OFF Weekends'!$D$50="OFF","OFF","")</f>
        <v/>
      </c>
      <c r="BD22" s="56" t="str">
        <f>IF('⚙ OFF Weekends'!$D$51="OFF","OFF","")</f>
        <v/>
      </c>
      <c r="BE22" s="54" t="str">
        <f>IF('⚙ OFF Weekends'!$D$52="OFF","OFF","")</f>
        <v/>
      </c>
      <c r="BF22" s="56" t="str">
        <f>IF('⚙ OFF Weekends'!$D$53="OFF","OFF","")</f>
        <v/>
      </c>
      <c r="BG22" s="54" t="str">
        <f>IF('⚙ OFF Weekends'!$D$54="OFF","OFF","")</f>
        <v/>
      </c>
      <c r="BH22" s="56" t="str">
        <f>IF('⚙ OFF Weekends'!$D$55="OFF","OFF","")</f>
        <v/>
      </c>
      <c r="BI22" s="54" t="str">
        <f>IF('⚙ OFF Weekends'!$D$56="OFF","OFF","")</f>
        <v/>
      </c>
      <c r="BJ22" s="56" t="str">
        <f>IF('⚙ OFF Weekends'!$D$57="OFF","OFF","")</f>
        <v/>
      </c>
      <c r="BK22" s="54" t="str">
        <f>IF('⚙ OFF Weekends'!$D$58="OFF","OFF","")</f>
        <v/>
      </c>
      <c r="BL22" s="56" t="str">
        <f>IF('⚙ OFF Weekends'!$D$59="OFF","OFF","")</f>
        <v/>
      </c>
      <c r="BM22" s="54" t="str">
        <f>IF('⚙ OFF Weekends'!$D$60="OFF","OFF","")</f>
        <v/>
      </c>
      <c r="BN22" s="56" t="str">
        <f>IF('⚙ OFF Weekends'!$D$61="OFF","OFF","")</f>
        <v/>
      </c>
      <c r="BO22" s="54" t="str">
        <f>IF('⚙ OFF Weekends'!$D$62="OFF","OFF","")</f>
        <v/>
      </c>
      <c r="BP22" s="56" t="str">
        <f>IF('⚙ OFF Weekends'!$D$63="OFF","OFF","")</f>
        <v/>
      </c>
      <c r="BQ22" s="54" t="str">
        <f>IF('⚙ OFF Weekends'!$D$64="OFF","OFF","")</f>
        <v/>
      </c>
      <c r="BR22" s="56" t="str">
        <f>IF('⚙ OFF Weekends'!$D$65="OFF","OFF","")</f>
        <v/>
      </c>
      <c r="BS22" s="54" t="str">
        <f>IF('⚙ OFF Weekends'!$D$66="OFF","OFF","")</f>
        <v/>
      </c>
      <c r="BT22" s="56" t="str">
        <f>IF('⚙ OFF Weekends'!$D$67="OFF","OFF","")</f>
        <v/>
      </c>
      <c r="BU22" s="54" t="str">
        <f>IF('⚙ OFF Weekends'!$D$68="OFF","OFF","")</f>
        <v/>
      </c>
      <c r="BV22" s="56" t="str">
        <f>IF('⚙ OFF Weekends'!$D$69="OFF","OFF","")</f>
        <v/>
      </c>
      <c r="BW22" s="54" t="str">
        <f>IF('⚙ OFF Weekends'!$D$70="OFF","OFF","")</f>
        <v/>
      </c>
      <c r="BX22" s="56" t="str">
        <f>IF('⚙ OFF Weekends'!$D$71="OFF","OFF","")</f>
        <v/>
      </c>
      <c r="BY22" s="54" t="str">
        <f>IF('⚙ OFF Weekends'!$D$72="OFF","OFF","")</f>
        <v/>
      </c>
      <c r="BZ22" s="56" t="str">
        <f>IF('⚙ OFF Weekends'!$D$73="OFF","OFF","")</f>
        <v/>
      </c>
      <c r="CA22" s="54" t="str">
        <f>IF('⚙ OFF Weekends'!$D$74="OFF","OFF","")</f>
        <v/>
      </c>
      <c r="CB22" s="56" t="str">
        <f>IF('⚙ OFF Weekends'!$D$75="OFF","OFF","")</f>
        <v/>
      </c>
      <c r="CC22" s="54" t="str">
        <f>IF('⚙ OFF Weekends'!$D$76="OFF","OFF","")</f>
        <v/>
      </c>
      <c r="CD22" s="56" t="str">
        <f>IF('⚙ OFF Weekends'!$D$77="OFF","OFF","")</f>
        <v/>
      </c>
      <c r="CE22" s="95">
        <f t="shared" si="9"/>
        <v>6</v>
      </c>
      <c r="CF22" s="95">
        <f t="shared" si="10"/>
        <v>11</v>
      </c>
      <c r="CG22" s="95">
        <f t="shared" si="11"/>
        <v>0</v>
      </c>
      <c r="CH22" s="95" t="str">
        <f t="shared" si="12"/>
        <v>35%</v>
      </c>
    </row>
    <row r="23" ht="18.0" customHeight="1">
      <c r="A23" s="96">
        <v>6.0</v>
      </c>
      <c r="B23" s="22" t="s">
        <v>337</v>
      </c>
      <c r="C23" s="23" t="s">
        <v>338</v>
      </c>
      <c r="D23" s="24" t="str">
        <f t="shared" si="7"/>
        <v>📞 Call</v>
      </c>
      <c r="E23" s="41" t="str">
        <f t="shared" si="8"/>
        <v>💬 WhatsApp</v>
      </c>
      <c r="F23" s="20"/>
      <c r="G23" s="20" t="s">
        <v>339</v>
      </c>
      <c r="H23" s="20"/>
      <c r="I23" s="79" t="s">
        <v>223</v>
      </c>
      <c r="J23" s="79" t="s">
        <v>223</v>
      </c>
      <c r="K23" s="49" t="s">
        <v>197</v>
      </c>
      <c r="L23" s="79" t="s">
        <v>223</v>
      </c>
      <c r="M23" s="79" t="s">
        <v>223</v>
      </c>
      <c r="N23" s="79" t="s">
        <v>223</v>
      </c>
      <c r="O23" s="79" t="s">
        <v>223</v>
      </c>
      <c r="P23" s="79" t="s">
        <v>223</v>
      </c>
      <c r="Q23" s="79" t="s">
        <v>223</v>
      </c>
      <c r="R23" s="79" t="s">
        <v>223</v>
      </c>
      <c r="S23" s="52" t="s">
        <v>223</v>
      </c>
      <c r="T23" s="53" t="s">
        <v>223</v>
      </c>
      <c r="U23" s="52" t="s">
        <v>223</v>
      </c>
      <c r="V23" s="53" t="s">
        <v>223</v>
      </c>
      <c r="W23" s="54" t="str">
        <f>IF('⚙ OFF Weekends'!$D$18="OFF","OFF","")</f>
        <v>OFF</v>
      </c>
      <c r="X23" s="53" t="s">
        <v>223</v>
      </c>
      <c r="Y23" s="52" t="s">
        <v>223</v>
      </c>
      <c r="Z23" s="53" t="s">
        <v>223</v>
      </c>
      <c r="AA23" s="52" t="s">
        <v>223</v>
      </c>
      <c r="AB23" s="53" t="s">
        <v>296</v>
      </c>
      <c r="AC23" s="54" t="str">
        <f>IF('⚙ OFF Weekends'!$D$24="OFF","OFF","")</f>
        <v/>
      </c>
      <c r="AD23" s="56" t="str">
        <f>IF('⚙ OFF Weekends'!$D$25="OFF","OFF","")</f>
        <v/>
      </c>
      <c r="AE23" s="54" t="str">
        <f>IF('⚙ OFF Weekends'!$D$26="OFF","OFF","")</f>
        <v/>
      </c>
      <c r="AF23" s="56" t="str">
        <f>IF('⚙ OFF Weekends'!$D$27="OFF","OFF","")</f>
        <v/>
      </c>
      <c r="AG23" s="54" t="str">
        <f>IF('⚙ OFF Weekends'!$D$28="OFF","OFF","")</f>
        <v/>
      </c>
      <c r="AH23" s="56" t="str">
        <f>IF('⚙ OFF Weekends'!$D$29="OFF","OFF","")</f>
        <v/>
      </c>
      <c r="AI23" s="54" t="str">
        <f>IF('⚙ OFF Weekends'!$D$30="OFF","OFF","")</f>
        <v/>
      </c>
      <c r="AJ23" s="56" t="str">
        <f>IF('⚙ OFF Weekends'!$D$31="OFF","OFF","")</f>
        <v/>
      </c>
      <c r="AK23" s="54" t="str">
        <f>IF('⚙ OFF Weekends'!$D$32="OFF","OFF","")</f>
        <v/>
      </c>
      <c r="AL23" s="56" t="str">
        <f>IF('⚙ OFF Weekends'!$D$33="OFF","OFF","")</f>
        <v/>
      </c>
      <c r="AM23" s="54" t="str">
        <f>IF('⚙ OFF Weekends'!$D$34="OFF","OFF","")</f>
        <v/>
      </c>
      <c r="AN23" s="56" t="str">
        <f>IF('⚙ OFF Weekends'!$D$35="OFF","OFF","")</f>
        <v/>
      </c>
      <c r="AO23" s="54" t="str">
        <f>IF('⚙ OFF Weekends'!$D$36="OFF","OFF","")</f>
        <v/>
      </c>
      <c r="AP23" s="56" t="str">
        <f>IF('⚙ OFF Weekends'!$D$37="OFF","OFF","")</f>
        <v/>
      </c>
      <c r="AQ23" s="54" t="str">
        <f>IF('⚙ OFF Weekends'!$D$38="OFF","OFF","")</f>
        <v/>
      </c>
      <c r="AR23" s="56" t="str">
        <f>IF('⚙ OFF Weekends'!$D$39="OFF","OFF","")</f>
        <v/>
      </c>
      <c r="AS23" s="54" t="str">
        <f>IF('⚙ OFF Weekends'!$D$40="OFF","OFF","")</f>
        <v/>
      </c>
      <c r="AT23" s="56" t="str">
        <f>IF('⚙ OFF Weekends'!$D$41="OFF","OFF","")</f>
        <v/>
      </c>
      <c r="AU23" s="54" t="str">
        <f>IF('⚙ OFF Weekends'!$D$42="OFF","OFF","")</f>
        <v/>
      </c>
      <c r="AV23" s="56" t="str">
        <f>IF('⚙ OFF Weekends'!$D$43="OFF","OFF","")</f>
        <v/>
      </c>
      <c r="AW23" s="54" t="str">
        <f>IF('⚙ OFF Weekends'!$D$44="OFF","OFF","")</f>
        <v/>
      </c>
      <c r="AX23" s="56" t="str">
        <f>IF('⚙ OFF Weekends'!$D$45="OFF","OFF","")</f>
        <v/>
      </c>
      <c r="AY23" s="54" t="str">
        <f>IF('⚙ OFF Weekends'!$D$46="OFF","OFF","")</f>
        <v/>
      </c>
      <c r="AZ23" s="56" t="str">
        <f>IF('⚙ OFF Weekends'!$D$47="OFF","OFF","")</f>
        <v/>
      </c>
      <c r="BA23" s="54" t="str">
        <f>IF('⚙ OFF Weekends'!$D$48="OFF","OFF","")</f>
        <v/>
      </c>
      <c r="BB23" s="56" t="str">
        <f>IF('⚙ OFF Weekends'!$D$49="OFF","OFF","")</f>
        <v/>
      </c>
      <c r="BC23" s="54" t="str">
        <f>IF('⚙ OFF Weekends'!$D$50="OFF","OFF","")</f>
        <v/>
      </c>
      <c r="BD23" s="56" t="str">
        <f>IF('⚙ OFF Weekends'!$D$51="OFF","OFF","")</f>
        <v/>
      </c>
      <c r="BE23" s="54" t="str">
        <f>IF('⚙ OFF Weekends'!$D$52="OFF","OFF","")</f>
        <v/>
      </c>
      <c r="BF23" s="56" t="str">
        <f>IF('⚙ OFF Weekends'!$D$53="OFF","OFF","")</f>
        <v/>
      </c>
      <c r="BG23" s="54" t="str">
        <f>IF('⚙ OFF Weekends'!$D$54="OFF","OFF","")</f>
        <v/>
      </c>
      <c r="BH23" s="56" t="str">
        <f>IF('⚙ OFF Weekends'!$D$55="OFF","OFF","")</f>
        <v/>
      </c>
      <c r="BI23" s="54" t="str">
        <f>IF('⚙ OFF Weekends'!$D$56="OFF","OFF","")</f>
        <v/>
      </c>
      <c r="BJ23" s="56" t="str">
        <f>IF('⚙ OFF Weekends'!$D$57="OFF","OFF","")</f>
        <v/>
      </c>
      <c r="BK23" s="54" t="str">
        <f>IF('⚙ OFF Weekends'!$D$58="OFF","OFF","")</f>
        <v/>
      </c>
      <c r="BL23" s="56" t="str">
        <f>IF('⚙ OFF Weekends'!$D$59="OFF","OFF","")</f>
        <v/>
      </c>
      <c r="BM23" s="54" t="str">
        <f>IF('⚙ OFF Weekends'!$D$60="OFF","OFF","")</f>
        <v/>
      </c>
      <c r="BN23" s="56" t="str">
        <f>IF('⚙ OFF Weekends'!$D$61="OFF","OFF","")</f>
        <v/>
      </c>
      <c r="BO23" s="54" t="str">
        <f>IF('⚙ OFF Weekends'!$D$62="OFF","OFF","")</f>
        <v/>
      </c>
      <c r="BP23" s="56" t="str">
        <f>IF('⚙ OFF Weekends'!$D$63="OFF","OFF","")</f>
        <v/>
      </c>
      <c r="BQ23" s="54" t="str">
        <f>IF('⚙ OFF Weekends'!$D$64="OFF","OFF","")</f>
        <v/>
      </c>
      <c r="BR23" s="56" t="str">
        <f>IF('⚙ OFF Weekends'!$D$65="OFF","OFF","")</f>
        <v/>
      </c>
      <c r="BS23" s="54" t="str">
        <f>IF('⚙ OFF Weekends'!$D$66="OFF","OFF","")</f>
        <v/>
      </c>
      <c r="BT23" s="56" t="str">
        <f>IF('⚙ OFF Weekends'!$D$67="OFF","OFF","")</f>
        <v/>
      </c>
      <c r="BU23" s="54" t="str">
        <f>IF('⚙ OFF Weekends'!$D$68="OFF","OFF","")</f>
        <v/>
      </c>
      <c r="BV23" s="56" t="str">
        <f>IF('⚙ OFF Weekends'!$D$69="OFF","OFF","")</f>
        <v/>
      </c>
      <c r="BW23" s="54" t="str">
        <f>IF('⚙ OFF Weekends'!$D$70="OFF","OFF","")</f>
        <v/>
      </c>
      <c r="BX23" s="56" t="str">
        <f>IF('⚙ OFF Weekends'!$D$71="OFF","OFF","")</f>
        <v/>
      </c>
      <c r="BY23" s="54" t="str">
        <f>IF('⚙ OFF Weekends'!$D$72="OFF","OFF","")</f>
        <v/>
      </c>
      <c r="BZ23" s="56" t="str">
        <f>IF('⚙ OFF Weekends'!$D$73="OFF","OFF","")</f>
        <v/>
      </c>
      <c r="CA23" s="54" t="str">
        <f>IF('⚙ OFF Weekends'!$D$74="OFF","OFF","")</f>
        <v/>
      </c>
      <c r="CB23" s="56" t="str">
        <f>IF('⚙ OFF Weekends'!$D$75="OFF","OFF","")</f>
        <v/>
      </c>
      <c r="CC23" s="54" t="str">
        <f>IF('⚙ OFF Weekends'!$D$76="OFF","OFF","")</f>
        <v/>
      </c>
      <c r="CD23" s="56" t="str">
        <f>IF('⚙ OFF Weekends'!$D$77="OFF","OFF","")</f>
        <v/>
      </c>
      <c r="CE23" s="96">
        <f t="shared" si="9"/>
        <v>0</v>
      </c>
      <c r="CF23" s="96">
        <f t="shared" si="10"/>
        <v>17</v>
      </c>
      <c r="CG23" s="96">
        <f t="shared" si="11"/>
        <v>0</v>
      </c>
      <c r="CH23" s="96" t="str">
        <f t="shared" si="12"/>
        <v>0%</v>
      </c>
    </row>
    <row r="24" ht="18.0" customHeight="1">
      <c r="A24" s="95">
        <v>7.0</v>
      </c>
      <c r="B24" s="12" t="s">
        <v>807</v>
      </c>
      <c r="C24" s="14" t="s">
        <v>808</v>
      </c>
      <c r="D24" s="17" t="str">
        <f t="shared" si="7"/>
        <v>📞 Call</v>
      </c>
      <c r="E24" s="19" t="str">
        <f t="shared" si="8"/>
        <v>💬 WhatsApp</v>
      </c>
      <c r="F24" s="10"/>
      <c r="G24" s="10" t="s">
        <v>420</v>
      </c>
      <c r="H24" s="10" t="s">
        <v>299</v>
      </c>
      <c r="I24" s="48" t="s">
        <v>196</v>
      </c>
      <c r="J24" s="48" t="s">
        <v>196</v>
      </c>
      <c r="K24" s="49" t="s">
        <v>197</v>
      </c>
      <c r="L24" s="79" t="s">
        <v>223</v>
      </c>
      <c r="M24" s="48" t="s">
        <v>196</v>
      </c>
      <c r="N24" s="56" t="str">
        <f>IF('⚙ OFF Weekends'!$D$9="OFF","OFF","")</f>
        <v/>
      </c>
      <c r="O24" s="79" t="s">
        <v>223</v>
      </c>
      <c r="P24" s="50" t="s">
        <v>37</v>
      </c>
      <c r="Q24" s="50" t="s">
        <v>37</v>
      </c>
      <c r="R24" s="50" t="s">
        <v>37</v>
      </c>
      <c r="S24" s="52" t="s">
        <v>223</v>
      </c>
      <c r="T24" s="53" t="s">
        <v>196</v>
      </c>
      <c r="U24" s="54" t="str">
        <f>IF('⚙ OFF Weekends'!$D$16="OFF","OFF","")</f>
        <v/>
      </c>
      <c r="V24" s="56" t="str">
        <f>IF('⚙ OFF Weekends'!$D$17="OFF","OFF","")</f>
        <v/>
      </c>
      <c r="W24" s="54" t="str">
        <f>IF('⚙ OFF Weekends'!$D$18="OFF","OFF","")</f>
        <v>OFF</v>
      </c>
      <c r="X24" s="56" t="str">
        <f>IF('⚙ OFF Weekends'!$D$19="OFF","OFF","")</f>
        <v/>
      </c>
      <c r="Y24" s="54" t="str">
        <f>IF('⚙ OFF Weekends'!$D$20="OFF","OFF","")</f>
        <v/>
      </c>
      <c r="Z24" s="56" t="str">
        <f>IF('⚙ OFF Weekends'!$D$21="OFF","OFF","")</f>
        <v/>
      </c>
      <c r="AA24" s="54" t="str">
        <f>IF('⚙ OFF Weekends'!$D$22="OFF","OFF","")</f>
        <v/>
      </c>
      <c r="AB24" s="56" t="str">
        <f>IF('⚙ OFF Weekends'!$D$23="OFF","OFF","")</f>
        <v/>
      </c>
      <c r="AC24" s="54" t="str">
        <f>IF('⚙ OFF Weekends'!$D$24="OFF","OFF","")</f>
        <v/>
      </c>
      <c r="AD24" s="56" t="str">
        <f>IF('⚙ OFF Weekends'!$D$25="OFF","OFF","")</f>
        <v/>
      </c>
      <c r="AE24" s="54" t="str">
        <f>IF('⚙ OFF Weekends'!$D$26="OFF","OFF","")</f>
        <v/>
      </c>
      <c r="AF24" s="56" t="str">
        <f>IF('⚙ OFF Weekends'!$D$27="OFF","OFF","")</f>
        <v/>
      </c>
      <c r="AG24" s="54" t="str">
        <f>IF('⚙ OFF Weekends'!$D$28="OFF","OFF","")</f>
        <v/>
      </c>
      <c r="AH24" s="56" t="str">
        <f>IF('⚙ OFF Weekends'!$D$29="OFF","OFF","")</f>
        <v/>
      </c>
      <c r="AI24" s="54" t="str">
        <f>IF('⚙ OFF Weekends'!$D$30="OFF","OFF","")</f>
        <v/>
      </c>
      <c r="AJ24" s="56" t="str">
        <f>IF('⚙ OFF Weekends'!$D$31="OFF","OFF","")</f>
        <v/>
      </c>
      <c r="AK24" s="54" t="str">
        <f>IF('⚙ OFF Weekends'!$D$32="OFF","OFF","")</f>
        <v/>
      </c>
      <c r="AL24" s="56" t="str">
        <f>IF('⚙ OFF Weekends'!$D$33="OFF","OFF","")</f>
        <v/>
      </c>
      <c r="AM24" s="54" t="str">
        <f>IF('⚙ OFF Weekends'!$D$34="OFF","OFF","")</f>
        <v/>
      </c>
      <c r="AN24" s="56" t="str">
        <f>IF('⚙ OFF Weekends'!$D$35="OFF","OFF","")</f>
        <v/>
      </c>
      <c r="AO24" s="54" t="str">
        <f>IF('⚙ OFF Weekends'!$D$36="OFF","OFF","")</f>
        <v/>
      </c>
      <c r="AP24" s="56" t="str">
        <f>IF('⚙ OFF Weekends'!$D$37="OFF","OFF","")</f>
        <v/>
      </c>
      <c r="AQ24" s="54" t="str">
        <f>IF('⚙ OFF Weekends'!$D$38="OFF","OFF","")</f>
        <v/>
      </c>
      <c r="AR24" s="56" t="str">
        <f>IF('⚙ OFF Weekends'!$D$39="OFF","OFF","")</f>
        <v/>
      </c>
      <c r="AS24" s="54" t="str">
        <f>IF('⚙ OFF Weekends'!$D$40="OFF","OFF","")</f>
        <v/>
      </c>
      <c r="AT24" s="56" t="str">
        <f>IF('⚙ OFF Weekends'!$D$41="OFF","OFF","")</f>
        <v/>
      </c>
      <c r="AU24" s="54" t="str">
        <f>IF('⚙ OFF Weekends'!$D$42="OFF","OFF","")</f>
        <v/>
      </c>
      <c r="AV24" s="56" t="str">
        <f>IF('⚙ OFF Weekends'!$D$43="OFF","OFF","")</f>
        <v/>
      </c>
      <c r="AW24" s="54" t="str">
        <f>IF('⚙ OFF Weekends'!$D$44="OFF","OFF","")</f>
        <v/>
      </c>
      <c r="AX24" s="56" t="str">
        <f>IF('⚙ OFF Weekends'!$D$45="OFF","OFF","")</f>
        <v/>
      </c>
      <c r="AY24" s="54" t="str">
        <f>IF('⚙ OFF Weekends'!$D$46="OFF","OFF","")</f>
        <v/>
      </c>
      <c r="AZ24" s="56" t="str">
        <f>IF('⚙ OFF Weekends'!$D$47="OFF","OFF","")</f>
        <v/>
      </c>
      <c r="BA24" s="54" t="str">
        <f>IF('⚙ OFF Weekends'!$D$48="OFF","OFF","")</f>
        <v/>
      </c>
      <c r="BB24" s="56" t="str">
        <f>IF('⚙ OFF Weekends'!$D$49="OFF","OFF","")</f>
        <v/>
      </c>
      <c r="BC24" s="54" t="str">
        <f>IF('⚙ OFF Weekends'!$D$50="OFF","OFF","")</f>
        <v/>
      </c>
      <c r="BD24" s="56" t="str">
        <f>IF('⚙ OFF Weekends'!$D$51="OFF","OFF","")</f>
        <v/>
      </c>
      <c r="BE24" s="54" t="str">
        <f>IF('⚙ OFF Weekends'!$D$52="OFF","OFF","")</f>
        <v/>
      </c>
      <c r="BF24" s="56" t="str">
        <f>IF('⚙ OFF Weekends'!$D$53="OFF","OFF","")</f>
        <v/>
      </c>
      <c r="BG24" s="54" t="str">
        <f>IF('⚙ OFF Weekends'!$D$54="OFF","OFF","")</f>
        <v/>
      </c>
      <c r="BH24" s="56" t="str">
        <f>IF('⚙ OFF Weekends'!$D$55="OFF","OFF","")</f>
        <v/>
      </c>
      <c r="BI24" s="54" t="str">
        <f>IF('⚙ OFF Weekends'!$D$56="OFF","OFF","")</f>
        <v/>
      </c>
      <c r="BJ24" s="56" t="str">
        <f>IF('⚙ OFF Weekends'!$D$57="OFF","OFF","")</f>
        <v/>
      </c>
      <c r="BK24" s="54" t="str">
        <f>IF('⚙ OFF Weekends'!$D$58="OFF","OFF","")</f>
        <v/>
      </c>
      <c r="BL24" s="56" t="str">
        <f>IF('⚙ OFF Weekends'!$D$59="OFF","OFF","")</f>
        <v/>
      </c>
      <c r="BM24" s="54" t="str">
        <f>IF('⚙ OFF Weekends'!$D$60="OFF","OFF","")</f>
        <v/>
      </c>
      <c r="BN24" s="56" t="str">
        <f>IF('⚙ OFF Weekends'!$D$61="OFF","OFF","")</f>
        <v/>
      </c>
      <c r="BO24" s="54" t="str">
        <f>IF('⚙ OFF Weekends'!$D$62="OFF","OFF","")</f>
        <v/>
      </c>
      <c r="BP24" s="56" t="str">
        <f>IF('⚙ OFF Weekends'!$D$63="OFF","OFF","")</f>
        <v/>
      </c>
      <c r="BQ24" s="54" t="str">
        <f>IF('⚙ OFF Weekends'!$D$64="OFF","OFF","")</f>
        <v/>
      </c>
      <c r="BR24" s="56" t="str">
        <f>IF('⚙ OFF Weekends'!$D$65="OFF","OFF","")</f>
        <v/>
      </c>
      <c r="BS24" s="54" t="str">
        <f>IF('⚙ OFF Weekends'!$D$66="OFF","OFF","")</f>
        <v/>
      </c>
      <c r="BT24" s="56" t="str">
        <f>IF('⚙ OFF Weekends'!$D$67="OFF","OFF","")</f>
        <v/>
      </c>
      <c r="BU24" s="54" t="str">
        <f>IF('⚙ OFF Weekends'!$D$68="OFF","OFF","")</f>
        <v/>
      </c>
      <c r="BV24" s="56" t="str">
        <f>IF('⚙ OFF Weekends'!$D$69="OFF","OFF","")</f>
        <v/>
      </c>
      <c r="BW24" s="54" t="str">
        <f>IF('⚙ OFF Weekends'!$D$70="OFF","OFF","")</f>
        <v/>
      </c>
      <c r="BX24" s="56" t="str">
        <f>IF('⚙ OFF Weekends'!$D$71="OFF","OFF","")</f>
        <v/>
      </c>
      <c r="BY24" s="54" t="str">
        <f>IF('⚙ OFF Weekends'!$D$72="OFF","OFF","")</f>
        <v/>
      </c>
      <c r="BZ24" s="56" t="str">
        <f>IF('⚙ OFF Weekends'!$D$73="OFF","OFF","")</f>
        <v/>
      </c>
      <c r="CA24" s="54" t="str">
        <f>IF('⚙ OFF Weekends'!$D$74="OFF","OFF","")</f>
        <v/>
      </c>
      <c r="CB24" s="56" t="str">
        <f>IF('⚙ OFF Weekends'!$D$75="OFF","OFF","")</f>
        <v/>
      </c>
      <c r="CC24" s="54" t="str">
        <f>IF('⚙ OFF Weekends'!$D$76="OFF","OFF","")</f>
        <v/>
      </c>
      <c r="CD24" s="56" t="str">
        <f>IF('⚙ OFF Weekends'!$D$77="OFF","OFF","")</f>
        <v/>
      </c>
      <c r="CE24" s="95">
        <f t="shared" si="9"/>
        <v>7</v>
      </c>
      <c r="CF24" s="95">
        <f t="shared" si="10"/>
        <v>3</v>
      </c>
      <c r="CG24" s="95">
        <f t="shared" si="11"/>
        <v>0</v>
      </c>
      <c r="CH24" s="95" t="str">
        <f t="shared" si="12"/>
        <v>70%</v>
      </c>
    </row>
    <row r="25" ht="18.0" customHeight="1">
      <c r="A25" s="96">
        <v>8.0</v>
      </c>
      <c r="B25" s="22" t="s">
        <v>810</v>
      </c>
      <c r="C25" s="23" t="s">
        <v>811</v>
      </c>
      <c r="D25" s="24" t="str">
        <f t="shared" si="7"/>
        <v>📞 Call</v>
      </c>
      <c r="E25" s="41" t="str">
        <f t="shared" si="8"/>
        <v>💬 WhatsApp</v>
      </c>
      <c r="F25" s="20"/>
      <c r="G25" s="20" t="s">
        <v>624</v>
      </c>
      <c r="H25" s="20" t="s">
        <v>330</v>
      </c>
      <c r="I25" s="48" t="s">
        <v>196</v>
      </c>
      <c r="J25" s="48" t="s">
        <v>196</v>
      </c>
      <c r="K25" s="49" t="s">
        <v>197</v>
      </c>
      <c r="L25" s="48" t="s">
        <v>196</v>
      </c>
      <c r="M25" s="48" t="s">
        <v>196</v>
      </c>
      <c r="N25" s="50" t="s">
        <v>37</v>
      </c>
      <c r="O25" s="48" t="s">
        <v>196</v>
      </c>
      <c r="P25" s="50" t="s">
        <v>37</v>
      </c>
      <c r="Q25" s="77" t="s">
        <v>198</v>
      </c>
      <c r="R25" s="77" t="s">
        <v>198</v>
      </c>
      <c r="S25" s="52" t="s">
        <v>196</v>
      </c>
      <c r="T25" s="53" t="s">
        <v>223</v>
      </c>
      <c r="U25" s="52" t="s">
        <v>37</v>
      </c>
      <c r="V25" s="53" t="s">
        <v>223</v>
      </c>
      <c r="W25" s="54" t="str">
        <f>IF('⚙ OFF Weekends'!$D$18="OFF","OFF","")</f>
        <v>OFF</v>
      </c>
      <c r="X25" s="53" t="s">
        <v>223</v>
      </c>
      <c r="Y25" s="52" t="s">
        <v>223</v>
      </c>
      <c r="Z25" s="53" t="s">
        <v>196</v>
      </c>
      <c r="AA25" s="52" t="s">
        <v>196</v>
      </c>
      <c r="AB25" s="53" t="s">
        <v>37</v>
      </c>
      <c r="AC25" s="54" t="str">
        <f>IF('⚙ OFF Weekends'!$D$24="OFF","OFF","")</f>
        <v/>
      </c>
      <c r="AD25" s="56" t="str">
        <f>IF('⚙ OFF Weekends'!$D$25="OFF","OFF","")</f>
        <v/>
      </c>
      <c r="AE25" s="54" t="str">
        <f>IF('⚙ OFF Weekends'!$D$26="OFF","OFF","")</f>
        <v/>
      </c>
      <c r="AF25" s="56" t="str">
        <f>IF('⚙ OFF Weekends'!$D$27="OFF","OFF","")</f>
        <v/>
      </c>
      <c r="AG25" s="54" t="str">
        <f>IF('⚙ OFF Weekends'!$D$28="OFF","OFF","")</f>
        <v/>
      </c>
      <c r="AH25" s="56" t="str">
        <f>IF('⚙ OFF Weekends'!$D$29="OFF","OFF","")</f>
        <v/>
      </c>
      <c r="AI25" s="54" t="str">
        <f>IF('⚙ OFF Weekends'!$D$30="OFF","OFF","")</f>
        <v/>
      </c>
      <c r="AJ25" s="56" t="str">
        <f>IF('⚙ OFF Weekends'!$D$31="OFF","OFF","")</f>
        <v/>
      </c>
      <c r="AK25" s="54" t="str">
        <f>IF('⚙ OFF Weekends'!$D$32="OFF","OFF","")</f>
        <v/>
      </c>
      <c r="AL25" s="56" t="str">
        <f>IF('⚙ OFF Weekends'!$D$33="OFF","OFF","")</f>
        <v/>
      </c>
      <c r="AM25" s="54" t="str">
        <f>IF('⚙ OFF Weekends'!$D$34="OFF","OFF","")</f>
        <v/>
      </c>
      <c r="AN25" s="56" t="str">
        <f>IF('⚙ OFF Weekends'!$D$35="OFF","OFF","")</f>
        <v/>
      </c>
      <c r="AO25" s="54" t="str">
        <f>IF('⚙ OFF Weekends'!$D$36="OFF","OFF","")</f>
        <v/>
      </c>
      <c r="AP25" s="56" t="str">
        <f>IF('⚙ OFF Weekends'!$D$37="OFF","OFF","")</f>
        <v/>
      </c>
      <c r="AQ25" s="54" t="str">
        <f>IF('⚙ OFF Weekends'!$D$38="OFF","OFF","")</f>
        <v/>
      </c>
      <c r="AR25" s="56" t="str">
        <f>IF('⚙ OFF Weekends'!$D$39="OFF","OFF","")</f>
        <v/>
      </c>
      <c r="AS25" s="54" t="str">
        <f>IF('⚙ OFF Weekends'!$D$40="OFF","OFF","")</f>
        <v/>
      </c>
      <c r="AT25" s="56" t="str">
        <f>IF('⚙ OFF Weekends'!$D$41="OFF","OFF","")</f>
        <v/>
      </c>
      <c r="AU25" s="54" t="str">
        <f>IF('⚙ OFF Weekends'!$D$42="OFF","OFF","")</f>
        <v/>
      </c>
      <c r="AV25" s="56" t="str">
        <f>IF('⚙ OFF Weekends'!$D$43="OFF","OFF","")</f>
        <v/>
      </c>
      <c r="AW25" s="54" t="str">
        <f>IF('⚙ OFF Weekends'!$D$44="OFF","OFF","")</f>
        <v/>
      </c>
      <c r="AX25" s="56" t="str">
        <f>IF('⚙ OFF Weekends'!$D$45="OFF","OFF","")</f>
        <v/>
      </c>
      <c r="AY25" s="54" t="str">
        <f>IF('⚙ OFF Weekends'!$D$46="OFF","OFF","")</f>
        <v/>
      </c>
      <c r="AZ25" s="56" t="str">
        <f>IF('⚙ OFF Weekends'!$D$47="OFF","OFF","")</f>
        <v/>
      </c>
      <c r="BA25" s="54" t="str">
        <f>IF('⚙ OFF Weekends'!$D$48="OFF","OFF","")</f>
        <v/>
      </c>
      <c r="BB25" s="56" t="str">
        <f>IF('⚙ OFF Weekends'!$D$49="OFF","OFF","")</f>
        <v/>
      </c>
      <c r="BC25" s="54" t="str">
        <f>IF('⚙ OFF Weekends'!$D$50="OFF","OFF","")</f>
        <v/>
      </c>
      <c r="BD25" s="56" t="str">
        <f>IF('⚙ OFF Weekends'!$D$51="OFF","OFF","")</f>
        <v/>
      </c>
      <c r="BE25" s="54" t="str">
        <f>IF('⚙ OFF Weekends'!$D$52="OFF","OFF","")</f>
        <v/>
      </c>
      <c r="BF25" s="56" t="str">
        <f>IF('⚙ OFF Weekends'!$D$53="OFF","OFF","")</f>
        <v/>
      </c>
      <c r="BG25" s="54" t="str">
        <f>IF('⚙ OFF Weekends'!$D$54="OFF","OFF","")</f>
        <v/>
      </c>
      <c r="BH25" s="56" t="str">
        <f>IF('⚙ OFF Weekends'!$D$55="OFF","OFF","")</f>
        <v/>
      </c>
      <c r="BI25" s="54" t="str">
        <f>IF('⚙ OFF Weekends'!$D$56="OFF","OFF","")</f>
        <v/>
      </c>
      <c r="BJ25" s="56" t="str">
        <f>IF('⚙ OFF Weekends'!$D$57="OFF","OFF","")</f>
        <v/>
      </c>
      <c r="BK25" s="54" t="str">
        <f>IF('⚙ OFF Weekends'!$D$58="OFF","OFF","")</f>
        <v/>
      </c>
      <c r="BL25" s="56" t="str">
        <f>IF('⚙ OFF Weekends'!$D$59="OFF","OFF","")</f>
        <v/>
      </c>
      <c r="BM25" s="54" t="str">
        <f>IF('⚙ OFF Weekends'!$D$60="OFF","OFF","")</f>
        <v/>
      </c>
      <c r="BN25" s="56" t="str">
        <f>IF('⚙ OFF Weekends'!$D$61="OFF","OFF","")</f>
        <v/>
      </c>
      <c r="BO25" s="54" t="str">
        <f>IF('⚙ OFF Weekends'!$D$62="OFF","OFF","")</f>
        <v/>
      </c>
      <c r="BP25" s="56" t="str">
        <f>IF('⚙ OFF Weekends'!$D$63="OFF","OFF","")</f>
        <v/>
      </c>
      <c r="BQ25" s="54" t="str">
        <f>IF('⚙ OFF Weekends'!$D$64="OFF","OFF","")</f>
        <v/>
      </c>
      <c r="BR25" s="56" t="str">
        <f>IF('⚙ OFF Weekends'!$D$65="OFF","OFF","")</f>
        <v/>
      </c>
      <c r="BS25" s="54" t="str">
        <f>IF('⚙ OFF Weekends'!$D$66="OFF","OFF","")</f>
        <v/>
      </c>
      <c r="BT25" s="56" t="str">
        <f>IF('⚙ OFF Weekends'!$D$67="OFF","OFF","")</f>
        <v/>
      </c>
      <c r="BU25" s="54" t="str">
        <f>IF('⚙ OFF Weekends'!$D$68="OFF","OFF","")</f>
        <v/>
      </c>
      <c r="BV25" s="56" t="str">
        <f>IF('⚙ OFF Weekends'!$D$69="OFF","OFF","")</f>
        <v/>
      </c>
      <c r="BW25" s="54" t="str">
        <f>IF('⚙ OFF Weekends'!$D$70="OFF","OFF","")</f>
        <v/>
      </c>
      <c r="BX25" s="56" t="str">
        <f>IF('⚙ OFF Weekends'!$D$71="OFF","OFF","")</f>
        <v/>
      </c>
      <c r="BY25" s="54" t="str">
        <f>IF('⚙ OFF Weekends'!$D$72="OFF","OFF","")</f>
        <v/>
      </c>
      <c r="BZ25" s="56" t="str">
        <f>IF('⚙ OFF Weekends'!$D$73="OFF","OFF","")</f>
        <v/>
      </c>
      <c r="CA25" s="54" t="str">
        <f>IF('⚙ OFF Weekends'!$D$74="OFF","OFF","")</f>
        <v/>
      </c>
      <c r="CB25" s="56" t="str">
        <f>IF('⚙ OFF Weekends'!$D$75="OFF","OFF","")</f>
        <v/>
      </c>
      <c r="CC25" s="54" t="str">
        <f>IF('⚙ OFF Weekends'!$D$76="OFF","OFF","")</f>
        <v/>
      </c>
      <c r="CD25" s="56" t="str">
        <f>IF('⚙ OFF Weekends'!$D$77="OFF","OFF","")</f>
        <v/>
      </c>
      <c r="CE25" s="96">
        <f t="shared" si="9"/>
        <v>12</v>
      </c>
      <c r="CF25" s="96">
        <f t="shared" si="10"/>
        <v>4</v>
      </c>
      <c r="CG25" s="96">
        <f t="shared" si="11"/>
        <v>2</v>
      </c>
      <c r="CH25" s="96" t="str">
        <f t="shared" si="12"/>
        <v>75%</v>
      </c>
    </row>
    <row r="26" ht="18.0" customHeight="1">
      <c r="A26" s="95">
        <v>9.0</v>
      </c>
      <c r="B26" s="12" t="s">
        <v>812</v>
      </c>
      <c r="C26" s="14" t="s">
        <v>801</v>
      </c>
      <c r="D26" s="17" t="str">
        <f t="shared" si="7"/>
        <v>📞 Call</v>
      </c>
      <c r="E26" s="19" t="str">
        <f t="shared" si="8"/>
        <v>💬 WhatsApp</v>
      </c>
      <c r="F26" s="10"/>
      <c r="G26" s="10" t="s">
        <v>624</v>
      </c>
      <c r="H26" s="10" t="s">
        <v>518</v>
      </c>
      <c r="I26" s="48" t="s">
        <v>196</v>
      </c>
      <c r="J26" s="48" t="s">
        <v>196</v>
      </c>
      <c r="K26" s="49" t="s">
        <v>197</v>
      </c>
      <c r="L26" s="48" t="s">
        <v>196</v>
      </c>
      <c r="M26" s="50" t="s">
        <v>37</v>
      </c>
      <c r="N26" s="50" t="s">
        <v>37</v>
      </c>
      <c r="O26" s="48" t="s">
        <v>196</v>
      </c>
      <c r="P26" s="50" t="s">
        <v>37</v>
      </c>
      <c r="Q26" s="50" t="s">
        <v>37</v>
      </c>
      <c r="R26" s="50" t="s">
        <v>37</v>
      </c>
      <c r="S26" s="52" t="s">
        <v>196</v>
      </c>
      <c r="T26" s="53" t="s">
        <v>196</v>
      </c>
      <c r="U26" s="52" t="s">
        <v>37</v>
      </c>
      <c r="V26" s="53" t="s">
        <v>37</v>
      </c>
      <c r="W26" s="54" t="str">
        <f>IF('⚙ OFF Weekends'!$D$18="OFF","OFF","")</f>
        <v>OFF</v>
      </c>
      <c r="X26" s="53" t="s">
        <v>37</v>
      </c>
      <c r="Y26" s="52" t="s">
        <v>223</v>
      </c>
      <c r="Z26" s="53" t="s">
        <v>37</v>
      </c>
      <c r="AA26" s="52" t="s">
        <v>37</v>
      </c>
      <c r="AB26" s="53" t="s">
        <v>37</v>
      </c>
      <c r="AC26" s="54" t="str">
        <f>IF('⚙ OFF Weekends'!$D$24="OFF","OFF","")</f>
        <v/>
      </c>
      <c r="AD26" s="56" t="str">
        <f>IF('⚙ OFF Weekends'!$D$25="OFF","OFF","")</f>
        <v/>
      </c>
      <c r="AE26" s="54" t="str">
        <f>IF('⚙ OFF Weekends'!$D$26="OFF","OFF","")</f>
        <v/>
      </c>
      <c r="AF26" s="56" t="str">
        <f>IF('⚙ OFF Weekends'!$D$27="OFF","OFF","")</f>
        <v/>
      </c>
      <c r="AG26" s="54" t="str">
        <f>IF('⚙ OFF Weekends'!$D$28="OFF","OFF","")</f>
        <v/>
      </c>
      <c r="AH26" s="56" t="str">
        <f>IF('⚙ OFF Weekends'!$D$29="OFF","OFF","")</f>
        <v/>
      </c>
      <c r="AI26" s="54" t="str">
        <f>IF('⚙ OFF Weekends'!$D$30="OFF","OFF","")</f>
        <v/>
      </c>
      <c r="AJ26" s="56" t="str">
        <f>IF('⚙ OFF Weekends'!$D$31="OFF","OFF","")</f>
        <v/>
      </c>
      <c r="AK26" s="54" t="str">
        <f>IF('⚙ OFF Weekends'!$D$32="OFF","OFF","")</f>
        <v/>
      </c>
      <c r="AL26" s="56" t="str">
        <f>IF('⚙ OFF Weekends'!$D$33="OFF","OFF","")</f>
        <v/>
      </c>
      <c r="AM26" s="54" t="str">
        <f>IF('⚙ OFF Weekends'!$D$34="OFF","OFF","")</f>
        <v/>
      </c>
      <c r="AN26" s="56" t="str">
        <f>IF('⚙ OFF Weekends'!$D$35="OFF","OFF","")</f>
        <v/>
      </c>
      <c r="AO26" s="54" t="str">
        <f>IF('⚙ OFF Weekends'!$D$36="OFF","OFF","")</f>
        <v/>
      </c>
      <c r="AP26" s="56" t="str">
        <f>IF('⚙ OFF Weekends'!$D$37="OFF","OFF","")</f>
        <v/>
      </c>
      <c r="AQ26" s="54" t="str">
        <f>IF('⚙ OFF Weekends'!$D$38="OFF","OFF","")</f>
        <v/>
      </c>
      <c r="AR26" s="56" t="str">
        <f>IF('⚙ OFF Weekends'!$D$39="OFF","OFF","")</f>
        <v/>
      </c>
      <c r="AS26" s="54" t="str">
        <f>IF('⚙ OFF Weekends'!$D$40="OFF","OFF","")</f>
        <v/>
      </c>
      <c r="AT26" s="56" t="str">
        <f>IF('⚙ OFF Weekends'!$D$41="OFF","OFF","")</f>
        <v/>
      </c>
      <c r="AU26" s="54" t="str">
        <f>IF('⚙ OFF Weekends'!$D$42="OFF","OFF","")</f>
        <v/>
      </c>
      <c r="AV26" s="56" t="str">
        <f>IF('⚙ OFF Weekends'!$D$43="OFF","OFF","")</f>
        <v/>
      </c>
      <c r="AW26" s="54" t="str">
        <f>IF('⚙ OFF Weekends'!$D$44="OFF","OFF","")</f>
        <v/>
      </c>
      <c r="AX26" s="56" t="str">
        <f>IF('⚙ OFF Weekends'!$D$45="OFF","OFF","")</f>
        <v/>
      </c>
      <c r="AY26" s="54" t="str">
        <f>IF('⚙ OFF Weekends'!$D$46="OFF","OFF","")</f>
        <v/>
      </c>
      <c r="AZ26" s="56" t="str">
        <f>IF('⚙ OFF Weekends'!$D$47="OFF","OFF","")</f>
        <v/>
      </c>
      <c r="BA26" s="54" t="str">
        <f>IF('⚙ OFF Weekends'!$D$48="OFF","OFF","")</f>
        <v/>
      </c>
      <c r="BB26" s="56" t="str">
        <f>IF('⚙ OFF Weekends'!$D$49="OFF","OFF","")</f>
        <v/>
      </c>
      <c r="BC26" s="54" t="str">
        <f>IF('⚙ OFF Weekends'!$D$50="OFF","OFF","")</f>
        <v/>
      </c>
      <c r="BD26" s="56" t="str">
        <f>IF('⚙ OFF Weekends'!$D$51="OFF","OFF","")</f>
        <v/>
      </c>
      <c r="BE26" s="54" t="str">
        <f>IF('⚙ OFF Weekends'!$D$52="OFF","OFF","")</f>
        <v/>
      </c>
      <c r="BF26" s="56" t="str">
        <f>IF('⚙ OFF Weekends'!$D$53="OFF","OFF","")</f>
        <v/>
      </c>
      <c r="BG26" s="54" t="str">
        <f>IF('⚙ OFF Weekends'!$D$54="OFF","OFF","")</f>
        <v/>
      </c>
      <c r="BH26" s="56" t="str">
        <f>IF('⚙ OFF Weekends'!$D$55="OFF","OFF","")</f>
        <v/>
      </c>
      <c r="BI26" s="54" t="str">
        <f>IF('⚙ OFF Weekends'!$D$56="OFF","OFF","")</f>
        <v/>
      </c>
      <c r="BJ26" s="56" t="str">
        <f>IF('⚙ OFF Weekends'!$D$57="OFF","OFF","")</f>
        <v/>
      </c>
      <c r="BK26" s="54" t="str">
        <f>IF('⚙ OFF Weekends'!$D$58="OFF","OFF","")</f>
        <v/>
      </c>
      <c r="BL26" s="56" t="str">
        <f>IF('⚙ OFF Weekends'!$D$59="OFF","OFF","")</f>
        <v/>
      </c>
      <c r="BM26" s="54" t="str">
        <f>IF('⚙ OFF Weekends'!$D$60="OFF","OFF","")</f>
        <v/>
      </c>
      <c r="BN26" s="56" t="str">
        <f>IF('⚙ OFF Weekends'!$D$61="OFF","OFF","")</f>
        <v/>
      </c>
      <c r="BO26" s="54" t="str">
        <f>IF('⚙ OFF Weekends'!$D$62="OFF","OFF","")</f>
        <v/>
      </c>
      <c r="BP26" s="56" t="str">
        <f>IF('⚙ OFF Weekends'!$D$63="OFF","OFF","")</f>
        <v/>
      </c>
      <c r="BQ26" s="54" t="str">
        <f>IF('⚙ OFF Weekends'!$D$64="OFF","OFF","")</f>
        <v/>
      </c>
      <c r="BR26" s="56" t="str">
        <f>IF('⚙ OFF Weekends'!$D$65="OFF","OFF","")</f>
        <v/>
      </c>
      <c r="BS26" s="54" t="str">
        <f>IF('⚙ OFF Weekends'!$D$66="OFF","OFF","")</f>
        <v/>
      </c>
      <c r="BT26" s="56" t="str">
        <f>IF('⚙ OFF Weekends'!$D$67="OFF","OFF","")</f>
        <v/>
      </c>
      <c r="BU26" s="54" t="str">
        <f>IF('⚙ OFF Weekends'!$D$68="OFF","OFF","")</f>
        <v/>
      </c>
      <c r="BV26" s="56" t="str">
        <f>IF('⚙ OFF Weekends'!$D$69="OFF","OFF","")</f>
        <v/>
      </c>
      <c r="BW26" s="54" t="str">
        <f>IF('⚙ OFF Weekends'!$D$70="OFF","OFF","")</f>
        <v/>
      </c>
      <c r="BX26" s="56" t="str">
        <f>IF('⚙ OFF Weekends'!$D$71="OFF","OFF","")</f>
        <v/>
      </c>
      <c r="BY26" s="54" t="str">
        <f>IF('⚙ OFF Weekends'!$D$72="OFF","OFF","")</f>
        <v/>
      </c>
      <c r="BZ26" s="56" t="str">
        <f>IF('⚙ OFF Weekends'!$D$73="OFF","OFF","")</f>
        <v/>
      </c>
      <c r="CA26" s="54" t="str">
        <f>IF('⚙ OFF Weekends'!$D$74="OFF","OFF","")</f>
        <v/>
      </c>
      <c r="CB26" s="56" t="str">
        <f>IF('⚙ OFF Weekends'!$D$75="OFF","OFF","")</f>
        <v/>
      </c>
      <c r="CC26" s="54" t="str">
        <f>IF('⚙ OFF Weekends'!$D$76="OFF","OFF","")</f>
        <v/>
      </c>
      <c r="CD26" s="56" t="str">
        <f>IF('⚙ OFF Weekends'!$D$77="OFF","OFF","")</f>
        <v/>
      </c>
      <c r="CE26" s="95">
        <f t="shared" si="9"/>
        <v>17</v>
      </c>
      <c r="CF26" s="95">
        <f t="shared" si="10"/>
        <v>1</v>
      </c>
      <c r="CG26" s="95">
        <f t="shared" si="11"/>
        <v>0</v>
      </c>
      <c r="CH26" s="95" t="str">
        <f t="shared" si="12"/>
        <v>94%</v>
      </c>
    </row>
    <row r="27" ht="18.0" customHeight="1">
      <c r="A27" s="96">
        <v>10.0</v>
      </c>
      <c r="B27" s="22" t="s">
        <v>813</v>
      </c>
      <c r="C27" s="23" t="s">
        <v>795</v>
      </c>
      <c r="D27" s="24" t="str">
        <f t="shared" si="7"/>
        <v>📞 Call</v>
      </c>
      <c r="E27" s="41" t="str">
        <f t="shared" si="8"/>
        <v>💬 WhatsApp</v>
      </c>
      <c r="F27" s="20"/>
      <c r="G27" s="20" t="s">
        <v>624</v>
      </c>
      <c r="H27" s="20"/>
      <c r="I27" s="50" t="s">
        <v>37</v>
      </c>
      <c r="J27" s="50" t="s">
        <v>37</v>
      </c>
      <c r="K27" s="49" t="s">
        <v>197</v>
      </c>
      <c r="L27" s="50" t="s">
        <v>37</v>
      </c>
      <c r="M27" s="48" t="s">
        <v>196</v>
      </c>
      <c r="N27" s="50" t="s">
        <v>37</v>
      </c>
      <c r="O27" s="79" t="s">
        <v>223</v>
      </c>
      <c r="P27" s="79" t="s">
        <v>223</v>
      </c>
      <c r="Q27" s="79" t="s">
        <v>223</v>
      </c>
      <c r="R27" s="79" t="s">
        <v>223</v>
      </c>
      <c r="S27" s="52" t="s">
        <v>223</v>
      </c>
      <c r="T27" s="53" t="s">
        <v>37</v>
      </c>
      <c r="U27" s="52" t="s">
        <v>223</v>
      </c>
      <c r="V27" s="53" t="s">
        <v>223</v>
      </c>
      <c r="W27" s="54" t="str">
        <f>IF('⚙ OFF Weekends'!$D$18="OFF","OFF","")</f>
        <v>OFF</v>
      </c>
      <c r="X27" s="53" t="s">
        <v>223</v>
      </c>
      <c r="Y27" s="52" t="s">
        <v>223</v>
      </c>
      <c r="Z27" s="53" t="s">
        <v>223</v>
      </c>
      <c r="AA27" s="52" t="s">
        <v>223</v>
      </c>
      <c r="AB27" s="53" t="s">
        <v>296</v>
      </c>
      <c r="AC27" s="54" t="str">
        <f>IF('⚙ OFF Weekends'!$D$24="OFF","OFF","")</f>
        <v/>
      </c>
      <c r="AD27" s="56" t="str">
        <f>IF('⚙ OFF Weekends'!$D$25="OFF","OFF","")</f>
        <v/>
      </c>
      <c r="AE27" s="54" t="str">
        <f>IF('⚙ OFF Weekends'!$D$26="OFF","OFF","")</f>
        <v/>
      </c>
      <c r="AF27" s="56" t="str">
        <f>IF('⚙ OFF Weekends'!$D$27="OFF","OFF","")</f>
        <v/>
      </c>
      <c r="AG27" s="54" t="str">
        <f>IF('⚙ OFF Weekends'!$D$28="OFF","OFF","")</f>
        <v/>
      </c>
      <c r="AH27" s="56" t="str">
        <f>IF('⚙ OFF Weekends'!$D$29="OFF","OFF","")</f>
        <v/>
      </c>
      <c r="AI27" s="54" t="str">
        <f>IF('⚙ OFF Weekends'!$D$30="OFF","OFF","")</f>
        <v/>
      </c>
      <c r="AJ27" s="56" t="str">
        <f>IF('⚙ OFF Weekends'!$D$31="OFF","OFF","")</f>
        <v/>
      </c>
      <c r="AK27" s="54" t="str">
        <f>IF('⚙ OFF Weekends'!$D$32="OFF","OFF","")</f>
        <v/>
      </c>
      <c r="AL27" s="56" t="str">
        <f>IF('⚙ OFF Weekends'!$D$33="OFF","OFF","")</f>
        <v/>
      </c>
      <c r="AM27" s="54" t="str">
        <f>IF('⚙ OFF Weekends'!$D$34="OFF","OFF","")</f>
        <v/>
      </c>
      <c r="AN27" s="56" t="str">
        <f>IF('⚙ OFF Weekends'!$D$35="OFF","OFF","")</f>
        <v/>
      </c>
      <c r="AO27" s="54" t="str">
        <f>IF('⚙ OFF Weekends'!$D$36="OFF","OFF","")</f>
        <v/>
      </c>
      <c r="AP27" s="56" t="str">
        <f>IF('⚙ OFF Weekends'!$D$37="OFF","OFF","")</f>
        <v/>
      </c>
      <c r="AQ27" s="54" t="str">
        <f>IF('⚙ OFF Weekends'!$D$38="OFF","OFF","")</f>
        <v/>
      </c>
      <c r="AR27" s="56" t="str">
        <f>IF('⚙ OFF Weekends'!$D$39="OFF","OFF","")</f>
        <v/>
      </c>
      <c r="AS27" s="54" t="str">
        <f>IF('⚙ OFF Weekends'!$D$40="OFF","OFF","")</f>
        <v/>
      </c>
      <c r="AT27" s="56" t="str">
        <f>IF('⚙ OFF Weekends'!$D$41="OFF","OFF","")</f>
        <v/>
      </c>
      <c r="AU27" s="54" t="str">
        <f>IF('⚙ OFF Weekends'!$D$42="OFF","OFF","")</f>
        <v/>
      </c>
      <c r="AV27" s="56" t="str">
        <f>IF('⚙ OFF Weekends'!$D$43="OFF","OFF","")</f>
        <v/>
      </c>
      <c r="AW27" s="54" t="str">
        <f>IF('⚙ OFF Weekends'!$D$44="OFF","OFF","")</f>
        <v/>
      </c>
      <c r="AX27" s="56" t="str">
        <f>IF('⚙ OFF Weekends'!$D$45="OFF","OFF","")</f>
        <v/>
      </c>
      <c r="AY27" s="54" t="str">
        <f>IF('⚙ OFF Weekends'!$D$46="OFF","OFF","")</f>
        <v/>
      </c>
      <c r="AZ27" s="56" t="str">
        <f>IF('⚙ OFF Weekends'!$D$47="OFF","OFF","")</f>
        <v/>
      </c>
      <c r="BA27" s="54" t="str">
        <f>IF('⚙ OFF Weekends'!$D$48="OFF","OFF","")</f>
        <v/>
      </c>
      <c r="BB27" s="56" t="str">
        <f>IF('⚙ OFF Weekends'!$D$49="OFF","OFF","")</f>
        <v/>
      </c>
      <c r="BC27" s="54" t="str">
        <f>IF('⚙ OFF Weekends'!$D$50="OFF","OFF","")</f>
        <v/>
      </c>
      <c r="BD27" s="56" t="str">
        <f>IF('⚙ OFF Weekends'!$D$51="OFF","OFF","")</f>
        <v/>
      </c>
      <c r="BE27" s="54" t="str">
        <f>IF('⚙ OFF Weekends'!$D$52="OFF","OFF","")</f>
        <v/>
      </c>
      <c r="BF27" s="56" t="str">
        <f>IF('⚙ OFF Weekends'!$D$53="OFF","OFF","")</f>
        <v/>
      </c>
      <c r="BG27" s="54" t="str">
        <f>IF('⚙ OFF Weekends'!$D$54="OFF","OFF","")</f>
        <v/>
      </c>
      <c r="BH27" s="56" t="str">
        <f>IF('⚙ OFF Weekends'!$D$55="OFF","OFF","")</f>
        <v/>
      </c>
      <c r="BI27" s="54" t="str">
        <f>IF('⚙ OFF Weekends'!$D$56="OFF","OFF","")</f>
        <v/>
      </c>
      <c r="BJ27" s="56" t="str">
        <f>IF('⚙ OFF Weekends'!$D$57="OFF","OFF","")</f>
        <v/>
      </c>
      <c r="BK27" s="54" t="str">
        <f>IF('⚙ OFF Weekends'!$D$58="OFF","OFF","")</f>
        <v/>
      </c>
      <c r="BL27" s="56" t="str">
        <f>IF('⚙ OFF Weekends'!$D$59="OFF","OFF","")</f>
        <v/>
      </c>
      <c r="BM27" s="54" t="str">
        <f>IF('⚙ OFF Weekends'!$D$60="OFF","OFF","")</f>
        <v/>
      </c>
      <c r="BN27" s="56" t="str">
        <f>IF('⚙ OFF Weekends'!$D$61="OFF","OFF","")</f>
        <v/>
      </c>
      <c r="BO27" s="54" t="str">
        <f>IF('⚙ OFF Weekends'!$D$62="OFF","OFF","")</f>
        <v/>
      </c>
      <c r="BP27" s="56" t="str">
        <f>IF('⚙ OFF Weekends'!$D$63="OFF","OFF","")</f>
        <v/>
      </c>
      <c r="BQ27" s="54" t="str">
        <f>IF('⚙ OFF Weekends'!$D$64="OFF","OFF","")</f>
        <v/>
      </c>
      <c r="BR27" s="56" t="str">
        <f>IF('⚙ OFF Weekends'!$D$65="OFF","OFF","")</f>
        <v/>
      </c>
      <c r="BS27" s="54" t="str">
        <f>IF('⚙ OFF Weekends'!$D$66="OFF","OFF","")</f>
        <v/>
      </c>
      <c r="BT27" s="56" t="str">
        <f>IF('⚙ OFF Weekends'!$D$67="OFF","OFF","")</f>
        <v/>
      </c>
      <c r="BU27" s="54" t="str">
        <f>IF('⚙ OFF Weekends'!$D$68="OFF","OFF","")</f>
        <v/>
      </c>
      <c r="BV27" s="56" t="str">
        <f>IF('⚙ OFF Weekends'!$D$69="OFF","OFF","")</f>
        <v/>
      </c>
      <c r="BW27" s="54" t="str">
        <f>IF('⚙ OFF Weekends'!$D$70="OFF","OFF","")</f>
        <v/>
      </c>
      <c r="BX27" s="56" t="str">
        <f>IF('⚙ OFF Weekends'!$D$71="OFF","OFF","")</f>
        <v/>
      </c>
      <c r="BY27" s="54" t="str">
        <f>IF('⚙ OFF Weekends'!$D$72="OFF","OFF","")</f>
        <v/>
      </c>
      <c r="BZ27" s="56" t="str">
        <f>IF('⚙ OFF Weekends'!$D$73="OFF","OFF","")</f>
        <v/>
      </c>
      <c r="CA27" s="54" t="str">
        <f>IF('⚙ OFF Weekends'!$D$74="OFF","OFF","")</f>
        <v/>
      </c>
      <c r="CB27" s="56" t="str">
        <f>IF('⚙ OFF Weekends'!$D$75="OFF","OFF","")</f>
        <v/>
      </c>
      <c r="CC27" s="54" t="str">
        <f>IF('⚙ OFF Weekends'!$D$76="OFF","OFF","")</f>
        <v/>
      </c>
      <c r="CD27" s="56" t="str">
        <f>IF('⚙ OFF Weekends'!$D$77="OFF","OFF","")</f>
        <v/>
      </c>
      <c r="CE27" s="96">
        <f t="shared" si="9"/>
        <v>6</v>
      </c>
      <c r="CF27" s="96">
        <f t="shared" si="10"/>
        <v>11</v>
      </c>
      <c r="CG27" s="96">
        <f t="shared" si="11"/>
        <v>0</v>
      </c>
      <c r="CH27" s="96" t="str">
        <f t="shared" si="12"/>
        <v>35%</v>
      </c>
    </row>
    <row r="28" ht="18.0" customHeight="1">
      <c r="A28" s="95">
        <v>11.0</v>
      </c>
      <c r="B28" s="12" t="s">
        <v>818</v>
      </c>
      <c r="C28" s="14" t="s">
        <v>819</v>
      </c>
      <c r="D28" s="17" t="str">
        <f t="shared" si="7"/>
        <v>📞 Call</v>
      </c>
      <c r="E28" s="19" t="str">
        <f t="shared" si="8"/>
        <v>💬 WhatsApp</v>
      </c>
      <c r="F28" s="10"/>
      <c r="G28" s="10" t="s">
        <v>525</v>
      </c>
      <c r="H28" s="10"/>
      <c r="I28" s="79" t="s">
        <v>223</v>
      </c>
      <c r="J28" s="48" t="s">
        <v>196</v>
      </c>
      <c r="K28" s="49" t="s">
        <v>197</v>
      </c>
      <c r="L28" s="79" t="s">
        <v>223</v>
      </c>
      <c r="M28" s="77" t="s">
        <v>198</v>
      </c>
      <c r="N28" s="50" t="s">
        <v>37</v>
      </c>
      <c r="O28" s="79" t="s">
        <v>223</v>
      </c>
      <c r="P28" s="79" t="s">
        <v>223</v>
      </c>
      <c r="Q28" s="79" t="s">
        <v>223</v>
      </c>
      <c r="R28" s="50" t="s">
        <v>37</v>
      </c>
      <c r="S28" s="52" t="s">
        <v>198</v>
      </c>
      <c r="T28" s="53" t="s">
        <v>198</v>
      </c>
      <c r="U28" s="52" t="s">
        <v>223</v>
      </c>
      <c r="V28" s="53" t="s">
        <v>223</v>
      </c>
      <c r="W28" s="54" t="str">
        <f>IF('⚙ OFF Weekends'!$D$18="OFF","OFF","")</f>
        <v>OFF</v>
      </c>
      <c r="X28" s="53" t="s">
        <v>223</v>
      </c>
      <c r="Y28" s="52" t="s">
        <v>223</v>
      </c>
      <c r="Z28" s="53" t="s">
        <v>223</v>
      </c>
      <c r="AA28" s="52" t="s">
        <v>223</v>
      </c>
      <c r="AB28" s="53" t="s">
        <v>296</v>
      </c>
      <c r="AC28" s="54" t="str">
        <f>IF('⚙ OFF Weekends'!$D$24="OFF","OFF","")</f>
        <v/>
      </c>
      <c r="AD28" s="56" t="str">
        <f>IF('⚙ OFF Weekends'!$D$25="OFF","OFF","")</f>
        <v/>
      </c>
      <c r="AE28" s="54" t="str">
        <f>IF('⚙ OFF Weekends'!$D$26="OFF","OFF","")</f>
        <v/>
      </c>
      <c r="AF28" s="56" t="str">
        <f>IF('⚙ OFF Weekends'!$D$27="OFF","OFF","")</f>
        <v/>
      </c>
      <c r="AG28" s="54" t="str">
        <f>IF('⚙ OFF Weekends'!$D$28="OFF","OFF","")</f>
        <v/>
      </c>
      <c r="AH28" s="56" t="str">
        <f>IF('⚙ OFF Weekends'!$D$29="OFF","OFF","")</f>
        <v/>
      </c>
      <c r="AI28" s="54" t="str">
        <f>IF('⚙ OFF Weekends'!$D$30="OFF","OFF","")</f>
        <v/>
      </c>
      <c r="AJ28" s="56" t="str">
        <f>IF('⚙ OFF Weekends'!$D$31="OFF","OFF","")</f>
        <v/>
      </c>
      <c r="AK28" s="54" t="str">
        <f>IF('⚙ OFF Weekends'!$D$32="OFF","OFF","")</f>
        <v/>
      </c>
      <c r="AL28" s="56" t="str">
        <f>IF('⚙ OFF Weekends'!$D$33="OFF","OFF","")</f>
        <v/>
      </c>
      <c r="AM28" s="54" t="str">
        <f>IF('⚙ OFF Weekends'!$D$34="OFF","OFF","")</f>
        <v/>
      </c>
      <c r="AN28" s="56" t="str">
        <f>IF('⚙ OFF Weekends'!$D$35="OFF","OFF","")</f>
        <v/>
      </c>
      <c r="AO28" s="54" t="str">
        <f>IF('⚙ OFF Weekends'!$D$36="OFF","OFF","")</f>
        <v/>
      </c>
      <c r="AP28" s="56" t="str">
        <f>IF('⚙ OFF Weekends'!$D$37="OFF","OFF","")</f>
        <v/>
      </c>
      <c r="AQ28" s="54" t="str">
        <f>IF('⚙ OFF Weekends'!$D$38="OFF","OFF","")</f>
        <v/>
      </c>
      <c r="AR28" s="56" t="str">
        <f>IF('⚙ OFF Weekends'!$D$39="OFF","OFF","")</f>
        <v/>
      </c>
      <c r="AS28" s="54" t="str">
        <f>IF('⚙ OFF Weekends'!$D$40="OFF","OFF","")</f>
        <v/>
      </c>
      <c r="AT28" s="56" t="str">
        <f>IF('⚙ OFF Weekends'!$D$41="OFF","OFF","")</f>
        <v/>
      </c>
      <c r="AU28" s="54" t="str">
        <f>IF('⚙ OFF Weekends'!$D$42="OFF","OFF","")</f>
        <v/>
      </c>
      <c r="AV28" s="56" t="str">
        <f>IF('⚙ OFF Weekends'!$D$43="OFF","OFF","")</f>
        <v/>
      </c>
      <c r="AW28" s="54" t="str">
        <f>IF('⚙ OFF Weekends'!$D$44="OFF","OFF","")</f>
        <v/>
      </c>
      <c r="AX28" s="56" t="str">
        <f>IF('⚙ OFF Weekends'!$D$45="OFF","OFF","")</f>
        <v/>
      </c>
      <c r="AY28" s="54" t="str">
        <f>IF('⚙ OFF Weekends'!$D$46="OFF","OFF","")</f>
        <v/>
      </c>
      <c r="AZ28" s="56" t="str">
        <f>IF('⚙ OFF Weekends'!$D$47="OFF","OFF","")</f>
        <v/>
      </c>
      <c r="BA28" s="54" t="str">
        <f>IF('⚙ OFF Weekends'!$D$48="OFF","OFF","")</f>
        <v/>
      </c>
      <c r="BB28" s="56" t="str">
        <f>IF('⚙ OFF Weekends'!$D$49="OFF","OFF","")</f>
        <v/>
      </c>
      <c r="BC28" s="54" t="str">
        <f>IF('⚙ OFF Weekends'!$D$50="OFF","OFF","")</f>
        <v/>
      </c>
      <c r="BD28" s="56" t="str">
        <f>IF('⚙ OFF Weekends'!$D$51="OFF","OFF","")</f>
        <v/>
      </c>
      <c r="BE28" s="54" t="str">
        <f>IF('⚙ OFF Weekends'!$D$52="OFF","OFF","")</f>
        <v/>
      </c>
      <c r="BF28" s="56" t="str">
        <f>IF('⚙ OFF Weekends'!$D$53="OFF","OFF","")</f>
        <v/>
      </c>
      <c r="BG28" s="54" t="str">
        <f>IF('⚙ OFF Weekends'!$D$54="OFF","OFF","")</f>
        <v/>
      </c>
      <c r="BH28" s="56" t="str">
        <f>IF('⚙ OFF Weekends'!$D$55="OFF","OFF","")</f>
        <v/>
      </c>
      <c r="BI28" s="54" t="str">
        <f>IF('⚙ OFF Weekends'!$D$56="OFF","OFF","")</f>
        <v/>
      </c>
      <c r="BJ28" s="56" t="str">
        <f>IF('⚙ OFF Weekends'!$D$57="OFF","OFF","")</f>
        <v/>
      </c>
      <c r="BK28" s="54" t="str">
        <f>IF('⚙ OFF Weekends'!$D$58="OFF","OFF","")</f>
        <v/>
      </c>
      <c r="BL28" s="56" t="str">
        <f>IF('⚙ OFF Weekends'!$D$59="OFF","OFF","")</f>
        <v/>
      </c>
      <c r="BM28" s="54" t="str">
        <f>IF('⚙ OFF Weekends'!$D$60="OFF","OFF","")</f>
        <v/>
      </c>
      <c r="BN28" s="56" t="str">
        <f>IF('⚙ OFF Weekends'!$D$61="OFF","OFF","")</f>
        <v/>
      </c>
      <c r="BO28" s="54" t="str">
        <f>IF('⚙ OFF Weekends'!$D$62="OFF","OFF","")</f>
        <v/>
      </c>
      <c r="BP28" s="56" t="str">
        <f>IF('⚙ OFF Weekends'!$D$63="OFF","OFF","")</f>
        <v/>
      </c>
      <c r="BQ28" s="54" t="str">
        <f>IF('⚙ OFF Weekends'!$D$64="OFF","OFF","")</f>
        <v/>
      </c>
      <c r="BR28" s="56" t="str">
        <f>IF('⚙ OFF Weekends'!$D$65="OFF","OFF","")</f>
        <v/>
      </c>
      <c r="BS28" s="54" t="str">
        <f>IF('⚙ OFF Weekends'!$D$66="OFF","OFF","")</f>
        <v/>
      </c>
      <c r="BT28" s="56" t="str">
        <f>IF('⚙ OFF Weekends'!$D$67="OFF","OFF","")</f>
        <v/>
      </c>
      <c r="BU28" s="54" t="str">
        <f>IF('⚙ OFF Weekends'!$D$68="OFF","OFF","")</f>
        <v/>
      </c>
      <c r="BV28" s="56" t="str">
        <f>IF('⚙ OFF Weekends'!$D$69="OFF","OFF","")</f>
        <v/>
      </c>
      <c r="BW28" s="54" t="str">
        <f>IF('⚙ OFF Weekends'!$D$70="OFF","OFF","")</f>
        <v/>
      </c>
      <c r="BX28" s="56" t="str">
        <f>IF('⚙ OFF Weekends'!$D$71="OFF","OFF","")</f>
        <v/>
      </c>
      <c r="BY28" s="54" t="str">
        <f>IF('⚙ OFF Weekends'!$D$72="OFF","OFF","")</f>
        <v/>
      </c>
      <c r="BZ28" s="56" t="str">
        <f>IF('⚙ OFF Weekends'!$D$73="OFF","OFF","")</f>
        <v/>
      </c>
      <c r="CA28" s="54" t="str">
        <f>IF('⚙ OFF Weekends'!$D$74="OFF","OFF","")</f>
        <v/>
      </c>
      <c r="CB28" s="56" t="str">
        <f>IF('⚙ OFF Weekends'!$D$75="OFF","OFF","")</f>
        <v/>
      </c>
      <c r="CC28" s="54" t="str">
        <f>IF('⚙ OFF Weekends'!$D$76="OFF","OFF","")</f>
        <v/>
      </c>
      <c r="CD28" s="56" t="str">
        <f>IF('⚙ OFF Weekends'!$D$77="OFF","OFF","")</f>
        <v/>
      </c>
      <c r="CE28" s="95">
        <f t="shared" si="9"/>
        <v>3</v>
      </c>
      <c r="CF28" s="95">
        <f t="shared" si="10"/>
        <v>11</v>
      </c>
      <c r="CG28" s="95">
        <f t="shared" si="11"/>
        <v>3</v>
      </c>
      <c r="CH28" s="95" t="str">
        <f t="shared" si="12"/>
        <v>21%</v>
      </c>
    </row>
    <row r="29" ht="18.0" customHeight="1">
      <c r="A29" s="96">
        <v>12.0</v>
      </c>
      <c r="B29" s="22" t="s">
        <v>822</v>
      </c>
      <c r="C29" s="23" t="s">
        <v>823</v>
      </c>
      <c r="D29" s="24" t="str">
        <f t="shared" si="7"/>
        <v>📞 Call</v>
      </c>
      <c r="E29" s="41" t="str">
        <f t="shared" si="8"/>
        <v>💬 WhatsApp</v>
      </c>
      <c r="F29" s="20"/>
      <c r="G29" s="20" t="s">
        <v>634</v>
      </c>
      <c r="H29" s="20" t="s">
        <v>518</v>
      </c>
      <c r="I29" s="79" t="s">
        <v>223</v>
      </c>
      <c r="J29" s="79" t="s">
        <v>223</v>
      </c>
      <c r="K29" s="49" t="s">
        <v>197</v>
      </c>
      <c r="L29" s="79" t="s">
        <v>223</v>
      </c>
      <c r="M29" s="79" t="s">
        <v>223</v>
      </c>
      <c r="N29" s="79" t="s">
        <v>223</v>
      </c>
      <c r="O29" s="79" t="s">
        <v>223</v>
      </c>
      <c r="P29" s="79" t="s">
        <v>223</v>
      </c>
      <c r="Q29" s="79" t="s">
        <v>223</v>
      </c>
      <c r="R29" s="79" t="s">
        <v>223</v>
      </c>
      <c r="S29" s="52" t="s">
        <v>223</v>
      </c>
      <c r="T29" s="53" t="s">
        <v>196</v>
      </c>
      <c r="U29" s="52" t="s">
        <v>223</v>
      </c>
      <c r="V29" s="53" t="s">
        <v>223</v>
      </c>
      <c r="W29" s="54" t="str">
        <f>IF('⚙ OFF Weekends'!$D$18="OFF","OFF","")</f>
        <v>OFF</v>
      </c>
      <c r="X29" s="53" t="s">
        <v>223</v>
      </c>
      <c r="Y29" s="52" t="s">
        <v>223</v>
      </c>
      <c r="Z29" s="53" t="s">
        <v>296</v>
      </c>
      <c r="AA29" s="52" t="s">
        <v>296</v>
      </c>
      <c r="AB29" s="53" t="s">
        <v>296</v>
      </c>
      <c r="AC29" s="54" t="str">
        <f>IF('⚙ OFF Weekends'!$D$24="OFF","OFF","")</f>
        <v/>
      </c>
      <c r="AD29" s="56" t="str">
        <f>IF('⚙ OFF Weekends'!$D$25="OFF","OFF","")</f>
        <v/>
      </c>
      <c r="AE29" s="54" t="str">
        <f>IF('⚙ OFF Weekends'!$D$26="OFF","OFF","")</f>
        <v/>
      </c>
      <c r="AF29" s="56" t="str">
        <f>IF('⚙ OFF Weekends'!$D$27="OFF","OFF","")</f>
        <v/>
      </c>
      <c r="AG29" s="54" t="str">
        <f>IF('⚙ OFF Weekends'!$D$28="OFF","OFF","")</f>
        <v/>
      </c>
      <c r="AH29" s="56" t="str">
        <f>IF('⚙ OFF Weekends'!$D$29="OFF","OFF","")</f>
        <v/>
      </c>
      <c r="AI29" s="54" t="str">
        <f>IF('⚙ OFF Weekends'!$D$30="OFF","OFF","")</f>
        <v/>
      </c>
      <c r="AJ29" s="56" t="str">
        <f>IF('⚙ OFF Weekends'!$D$31="OFF","OFF","")</f>
        <v/>
      </c>
      <c r="AK29" s="54" t="str">
        <f>IF('⚙ OFF Weekends'!$D$32="OFF","OFF","")</f>
        <v/>
      </c>
      <c r="AL29" s="56" t="str">
        <f>IF('⚙ OFF Weekends'!$D$33="OFF","OFF","")</f>
        <v/>
      </c>
      <c r="AM29" s="54" t="str">
        <f>IF('⚙ OFF Weekends'!$D$34="OFF","OFF","")</f>
        <v/>
      </c>
      <c r="AN29" s="56" t="str">
        <f>IF('⚙ OFF Weekends'!$D$35="OFF","OFF","")</f>
        <v/>
      </c>
      <c r="AO29" s="54" t="str">
        <f>IF('⚙ OFF Weekends'!$D$36="OFF","OFF","")</f>
        <v/>
      </c>
      <c r="AP29" s="56" t="str">
        <f>IF('⚙ OFF Weekends'!$D$37="OFF","OFF","")</f>
        <v/>
      </c>
      <c r="AQ29" s="54" t="str">
        <f>IF('⚙ OFF Weekends'!$D$38="OFF","OFF","")</f>
        <v/>
      </c>
      <c r="AR29" s="56" t="str">
        <f>IF('⚙ OFF Weekends'!$D$39="OFF","OFF","")</f>
        <v/>
      </c>
      <c r="AS29" s="54" t="str">
        <f>IF('⚙ OFF Weekends'!$D$40="OFF","OFF","")</f>
        <v/>
      </c>
      <c r="AT29" s="56" t="str">
        <f>IF('⚙ OFF Weekends'!$D$41="OFF","OFF","")</f>
        <v/>
      </c>
      <c r="AU29" s="54" t="str">
        <f>IF('⚙ OFF Weekends'!$D$42="OFF","OFF","")</f>
        <v/>
      </c>
      <c r="AV29" s="56" t="str">
        <f>IF('⚙ OFF Weekends'!$D$43="OFF","OFF","")</f>
        <v/>
      </c>
      <c r="AW29" s="54" t="str">
        <f>IF('⚙ OFF Weekends'!$D$44="OFF","OFF","")</f>
        <v/>
      </c>
      <c r="AX29" s="56" t="str">
        <f>IF('⚙ OFF Weekends'!$D$45="OFF","OFF","")</f>
        <v/>
      </c>
      <c r="AY29" s="54" t="str">
        <f>IF('⚙ OFF Weekends'!$D$46="OFF","OFF","")</f>
        <v/>
      </c>
      <c r="AZ29" s="56" t="str">
        <f>IF('⚙ OFF Weekends'!$D$47="OFF","OFF","")</f>
        <v/>
      </c>
      <c r="BA29" s="54" t="str">
        <f>IF('⚙ OFF Weekends'!$D$48="OFF","OFF","")</f>
        <v/>
      </c>
      <c r="BB29" s="56" t="str">
        <f>IF('⚙ OFF Weekends'!$D$49="OFF","OFF","")</f>
        <v/>
      </c>
      <c r="BC29" s="54" t="str">
        <f>IF('⚙ OFF Weekends'!$D$50="OFF","OFF","")</f>
        <v/>
      </c>
      <c r="BD29" s="56" t="str">
        <f>IF('⚙ OFF Weekends'!$D$51="OFF","OFF","")</f>
        <v/>
      </c>
      <c r="BE29" s="54" t="str">
        <f>IF('⚙ OFF Weekends'!$D$52="OFF","OFF","")</f>
        <v/>
      </c>
      <c r="BF29" s="56" t="str">
        <f>IF('⚙ OFF Weekends'!$D$53="OFF","OFF","")</f>
        <v/>
      </c>
      <c r="BG29" s="54" t="str">
        <f>IF('⚙ OFF Weekends'!$D$54="OFF","OFF","")</f>
        <v/>
      </c>
      <c r="BH29" s="56" t="str">
        <f>IF('⚙ OFF Weekends'!$D$55="OFF","OFF","")</f>
        <v/>
      </c>
      <c r="BI29" s="54" t="str">
        <f>IF('⚙ OFF Weekends'!$D$56="OFF","OFF","")</f>
        <v/>
      </c>
      <c r="BJ29" s="56" t="str">
        <f>IF('⚙ OFF Weekends'!$D$57="OFF","OFF","")</f>
        <v/>
      </c>
      <c r="BK29" s="54" t="str">
        <f>IF('⚙ OFF Weekends'!$D$58="OFF","OFF","")</f>
        <v/>
      </c>
      <c r="BL29" s="56" t="str">
        <f>IF('⚙ OFF Weekends'!$D$59="OFF","OFF","")</f>
        <v/>
      </c>
      <c r="BM29" s="54" t="str">
        <f>IF('⚙ OFF Weekends'!$D$60="OFF","OFF","")</f>
        <v/>
      </c>
      <c r="BN29" s="56" t="str">
        <f>IF('⚙ OFF Weekends'!$D$61="OFF","OFF","")</f>
        <v/>
      </c>
      <c r="BO29" s="54" t="str">
        <f>IF('⚙ OFF Weekends'!$D$62="OFF","OFF","")</f>
        <v/>
      </c>
      <c r="BP29" s="56" t="str">
        <f>IF('⚙ OFF Weekends'!$D$63="OFF","OFF","")</f>
        <v/>
      </c>
      <c r="BQ29" s="54" t="str">
        <f>IF('⚙ OFF Weekends'!$D$64="OFF","OFF","")</f>
        <v/>
      </c>
      <c r="BR29" s="56" t="str">
        <f>IF('⚙ OFF Weekends'!$D$65="OFF","OFF","")</f>
        <v/>
      </c>
      <c r="BS29" s="54" t="str">
        <f>IF('⚙ OFF Weekends'!$D$66="OFF","OFF","")</f>
        <v/>
      </c>
      <c r="BT29" s="56" t="str">
        <f>IF('⚙ OFF Weekends'!$D$67="OFF","OFF","")</f>
        <v/>
      </c>
      <c r="BU29" s="54" t="str">
        <f>IF('⚙ OFF Weekends'!$D$68="OFF","OFF","")</f>
        <v/>
      </c>
      <c r="BV29" s="56" t="str">
        <f>IF('⚙ OFF Weekends'!$D$69="OFF","OFF","")</f>
        <v/>
      </c>
      <c r="BW29" s="54" t="str">
        <f>IF('⚙ OFF Weekends'!$D$70="OFF","OFF","")</f>
        <v/>
      </c>
      <c r="BX29" s="56" t="str">
        <f>IF('⚙ OFF Weekends'!$D$71="OFF","OFF","")</f>
        <v/>
      </c>
      <c r="BY29" s="54" t="str">
        <f>IF('⚙ OFF Weekends'!$D$72="OFF","OFF","")</f>
        <v/>
      </c>
      <c r="BZ29" s="56" t="str">
        <f>IF('⚙ OFF Weekends'!$D$73="OFF","OFF","")</f>
        <v/>
      </c>
      <c r="CA29" s="54" t="str">
        <f>IF('⚙ OFF Weekends'!$D$74="OFF","OFF","")</f>
        <v/>
      </c>
      <c r="CB29" s="56" t="str">
        <f>IF('⚙ OFF Weekends'!$D$75="OFF","OFF","")</f>
        <v/>
      </c>
      <c r="CC29" s="54" t="str">
        <f>IF('⚙ OFF Weekends'!$D$76="OFF","OFF","")</f>
        <v/>
      </c>
      <c r="CD29" s="56" t="str">
        <f>IF('⚙ OFF Weekends'!$D$77="OFF","OFF","")</f>
        <v/>
      </c>
      <c r="CE29" s="96">
        <f t="shared" si="9"/>
        <v>1</v>
      </c>
      <c r="CF29" s="96">
        <f t="shared" si="10"/>
        <v>14</v>
      </c>
      <c r="CG29" s="96">
        <f t="shared" si="11"/>
        <v>0</v>
      </c>
      <c r="CH29" s="96" t="str">
        <f t="shared" si="12"/>
        <v>7%</v>
      </c>
    </row>
    <row r="30" ht="18.0" customHeight="1">
      <c r="A30" s="95">
        <v>13.0</v>
      </c>
      <c r="B30" s="12" t="s">
        <v>824</v>
      </c>
      <c r="C30" s="14" t="s">
        <v>825</v>
      </c>
      <c r="D30" s="17" t="str">
        <f t="shared" si="7"/>
        <v>📞 Call</v>
      </c>
      <c r="E30" s="19" t="str">
        <f t="shared" si="8"/>
        <v>💬 WhatsApp</v>
      </c>
      <c r="F30" s="10"/>
      <c r="G30" s="10" t="s">
        <v>826</v>
      </c>
      <c r="H30" s="10" t="s">
        <v>518</v>
      </c>
      <c r="I30" s="79" t="s">
        <v>223</v>
      </c>
      <c r="J30" s="79" t="s">
        <v>223</v>
      </c>
      <c r="K30" s="49" t="s">
        <v>197</v>
      </c>
      <c r="L30" s="79" t="s">
        <v>223</v>
      </c>
      <c r="M30" s="79" t="s">
        <v>223</v>
      </c>
      <c r="N30" s="79" t="s">
        <v>223</v>
      </c>
      <c r="O30" s="79" t="s">
        <v>223</v>
      </c>
      <c r="P30" s="79" t="s">
        <v>223</v>
      </c>
      <c r="Q30" s="79" t="s">
        <v>223</v>
      </c>
      <c r="R30" s="79" t="s">
        <v>223</v>
      </c>
      <c r="S30" s="52" t="s">
        <v>223</v>
      </c>
      <c r="T30" s="53" t="s">
        <v>223</v>
      </c>
      <c r="U30" s="52" t="s">
        <v>223</v>
      </c>
      <c r="V30" s="53" t="s">
        <v>223</v>
      </c>
      <c r="W30" s="54" t="str">
        <f>IF('⚙ OFF Weekends'!$D$18="OFF","OFF","")</f>
        <v>OFF</v>
      </c>
      <c r="X30" s="53" t="s">
        <v>223</v>
      </c>
      <c r="Y30" s="52" t="s">
        <v>223</v>
      </c>
      <c r="Z30" s="53" t="s">
        <v>223</v>
      </c>
      <c r="AA30" s="52" t="s">
        <v>223</v>
      </c>
      <c r="AB30" s="56" t="str">
        <f>IF('⚙ OFF Weekends'!$D$23="OFF","OFF","")</f>
        <v/>
      </c>
      <c r="AC30" s="54" t="str">
        <f>IF('⚙ OFF Weekends'!$D$24="OFF","OFF","")</f>
        <v/>
      </c>
      <c r="AD30" s="56" t="str">
        <f>IF('⚙ OFF Weekends'!$D$25="OFF","OFF","")</f>
        <v/>
      </c>
      <c r="AE30" s="54" t="str">
        <f>IF('⚙ OFF Weekends'!$D$26="OFF","OFF","")</f>
        <v/>
      </c>
      <c r="AF30" s="56" t="str">
        <f>IF('⚙ OFF Weekends'!$D$27="OFF","OFF","")</f>
        <v/>
      </c>
      <c r="AG30" s="54" t="str">
        <f>IF('⚙ OFF Weekends'!$D$28="OFF","OFF","")</f>
        <v/>
      </c>
      <c r="AH30" s="56" t="str">
        <f>IF('⚙ OFF Weekends'!$D$29="OFF","OFF","")</f>
        <v/>
      </c>
      <c r="AI30" s="54" t="str">
        <f>IF('⚙ OFF Weekends'!$D$30="OFF","OFF","")</f>
        <v/>
      </c>
      <c r="AJ30" s="56" t="str">
        <f>IF('⚙ OFF Weekends'!$D$31="OFF","OFF","")</f>
        <v/>
      </c>
      <c r="AK30" s="54" t="str">
        <f>IF('⚙ OFF Weekends'!$D$32="OFF","OFF","")</f>
        <v/>
      </c>
      <c r="AL30" s="56" t="str">
        <f>IF('⚙ OFF Weekends'!$D$33="OFF","OFF","")</f>
        <v/>
      </c>
      <c r="AM30" s="54" t="str">
        <f>IF('⚙ OFF Weekends'!$D$34="OFF","OFF","")</f>
        <v/>
      </c>
      <c r="AN30" s="56" t="str">
        <f>IF('⚙ OFF Weekends'!$D$35="OFF","OFF","")</f>
        <v/>
      </c>
      <c r="AO30" s="54" t="str">
        <f>IF('⚙ OFF Weekends'!$D$36="OFF","OFF","")</f>
        <v/>
      </c>
      <c r="AP30" s="56" t="str">
        <f>IF('⚙ OFF Weekends'!$D$37="OFF","OFF","")</f>
        <v/>
      </c>
      <c r="AQ30" s="54" t="str">
        <f>IF('⚙ OFF Weekends'!$D$38="OFF","OFF","")</f>
        <v/>
      </c>
      <c r="AR30" s="56" t="str">
        <f>IF('⚙ OFF Weekends'!$D$39="OFF","OFF","")</f>
        <v/>
      </c>
      <c r="AS30" s="54" t="str">
        <f>IF('⚙ OFF Weekends'!$D$40="OFF","OFF","")</f>
        <v/>
      </c>
      <c r="AT30" s="56" t="str">
        <f>IF('⚙ OFF Weekends'!$D$41="OFF","OFF","")</f>
        <v/>
      </c>
      <c r="AU30" s="54" t="str">
        <f>IF('⚙ OFF Weekends'!$D$42="OFF","OFF","")</f>
        <v/>
      </c>
      <c r="AV30" s="56" t="str">
        <f>IF('⚙ OFF Weekends'!$D$43="OFF","OFF","")</f>
        <v/>
      </c>
      <c r="AW30" s="54" t="str">
        <f>IF('⚙ OFF Weekends'!$D$44="OFF","OFF","")</f>
        <v/>
      </c>
      <c r="AX30" s="56" t="str">
        <f>IF('⚙ OFF Weekends'!$D$45="OFF","OFF","")</f>
        <v/>
      </c>
      <c r="AY30" s="54" t="str">
        <f>IF('⚙ OFF Weekends'!$D$46="OFF","OFF","")</f>
        <v/>
      </c>
      <c r="AZ30" s="56" t="str">
        <f>IF('⚙ OFF Weekends'!$D$47="OFF","OFF","")</f>
        <v/>
      </c>
      <c r="BA30" s="54" t="str">
        <f>IF('⚙ OFF Weekends'!$D$48="OFF","OFF","")</f>
        <v/>
      </c>
      <c r="BB30" s="56" t="str">
        <f>IF('⚙ OFF Weekends'!$D$49="OFF","OFF","")</f>
        <v/>
      </c>
      <c r="BC30" s="54" t="str">
        <f>IF('⚙ OFF Weekends'!$D$50="OFF","OFF","")</f>
        <v/>
      </c>
      <c r="BD30" s="56" t="str">
        <f>IF('⚙ OFF Weekends'!$D$51="OFF","OFF","")</f>
        <v/>
      </c>
      <c r="BE30" s="54" t="str">
        <f>IF('⚙ OFF Weekends'!$D$52="OFF","OFF","")</f>
        <v/>
      </c>
      <c r="BF30" s="56" t="str">
        <f>IF('⚙ OFF Weekends'!$D$53="OFF","OFF","")</f>
        <v/>
      </c>
      <c r="BG30" s="54" t="str">
        <f>IF('⚙ OFF Weekends'!$D$54="OFF","OFF","")</f>
        <v/>
      </c>
      <c r="BH30" s="56" t="str">
        <f>IF('⚙ OFF Weekends'!$D$55="OFF","OFF","")</f>
        <v/>
      </c>
      <c r="BI30" s="54" t="str">
        <f>IF('⚙ OFF Weekends'!$D$56="OFF","OFF","")</f>
        <v/>
      </c>
      <c r="BJ30" s="56" t="str">
        <f>IF('⚙ OFF Weekends'!$D$57="OFF","OFF","")</f>
        <v/>
      </c>
      <c r="BK30" s="54" t="str">
        <f>IF('⚙ OFF Weekends'!$D$58="OFF","OFF","")</f>
        <v/>
      </c>
      <c r="BL30" s="56" t="str">
        <f>IF('⚙ OFF Weekends'!$D$59="OFF","OFF","")</f>
        <v/>
      </c>
      <c r="BM30" s="54" t="str">
        <f>IF('⚙ OFF Weekends'!$D$60="OFF","OFF","")</f>
        <v/>
      </c>
      <c r="BN30" s="56" t="str">
        <f>IF('⚙ OFF Weekends'!$D$61="OFF","OFF","")</f>
        <v/>
      </c>
      <c r="BO30" s="54" t="str">
        <f>IF('⚙ OFF Weekends'!$D$62="OFF","OFF","")</f>
        <v/>
      </c>
      <c r="BP30" s="56" t="str">
        <f>IF('⚙ OFF Weekends'!$D$63="OFF","OFF","")</f>
        <v/>
      </c>
      <c r="BQ30" s="54" t="str">
        <f>IF('⚙ OFF Weekends'!$D$64="OFF","OFF","")</f>
        <v/>
      </c>
      <c r="BR30" s="56" t="str">
        <f>IF('⚙ OFF Weekends'!$D$65="OFF","OFF","")</f>
        <v/>
      </c>
      <c r="BS30" s="54" t="str">
        <f>IF('⚙ OFF Weekends'!$D$66="OFF","OFF","")</f>
        <v/>
      </c>
      <c r="BT30" s="56" t="str">
        <f>IF('⚙ OFF Weekends'!$D$67="OFF","OFF","")</f>
        <v/>
      </c>
      <c r="BU30" s="54" t="str">
        <f>IF('⚙ OFF Weekends'!$D$68="OFF","OFF","")</f>
        <v/>
      </c>
      <c r="BV30" s="56" t="str">
        <f>IF('⚙ OFF Weekends'!$D$69="OFF","OFF","")</f>
        <v/>
      </c>
      <c r="BW30" s="54" t="str">
        <f>IF('⚙ OFF Weekends'!$D$70="OFF","OFF","")</f>
        <v/>
      </c>
      <c r="BX30" s="56" t="str">
        <f>IF('⚙ OFF Weekends'!$D$71="OFF","OFF","")</f>
        <v/>
      </c>
      <c r="BY30" s="54" t="str">
        <f>IF('⚙ OFF Weekends'!$D$72="OFF","OFF","")</f>
        <v/>
      </c>
      <c r="BZ30" s="56" t="str">
        <f>IF('⚙ OFF Weekends'!$D$73="OFF","OFF","")</f>
        <v/>
      </c>
      <c r="CA30" s="54" t="str">
        <f>IF('⚙ OFF Weekends'!$D$74="OFF","OFF","")</f>
        <v/>
      </c>
      <c r="CB30" s="56" t="str">
        <f>IF('⚙ OFF Weekends'!$D$75="OFF","OFF","")</f>
        <v/>
      </c>
      <c r="CC30" s="54" t="str">
        <f>IF('⚙ OFF Weekends'!$D$76="OFF","OFF","")</f>
        <v/>
      </c>
      <c r="CD30" s="56" t="str">
        <f>IF('⚙ OFF Weekends'!$D$77="OFF","OFF","")</f>
        <v/>
      </c>
      <c r="CE30" s="95">
        <f t="shared" si="9"/>
        <v>0</v>
      </c>
      <c r="CF30" s="95">
        <f t="shared" si="10"/>
        <v>17</v>
      </c>
      <c r="CG30" s="95">
        <f t="shared" si="11"/>
        <v>0</v>
      </c>
      <c r="CH30" s="95" t="str">
        <f t="shared" si="12"/>
        <v>0%</v>
      </c>
    </row>
    <row r="31" ht="18.0" customHeight="1">
      <c r="A31" s="96">
        <v>14.0</v>
      </c>
      <c r="B31" s="22" t="s">
        <v>830</v>
      </c>
      <c r="C31" s="23"/>
      <c r="D31" s="24" t="str">
        <f t="shared" si="7"/>
        <v/>
      </c>
      <c r="E31" s="26" t="str">
        <f t="shared" si="8"/>
        <v/>
      </c>
      <c r="F31" s="20"/>
      <c r="G31" s="20"/>
      <c r="H31" s="20"/>
      <c r="I31" s="54" t="str">
        <f>IF('⚙ OFF Weekends'!$D$4="OFF","OFF","")</f>
        <v/>
      </c>
      <c r="J31" s="56" t="str">
        <f>IF('⚙ OFF Weekends'!$D$5="OFF","OFF","")</f>
        <v/>
      </c>
      <c r="K31" s="49" t="s">
        <v>197</v>
      </c>
      <c r="L31" s="56" t="str">
        <f>IF('⚙ OFF Weekends'!$D$7="OFF","OFF","")</f>
        <v/>
      </c>
      <c r="M31" s="48" t="s">
        <v>196</v>
      </c>
      <c r="N31" s="48" t="s">
        <v>196</v>
      </c>
      <c r="O31" s="48" t="s">
        <v>196</v>
      </c>
      <c r="P31" s="48" t="s">
        <v>196</v>
      </c>
      <c r="Q31" s="77" t="s">
        <v>198</v>
      </c>
      <c r="R31" s="77" t="s">
        <v>198</v>
      </c>
      <c r="S31" s="52" t="s">
        <v>37</v>
      </c>
      <c r="T31" s="53" t="s">
        <v>196</v>
      </c>
      <c r="U31" s="52" t="s">
        <v>196</v>
      </c>
      <c r="V31" s="53" t="s">
        <v>196</v>
      </c>
      <c r="W31" s="54" t="str">
        <f>IF('⚙ OFF Weekends'!$D$18="OFF","OFF","")</f>
        <v>OFF</v>
      </c>
      <c r="X31" s="53" t="s">
        <v>196</v>
      </c>
      <c r="Y31" s="52" t="s">
        <v>37</v>
      </c>
      <c r="Z31" s="53" t="s">
        <v>196</v>
      </c>
      <c r="AA31" s="52" t="s">
        <v>196</v>
      </c>
      <c r="AB31" s="53" t="s">
        <v>37</v>
      </c>
      <c r="AC31" s="54" t="str">
        <f>IF('⚙ OFF Weekends'!$D$24="OFF","OFF","")</f>
        <v/>
      </c>
      <c r="AD31" s="56" t="str">
        <f>IF('⚙ OFF Weekends'!$D$25="OFF","OFF","")</f>
        <v/>
      </c>
      <c r="AE31" s="54" t="str">
        <f>IF('⚙ OFF Weekends'!$D$26="OFF","OFF","")</f>
        <v/>
      </c>
      <c r="AF31" s="56" t="str">
        <f>IF('⚙ OFF Weekends'!$D$27="OFF","OFF","")</f>
        <v/>
      </c>
      <c r="AG31" s="54" t="str">
        <f>IF('⚙ OFF Weekends'!$D$28="OFF","OFF","")</f>
        <v/>
      </c>
      <c r="AH31" s="56" t="str">
        <f>IF('⚙ OFF Weekends'!$D$29="OFF","OFF","")</f>
        <v/>
      </c>
      <c r="AI31" s="54" t="str">
        <f>IF('⚙ OFF Weekends'!$D$30="OFF","OFF","")</f>
        <v/>
      </c>
      <c r="AJ31" s="56" t="str">
        <f>IF('⚙ OFF Weekends'!$D$31="OFF","OFF","")</f>
        <v/>
      </c>
      <c r="AK31" s="54" t="str">
        <f>IF('⚙ OFF Weekends'!$D$32="OFF","OFF","")</f>
        <v/>
      </c>
      <c r="AL31" s="56" t="str">
        <f>IF('⚙ OFF Weekends'!$D$33="OFF","OFF","")</f>
        <v/>
      </c>
      <c r="AM31" s="54" t="str">
        <f>IF('⚙ OFF Weekends'!$D$34="OFF","OFF","")</f>
        <v/>
      </c>
      <c r="AN31" s="56" t="str">
        <f>IF('⚙ OFF Weekends'!$D$35="OFF","OFF","")</f>
        <v/>
      </c>
      <c r="AO31" s="54" t="str">
        <f>IF('⚙ OFF Weekends'!$D$36="OFF","OFF","")</f>
        <v/>
      </c>
      <c r="AP31" s="56" t="str">
        <f>IF('⚙ OFF Weekends'!$D$37="OFF","OFF","")</f>
        <v/>
      </c>
      <c r="AQ31" s="54" t="str">
        <f>IF('⚙ OFF Weekends'!$D$38="OFF","OFF","")</f>
        <v/>
      </c>
      <c r="AR31" s="56" t="str">
        <f>IF('⚙ OFF Weekends'!$D$39="OFF","OFF","")</f>
        <v/>
      </c>
      <c r="AS31" s="54" t="str">
        <f>IF('⚙ OFF Weekends'!$D$40="OFF","OFF","")</f>
        <v/>
      </c>
      <c r="AT31" s="56" t="str">
        <f>IF('⚙ OFF Weekends'!$D$41="OFF","OFF","")</f>
        <v/>
      </c>
      <c r="AU31" s="54" t="str">
        <f>IF('⚙ OFF Weekends'!$D$42="OFF","OFF","")</f>
        <v/>
      </c>
      <c r="AV31" s="56" t="str">
        <f>IF('⚙ OFF Weekends'!$D$43="OFF","OFF","")</f>
        <v/>
      </c>
      <c r="AW31" s="54" t="str">
        <f>IF('⚙ OFF Weekends'!$D$44="OFF","OFF","")</f>
        <v/>
      </c>
      <c r="AX31" s="56" t="str">
        <f>IF('⚙ OFF Weekends'!$D$45="OFF","OFF","")</f>
        <v/>
      </c>
      <c r="AY31" s="54" t="str">
        <f>IF('⚙ OFF Weekends'!$D$46="OFF","OFF","")</f>
        <v/>
      </c>
      <c r="AZ31" s="56" t="str">
        <f>IF('⚙ OFF Weekends'!$D$47="OFF","OFF","")</f>
        <v/>
      </c>
      <c r="BA31" s="54" t="str">
        <f>IF('⚙ OFF Weekends'!$D$48="OFF","OFF","")</f>
        <v/>
      </c>
      <c r="BB31" s="56" t="str">
        <f>IF('⚙ OFF Weekends'!$D$49="OFF","OFF","")</f>
        <v/>
      </c>
      <c r="BC31" s="54" t="str">
        <f>IF('⚙ OFF Weekends'!$D$50="OFF","OFF","")</f>
        <v/>
      </c>
      <c r="BD31" s="56" t="str">
        <f>IF('⚙ OFF Weekends'!$D$51="OFF","OFF","")</f>
        <v/>
      </c>
      <c r="BE31" s="54" t="str">
        <f>IF('⚙ OFF Weekends'!$D$52="OFF","OFF","")</f>
        <v/>
      </c>
      <c r="BF31" s="56" t="str">
        <f>IF('⚙ OFF Weekends'!$D$53="OFF","OFF","")</f>
        <v/>
      </c>
      <c r="BG31" s="54" t="str">
        <f>IF('⚙ OFF Weekends'!$D$54="OFF","OFF","")</f>
        <v/>
      </c>
      <c r="BH31" s="56" t="str">
        <f>IF('⚙ OFF Weekends'!$D$55="OFF","OFF","")</f>
        <v/>
      </c>
      <c r="BI31" s="54" t="str">
        <f>IF('⚙ OFF Weekends'!$D$56="OFF","OFF","")</f>
        <v/>
      </c>
      <c r="BJ31" s="56" t="str">
        <f>IF('⚙ OFF Weekends'!$D$57="OFF","OFF","")</f>
        <v/>
      </c>
      <c r="BK31" s="54" t="str">
        <f>IF('⚙ OFF Weekends'!$D$58="OFF","OFF","")</f>
        <v/>
      </c>
      <c r="BL31" s="56" t="str">
        <f>IF('⚙ OFF Weekends'!$D$59="OFF","OFF","")</f>
        <v/>
      </c>
      <c r="BM31" s="54" t="str">
        <f>IF('⚙ OFF Weekends'!$D$60="OFF","OFF","")</f>
        <v/>
      </c>
      <c r="BN31" s="56" t="str">
        <f>IF('⚙ OFF Weekends'!$D$61="OFF","OFF","")</f>
        <v/>
      </c>
      <c r="BO31" s="54" t="str">
        <f>IF('⚙ OFF Weekends'!$D$62="OFF","OFF","")</f>
        <v/>
      </c>
      <c r="BP31" s="56" t="str">
        <f>IF('⚙ OFF Weekends'!$D$63="OFF","OFF","")</f>
        <v/>
      </c>
      <c r="BQ31" s="54" t="str">
        <f>IF('⚙ OFF Weekends'!$D$64="OFF","OFF","")</f>
        <v/>
      </c>
      <c r="BR31" s="56" t="str">
        <f>IF('⚙ OFF Weekends'!$D$65="OFF","OFF","")</f>
        <v/>
      </c>
      <c r="BS31" s="54" t="str">
        <f>IF('⚙ OFF Weekends'!$D$66="OFF","OFF","")</f>
        <v/>
      </c>
      <c r="BT31" s="56" t="str">
        <f>IF('⚙ OFF Weekends'!$D$67="OFF","OFF","")</f>
        <v/>
      </c>
      <c r="BU31" s="54" t="str">
        <f>IF('⚙ OFF Weekends'!$D$68="OFF","OFF","")</f>
        <v/>
      </c>
      <c r="BV31" s="56" t="str">
        <f>IF('⚙ OFF Weekends'!$D$69="OFF","OFF","")</f>
        <v/>
      </c>
      <c r="BW31" s="54" t="str">
        <f>IF('⚙ OFF Weekends'!$D$70="OFF","OFF","")</f>
        <v/>
      </c>
      <c r="BX31" s="56" t="str">
        <f>IF('⚙ OFF Weekends'!$D$71="OFF","OFF","")</f>
        <v/>
      </c>
      <c r="BY31" s="54" t="str">
        <f>IF('⚙ OFF Weekends'!$D$72="OFF","OFF","")</f>
        <v/>
      </c>
      <c r="BZ31" s="56" t="str">
        <f>IF('⚙ OFF Weekends'!$D$73="OFF","OFF","")</f>
        <v/>
      </c>
      <c r="CA31" s="54" t="str">
        <f>IF('⚙ OFF Weekends'!$D$74="OFF","OFF","")</f>
        <v/>
      </c>
      <c r="CB31" s="56" t="str">
        <f>IF('⚙ OFF Weekends'!$D$75="OFF","OFF","")</f>
        <v/>
      </c>
      <c r="CC31" s="54" t="str">
        <f>IF('⚙ OFF Weekends'!$D$76="OFF","OFF","")</f>
        <v/>
      </c>
      <c r="CD31" s="56" t="str">
        <f>IF('⚙ OFF Weekends'!$D$77="OFF","OFF","")</f>
        <v/>
      </c>
      <c r="CE31" s="96">
        <f t="shared" si="9"/>
        <v>13</v>
      </c>
      <c r="CF31" s="96">
        <f t="shared" si="10"/>
        <v>0</v>
      </c>
      <c r="CG31" s="96">
        <f t="shared" si="11"/>
        <v>2</v>
      </c>
      <c r="CH31" s="96" t="str">
        <f t="shared" si="12"/>
        <v>100%</v>
      </c>
    </row>
    <row r="32" ht="18.0" customHeight="1">
      <c r="A32" s="95">
        <v>15.0</v>
      </c>
      <c r="B32" s="12" t="s">
        <v>833</v>
      </c>
      <c r="C32" s="14" t="s">
        <v>834</v>
      </c>
      <c r="D32" s="17" t="str">
        <f t="shared" si="7"/>
        <v>📞 Call</v>
      </c>
      <c r="E32" s="19" t="str">
        <f t="shared" si="8"/>
        <v>💬 WhatsApp</v>
      </c>
      <c r="F32" s="10"/>
      <c r="G32" s="10" t="s">
        <v>294</v>
      </c>
      <c r="H32" s="10"/>
      <c r="I32" s="48" t="s">
        <v>196</v>
      </c>
      <c r="J32" s="48" t="s">
        <v>196</v>
      </c>
      <c r="K32" s="49" t="s">
        <v>197</v>
      </c>
      <c r="L32" s="48" t="s">
        <v>196</v>
      </c>
      <c r="M32" s="48" t="s">
        <v>196</v>
      </c>
      <c r="N32" s="48" t="s">
        <v>196</v>
      </c>
      <c r="O32" s="48" t="s">
        <v>196</v>
      </c>
      <c r="P32" s="48" t="s">
        <v>196</v>
      </c>
      <c r="Q32" s="77" t="s">
        <v>198</v>
      </c>
      <c r="R32" s="77" t="s">
        <v>198</v>
      </c>
      <c r="S32" s="52" t="s">
        <v>198</v>
      </c>
      <c r="T32" s="53" t="s">
        <v>198</v>
      </c>
      <c r="U32" s="52" t="s">
        <v>198</v>
      </c>
      <c r="V32" s="53" t="s">
        <v>198</v>
      </c>
      <c r="W32" s="54" t="str">
        <f>IF('⚙ OFF Weekends'!$D$18="OFF","OFF","")</f>
        <v>OFF</v>
      </c>
      <c r="X32" s="53" t="s">
        <v>198</v>
      </c>
      <c r="Y32" s="52" t="s">
        <v>198</v>
      </c>
      <c r="Z32" s="53" t="s">
        <v>198</v>
      </c>
      <c r="AA32" s="52" t="s">
        <v>198</v>
      </c>
      <c r="AB32" s="53" t="s">
        <v>198</v>
      </c>
      <c r="AC32" s="54" t="str">
        <f>IF('⚙ OFF Weekends'!$D$24="OFF","OFF","")</f>
        <v/>
      </c>
      <c r="AD32" s="56" t="str">
        <f>IF('⚙ OFF Weekends'!$D$25="OFF","OFF","")</f>
        <v/>
      </c>
      <c r="AE32" s="54" t="str">
        <f>IF('⚙ OFF Weekends'!$D$26="OFF","OFF","")</f>
        <v/>
      </c>
      <c r="AF32" s="56" t="str">
        <f>IF('⚙ OFF Weekends'!$D$27="OFF","OFF","")</f>
        <v/>
      </c>
      <c r="AG32" s="54" t="str">
        <f>IF('⚙ OFF Weekends'!$D$28="OFF","OFF","")</f>
        <v/>
      </c>
      <c r="AH32" s="56" t="str">
        <f>IF('⚙ OFF Weekends'!$D$29="OFF","OFF","")</f>
        <v/>
      </c>
      <c r="AI32" s="54" t="str">
        <f>IF('⚙ OFF Weekends'!$D$30="OFF","OFF","")</f>
        <v/>
      </c>
      <c r="AJ32" s="56" t="str">
        <f>IF('⚙ OFF Weekends'!$D$31="OFF","OFF","")</f>
        <v/>
      </c>
      <c r="AK32" s="54" t="str">
        <f>IF('⚙ OFF Weekends'!$D$32="OFF","OFF","")</f>
        <v/>
      </c>
      <c r="AL32" s="56" t="str">
        <f>IF('⚙ OFF Weekends'!$D$33="OFF","OFF","")</f>
        <v/>
      </c>
      <c r="AM32" s="54" t="str">
        <f>IF('⚙ OFF Weekends'!$D$34="OFF","OFF","")</f>
        <v/>
      </c>
      <c r="AN32" s="56" t="str">
        <f>IF('⚙ OFF Weekends'!$D$35="OFF","OFF","")</f>
        <v/>
      </c>
      <c r="AO32" s="54" t="str">
        <f>IF('⚙ OFF Weekends'!$D$36="OFF","OFF","")</f>
        <v/>
      </c>
      <c r="AP32" s="56" t="str">
        <f>IF('⚙ OFF Weekends'!$D$37="OFF","OFF","")</f>
        <v/>
      </c>
      <c r="AQ32" s="54" t="str">
        <f>IF('⚙ OFF Weekends'!$D$38="OFF","OFF","")</f>
        <v/>
      </c>
      <c r="AR32" s="56" t="str">
        <f>IF('⚙ OFF Weekends'!$D$39="OFF","OFF","")</f>
        <v/>
      </c>
      <c r="AS32" s="54" t="str">
        <f>IF('⚙ OFF Weekends'!$D$40="OFF","OFF","")</f>
        <v/>
      </c>
      <c r="AT32" s="56" t="str">
        <f>IF('⚙ OFF Weekends'!$D$41="OFF","OFF","")</f>
        <v/>
      </c>
      <c r="AU32" s="54" t="str">
        <f>IF('⚙ OFF Weekends'!$D$42="OFF","OFF","")</f>
        <v/>
      </c>
      <c r="AV32" s="56" t="str">
        <f>IF('⚙ OFF Weekends'!$D$43="OFF","OFF","")</f>
        <v/>
      </c>
      <c r="AW32" s="54" t="str">
        <f>IF('⚙ OFF Weekends'!$D$44="OFF","OFF","")</f>
        <v/>
      </c>
      <c r="AX32" s="56" t="str">
        <f>IF('⚙ OFF Weekends'!$D$45="OFF","OFF","")</f>
        <v/>
      </c>
      <c r="AY32" s="54" t="str">
        <f>IF('⚙ OFF Weekends'!$D$46="OFF","OFF","")</f>
        <v/>
      </c>
      <c r="AZ32" s="56" t="str">
        <f>IF('⚙ OFF Weekends'!$D$47="OFF","OFF","")</f>
        <v/>
      </c>
      <c r="BA32" s="54" t="str">
        <f>IF('⚙ OFF Weekends'!$D$48="OFF","OFF","")</f>
        <v/>
      </c>
      <c r="BB32" s="56" t="str">
        <f>IF('⚙ OFF Weekends'!$D$49="OFF","OFF","")</f>
        <v/>
      </c>
      <c r="BC32" s="54" t="str">
        <f>IF('⚙ OFF Weekends'!$D$50="OFF","OFF","")</f>
        <v/>
      </c>
      <c r="BD32" s="56" t="str">
        <f>IF('⚙ OFF Weekends'!$D$51="OFF","OFF","")</f>
        <v/>
      </c>
      <c r="BE32" s="54" t="str">
        <f>IF('⚙ OFF Weekends'!$D$52="OFF","OFF","")</f>
        <v/>
      </c>
      <c r="BF32" s="56" t="str">
        <f>IF('⚙ OFF Weekends'!$D$53="OFF","OFF","")</f>
        <v/>
      </c>
      <c r="BG32" s="54" t="str">
        <f>IF('⚙ OFF Weekends'!$D$54="OFF","OFF","")</f>
        <v/>
      </c>
      <c r="BH32" s="56" t="str">
        <f>IF('⚙ OFF Weekends'!$D$55="OFF","OFF","")</f>
        <v/>
      </c>
      <c r="BI32" s="54" t="str">
        <f>IF('⚙ OFF Weekends'!$D$56="OFF","OFF","")</f>
        <v/>
      </c>
      <c r="BJ32" s="56" t="str">
        <f>IF('⚙ OFF Weekends'!$D$57="OFF","OFF","")</f>
        <v/>
      </c>
      <c r="BK32" s="54" t="str">
        <f>IF('⚙ OFF Weekends'!$D$58="OFF","OFF","")</f>
        <v/>
      </c>
      <c r="BL32" s="56" t="str">
        <f>IF('⚙ OFF Weekends'!$D$59="OFF","OFF","")</f>
        <v/>
      </c>
      <c r="BM32" s="54" t="str">
        <f>IF('⚙ OFF Weekends'!$D$60="OFF","OFF","")</f>
        <v/>
      </c>
      <c r="BN32" s="56" t="str">
        <f>IF('⚙ OFF Weekends'!$D$61="OFF","OFF","")</f>
        <v/>
      </c>
      <c r="BO32" s="54" t="str">
        <f>IF('⚙ OFF Weekends'!$D$62="OFF","OFF","")</f>
        <v/>
      </c>
      <c r="BP32" s="56" t="str">
        <f>IF('⚙ OFF Weekends'!$D$63="OFF","OFF","")</f>
        <v/>
      </c>
      <c r="BQ32" s="54" t="str">
        <f>IF('⚙ OFF Weekends'!$D$64="OFF","OFF","")</f>
        <v/>
      </c>
      <c r="BR32" s="56" t="str">
        <f>IF('⚙ OFF Weekends'!$D$65="OFF","OFF","")</f>
        <v/>
      </c>
      <c r="BS32" s="54" t="str">
        <f>IF('⚙ OFF Weekends'!$D$66="OFF","OFF","")</f>
        <v/>
      </c>
      <c r="BT32" s="56" t="str">
        <f>IF('⚙ OFF Weekends'!$D$67="OFF","OFF","")</f>
        <v/>
      </c>
      <c r="BU32" s="54" t="str">
        <f>IF('⚙ OFF Weekends'!$D$68="OFF","OFF","")</f>
        <v/>
      </c>
      <c r="BV32" s="56" t="str">
        <f>IF('⚙ OFF Weekends'!$D$69="OFF","OFF","")</f>
        <v/>
      </c>
      <c r="BW32" s="54" t="str">
        <f>IF('⚙ OFF Weekends'!$D$70="OFF","OFF","")</f>
        <v/>
      </c>
      <c r="BX32" s="56" t="str">
        <f>IF('⚙ OFF Weekends'!$D$71="OFF","OFF","")</f>
        <v/>
      </c>
      <c r="BY32" s="54" t="str">
        <f>IF('⚙ OFF Weekends'!$D$72="OFF","OFF","")</f>
        <v/>
      </c>
      <c r="BZ32" s="56" t="str">
        <f>IF('⚙ OFF Weekends'!$D$73="OFF","OFF","")</f>
        <v/>
      </c>
      <c r="CA32" s="54" t="str">
        <f>IF('⚙ OFF Weekends'!$D$74="OFF","OFF","")</f>
        <v/>
      </c>
      <c r="CB32" s="56" t="str">
        <f>IF('⚙ OFF Weekends'!$D$75="OFF","OFF","")</f>
        <v/>
      </c>
      <c r="CC32" s="54" t="str">
        <f>IF('⚙ OFF Weekends'!$D$76="OFF","OFF","")</f>
        <v/>
      </c>
      <c r="CD32" s="56" t="str">
        <f>IF('⚙ OFF Weekends'!$D$77="OFF","OFF","")</f>
        <v/>
      </c>
      <c r="CE32" s="95">
        <f t="shared" si="9"/>
        <v>7</v>
      </c>
      <c r="CF32" s="95">
        <f t="shared" si="10"/>
        <v>0</v>
      </c>
      <c r="CG32" s="95">
        <f t="shared" si="11"/>
        <v>11</v>
      </c>
      <c r="CH32" s="95" t="str">
        <f t="shared" si="12"/>
        <v>100%</v>
      </c>
    </row>
    <row r="33" ht="18.0" customHeight="1">
      <c r="A33" s="96">
        <v>16.0</v>
      </c>
      <c r="B33" s="22" t="s">
        <v>839</v>
      </c>
      <c r="C33" s="23" t="s">
        <v>840</v>
      </c>
      <c r="D33" s="24" t="str">
        <f t="shared" si="7"/>
        <v>📞 Call</v>
      </c>
      <c r="E33" s="41" t="str">
        <f t="shared" si="8"/>
        <v>💬 WhatsApp</v>
      </c>
      <c r="F33" s="20"/>
      <c r="G33" s="20" t="s">
        <v>339</v>
      </c>
      <c r="H33" s="20" t="s">
        <v>409</v>
      </c>
      <c r="I33" s="48" t="s">
        <v>196</v>
      </c>
      <c r="J33" s="48" t="s">
        <v>196</v>
      </c>
      <c r="K33" s="49" t="s">
        <v>197</v>
      </c>
      <c r="L33" s="48" t="s">
        <v>196</v>
      </c>
      <c r="M33" s="79" t="s">
        <v>223</v>
      </c>
      <c r="N33" s="79" t="s">
        <v>223</v>
      </c>
      <c r="O33" s="48" t="s">
        <v>196</v>
      </c>
      <c r="P33" s="50" t="s">
        <v>37</v>
      </c>
      <c r="Q33" s="50" t="s">
        <v>37</v>
      </c>
      <c r="R33" s="79" t="s">
        <v>223</v>
      </c>
      <c r="S33" s="52" t="s">
        <v>37</v>
      </c>
      <c r="T33" s="53" t="s">
        <v>196</v>
      </c>
      <c r="U33" s="52" t="s">
        <v>223</v>
      </c>
      <c r="V33" s="53" t="s">
        <v>223</v>
      </c>
      <c r="W33" s="54" t="str">
        <f>IF('⚙ OFF Weekends'!$D$18="OFF","OFF","")</f>
        <v>OFF</v>
      </c>
      <c r="X33" s="53" t="s">
        <v>37</v>
      </c>
      <c r="Y33" s="52" t="s">
        <v>37</v>
      </c>
      <c r="Z33" s="53" t="s">
        <v>37</v>
      </c>
      <c r="AA33" s="52" t="s">
        <v>223</v>
      </c>
      <c r="AB33" s="53" t="s">
        <v>223</v>
      </c>
      <c r="AC33" s="54" t="str">
        <f>IF('⚙ OFF Weekends'!$D$24="OFF","OFF","")</f>
        <v/>
      </c>
      <c r="AD33" s="56" t="str">
        <f>IF('⚙ OFF Weekends'!$D$25="OFF","OFF","")</f>
        <v/>
      </c>
      <c r="AE33" s="54" t="str">
        <f>IF('⚙ OFF Weekends'!$D$26="OFF","OFF","")</f>
        <v/>
      </c>
      <c r="AF33" s="56" t="str">
        <f>IF('⚙ OFF Weekends'!$D$27="OFF","OFF","")</f>
        <v/>
      </c>
      <c r="AG33" s="54" t="str">
        <f>IF('⚙ OFF Weekends'!$D$28="OFF","OFF","")</f>
        <v/>
      </c>
      <c r="AH33" s="56" t="str">
        <f>IF('⚙ OFF Weekends'!$D$29="OFF","OFF","")</f>
        <v/>
      </c>
      <c r="AI33" s="54" t="str">
        <f>IF('⚙ OFF Weekends'!$D$30="OFF","OFF","")</f>
        <v/>
      </c>
      <c r="AJ33" s="56" t="str">
        <f>IF('⚙ OFF Weekends'!$D$31="OFF","OFF","")</f>
        <v/>
      </c>
      <c r="AK33" s="54" t="str">
        <f>IF('⚙ OFF Weekends'!$D$32="OFF","OFF","")</f>
        <v/>
      </c>
      <c r="AL33" s="56" t="str">
        <f>IF('⚙ OFF Weekends'!$D$33="OFF","OFF","")</f>
        <v/>
      </c>
      <c r="AM33" s="54" t="str">
        <f>IF('⚙ OFF Weekends'!$D$34="OFF","OFF","")</f>
        <v/>
      </c>
      <c r="AN33" s="56" t="str">
        <f>IF('⚙ OFF Weekends'!$D$35="OFF","OFF","")</f>
        <v/>
      </c>
      <c r="AO33" s="54" t="str">
        <f>IF('⚙ OFF Weekends'!$D$36="OFF","OFF","")</f>
        <v/>
      </c>
      <c r="AP33" s="56" t="str">
        <f>IF('⚙ OFF Weekends'!$D$37="OFF","OFF","")</f>
        <v/>
      </c>
      <c r="AQ33" s="54" t="str">
        <f>IF('⚙ OFF Weekends'!$D$38="OFF","OFF","")</f>
        <v/>
      </c>
      <c r="AR33" s="56" t="str">
        <f>IF('⚙ OFF Weekends'!$D$39="OFF","OFF","")</f>
        <v/>
      </c>
      <c r="AS33" s="54" t="str">
        <f>IF('⚙ OFF Weekends'!$D$40="OFF","OFF","")</f>
        <v/>
      </c>
      <c r="AT33" s="56" t="str">
        <f>IF('⚙ OFF Weekends'!$D$41="OFF","OFF","")</f>
        <v/>
      </c>
      <c r="AU33" s="54" t="str">
        <f>IF('⚙ OFF Weekends'!$D$42="OFF","OFF","")</f>
        <v/>
      </c>
      <c r="AV33" s="56" t="str">
        <f>IF('⚙ OFF Weekends'!$D$43="OFF","OFF","")</f>
        <v/>
      </c>
      <c r="AW33" s="54" t="str">
        <f>IF('⚙ OFF Weekends'!$D$44="OFF","OFF","")</f>
        <v/>
      </c>
      <c r="AX33" s="56" t="str">
        <f>IF('⚙ OFF Weekends'!$D$45="OFF","OFF","")</f>
        <v/>
      </c>
      <c r="AY33" s="54" t="str">
        <f>IF('⚙ OFF Weekends'!$D$46="OFF","OFF","")</f>
        <v/>
      </c>
      <c r="AZ33" s="56" t="str">
        <f>IF('⚙ OFF Weekends'!$D$47="OFF","OFF","")</f>
        <v/>
      </c>
      <c r="BA33" s="54" t="str">
        <f>IF('⚙ OFF Weekends'!$D$48="OFF","OFF","")</f>
        <v/>
      </c>
      <c r="BB33" s="56" t="str">
        <f>IF('⚙ OFF Weekends'!$D$49="OFF","OFF","")</f>
        <v/>
      </c>
      <c r="BC33" s="54" t="str">
        <f>IF('⚙ OFF Weekends'!$D$50="OFF","OFF","")</f>
        <v/>
      </c>
      <c r="BD33" s="56" t="str">
        <f>IF('⚙ OFF Weekends'!$D$51="OFF","OFF","")</f>
        <v/>
      </c>
      <c r="BE33" s="54" t="str">
        <f>IF('⚙ OFF Weekends'!$D$52="OFF","OFF","")</f>
        <v/>
      </c>
      <c r="BF33" s="56" t="str">
        <f>IF('⚙ OFF Weekends'!$D$53="OFF","OFF","")</f>
        <v/>
      </c>
      <c r="BG33" s="54" t="str">
        <f>IF('⚙ OFF Weekends'!$D$54="OFF","OFF","")</f>
        <v/>
      </c>
      <c r="BH33" s="56" t="str">
        <f>IF('⚙ OFF Weekends'!$D$55="OFF","OFF","")</f>
        <v/>
      </c>
      <c r="BI33" s="54" t="str">
        <f>IF('⚙ OFF Weekends'!$D$56="OFF","OFF","")</f>
        <v/>
      </c>
      <c r="BJ33" s="56" t="str">
        <f>IF('⚙ OFF Weekends'!$D$57="OFF","OFF","")</f>
        <v/>
      </c>
      <c r="BK33" s="54" t="str">
        <f>IF('⚙ OFF Weekends'!$D$58="OFF","OFF","")</f>
        <v/>
      </c>
      <c r="BL33" s="56" t="str">
        <f>IF('⚙ OFF Weekends'!$D$59="OFF","OFF","")</f>
        <v/>
      </c>
      <c r="BM33" s="54" t="str">
        <f>IF('⚙ OFF Weekends'!$D$60="OFF","OFF","")</f>
        <v/>
      </c>
      <c r="BN33" s="56" t="str">
        <f>IF('⚙ OFF Weekends'!$D$61="OFF","OFF","")</f>
        <v/>
      </c>
      <c r="BO33" s="54" t="str">
        <f>IF('⚙ OFF Weekends'!$D$62="OFF","OFF","")</f>
        <v/>
      </c>
      <c r="BP33" s="56" t="str">
        <f>IF('⚙ OFF Weekends'!$D$63="OFF","OFF","")</f>
        <v/>
      </c>
      <c r="BQ33" s="54" t="str">
        <f>IF('⚙ OFF Weekends'!$D$64="OFF","OFF","")</f>
        <v/>
      </c>
      <c r="BR33" s="56" t="str">
        <f>IF('⚙ OFF Weekends'!$D$65="OFF","OFF","")</f>
        <v/>
      </c>
      <c r="BS33" s="54" t="str">
        <f>IF('⚙ OFF Weekends'!$D$66="OFF","OFF","")</f>
        <v/>
      </c>
      <c r="BT33" s="56" t="str">
        <f>IF('⚙ OFF Weekends'!$D$67="OFF","OFF","")</f>
        <v/>
      </c>
      <c r="BU33" s="54" t="str">
        <f>IF('⚙ OFF Weekends'!$D$68="OFF","OFF","")</f>
        <v/>
      </c>
      <c r="BV33" s="56" t="str">
        <f>IF('⚙ OFF Weekends'!$D$69="OFF","OFF","")</f>
        <v/>
      </c>
      <c r="BW33" s="54" t="str">
        <f>IF('⚙ OFF Weekends'!$D$70="OFF","OFF","")</f>
        <v/>
      </c>
      <c r="BX33" s="56" t="str">
        <f>IF('⚙ OFF Weekends'!$D$71="OFF","OFF","")</f>
        <v/>
      </c>
      <c r="BY33" s="54" t="str">
        <f>IF('⚙ OFF Weekends'!$D$72="OFF","OFF","")</f>
        <v/>
      </c>
      <c r="BZ33" s="56" t="str">
        <f>IF('⚙ OFF Weekends'!$D$73="OFF","OFF","")</f>
        <v/>
      </c>
      <c r="CA33" s="54" t="str">
        <f>IF('⚙ OFF Weekends'!$D$74="OFF","OFF","")</f>
        <v/>
      </c>
      <c r="CB33" s="56" t="str">
        <f>IF('⚙ OFF Weekends'!$D$75="OFF","OFF","")</f>
        <v/>
      </c>
      <c r="CC33" s="54" t="str">
        <f>IF('⚙ OFF Weekends'!$D$76="OFF","OFF","")</f>
        <v/>
      </c>
      <c r="CD33" s="56" t="str">
        <f>IF('⚙ OFF Weekends'!$D$77="OFF","OFF","")</f>
        <v/>
      </c>
      <c r="CE33" s="96">
        <f t="shared" si="9"/>
        <v>11</v>
      </c>
      <c r="CF33" s="96">
        <f t="shared" si="10"/>
        <v>7</v>
      </c>
      <c r="CG33" s="96">
        <f t="shared" si="11"/>
        <v>0</v>
      </c>
      <c r="CH33" s="96" t="str">
        <f t="shared" si="12"/>
        <v>61%</v>
      </c>
    </row>
    <row r="34" ht="18.0" customHeight="1">
      <c r="A34" s="95">
        <v>17.0</v>
      </c>
      <c r="B34" s="12" t="s">
        <v>841</v>
      </c>
      <c r="C34" s="14" t="s">
        <v>842</v>
      </c>
      <c r="D34" s="17" t="str">
        <f t="shared" si="7"/>
        <v>📞 Call</v>
      </c>
      <c r="E34" s="19" t="str">
        <f t="shared" si="8"/>
        <v>💬 WhatsApp</v>
      </c>
      <c r="F34" s="10"/>
      <c r="G34" s="10" t="s">
        <v>624</v>
      </c>
      <c r="H34" s="10" t="s">
        <v>299</v>
      </c>
      <c r="I34" s="48" t="s">
        <v>196</v>
      </c>
      <c r="J34" s="48" t="s">
        <v>196</v>
      </c>
      <c r="K34" s="49" t="s">
        <v>197</v>
      </c>
      <c r="L34" s="48" t="s">
        <v>196</v>
      </c>
      <c r="M34" s="48" t="s">
        <v>196</v>
      </c>
      <c r="N34" s="79" t="s">
        <v>223</v>
      </c>
      <c r="O34" s="48" t="s">
        <v>196</v>
      </c>
      <c r="P34" s="50" t="s">
        <v>37</v>
      </c>
      <c r="Q34" s="50" t="s">
        <v>37</v>
      </c>
      <c r="R34" s="79" t="s">
        <v>223</v>
      </c>
      <c r="S34" s="52" t="s">
        <v>37</v>
      </c>
      <c r="T34" s="53" t="s">
        <v>196</v>
      </c>
      <c r="U34" s="52" t="s">
        <v>37</v>
      </c>
      <c r="V34" s="53" t="s">
        <v>223</v>
      </c>
      <c r="W34" s="54" t="str">
        <f>IF('⚙ OFF Weekends'!$D$18="OFF","OFF","")</f>
        <v>OFF</v>
      </c>
      <c r="X34" s="53" t="s">
        <v>37</v>
      </c>
      <c r="Y34" s="52" t="s">
        <v>37</v>
      </c>
      <c r="Z34" s="53" t="s">
        <v>37</v>
      </c>
      <c r="AA34" s="52" t="s">
        <v>223</v>
      </c>
      <c r="AB34" s="53" t="s">
        <v>223</v>
      </c>
      <c r="AC34" s="54" t="str">
        <f>IF('⚙ OFF Weekends'!$D$24="OFF","OFF","")</f>
        <v/>
      </c>
      <c r="AD34" s="56" t="str">
        <f>IF('⚙ OFF Weekends'!$D$25="OFF","OFF","")</f>
        <v/>
      </c>
      <c r="AE34" s="54" t="str">
        <f>IF('⚙ OFF Weekends'!$D$26="OFF","OFF","")</f>
        <v/>
      </c>
      <c r="AF34" s="56" t="str">
        <f>IF('⚙ OFF Weekends'!$D$27="OFF","OFF","")</f>
        <v/>
      </c>
      <c r="AG34" s="54" t="str">
        <f>IF('⚙ OFF Weekends'!$D$28="OFF","OFF","")</f>
        <v/>
      </c>
      <c r="AH34" s="56" t="str">
        <f>IF('⚙ OFF Weekends'!$D$29="OFF","OFF","")</f>
        <v/>
      </c>
      <c r="AI34" s="54" t="str">
        <f>IF('⚙ OFF Weekends'!$D$30="OFF","OFF","")</f>
        <v/>
      </c>
      <c r="AJ34" s="56" t="str">
        <f>IF('⚙ OFF Weekends'!$D$31="OFF","OFF","")</f>
        <v/>
      </c>
      <c r="AK34" s="54" t="str">
        <f>IF('⚙ OFF Weekends'!$D$32="OFF","OFF","")</f>
        <v/>
      </c>
      <c r="AL34" s="56" t="str">
        <f>IF('⚙ OFF Weekends'!$D$33="OFF","OFF","")</f>
        <v/>
      </c>
      <c r="AM34" s="54" t="str">
        <f>IF('⚙ OFF Weekends'!$D$34="OFF","OFF","")</f>
        <v/>
      </c>
      <c r="AN34" s="56" t="str">
        <f>IF('⚙ OFF Weekends'!$D$35="OFF","OFF","")</f>
        <v/>
      </c>
      <c r="AO34" s="54" t="str">
        <f>IF('⚙ OFF Weekends'!$D$36="OFF","OFF","")</f>
        <v/>
      </c>
      <c r="AP34" s="56" t="str">
        <f>IF('⚙ OFF Weekends'!$D$37="OFF","OFF","")</f>
        <v/>
      </c>
      <c r="AQ34" s="54" t="str">
        <f>IF('⚙ OFF Weekends'!$D$38="OFF","OFF","")</f>
        <v/>
      </c>
      <c r="AR34" s="56" t="str">
        <f>IF('⚙ OFF Weekends'!$D$39="OFF","OFF","")</f>
        <v/>
      </c>
      <c r="AS34" s="54" t="str">
        <f>IF('⚙ OFF Weekends'!$D$40="OFF","OFF","")</f>
        <v/>
      </c>
      <c r="AT34" s="56" t="str">
        <f>IF('⚙ OFF Weekends'!$D$41="OFF","OFF","")</f>
        <v/>
      </c>
      <c r="AU34" s="54" t="str">
        <f>IF('⚙ OFF Weekends'!$D$42="OFF","OFF","")</f>
        <v/>
      </c>
      <c r="AV34" s="56" t="str">
        <f>IF('⚙ OFF Weekends'!$D$43="OFF","OFF","")</f>
        <v/>
      </c>
      <c r="AW34" s="54" t="str">
        <f>IF('⚙ OFF Weekends'!$D$44="OFF","OFF","")</f>
        <v/>
      </c>
      <c r="AX34" s="56" t="str">
        <f>IF('⚙ OFF Weekends'!$D$45="OFF","OFF","")</f>
        <v/>
      </c>
      <c r="AY34" s="54" t="str">
        <f>IF('⚙ OFF Weekends'!$D$46="OFF","OFF","")</f>
        <v/>
      </c>
      <c r="AZ34" s="56" t="str">
        <f>IF('⚙ OFF Weekends'!$D$47="OFF","OFF","")</f>
        <v/>
      </c>
      <c r="BA34" s="54" t="str">
        <f>IF('⚙ OFF Weekends'!$D$48="OFF","OFF","")</f>
        <v/>
      </c>
      <c r="BB34" s="56" t="str">
        <f>IF('⚙ OFF Weekends'!$D$49="OFF","OFF","")</f>
        <v/>
      </c>
      <c r="BC34" s="54" t="str">
        <f>IF('⚙ OFF Weekends'!$D$50="OFF","OFF","")</f>
        <v/>
      </c>
      <c r="BD34" s="56" t="str">
        <f>IF('⚙ OFF Weekends'!$D$51="OFF","OFF","")</f>
        <v/>
      </c>
      <c r="BE34" s="54" t="str">
        <f>IF('⚙ OFF Weekends'!$D$52="OFF","OFF","")</f>
        <v/>
      </c>
      <c r="BF34" s="56" t="str">
        <f>IF('⚙ OFF Weekends'!$D$53="OFF","OFF","")</f>
        <v/>
      </c>
      <c r="BG34" s="54" t="str">
        <f>IF('⚙ OFF Weekends'!$D$54="OFF","OFF","")</f>
        <v/>
      </c>
      <c r="BH34" s="56" t="str">
        <f>IF('⚙ OFF Weekends'!$D$55="OFF","OFF","")</f>
        <v/>
      </c>
      <c r="BI34" s="54" t="str">
        <f>IF('⚙ OFF Weekends'!$D$56="OFF","OFF","")</f>
        <v/>
      </c>
      <c r="BJ34" s="56" t="str">
        <f>IF('⚙ OFF Weekends'!$D$57="OFF","OFF","")</f>
        <v/>
      </c>
      <c r="BK34" s="54" t="str">
        <f>IF('⚙ OFF Weekends'!$D$58="OFF","OFF","")</f>
        <v/>
      </c>
      <c r="BL34" s="56" t="str">
        <f>IF('⚙ OFF Weekends'!$D$59="OFF","OFF","")</f>
        <v/>
      </c>
      <c r="BM34" s="54" t="str">
        <f>IF('⚙ OFF Weekends'!$D$60="OFF","OFF","")</f>
        <v/>
      </c>
      <c r="BN34" s="56" t="str">
        <f>IF('⚙ OFF Weekends'!$D$61="OFF","OFF","")</f>
        <v/>
      </c>
      <c r="BO34" s="54" t="str">
        <f>IF('⚙ OFF Weekends'!$D$62="OFF","OFF","")</f>
        <v/>
      </c>
      <c r="BP34" s="56" t="str">
        <f>IF('⚙ OFF Weekends'!$D$63="OFF","OFF","")</f>
        <v/>
      </c>
      <c r="BQ34" s="54" t="str">
        <f>IF('⚙ OFF Weekends'!$D$64="OFF","OFF","")</f>
        <v/>
      </c>
      <c r="BR34" s="56" t="str">
        <f>IF('⚙ OFF Weekends'!$D$65="OFF","OFF","")</f>
        <v/>
      </c>
      <c r="BS34" s="54" t="str">
        <f>IF('⚙ OFF Weekends'!$D$66="OFF","OFF","")</f>
        <v/>
      </c>
      <c r="BT34" s="56" t="str">
        <f>IF('⚙ OFF Weekends'!$D$67="OFF","OFF","")</f>
        <v/>
      </c>
      <c r="BU34" s="54" t="str">
        <f>IF('⚙ OFF Weekends'!$D$68="OFF","OFF","")</f>
        <v/>
      </c>
      <c r="BV34" s="56" t="str">
        <f>IF('⚙ OFF Weekends'!$D$69="OFF","OFF","")</f>
        <v/>
      </c>
      <c r="BW34" s="54" t="str">
        <f>IF('⚙ OFF Weekends'!$D$70="OFF","OFF","")</f>
        <v/>
      </c>
      <c r="BX34" s="56" t="str">
        <f>IF('⚙ OFF Weekends'!$D$71="OFF","OFF","")</f>
        <v/>
      </c>
      <c r="BY34" s="54" t="str">
        <f>IF('⚙ OFF Weekends'!$D$72="OFF","OFF","")</f>
        <v/>
      </c>
      <c r="BZ34" s="56" t="str">
        <f>IF('⚙ OFF Weekends'!$D$73="OFF","OFF","")</f>
        <v/>
      </c>
      <c r="CA34" s="54" t="str">
        <f>IF('⚙ OFF Weekends'!$D$74="OFF","OFF","")</f>
        <v/>
      </c>
      <c r="CB34" s="56" t="str">
        <f>IF('⚙ OFF Weekends'!$D$75="OFF","OFF","")</f>
        <v/>
      </c>
      <c r="CC34" s="54" t="str">
        <f>IF('⚙ OFF Weekends'!$D$76="OFF","OFF","")</f>
        <v/>
      </c>
      <c r="CD34" s="56" t="str">
        <f>IF('⚙ OFF Weekends'!$D$77="OFF","OFF","")</f>
        <v/>
      </c>
      <c r="CE34" s="95">
        <f t="shared" si="9"/>
        <v>13</v>
      </c>
      <c r="CF34" s="95">
        <f t="shared" si="10"/>
        <v>5</v>
      </c>
      <c r="CG34" s="95">
        <f t="shared" si="11"/>
        <v>0</v>
      </c>
      <c r="CH34" s="95" t="str">
        <f t="shared" si="12"/>
        <v>72%</v>
      </c>
    </row>
    <row r="35" ht="18.0" customHeight="1">
      <c r="A35" s="96">
        <v>18.0</v>
      </c>
      <c r="B35" s="22" t="s">
        <v>845</v>
      </c>
      <c r="C35" s="23"/>
      <c r="D35" s="24" t="str">
        <f t="shared" si="7"/>
        <v/>
      </c>
      <c r="E35" s="26" t="str">
        <f t="shared" si="8"/>
        <v/>
      </c>
      <c r="F35" s="20"/>
      <c r="G35" s="20"/>
      <c r="H35" s="20"/>
      <c r="I35" s="54" t="str">
        <f>IF('⚙ OFF Weekends'!$D$4="OFF","OFF","")</f>
        <v/>
      </c>
      <c r="J35" s="56" t="str">
        <f>IF('⚙ OFF Weekends'!$D$5="OFF","OFF","")</f>
        <v/>
      </c>
      <c r="K35" s="49" t="s">
        <v>197</v>
      </c>
      <c r="L35" s="56" t="str">
        <f>IF('⚙ OFF Weekends'!$D$7="OFF","OFF","")</f>
        <v/>
      </c>
      <c r="M35" s="54" t="str">
        <f>IF('⚙ OFF Weekends'!$D$8="OFF","OFF","")</f>
        <v/>
      </c>
      <c r="N35" s="48" t="s">
        <v>196</v>
      </c>
      <c r="O35" s="79" t="s">
        <v>223</v>
      </c>
      <c r="P35" s="79" t="s">
        <v>223</v>
      </c>
      <c r="Q35" s="50" t="s">
        <v>37</v>
      </c>
      <c r="R35" s="50" t="s">
        <v>37</v>
      </c>
      <c r="S35" s="52" t="s">
        <v>37</v>
      </c>
      <c r="T35" s="53" t="s">
        <v>223</v>
      </c>
      <c r="U35" s="52" t="s">
        <v>37</v>
      </c>
      <c r="V35" s="53" t="s">
        <v>37</v>
      </c>
      <c r="W35" s="54" t="str">
        <f>IF('⚙ OFF Weekends'!$D$18="OFF","OFF","")</f>
        <v>OFF</v>
      </c>
      <c r="X35" s="53" t="s">
        <v>37</v>
      </c>
      <c r="Y35" s="52" t="s">
        <v>37</v>
      </c>
      <c r="Z35" s="53" t="s">
        <v>196</v>
      </c>
      <c r="AA35" s="52" t="s">
        <v>223</v>
      </c>
      <c r="AB35" s="53" t="s">
        <v>37</v>
      </c>
      <c r="AC35" s="54" t="str">
        <f>IF('⚙ OFF Weekends'!$D$24="OFF","OFF","")</f>
        <v/>
      </c>
      <c r="AD35" s="56" t="str">
        <f>IF('⚙ OFF Weekends'!$D$25="OFF","OFF","")</f>
        <v/>
      </c>
      <c r="AE35" s="54" t="str">
        <f>IF('⚙ OFF Weekends'!$D$26="OFF","OFF","")</f>
        <v/>
      </c>
      <c r="AF35" s="56" t="str">
        <f>IF('⚙ OFF Weekends'!$D$27="OFF","OFF","")</f>
        <v/>
      </c>
      <c r="AG35" s="54" t="str">
        <f>IF('⚙ OFF Weekends'!$D$28="OFF","OFF","")</f>
        <v/>
      </c>
      <c r="AH35" s="56" t="str">
        <f>IF('⚙ OFF Weekends'!$D$29="OFF","OFF","")</f>
        <v/>
      </c>
      <c r="AI35" s="54" t="str">
        <f>IF('⚙ OFF Weekends'!$D$30="OFF","OFF","")</f>
        <v/>
      </c>
      <c r="AJ35" s="56" t="str">
        <f>IF('⚙ OFF Weekends'!$D$31="OFF","OFF","")</f>
        <v/>
      </c>
      <c r="AK35" s="54" t="str">
        <f>IF('⚙ OFF Weekends'!$D$32="OFF","OFF","")</f>
        <v/>
      </c>
      <c r="AL35" s="56" t="str">
        <f>IF('⚙ OFF Weekends'!$D$33="OFF","OFF","")</f>
        <v/>
      </c>
      <c r="AM35" s="54" t="str">
        <f>IF('⚙ OFF Weekends'!$D$34="OFF","OFF","")</f>
        <v/>
      </c>
      <c r="AN35" s="56" t="str">
        <f>IF('⚙ OFF Weekends'!$D$35="OFF","OFF","")</f>
        <v/>
      </c>
      <c r="AO35" s="54" t="str">
        <f>IF('⚙ OFF Weekends'!$D$36="OFF","OFF","")</f>
        <v/>
      </c>
      <c r="AP35" s="56" t="str">
        <f>IF('⚙ OFF Weekends'!$D$37="OFF","OFF","")</f>
        <v/>
      </c>
      <c r="AQ35" s="54" t="str">
        <f>IF('⚙ OFF Weekends'!$D$38="OFF","OFF","")</f>
        <v/>
      </c>
      <c r="AR35" s="56" t="str">
        <f>IF('⚙ OFF Weekends'!$D$39="OFF","OFF","")</f>
        <v/>
      </c>
      <c r="AS35" s="54" t="str">
        <f>IF('⚙ OFF Weekends'!$D$40="OFF","OFF","")</f>
        <v/>
      </c>
      <c r="AT35" s="56" t="str">
        <f>IF('⚙ OFF Weekends'!$D$41="OFF","OFF","")</f>
        <v/>
      </c>
      <c r="AU35" s="54" t="str">
        <f>IF('⚙ OFF Weekends'!$D$42="OFF","OFF","")</f>
        <v/>
      </c>
      <c r="AV35" s="56" t="str">
        <f>IF('⚙ OFF Weekends'!$D$43="OFF","OFF","")</f>
        <v/>
      </c>
      <c r="AW35" s="54" t="str">
        <f>IF('⚙ OFF Weekends'!$D$44="OFF","OFF","")</f>
        <v/>
      </c>
      <c r="AX35" s="56" t="str">
        <f>IF('⚙ OFF Weekends'!$D$45="OFF","OFF","")</f>
        <v/>
      </c>
      <c r="AY35" s="54" t="str">
        <f>IF('⚙ OFF Weekends'!$D$46="OFF","OFF","")</f>
        <v/>
      </c>
      <c r="AZ35" s="56" t="str">
        <f>IF('⚙ OFF Weekends'!$D$47="OFF","OFF","")</f>
        <v/>
      </c>
      <c r="BA35" s="54" t="str">
        <f>IF('⚙ OFF Weekends'!$D$48="OFF","OFF","")</f>
        <v/>
      </c>
      <c r="BB35" s="56" t="str">
        <f>IF('⚙ OFF Weekends'!$D$49="OFF","OFF","")</f>
        <v/>
      </c>
      <c r="BC35" s="54" t="str">
        <f>IF('⚙ OFF Weekends'!$D$50="OFF","OFF","")</f>
        <v/>
      </c>
      <c r="BD35" s="56" t="str">
        <f>IF('⚙ OFF Weekends'!$D$51="OFF","OFF","")</f>
        <v/>
      </c>
      <c r="BE35" s="54" t="str">
        <f>IF('⚙ OFF Weekends'!$D$52="OFF","OFF","")</f>
        <v/>
      </c>
      <c r="BF35" s="56" t="str">
        <f>IF('⚙ OFF Weekends'!$D$53="OFF","OFF","")</f>
        <v/>
      </c>
      <c r="BG35" s="54" t="str">
        <f>IF('⚙ OFF Weekends'!$D$54="OFF","OFF","")</f>
        <v/>
      </c>
      <c r="BH35" s="56" t="str">
        <f>IF('⚙ OFF Weekends'!$D$55="OFF","OFF","")</f>
        <v/>
      </c>
      <c r="BI35" s="54" t="str">
        <f>IF('⚙ OFF Weekends'!$D$56="OFF","OFF","")</f>
        <v/>
      </c>
      <c r="BJ35" s="56" t="str">
        <f>IF('⚙ OFF Weekends'!$D$57="OFF","OFF","")</f>
        <v/>
      </c>
      <c r="BK35" s="54" t="str">
        <f>IF('⚙ OFF Weekends'!$D$58="OFF","OFF","")</f>
        <v/>
      </c>
      <c r="BL35" s="56" t="str">
        <f>IF('⚙ OFF Weekends'!$D$59="OFF","OFF","")</f>
        <v/>
      </c>
      <c r="BM35" s="54" t="str">
        <f>IF('⚙ OFF Weekends'!$D$60="OFF","OFF","")</f>
        <v/>
      </c>
      <c r="BN35" s="56" t="str">
        <f>IF('⚙ OFF Weekends'!$D$61="OFF","OFF","")</f>
        <v/>
      </c>
      <c r="BO35" s="54" t="str">
        <f>IF('⚙ OFF Weekends'!$D$62="OFF","OFF","")</f>
        <v/>
      </c>
      <c r="BP35" s="56" t="str">
        <f>IF('⚙ OFF Weekends'!$D$63="OFF","OFF","")</f>
        <v/>
      </c>
      <c r="BQ35" s="54" t="str">
        <f>IF('⚙ OFF Weekends'!$D$64="OFF","OFF","")</f>
        <v/>
      </c>
      <c r="BR35" s="56" t="str">
        <f>IF('⚙ OFF Weekends'!$D$65="OFF","OFF","")</f>
        <v/>
      </c>
      <c r="BS35" s="54" t="str">
        <f>IF('⚙ OFF Weekends'!$D$66="OFF","OFF","")</f>
        <v/>
      </c>
      <c r="BT35" s="56" t="str">
        <f>IF('⚙ OFF Weekends'!$D$67="OFF","OFF","")</f>
        <v/>
      </c>
      <c r="BU35" s="54" t="str">
        <f>IF('⚙ OFF Weekends'!$D$68="OFF","OFF","")</f>
        <v/>
      </c>
      <c r="BV35" s="56" t="str">
        <f>IF('⚙ OFF Weekends'!$D$69="OFF","OFF","")</f>
        <v/>
      </c>
      <c r="BW35" s="54" t="str">
        <f>IF('⚙ OFF Weekends'!$D$70="OFF","OFF","")</f>
        <v/>
      </c>
      <c r="BX35" s="56" t="str">
        <f>IF('⚙ OFF Weekends'!$D$71="OFF","OFF","")</f>
        <v/>
      </c>
      <c r="BY35" s="54" t="str">
        <f>IF('⚙ OFF Weekends'!$D$72="OFF","OFF","")</f>
        <v/>
      </c>
      <c r="BZ35" s="56" t="str">
        <f>IF('⚙ OFF Weekends'!$D$73="OFF","OFF","")</f>
        <v/>
      </c>
      <c r="CA35" s="54" t="str">
        <f>IF('⚙ OFF Weekends'!$D$74="OFF","OFF","")</f>
        <v/>
      </c>
      <c r="CB35" s="56" t="str">
        <f>IF('⚙ OFF Weekends'!$D$75="OFF","OFF","")</f>
        <v/>
      </c>
      <c r="CC35" s="54" t="str">
        <f>IF('⚙ OFF Weekends'!$D$76="OFF","OFF","")</f>
        <v/>
      </c>
      <c r="CD35" s="56" t="str">
        <f>IF('⚙ OFF Weekends'!$D$77="OFF","OFF","")</f>
        <v/>
      </c>
      <c r="CE35" s="96">
        <f t="shared" si="9"/>
        <v>10</v>
      </c>
      <c r="CF35" s="96">
        <f t="shared" si="10"/>
        <v>4</v>
      </c>
      <c r="CG35" s="96">
        <f t="shared" si="11"/>
        <v>0</v>
      </c>
      <c r="CH35" s="96" t="str">
        <f t="shared" si="12"/>
        <v>71%</v>
      </c>
    </row>
    <row r="36" ht="18.0" customHeight="1">
      <c r="A36" s="107">
        <v>19.0</v>
      </c>
      <c r="B36" s="144" t="s">
        <v>410</v>
      </c>
      <c r="C36" s="108"/>
      <c r="D36" s="109" t="str">
        <f t="shared" si="7"/>
        <v/>
      </c>
      <c r="E36" s="110" t="str">
        <f t="shared" si="8"/>
        <v/>
      </c>
      <c r="F36" s="108"/>
      <c r="G36" s="108"/>
      <c r="H36" s="108"/>
      <c r="I36" s="111" t="str">
        <f>IF('⚙ OFF Weekends'!$D$4="OFF","OFF","")</f>
        <v/>
      </c>
      <c r="J36" s="111" t="str">
        <f>IF('⚙ OFF Weekends'!$D$5="OFF","OFF","")</f>
        <v/>
      </c>
      <c r="K36" s="111" t="str">
        <f>IF('⚙ OFF Weekends'!$D$6="OFF","OFF","")</f>
        <v/>
      </c>
      <c r="L36" s="111" t="str">
        <f>IF('⚙ OFF Weekends'!$D$7="OFF","OFF","")</f>
        <v/>
      </c>
      <c r="M36" s="111" t="str">
        <f>IF('⚙ OFF Weekends'!$D$8="OFF","OFF","")</f>
        <v/>
      </c>
      <c r="N36" s="111" t="str">
        <f>IF('⚙ OFF Weekends'!$D$9="OFF","OFF","")</f>
        <v/>
      </c>
      <c r="O36" s="111" t="str">
        <f>IF('⚙ OFF Weekends'!$D$10="OFF","OFF","")</f>
        <v/>
      </c>
      <c r="P36" s="111" t="str">
        <f>IF('⚙ OFF Weekends'!$D$11="OFF","OFF","")</f>
        <v/>
      </c>
      <c r="Q36" s="111" t="str">
        <f>IF('⚙ OFF Weekends'!$D$12="OFF","OFF","")</f>
        <v/>
      </c>
      <c r="R36" s="111" t="str">
        <f>IF('⚙ OFF Weekends'!$D$13="OFF","OFF","")</f>
        <v/>
      </c>
      <c r="S36" s="111" t="str">
        <f>IF('⚙ OFF Weekends'!$D$14="OFF","OFF","")</f>
        <v/>
      </c>
      <c r="T36" s="111" t="str">
        <f>IF('⚙ OFF Weekends'!$D$15="OFF","OFF","")</f>
        <v/>
      </c>
      <c r="U36" s="111" t="str">
        <f>IF('⚙ OFF Weekends'!$D$16="OFF","OFF","")</f>
        <v/>
      </c>
      <c r="V36" s="111" t="str">
        <f>IF('⚙ OFF Weekends'!$D$17="OFF","OFF","")</f>
        <v/>
      </c>
      <c r="W36" s="111" t="str">
        <f>IF('⚙ OFF Weekends'!$D$18="OFF","OFF","")</f>
        <v>OFF</v>
      </c>
      <c r="X36" s="111" t="str">
        <f>IF('⚙ OFF Weekends'!$D$19="OFF","OFF","")</f>
        <v/>
      </c>
      <c r="Y36" s="121" t="s">
        <v>196</v>
      </c>
      <c r="Z36" s="121" t="s">
        <v>37</v>
      </c>
      <c r="AA36" s="121" t="s">
        <v>223</v>
      </c>
      <c r="AB36" s="121" t="s">
        <v>223</v>
      </c>
      <c r="AC36" s="111" t="str">
        <f>IF('⚙ OFF Weekends'!$D$24="OFF","OFF","")</f>
        <v/>
      </c>
      <c r="AD36" s="111" t="str">
        <f>IF('⚙ OFF Weekends'!$D$25="OFF","OFF","")</f>
        <v/>
      </c>
      <c r="AE36" s="111" t="str">
        <f>IF('⚙ OFF Weekends'!$D$26="OFF","OFF","")</f>
        <v/>
      </c>
      <c r="AF36" s="111" t="str">
        <f>IF('⚙ OFF Weekends'!$D$27="OFF","OFF","")</f>
        <v/>
      </c>
      <c r="AG36" s="111" t="str">
        <f>IF('⚙ OFF Weekends'!$D$28="OFF","OFF","")</f>
        <v/>
      </c>
      <c r="AH36" s="111" t="str">
        <f>IF('⚙ OFF Weekends'!$D$29="OFF","OFF","")</f>
        <v/>
      </c>
      <c r="AI36" s="111" t="str">
        <f>IF('⚙ OFF Weekends'!$D$30="OFF","OFF","")</f>
        <v/>
      </c>
      <c r="AJ36" s="111" t="str">
        <f>IF('⚙ OFF Weekends'!$D$31="OFF","OFF","")</f>
        <v/>
      </c>
      <c r="AK36" s="111" t="str">
        <f>IF('⚙ OFF Weekends'!$D$32="OFF","OFF","")</f>
        <v/>
      </c>
      <c r="AL36" s="111" t="str">
        <f>IF('⚙ OFF Weekends'!$D$33="OFF","OFF","")</f>
        <v/>
      </c>
      <c r="AM36" s="111" t="str">
        <f>IF('⚙ OFF Weekends'!$D$34="OFF","OFF","")</f>
        <v/>
      </c>
      <c r="AN36" s="111" t="str">
        <f>IF('⚙ OFF Weekends'!$D$35="OFF","OFF","")</f>
        <v/>
      </c>
      <c r="AO36" s="111" t="str">
        <f>IF('⚙ OFF Weekends'!$D$36="OFF","OFF","")</f>
        <v/>
      </c>
      <c r="AP36" s="111" t="str">
        <f>IF('⚙ OFF Weekends'!$D$37="OFF","OFF","")</f>
        <v/>
      </c>
      <c r="AQ36" s="111" t="str">
        <f>IF('⚙ OFF Weekends'!$D$38="OFF","OFF","")</f>
        <v/>
      </c>
      <c r="AR36" s="111" t="str">
        <f>IF('⚙ OFF Weekends'!$D$39="OFF","OFF","")</f>
        <v/>
      </c>
      <c r="AS36" s="111" t="str">
        <f>IF('⚙ OFF Weekends'!$D$40="OFF","OFF","")</f>
        <v/>
      </c>
      <c r="AT36" s="111" t="str">
        <f>IF('⚙ OFF Weekends'!$D$41="OFF","OFF","")</f>
        <v/>
      </c>
      <c r="AU36" s="111" t="str">
        <f>IF('⚙ OFF Weekends'!$D$42="OFF","OFF","")</f>
        <v/>
      </c>
      <c r="AV36" s="111" t="str">
        <f>IF('⚙ OFF Weekends'!$D$43="OFF","OFF","")</f>
        <v/>
      </c>
      <c r="AW36" s="111" t="str">
        <f>IF('⚙ OFF Weekends'!$D$44="OFF","OFF","")</f>
        <v/>
      </c>
      <c r="AX36" s="111" t="str">
        <f>IF('⚙ OFF Weekends'!$D$45="OFF","OFF","")</f>
        <v/>
      </c>
      <c r="AY36" s="111" t="str">
        <f>IF('⚙ OFF Weekends'!$D$46="OFF","OFF","")</f>
        <v/>
      </c>
      <c r="AZ36" s="111" t="str">
        <f>IF('⚙ OFF Weekends'!$D$47="OFF","OFF","")</f>
        <v/>
      </c>
      <c r="BA36" s="111" t="str">
        <f>IF('⚙ OFF Weekends'!$D$48="OFF","OFF","")</f>
        <v/>
      </c>
      <c r="BB36" s="111" t="str">
        <f>IF('⚙ OFF Weekends'!$D$49="OFF","OFF","")</f>
        <v/>
      </c>
      <c r="BC36" s="111" t="str">
        <f>IF('⚙ OFF Weekends'!$D$50="OFF","OFF","")</f>
        <v/>
      </c>
      <c r="BD36" s="111" t="str">
        <f>IF('⚙ OFF Weekends'!$D$51="OFF","OFF","")</f>
        <v/>
      </c>
      <c r="BE36" s="111" t="str">
        <f>IF('⚙ OFF Weekends'!$D$52="OFF","OFF","")</f>
        <v/>
      </c>
      <c r="BF36" s="111" t="str">
        <f>IF('⚙ OFF Weekends'!$D$53="OFF","OFF","")</f>
        <v/>
      </c>
      <c r="BG36" s="111" t="str">
        <f>IF('⚙ OFF Weekends'!$D$54="OFF","OFF","")</f>
        <v/>
      </c>
      <c r="BH36" s="111" t="str">
        <f>IF('⚙ OFF Weekends'!$D$55="OFF","OFF","")</f>
        <v/>
      </c>
      <c r="BI36" s="111" t="str">
        <f>IF('⚙ OFF Weekends'!$D$56="OFF","OFF","")</f>
        <v/>
      </c>
      <c r="BJ36" s="111" t="str">
        <f>IF('⚙ OFF Weekends'!$D$57="OFF","OFF","")</f>
        <v/>
      </c>
      <c r="BK36" s="111" t="str">
        <f>IF('⚙ OFF Weekends'!$D$58="OFF","OFF","")</f>
        <v/>
      </c>
      <c r="BL36" s="111" t="str">
        <f>IF('⚙ OFF Weekends'!$D$59="OFF","OFF","")</f>
        <v/>
      </c>
      <c r="BM36" s="111" t="str">
        <f>IF('⚙ OFF Weekends'!$D$60="OFF","OFF","")</f>
        <v/>
      </c>
      <c r="BN36" s="111" t="str">
        <f>IF('⚙ OFF Weekends'!$D$61="OFF","OFF","")</f>
        <v/>
      </c>
      <c r="BO36" s="111" t="str">
        <f>IF('⚙ OFF Weekends'!$D$62="OFF","OFF","")</f>
        <v/>
      </c>
      <c r="BP36" s="111" t="str">
        <f>IF('⚙ OFF Weekends'!$D$63="OFF","OFF","")</f>
        <v/>
      </c>
      <c r="BQ36" s="111" t="str">
        <f>IF('⚙ OFF Weekends'!$D$64="OFF","OFF","")</f>
        <v/>
      </c>
      <c r="BR36" s="111" t="str">
        <f>IF('⚙ OFF Weekends'!$D$65="OFF","OFF","")</f>
        <v/>
      </c>
      <c r="BS36" s="111" t="str">
        <f>IF('⚙ OFF Weekends'!$D$66="OFF","OFF","")</f>
        <v/>
      </c>
      <c r="BT36" s="111" t="str">
        <f>IF('⚙ OFF Weekends'!$D$67="OFF","OFF","")</f>
        <v/>
      </c>
      <c r="BU36" s="111" t="str">
        <f>IF('⚙ OFF Weekends'!$D$68="OFF","OFF","")</f>
        <v/>
      </c>
      <c r="BV36" s="111" t="str">
        <f>IF('⚙ OFF Weekends'!$D$69="OFF","OFF","")</f>
        <v/>
      </c>
      <c r="BW36" s="111" t="str">
        <f>IF('⚙ OFF Weekends'!$D$70="OFF","OFF","")</f>
        <v/>
      </c>
      <c r="BX36" s="111" t="str">
        <f>IF('⚙ OFF Weekends'!$D$71="OFF","OFF","")</f>
        <v/>
      </c>
      <c r="BY36" s="111" t="str">
        <f>IF('⚙ OFF Weekends'!$D$72="OFF","OFF","")</f>
        <v/>
      </c>
      <c r="BZ36" s="111" t="str">
        <f>IF('⚙ OFF Weekends'!$D$73="OFF","OFF","")</f>
        <v/>
      </c>
      <c r="CA36" s="111" t="str">
        <f>IF('⚙ OFF Weekends'!$D$74="OFF","OFF","")</f>
        <v/>
      </c>
      <c r="CB36" s="111" t="str">
        <f>IF('⚙ OFF Weekends'!$D$75="OFF","OFF","")</f>
        <v/>
      </c>
      <c r="CC36" s="111" t="str">
        <f>IF('⚙ OFF Weekends'!$D$76="OFF","OFF","")</f>
        <v/>
      </c>
      <c r="CD36" s="111" t="str">
        <f>IF('⚙ OFF Weekends'!$D$77="OFF","OFF","")</f>
        <v/>
      </c>
      <c r="CE36" s="112">
        <f t="shared" si="9"/>
        <v>2</v>
      </c>
      <c r="CF36" s="112">
        <f t="shared" si="10"/>
        <v>2</v>
      </c>
      <c r="CG36" s="112">
        <f t="shared" si="11"/>
        <v>0</v>
      </c>
      <c r="CH36" s="112" t="str">
        <f t="shared" si="12"/>
        <v>50%</v>
      </c>
    </row>
    <row r="37" ht="18.0" customHeight="1">
      <c r="A37" s="107">
        <v>20.0</v>
      </c>
      <c r="B37" s="144" t="s">
        <v>886</v>
      </c>
      <c r="C37" s="108"/>
      <c r="D37" s="109" t="str">
        <f t="shared" si="7"/>
        <v/>
      </c>
      <c r="E37" s="110" t="str">
        <f t="shared" si="8"/>
        <v/>
      </c>
      <c r="F37" s="108"/>
      <c r="G37" s="108"/>
      <c r="H37" s="108"/>
      <c r="I37" s="111" t="str">
        <f>IF('⚙ OFF Weekends'!$D$4="OFF","OFF","")</f>
        <v/>
      </c>
      <c r="J37" s="111" t="str">
        <f>IF('⚙ OFF Weekends'!$D$5="OFF","OFF","")</f>
        <v/>
      </c>
      <c r="K37" s="111" t="str">
        <f>IF('⚙ OFF Weekends'!$D$6="OFF","OFF","")</f>
        <v/>
      </c>
      <c r="L37" s="111" t="str">
        <f>IF('⚙ OFF Weekends'!$D$7="OFF","OFF","")</f>
        <v/>
      </c>
      <c r="M37" s="111" t="str">
        <f>IF('⚙ OFF Weekends'!$D$8="OFF","OFF","")</f>
        <v/>
      </c>
      <c r="N37" s="111" t="str">
        <f>IF('⚙ OFF Weekends'!$D$9="OFF","OFF","")</f>
        <v/>
      </c>
      <c r="O37" s="111" t="str">
        <f>IF('⚙ OFF Weekends'!$D$10="OFF","OFF","")</f>
        <v/>
      </c>
      <c r="P37" s="111" t="str">
        <f>IF('⚙ OFF Weekends'!$D$11="OFF","OFF","")</f>
        <v/>
      </c>
      <c r="Q37" s="111" t="str">
        <f>IF('⚙ OFF Weekends'!$D$12="OFF","OFF","")</f>
        <v/>
      </c>
      <c r="R37" s="111" t="str">
        <f>IF('⚙ OFF Weekends'!$D$13="OFF","OFF","")</f>
        <v/>
      </c>
      <c r="S37" s="111" t="str">
        <f>IF('⚙ OFF Weekends'!$D$14="OFF","OFF","")</f>
        <v/>
      </c>
      <c r="T37" s="111" t="str">
        <f>IF('⚙ OFF Weekends'!$D$15="OFF","OFF","")</f>
        <v/>
      </c>
      <c r="U37" s="111" t="str">
        <f>IF('⚙ OFF Weekends'!$D$16="OFF","OFF","")</f>
        <v/>
      </c>
      <c r="V37" s="111" t="str">
        <f>IF('⚙ OFF Weekends'!$D$17="OFF","OFF","")</f>
        <v/>
      </c>
      <c r="W37" s="111" t="str">
        <f>IF('⚙ OFF Weekends'!$D$18="OFF","OFF","")</f>
        <v>OFF</v>
      </c>
      <c r="X37" s="111" t="str">
        <f>IF('⚙ OFF Weekends'!$D$19="OFF","OFF","")</f>
        <v/>
      </c>
      <c r="Y37" s="111" t="str">
        <f>IF('⚙ OFF Weekends'!$D$20="OFF","OFF","")</f>
        <v/>
      </c>
      <c r="Z37" s="121" t="s">
        <v>196</v>
      </c>
      <c r="AA37" s="121" t="s">
        <v>37</v>
      </c>
      <c r="AB37" s="121" t="s">
        <v>37</v>
      </c>
      <c r="AC37" s="111" t="str">
        <f>IF('⚙ OFF Weekends'!$D$24="OFF","OFF","")</f>
        <v/>
      </c>
      <c r="AD37" s="111" t="str">
        <f>IF('⚙ OFF Weekends'!$D$25="OFF","OFF","")</f>
        <v/>
      </c>
      <c r="AE37" s="111" t="str">
        <f>IF('⚙ OFF Weekends'!$D$26="OFF","OFF","")</f>
        <v/>
      </c>
      <c r="AF37" s="111" t="str">
        <f>IF('⚙ OFF Weekends'!$D$27="OFF","OFF","")</f>
        <v/>
      </c>
      <c r="AG37" s="111" t="str">
        <f>IF('⚙ OFF Weekends'!$D$28="OFF","OFF","")</f>
        <v/>
      </c>
      <c r="AH37" s="111" t="str">
        <f>IF('⚙ OFF Weekends'!$D$29="OFF","OFF","")</f>
        <v/>
      </c>
      <c r="AI37" s="111" t="str">
        <f>IF('⚙ OFF Weekends'!$D$30="OFF","OFF","")</f>
        <v/>
      </c>
      <c r="AJ37" s="111" t="str">
        <f>IF('⚙ OFF Weekends'!$D$31="OFF","OFF","")</f>
        <v/>
      </c>
      <c r="AK37" s="111" t="str">
        <f>IF('⚙ OFF Weekends'!$D$32="OFF","OFF","")</f>
        <v/>
      </c>
      <c r="AL37" s="111" t="str">
        <f>IF('⚙ OFF Weekends'!$D$33="OFF","OFF","")</f>
        <v/>
      </c>
      <c r="AM37" s="111" t="str">
        <f>IF('⚙ OFF Weekends'!$D$34="OFF","OFF","")</f>
        <v/>
      </c>
      <c r="AN37" s="111" t="str">
        <f>IF('⚙ OFF Weekends'!$D$35="OFF","OFF","")</f>
        <v/>
      </c>
      <c r="AO37" s="111" t="str">
        <f>IF('⚙ OFF Weekends'!$D$36="OFF","OFF","")</f>
        <v/>
      </c>
      <c r="AP37" s="111" t="str">
        <f>IF('⚙ OFF Weekends'!$D$37="OFF","OFF","")</f>
        <v/>
      </c>
      <c r="AQ37" s="111" t="str">
        <f>IF('⚙ OFF Weekends'!$D$38="OFF","OFF","")</f>
        <v/>
      </c>
      <c r="AR37" s="111" t="str">
        <f>IF('⚙ OFF Weekends'!$D$39="OFF","OFF","")</f>
        <v/>
      </c>
      <c r="AS37" s="111" t="str">
        <f>IF('⚙ OFF Weekends'!$D$40="OFF","OFF","")</f>
        <v/>
      </c>
      <c r="AT37" s="111" t="str">
        <f>IF('⚙ OFF Weekends'!$D$41="OFF","OFF","")</f>
        <v/>
      </c>
      <c r="AU37" s="111" t="str">
        <f>IF('⚙ OFF Weekends'!$D$42="OFF","OFF","")</f>
        <v/>
      </c>
      <c r="AV37" s="111" t="str">
        <f>IF('⚙ OFF Weekends'!$D$43="OFF","OFF","")</f>
        <v/>
      </c>
      <c r="AW37" s="111" t="str">
        <f>IF('⚙ OFF Weekends'!$D$44="OFF","OFF","")</f>
        <v/>
      </c>
      <c r="AX37" s="111" t="str">
        <f>IF('⚙ OFF Weekends'!$D$45="OFF","OFF","")</f>
        <v/>
      </c>
      <c r="AY37" s="111" t="str">
        <f>IF('⚙ OFF Weekends'!$D$46="OFF","OFF","")</f>
        <v/>
      </c>
      <c r="AZ37" s="111" t="str">
        <f>IF('⚙ OFF Weekends'!$D$47="OFF","OFF","")</f>
        <v/>
      </c>
      <c r="BA37" s="111" t="str">
        <f>IF('⚙ OFF Weekends'!$D$48="OFF","OFF","")</f>
        <v/>
      </c>
      <c r="BB37" s="111" t="str">
        <f>IF('⚙ OFF Weekends'!$D$49="OFF","OFF","")</f>
        <v/>
      </c>
      <c r="BC37" s="111" t="str">
        <f>IF('⚙ OFF Weekends'!$D$50="OFF","OFF","")</f>
        <v/>
      </c>
      <c r="BD37" s="111" t="str">
        <f>IF('⚙ OFF Weekends'!$D$51="OFF","OFF","")</f>
        <v/>
      </c>
      <c r="BE37" s="111" t="str">
        <f>IF('⚙ OFF Weekends'!$D$52="OFF","OFF","")</f>
        <v/>
      </c>
      <c r="BF37" s="111" t="str">
        <f>IF('⚙ OFF Weekends'!$D$53="OFF","OFF","")</f>
        <v/>
      </c>
      <c r="BG37" s="111" t="str">
        <f>IF('⚙ OFF Weekends'!$D$54="OFF","OFF","")</f>
        <v/>
      </c>
      <c r="BH37" s="111" t="str">
        <f>IF('⚙ OFF Weekends'!$D$55="OFF","OFF","")</f>
        <v/>
      </c>
      <c r="BI37" s="111" t="str">
        <f>IF('⚙ OFF Weekends'!$D$56="OFF","OFF","")</f>
        <v/>
      </c>
      <c r="BJ37" s="111" t="str">
        <f>IF('⚙ OFF Weekends'!$D$57="OFF","OFF","")</f>
        <v/>
      </c>
      <c r="BK37" s="111" t="str">
        <f>IF('⚙ OFF Weekends'!$D$58="OFF","OFF","")</f>
        <v/>
      </c>
      <c r="BL37" s="111" t="str">
        <f>IF('⚙ OFF Weekends'!$D$59="OFF","OFF","")</f>
        <v/>
      </c>
      <c r="BM37" s="111" t="str">
        <f>IF('⚙ OFF Weekends'!$D$60="OFF","OFF","")</f>
        <v/>
      </c>
      <c r="BN37" s="111" t="str">
        <f>IF('⚙ OFF Weekends'!$D$61="OFF","OFF","")</f>
        <v/>
      </c>
      <c r="BO37" s="111" t="str">
        <f>IF('⚙ OFF Weekends'!$D$62="OFF","OFF","")</f>
        <v/>
      </c>
      <c r="BP37" s="111" t="str">
        <f>IF('⚙ OFF Weekends'!$D$63="OFF","OFF","")</f>
        <v/>
      </c>
      <c r="BQ37" s="111" t="str">
        <f>IF('⚙ OFF Weekends'!$D$64="OFF","OFF","")</f>
        <v/>
      </c>
      <c r="BR37" s="111" t="str">
        <f>IF('⚙ OFF Weekends'!$D$65="OFF","OFF","")</f>
        <v/>
      </c>
      <c r="BS37" s="111" t="str">
        <f>IF('⚙ OFF Weekends'!$D$66="OFF","OFF","")</f>
        <v/>
      </c>
      <c r="BT37" s="111" t="str">
        <f>IF('⚙ OFF Weekends'!$D$67="OFF","OFF","")</f>
        <v/>
      </c>
      <c r="BU37" s="111" t="str">
        <f>IF('⚙ OFF Weekends'!$D$68="OFF","OFF","")</f>
        <v/>
      </c>
      <c r="BV37" s="111" t="str">
        <f>IF('⚙ OFF Weekends'!$D$69="OFF","OFF","")</f>
        <v/>
      </c>
      <c r="BW37" s="111" t="str">
        <f>IF('⚙ OFF Weekends'!$D$70="OFF","OFF","")</f>
        <v/>
      </c>
      <c r="BX37" s="111" t="str">
        <f>IF('⚙ OFF Weekends'!$D$71="OFF","OFF","")</f>
        <v/>
      </c>
      <c r="BY37" s="111" t="str">
        <f>IF('⚙ OFF Weekends'!$D$72="OFF","OFF","")</f>
        <v/>
      </c>
      <c r="BZ37" s="111" t="str">
        <f>IF('⚙ OFF Weekends'!$D$73="OFF","OFF","")</f>
        <v/>
      </c>
      <c r="CA37" s="111" t="str">
        <f>IF('⚙ OFF Weekends'!$D$74="OFF","OFF","")</f>
        <v/>
      </c>
      <c r="CB37" s="111" t="str">
        <f>IF('⚙ OFF Weekends'!$D$75="OFF","OFF","")</f>
        <v/>
      </c>
      <c r="CC37" s="111" t="str">
        <f>IF('⚙ OFF Weekends'!$D$76="OFF","OFF","")</f>
        <v/>
      </c>
      <c r="CD37" s="111" t="str">
        <f>IF('⚙ OFF Weekends'!$D$77="OFF","OFF","")</f>
        <v/>
      </c>
      <c r="CE37" s="112">
        <f t="shared" si="9"/>
        <v>3</v>
      </c>
      <c r="CF37" s="112">
        <f t="shared" si="10"/>
        <v>0</v>
      </c>
      <c r="CG37" s="112">
        <f t="shared" si="11"/>
        <v>0</v>
      </c>
      <c r="CH37" s="112" t="str">
        <f t="shared" si="12"/>
        <v>100%</v>
      </c>
    </row>
    <row r="38" ht="18.0" customHeight="1">
      <c r="A38" s="107">
        <v>21.0</v>
      </c>
      <c r="B38" s="144" t="s">
        <v>892</v>
      </c>
      <c r="C38" s="108"/>
      <c r="D38" s="109" t="str">
        <f t="shared" si="7"/>
        <v/>
      </c>
      <c r="E38" s="110" t="str">
        <f t="shared" si="8"/>
        <v/>
      </c>
      <c r="F38" s="108"/>
      <c r="G38" s="108"/>
      <c r="H38" s="108"/>
      <c r="I38" s="111" t="str">
        <f>IF('⚙ OFF Weekends'!$D$4="OFF","OFF","")</f>
        <v/>
      </c>
      <c r="J38" s="111" t="str">
        <f>IF('⚙ OFF Weekends'!$D$5="OFF","OFF","")</f>
        <v/>
      </c>
      <c r="K38" s="111" t="str">
        <f>IF('⚙ OFF Weekends'!$D$6="OFF","OFF","")</f>
        <v/>
      </c>
      <c r="L38" s="111" t="str">
        <f>IF('⚙ OFF Weekends'!$D$7="OFF","OFF","")</f>
        <v/>
      </c>
      <c r="M38" s="111" t="str">
        <f>IF('⚙ OFF Weekends'!$D$8="OFF","OFF","")</f>
        <v/>
      </c>
      <c r="N38" s="111" t="str">
        <f>IF('⚙ OFF Weekends'!$D$9="OFF","OFF","")</f>
        <v/>
      </c>
      <c r="O38" s="111" t="str">
        <f>IF('⚙ OFF Weekends'!$D$10="OFF","OFF","")</f>
        <v/>
      </c>
      <c r="P38" s="111" t="str">
        <f>IF('⚙ OFF Weekends'!$D$11="OFF","OFF","")</f>
        <v/>
      </c>
      <c r="Q38" s="111" t="str">
        <f>IF('⚙ OFF Weekends'!$D$12="OFF","OFF","")</f>
        <v/>
      </c>
      <c r="R38" s="111" t="str">
        <f>IF('⚙ OFF Weekends'!$D$13="OFF","OFF","")</f>
        <v/>
      </c>
      <c r="S38" s="111" t="str">
        <f>IF('⚙ OFF Weekends'!$D$14="OFF","OFF","")</f>
        <v/>
      </c>
      <c r="T38" s="111" t="str">
        <f>IF('⚙ OFF Weekends'!$D$15="OFF","OFF","")</f>
        <v/>
      </c>
      <c r="U38" s="111" t="str">
        <f>IF('⚙ OFF Weekends'!$D$16="OFF","OFF","")</f>
        <v/>
      </c>
      <c r="V38" s="111" t="str">
        <f>IF('⚙ OFF Weekends'!$D$17="OFF","OFF","")</f>
        <v/>
      </c>
      <c r="W38" s="111" t="str">
        <f>IF('⚙ OFF Weekends'!$D$18="OFF","OFF","")</f>
        <v>OFF</v>
      </c>
      <c r="X38" s="111" t="str">
        <f>IF('⚙ OFF Weekends'!$D$19="OFF","OFF","")</f>
        <v/>
      </c>
      <c r="Y38" s="111" t="str">
        <f>IF('⚙ OFF Weekends'!$D$20="OFF","OFF","")</f>
        <v/>
      </c>
      <c r="Z38" s="121" t="s">
        <v>196</v>
      </c>
      <c r="AA38" s="121" t="s">
        <v>223</v>
      </c>
      <c r="AB38" s="121" t="s">
        <v>37</v>
      </c>
      <c r="AC38" s="111" t="str">
        <f>IF('⚙ OFF Weekends'!$D$24="OFF","OFF","")</f>
        <v/>
      </c>
      <c r="AD38" s="111" t="str">
        <f>IF('⚙ OFF Weekends'!$D$25="OFF","OFF","")</f>
        <v/>
      </c>
      <c r="AE38" s="111" t="str">
        <f>IF('⚙ OFF Weekends'!$D$26="OFF","OFF","")</f>
        <v/>
      </c>
      <c r="AF38" s="111" t="str">
        <f>IF('⚙ OFF Weekends'!$D$27="OFF","OFF","")</f>
        <v/>
      </c>
      <c r="AG38" s="111" t="str">
        <f>IF('⚙ OFF Weekends'!$D$28="OFF","OFF","")</f>
        <v/>
      </c>
      <c r="AH38" s="111" t="str">
        <f>IF('⚙ OFF Weekends'!$D$29="OFF","OFF","")</f>
        <v/>
      </c>
      <c r="AI38" s="111" t="str">
        <f>IF('⚙ OFF Weekends'!$D$30="OFF","OFF","")</f>
        <v/>
      </c>
      <c r="AJ38" s="111" t="str">
        <f>IF('⚙ OFF Weekends'!$D$31="OFF","OFF","")</f>
        <v/>
      </c>
      <c r="AK38" s="111" t="str">
        <f>IF('⚙ OFF Weekends'!$D$32="OFF","OFF","")</f>
        <v/>
      </c>
      <c r="AL38" s="111" t="str">
        <f>IF('⚙ OFF Weekends'!$D$33="OFF","OFF","")</f>
        <v/>
      </c>
      <c r="AM38" s="111" t="str">
        <f>IF('⚙ OFF Weekends'!$D$34="OFF","OFF","")</f>
        <v/>
      </c>
      <c r="AN38" s="111" t="str">
        <f>IF('⚙ OFF Weekends'!$D$35="OFF","OFF","")</f>
        <v/>
      </c>
      <c r="AO38" s="111" t="str">
        <f>IF('⚙ OFF Weekends'!$D$36="OFF","OFF","")</f>
        <v/>
      </c>
      <c r="AP38" s="111" t="str">
        <f>IF('⚙ OFF Weekends'!$D$37="OFF","OFF","")</f>
        <v/>
      </c>
      <c r="AQ38" s="111" t="str">
        <f>IF('⚙ OFF Weekends'!$D$38="OFF","OFF","")</f>
        <v/>
      </c>
      <c r="AR38" s="111" t="str">
        <f>IF('⚙ OFF Weekends'!$D$39="OFF","OFF","")</f>
        <v/>
      </c>
      <c r="AS38" s="111" t="str">
        <f>IF('⚙ OFF Weekends'!$D$40="OFF","OFF","")</f>
        <v/>
      </c>
      <c r="AT38" s="111" t="str">
        <f>IF('⚙ OFF Weekends'!$D$41="OFF","OFF","")</f>
        <v/>
      </c>
      <c r="AU38" s="111" t="str">
        <f>IF('⚙ OFF Weekends'!$D$42="OFF","OFF","")</f>
        <v/>
      </c>
      <c r="AV38" s="111" t="str">
        <f>IF('⚙ OFF Weekends'!$D$43="OFF","OFF","")</f>
        <v/>
      </c>
      <c r="AW38" s="111" t="str">
        <f>IF('⚙ OFF Weekends'!$D$44="OFF","OFF","")</f>
        <v/>
      </c>
      <c r="AX38" s="111" t="str">
        <f>IF('⚙ OFF Weekends'!$D$45="OFF","OFF","")</f>
        <v/>
      </c>
      <c r="AY38" s="111" t="str">
        <f>IF('⚙ OFF Weekends'!$D$46="OFF","OFF","")</f>
        <v/>
      </c>
      <c r="AZ38" s="111" t="str">
        <f>IF('⚙ OFF Weekends'!$D$47="OFF","OFF","")</f>
        <v/>
      </c>
      <c r="BA38" s="111" t="str">
        <f>IF('⚙ OFF Weekends'!$D$48="OFF","OFF","")</f>
        <v/>
      </c>
      <c r="BB38" s="111" t="str">
        <f>IF('⚙ OFF Weekends'!$D$49="OFF","OFF","")</f>
        <v/>
      </c>
      <c r="BC38" s="111" t="str">
        <f>IF('⚙ OFF Weekends'!$D$50="OFF","OFF","")</f>
        <v/>
      </c>
      <c r="BD38" s="111" t="str">
        <f>IF('⚙ OFF Weekends'!$D$51="OFF","OFF","")</f>
        <v/>
      </c>
      <c r="BE38" s="111" t="str">
        <f>IF('⚙ OFF Weekends'!$D$52="OFF","OFF","")</f>
        <v/>
      </c>
      <c r="BF38" s="111" t="str">
        <f>IF('⚙ OFF Weekends'!$D$53="OFF","OFF","")</f>
        <v/>
      </c>
      <c r="BG38" s="111" t="str">
        <f>IF('⚙ OFF Weekends'!$D$54="OFF","OFF","")</f>
        <v/>
      </c>
      <c r="BH38" s="111" t="str">
        <f>IF('⚙ OFF Weekends'!$D$55="OFF","OFF","")</f>
        <v/>
      </c>
      <c r="BI38" s="111" t="str">
        <f>IF('⚙ OFF Weekends'!$D$56="OFF","OFF","")</f>
        <v/>
      </c>
      <c r="BJ38" s="111" t="str">
        <f>IF('⚙ OFF Weekends'!$D$57="OFF","OFF","")</f>
        <v/>
      </c>
      <c r="BK38" s="111" t="str">
        <f>IF('⚙ OFF Weekends'!$D$58="OFF","OFF","")</f>
        <v/>
      </c>
      <c r="BL38" s="111" t="str">
        <f>IF('⚙ OFF Weekends'!$D$59="OFF","OFF","")</f>
        <v/>
      </c>
      <c r="BM38" s="111" t="str">
        <f>IF('⚙ OFF Weekends'!$D$60="OFF","OFF","")</f>
        <v/>
      </c>
      <c r="BN38" s="111" t="str">
        <f>IF('⚙ OFF Weekends'!$D$61="OFF","OFF","")</f>
        <v/>
      </c>
      <c r="BO38" s="111" t="str">
        <f>IF('⚙ OFF Weekends'!$D$62="OFF","OFF","")</f>
        <v/>
      </c>
      <c r="BP38" s="111" t="str">
        <f>IF('⚙ OFF Weekends'!$D$63="OFF","OFF","")</f>
        <v/>
      </c>
      <c r="BQ38" s="111" t="str">
        <f>IF('⚙ OFF Weekends'!$D$64="OFF","OFF","")</f>
        <v/>
      </c>
      <c r="BR38" s="111" t="str">
        <f>IF('⚙ OFF Weekends'!$D$65="OFF","OFF","")</f>
        <v/>
      </c>
      <c r="BS38" s="111" t="str">
        <f>IF('⚙ OFF Weekends'!$D$66="OFF","OFF","")</f>
        <v/>
      </c>
      <c r="BT38" s="111" t="str">
        <f>IF('⚙ OFF Weekends'!$D$67="OFF","OFF","")</f>
        <v/>
      </c>
      <c r="BU38" s="111" t="str">
        <f>IF('⚙ OFF Weekends'!$D$68="OFF","OFF","")</f>
        <v/>
      </c>
      <c r="BV38" s="111" t="str">
        <f>IF('⚙ OFF Weekends'!$D$69="OFF","OFF","")</f>
        <v/>
      </c>
      <c r="BW38" s="111" t="str">
        <f>IF('⚙ OFF Weekends'!$D$70="OFF","OFF","")</f>
        <v/>
      </c>
      <c r="BX38" s="111" t="str">
        <f>IF('⚙ OFF Weekends'!$D$71="OFF","OFF","")</f>
        <v/>
      </c>
      <c r="BY38" s="111" t="str">
        <f>IF('⚙ OFF Weekends'!$D$72="OFF","OFF","")</f>
        <v/>
      </c>
      <c r="BZ38" s="111" t="str">
        <f>IF('⚙ OFF Weekends'!$D$73="OFF","OFF","")</f>
        <v/>
      </c>
      <c r="CA38" s="111" t="str">
        <f>IF('⚙ OFF Weekends'!$D$74="OFF","OFF","")</f>
        <v/>
      </c>
      <c r="CB38" s="111" t="str">
        <f>IF('⚙ OFF Weekends'!$D$75="OFF","OFF","")</f>
        <v/>
      </c>
      <c r="CC38" s="111" t="str">
        <f>IF('⚙ OFF Weekends'!$D$76="OFF","OFF","")</f>
        <v/>
      </c>
      <c r="CD38" s="111" t="str">
        <f>IF('⚙ OFF Weekends'!$D$77="OFF","OFF","")</f>
        <v/>
      </c>
      <c r="CE38" s="112">
        <f t="shared" si="9"/>
        <v>2</v>
      </c>
      <c r="CF38" s="112">
        <f t="shared" si="10"/>
        <v>1</v>
      </c>
      <c r="CG38" s="112">
        <f t="shared" si="11"/>
        <v>0</v>
      </c>
      <c r="CH38" s="112" t="str">
        <f t="shared" si="12"/>
        <v>67%</v>
      </c>
    </row>
    <row r="39" ht="18.0" customHeight="1">
      <c r="A39" s="107">
        <v>22.0</v>
      </c>
      <c r="B39" s="144" t="s">
        <v>897</v>
      </c>
      <c r="C39" s="108"/>
      <c r="D39" s="109" t="str">
        <f t="shared" si="7"/>
        <v/>
      </c>
      <c r="E39" s="110" t="str">
        <f t="shared" si="8"/>
        <v/>
      </c>
      <c r="F39" s="108"/>
      <c r="G39" s="108"/>
      <c r="H39" s="108"/>
      <c r="I39" s="111" t="str">
        <f>IF('⚙ OFF Weekends'!$D$4="OFF","OFF","")</f>
        <v/>
      </c>
      <c r="J39" s="111" t="str">
        <f>IF('⚙ OFF Weekends'!$D$5="OFF","OFF","")</f>
        <v/>
      </c>
      <c r="K39" s="111" t="str">
        <f>IF('⚙ OFF Weekends'!$D$6="OFF","OFF","")</f>
        <v/>
      </c>
      <c r="L39" s="111" t="str">
        <f>IF('⚙ OFF Weekends'!$D$7="OFF","OFF","")</f>
        <v/>
      </c>
      <c r="M39" s="111" t="str">
        <f>IF('⚙ OFF Weekends'!$D$8="OFF","OFF","")</f>
        <v/>
      </c>
      <c r="N39" s="111" t="str">
        <f>IF('⚙ OFF Weekends'!$D$9="OFF","OFF","")</f>
        <v/>
      </c>
      <c r="O39" s="111" t="str">
        <f>IF('⚙ OFF Weekends'!$D$10="OFF","OFF","")</f>
        <v/>
      </c>
      <c r="P39" s="111" t="str">
        <f>IF('⚙ OFF Weekends'!$D$11="OFF","OFF","")</f>
        <v/>
      </c>
      <c r="Q39" s="111" t="str">
        <f>IF('⚙ OFF Weekends'!$D$12="OFF","OFF","")</f>
        <v/>
      </c>
      <c r="R39" s="111" t="str">
        <f>IF('⚙ OFF Weekends'!$D$13="OFF","OFF","")</f>
        <v/>
      </c>
      <c r="S39" s="111" t="str">
        <f>IF('⚙ OFF Weekends'!$D$14="OFF","OFF","")</f>
        <v/>
      </c>
      <c r="T39" s="111" t="str">
        <f>IF('⚙ OFF Weekends'!$D$15="OFF","OFF","")</f>
        <v/>
      </c>
      <c r="U39" s="111" t="str">
        <f>IF('⚙ OFF Weekends'!$D$16="OFF","OFF","")</f>
        <v/>
      </c>
      <c r="V39" s="111" t="str">
        <f>IF('⚙ OFF Weekends'!$D$17="OFF","OFF","")</f>
        <v/>
      </c>
      <c r="W39" s="111" t="str">
        <f>IF('⚙ OFF Weekends'!$D$18="OFF","OFF","")</f>
        <v>OFF</v>
      </c>
      <c r="X39" s="111" t="str">
        <f>IF('⚙ OFF Weekends'!$D$19="OFF","OFF","")</f>
        <v/>
      </c>
      <c r="Y39" s="111" t="str">
        <f>IF('⚙ OFF Weekends'!$D$20="OFF","OFF","")</f>
        <v/>
      </c>
      <c r="Z39" s="111" t="str">
        <f>IF('⚙ OFF Weekends'!$D$21="OFF","OFF","")</f>
        <v/>
      </c>
      <c r="AA39" s="121" t="s">
        <v>37</v>
      </c>
      <c r="AB39" s="121" t="s">
        <v>37</v>
      </c>
      <c r="AC39" s="111" t="str">
        <f>IF('⚙ OFF Weekends'!$D$24="OFF","OFF","")</f>
        <v/>
      </c>
      <c r="AD39" s="111" t="str">
        <f>IF('⚙ OFF Weekends'!$D$25="OFF","OFF","")</f>
        <v/>
      </c>
      <c r="AE39" s="111" t="str">
        <f>IF('⚙ OFF Weekends'!$D$26="OFF","OFF","")</f>
        <v/>
      </c>
      <c r="AF39" s="111" t="str">
        <f>IF('⚙ OFF Weekends'!$D$27="OFF","OFF","")</f>
        <v/>
      </c>
      <c r="AG39" s="111" t="str">
        <f>IF('⚙ OFF Weekends'!$D$28="OFF","OFF","")</f>
        <v/>
      </c>
      <c r="AH39" s="111" t="str">
        <f>IF('⚙ OFF Weekends'!$D$29="OFF","OFF","")</f>
        <v/>
      </c>
      <c r="AI39" s="111" t="str">
        <f>IF('⚙ OFF Weekends'!$D$30="OFF","OFF","")</f>
        <v/>
      </c>
      <c r="AJ39" s="111" t="str">
        <f>IF('⚙ OFF Weekends'!$D$31="OFF","OFF","")</f>
        <v/>
      </c>
      <c r="AK39" s="111" t="str">
        <f>IF('⚙ OFF Weekends'!$D$32="OFF","OFF","")</f>
        <v/>
      </c>
      <c r="AL39" s="111" t="str">
        <f>IF('⚙ OFF Weekends'!$D$33="OFF","OFF","")</f>
        <v/>
      </c>
      <c r="AM39" s="111" t="str">
        <f>IF('⚙ OFF Weekends'!$D$34="OFF","OFF","")</f>
        <v/>
      </c>
      <c r="AN39" s="111" t="str">
        <f>IF('⚙ OFF Weekends'!$D$35="OFF","OFF","")</f>
        <v/>
      </c>
      <c r="AO39" s="111" t="str">
        <f>IF('⚙ OFF Weekends'!$D$36="OFF","OFF","")</f>
        <v/>
      </c>
      <c r="AP39" s="111" t="str">
        <f>IF('⚙ OFF Weekends'!$D$37="OFF","OFF","")</f>
        <v/>
      </c>
      <c r="AQ39" s="111" t="str">
        <f>IF('⚙ OFF Weekends'!$D$38="OFF","OFF","")</f>
        <v/>
      </c>
      <c r="AR39" s="111" t="str">
        <f>IF('⚙ OFF Weekends'!$D$39="OFF","OFF","")</f>
        <v/>
      </c>
      <c r="AS39" s="111" t="str">
        <f>IF('⚙ OFF Weekends'!$D$40="OFF","OFF","")</f>
        <v/>
      </c>
      <c r="AT39" s="111" t="str">
        <f>IF('⚙ OFF Weekends'!$D$41="OFF","OFF","")</f>
        <v/>
      </c>
      <c r="AU39" s="111" t="str">
        <f>IF('⚙ OFF Weekends'!$D$42="OFF","OFF","")</f>
        <v/>
      </c>
      <c r="AV39" s="111" t="str">
        <f>IF('⚙ OFF Weekends'!$D$43="OFF","OFF","")</f>
        <v/>
      </c>
      <c r="AW39" s="111" t="str">
        <f>IF('⚙ OFF Weekends'!$D$44="OFF","OFF","")</f>
        <v/>
      </c>
      <c r="AX39" s="111" t="str">
        <f>IF('⚙ OFF Weekends'!$D$45="OFF","OFF","")</f>
        <v/>
      </c>
      <c r="AY39" s="111" t="str">
        <f>IF('⚙ OFF Weekends'!$D$46="OFF","OFF","")</f>
        <v/>
      </c>
      <c r="AZ39" s="111" t="str">
        <f>IF('⚙ OFF Weekends'!$D$47="OFF","OFF","")</f>
        <v/>
      </c>
      <c r="BA39" s="111" t="str">
        <f>IF('⚙ OFF Weekends'!$D$48="OFF","OFF","")</f>
        <v/>
      </c>
      <c r="BB39" s="111" t="str">
        <f>IF('⚙ OFF Weekends'!$D$49="OFF","OFF","")</f>
        <v/>
      </c>
      <c r="BC39" s="111" t="str">
        <f>IF('⚙ OFF Weekends'!$D$50="OFF","OFF","")</f>
        <v/>
      </c>
      <c r="BD39" s="111" t="str">
        <f>IF('⚙ OFF Weekends'!$D$51="OFF","OFF","")</f>
        <v/>
      </c>
      <c r="BE39" s="111" t="str">
        <f>IF('⚙ OFF Weekends'!$D$52="OFF","OFF","")</f>
        <v/>
      </c>
      <c r="BF39" s="111" t="str">
        <f>IF('⚙ OFF Weekends'!$D$53="OFF","OFF","")</f>
        <v/>
      </c>
      <c r="BG39" s="111" t="str">
        <f>IF('⚙ OFF Weekends'!$D$54="OFF","OFF","")</f>
        <v/>
      </c>
      <c r="BH39" s="111" t="str">
        <f>IF('⚙ OFF Weekends'!$D$55="OFF","OFF","")</f>
        <v/>
      </c>
      <c r="BI39" s="111" t="str">
        <f>IF('⚙ OFF Weekends'!$D$56="OFF","OFF","")</f>
        <v/>
      </c>
      <c r="BJ39" s="111" t="str">
        <f>IF('⚙ OFF Weekends'!$D$57="OFF","OFF","")</f>
        <v/>
      </c>
      <c r="BK39" s="111" t="str">
        <f>IF('⚙ OFF Weekends'!$D$58="OFF","OFF","")</f>
        <v/>
      </c>
      <c r="BL39" s="111" t="str">
        <f>IF('⚙ OFF Weekends'!$D$59="OFF","OFF","")</f>
        <v/>
      </c>
      <c r="BM39" s="111" t="str">
        <f>IF('⚙ OFF Weekends'!$D$60="OFF","OFF","")</f>
        <v/>
      </c>
      <c r="BN39" s="111" t="str">
        <f>IF('⚙ OFF Weekends'!$D$61="OFF","OFF","")</f>
        <v/>
      </c>
      <c r="BO39" s="111" t="str">
        <f>IF('⚙ OFF Weekends'!$D$62="OFF","OFF","")</f>
        <v/>
      </c>
      <c r="BP39" s="111" t="str">
        <f>IF('⚙ OFF Weekends'!$D$63="OFF","OFF","")</f>
        <v/>
      </c>
      <c r="BQ39" s="111" t="str">
        <f>IF('⚙ OFF Weekends'!$D$64="OFF","OFF","")</f>
        <v/>
      </c>
      <c r="BR39" s="111" t="str">
        <f>IF('⚙ OFF Weekends'!$D$65="OFF","OFF","")</f>
        <v/>
      </c>
      <c r="BS39" s="111" t="str">
        <f>IF('⚙ OFF Weekends'!$D$66="OFF","OFF","")</f>
        <v/>
      </c>
      <c r="BT39" s="111" t="str">
        <f>IF('⚙ OFF Weekends'!$D$67="OFF","OFF","")</f>
        <v/>
      </c>
      <c r="BU39" s="111" t="str">
        <f>IF('⚙ OFF Weekends'!$D$68="OFF","OFF","")</f>
        <v/>
      </c>
      <c r="BV39" s="111" t="str">
        <f>IF('⚙ OFF Weekends'!$D$69="OFF","OFF","")</f>
        <v/>
      </c>
      <c r="BW39" s="111" t="str">
        <f>IF('⚙ OFF Weekends'!$D$70="OFF","OFF","")</f>
        <v/>
      </c>
      <c r="BX39" s="111" t="str">
        <f>IF('⚙ OFF Weekends'!$D$71="OFF","OFF","")</f>
        <v/>
      </c>
      <c r="BY39" s="111" t="str">
        <f>IF('⚙ OFF Weekends'!$D$72="OFF","OFF","")</f>
        <v/>
      </c>
      <c r="BZ39" s="111" t="str">
        <f>IF('⚙ OFF Weekends'!$D$73="OFF","OFF","")</f>
        <v/>
      </c>
      <c r="CA39" s="111" t="str">
        <f>IF('⚙ OFF Weekends'!$D$74="OFF","OFF","")</f>
        <v/>
      </c>
      <c r="CB39" s="111" t="str">
        <f>IF('⚙ OFF Weekends'!$D$75="OFF","OFF","")</f>
        <v/>
      </c>
      <c r="CC39" s="111" t="str">
        <f>IF('⚙ OFF Weekends'!$D$76="OFF","OFF","")</f>
        <v/>
      </c>
      <c r="CD39" s="111" t="str">
        <f>IF('⚙ OFF Weekends'!$D$77="OFF","OFF","")</f>
        <v/>
      </c>
      <c r="CE39" s="112">
        <f t="shared" si="9"/>
        <v>2</v>
      </c>
      <c r="CF39" s="112">
        <f t="shared" si="10"/>
        <v>0</v>
      </c>
      <c r="CG39" s="112">
        <f t="shared" si="11"/>
        <v>0</v>
      </c>
      <c r="CH39" s="112" t="str">
        <f t="shared" si="12"/>
        <v>100%</v>
      </c>
    </row>
    <row r="40" ht="18.0" customHeight="1">
      <c r="A40" s="107">
        <v>23.0</v>
      </c>
      <c r="B40" s="108"/>
      <c r="C40" s="108"/>
      <c r="D40" s="109" t="str">
        <f t="shared" si="7"/>
        <v/>
      </c>
      <c r="E40" s="110" t="str">
        <f t="shared" si="8"/>
        <v/>
      </c>
      <c r="F40" s="108"/>
      <c r="G40" s="108"/>
      <c r="H40" s="108"/>
      <c r="I40" s="111" t="str">
        <f>IF('⚙ OFF Weekends'!$D$4="OFF","OFF","")</f>
        <v/>
      </c>
      <c r="J40" s="111" t="str">
        <f>IF('⚙ OFF Weekends'!$D$5="OFF","OFF","")</f>
        <v/>
      </c>
      <c r="K40" s="111" t="str">
        <f>IF('⚙ OFF Weekends'!$D$6="OFF","OFF","")</f>
        <v/>
      </c>
      <c r="L40" s="111" t="str">
        <f>IF('⚙ OFF Weekends'!$D$7="OFF","OFF","")</f>
        <v/>
      </c>
      <c r="M40" s="111" t="str">
        <f>IF('⚙ OFF Weekends'!$D$8="OFF","OFF","")</f>
        <v/>
      </c>
      <c r="N40" s="111" t="str">
        <f>IF('⚙ OFF Weekends'!$D$9="OFF","OFF","")</f>
        <v/>
      </c>
      <c r="O40" s="111" t="str">
        <f>IF('⚙ OFF Weekends'!$D$10="OFF","OFF","")</f>
        <v/>
      </c>
      <c r="P40" s="111" t="str">
        <f>IF('⚙ OFF Weekends'!$D$11="OFF","OFF","")</f>
        <v/>
      </c>
      <c r="Q40" s="111" t="str">
        <f>IF('⚙ OFF Weekends'!$D$12="OFF","OFF","")</f>
        <v/>
      </c>
      <c r="R40" s="111" t="str">
        <f>IF('⚙ OFF Weekends'!$D$13="OFF","OFF","")</f>
        <v/>
      </c>
      <c r="S40" s="111" t="str">
        <f>IF('⚙ OFF Weekends'!$D$14="OFF","OFF","")</f>
        <v/>
      </c>
      <c r="T40" s="111" t="str">
        <f>IF('⚙ OFF Weekends'!$D$15="OFF","OFF","")</f>
        <v/>
      </c>
      <c r="U40" s="111" t="str">
        <f>IF('⚙ OFF Weekends'!$D$16="OFF","OFF","")</f>
        <v/>
      </c>
      <c r="V40" s="111" t="str">
        <f>IF('⚙ OFF Weekends'!$D$17="OFF","OFF","")</f>
        <v/>
      </c>
      <c r="W40" s="111" t="str">
        <f>IF('⚙ OFF Weekends'!$D$18="OFF","OFF","")</f>
        <v>OFF</v>
      </c>
      <c r="X40" s="111" t="str">
        <f>IF('⚙ OFF Weekends'!$D$19="OFF","OFF","")</f>
        <v/>
      </c>
      <c r="Y40" s="111" t="str">
        <f>IF('⚙ OFF Weekends'!$D$20="OFF","OFF","")</f>
        <v/>
      </c>
      <c r="Z40" s="111" t="str">
        <f>IF('⚙ OFF Weekends'!$D$21="OFF","OFF","")</f>
        <v/>
      </c>
      <c r="AA40" s="111" t="str">
        <f>IF('⚙ OFF Weekends'!$D$22="OFF","OFF","")</f>
        <v/>
      </c>
      <c r="AB40" s="111" t="str">
        <f>IF('⚙ OFF Weekends'!$D$23="OFF","OFF","")</f>
        <v/>
      </c>
      <c r="AC40" s="111" t="str">
        <f>IF('⚙ OFF Weekends'!$D$24="OFF","OFF","")</f>
        <v/>
      </c>
      <c r="AD40" s="111" t="str">
        <f>IF('⚙ OFF Weekends'!$D$25="OFF","OFF","")</f>
        <v/>
      </c>
      <c r="AE40" s="111" t="str">
        <f>IF('⚙ OFF Weekends'!$D$26="OFF","OFF","")</f>
        <v/>
      </c>
      <c r="AF40" s="111" t="str">
        <f>IF('⚙ OFF Weekends'!$D$27="OFF","OFF","")</f>
        <v/>
      </c>
      <c r="AG40" s="111" t="str">
        <f>IF('⚙ OFF Weekends'!$D$28="OFF","OFF","")</f>
        <v/>
      </c>
      <c r="AH40" s="111" t="str">
        <f>IF('⚙ OFF Weekends'!$D$29="OFF","OFF","")</f>
        <v/>
      </c>
      <c r="AI40" s="111" t="str">
        <f>IF('⚙ OFF Weekends'!$D$30="OFF","OFF","")</f>
        <v/>
      </c>
      <c r="AJ40" s="111" t="str">
        <f>IF('⚙ OFF Weekends'!$D$31="OFF","OFF","")</f>
        <v/>
      </c>
      <c r="AK40" s="111" t="str">
        <f>IF('⚙ OFF Weekends'!$D$32="OFF","OFF","")</f>
        <v/>
      </c>
      <c r="AL40" s="111" t="str">
        <f>IF('⚙ OFF Weekends'!$D$33="OFF","OFF","")</f>
        <v/>
      </c>
      <c r="AM40" s="111" t="str">
        <f>IF('⚙ OFF Weekends'!$D$34="OFF","OFF","")</f>
        <v/>
      </c>
      <c r="AN40" s="111" t="str">
        <f>IF('⚙ OFF Weekends'!$D$35="OFF","OFF","")</f>
        <v/>
      </c>
      <c r="AO40" s="111" t="str">
        <f>IF('⚙ OFF Weekends'!$D$36="OFF","OFF","")</f>
        <v/>
      </c>
      <c r="AP40" s="111" t="str">
        <f>IF('⚙ OFF Weekends'!$D$37="OFF","OFF","")</f>
        <v/>
      </c>
      <c r="AQ40" s="111" t="str">
        <f>IF('⚙ OFF Weekends'!$D$38="OFF","OFF","")</f>
        <v/>
      </c>
      <c r="AR40" s="111" t="str">
        <f>IF('⚙ OFF Weekends'!$D$39="OFF","OFF","")</f>
        <v/>
      </c>
      <c r="AS40" s="111" t="str">
        <f>IF('⚙ OFF Weekends'!$D$40="OFF","OFF","")</f>
        <v/>
      </c>
      <c r="AT40" s="111" t="str">
        <f>IF('⚙ OFF Weekends'!$D$41="OFF","OFF","")</f>
        <v/>
      </c>
      <c r="AU40" s="111" t="str">
        <f>IF('⚙ OFF Weekends'!$D$42="OFF","OFF","")</f>
        <v/>
      </c>
      <c r="AV40" s="111" t="str">
        <f>IF('⚙ OFF Weekends'!$D$43="OFF","OFF","")</f>
        <v/>
      </c>
      <c r="AW40" s="111" t="str">
        <f>IF('⚙ OFF Weekends'!$D$44="OFF","OFF","")</f>
        <v/>
      </c>
      <c r="AX40" s="111" t="str">
        <f>IF('⚙ OFF Weekends'!$D$45="OFF","OFF","")</f>
        <v/>
      </c>
      <c r="AY40" s="111" t="str">
        <f>IF('⚙ OFF Weekends'!$D$46="OFF","OFF","")</f>
        <v/>
      </c>
      <c r="AZ40" s="111" t="str">
        <f>IF('⚙ OFF Weekends'!$D$47="OFF","OFF","")</f>
        <v/>
      </c>
      <c r="BA40" s="111" t="str">
        <f>IF('⚙ OFF Weekends'!$D$48="OFF","OFF","")</f>
        <v/>
      </c>
      <c r="BB40" s="111" t="str">
        <f>IF('⚙ OFF Weekends'!$D$49="OFF","OFF","")</f>
        <v/>
      </c>
      <c r="BC40" s="111" t="str">
        <f>IF('⚙ OFF Weekends'!$D$50="OFF","OFF","")</f>
        <v/>
      </c>
      <c r="BD40" s="111" t="str">
        <f>IF('⚙ OFF Weekends'!$D$51="OFF","OFF","")</f>
        <v/>
      </c>
      <c r="BE40" s="111" t="str">
        <f>IF('⚙ OFF Weekends'!$D$52="OFF","OFF","")</f>
        <v/>
      </c>
      <c r="BF40" s="111" t="str">
        <f>IF('⚙ OFF Weekends'!$D$53="OFF","OFF","")</f>
        <v/>
      </c>
      <c r="BG40" s="111" t="str">
        <f>IF('⚙ OFF Weekends'!$D$54="OFF","OFF","")</f>
        <v/>
      </c>
      <c r="BH40" s="111" t="str">
        <f>IF('⚙ OFF Weekends'!$D$55="OFF","OFF","")</f>
        <v/>
      </c>
      <c r="BI40" s="111" t="str">
        <f>IF('⚙ OFF Weekends'!$D$56="OFF","OFF","")</f>
        <v/>
      </c>
      <c r="BJ40" s="111" t="str">
        <f>IF('⚙ OFF Weekends'!$D$57="OFF","OFF","")</f>
        <v/>
      </c>
      <c r="BK40" s="111" t="str">
        <f>IF('⚙ OFF Weekends'!$D$58="OFF","OFF","")</f>
        <v/>
      </c>
      <c r="BL40" s="111" t="str">
        <f>IF('⚙ OFF Weekends'!$D$59="OFF","OFF","")</f>
        <v/>
      </c>
      <c r="BM40" s="111" t="str">
        <f>IF('⚙ OFF Weekends'!$D$60="OFF","OFF","")</f>
        <v/>
      </c>
      <c r="BN40" s="111" t="str">
        <f>IF('⚙ OFF Weekends'!$D$61="OFF","OFF","")</f>
        <v/>
      </c>
      <c r="BO40" s="111" t="str">
        <f>IF('⚙ OFF Weekends'!$D$62="OFF","OFF","")</f>
        <v/>
      </c>
      <c r="BP40" s="111" t="str">
        <f>IF('⚙ OFF Weekends'!$D$63="OFF","OFF","")</f>
        <v/>
      </c>
      <c r="BQ40" s="111" t="str">
        <f>IF('⚙ OFF Weekends'!$D$64="OFF","OFF","")</f>
        <v/>
      </c>
      <c r="BR40" s="111" t="str">
        <f>IF('⚙ OFF Weekends'!$D$65="OFF","OFF","")</f>
        <v/>
      </c>
      <c r="BS40" s="111" t="str">
        <f>IF('⚙ OFF Weekends'!$D$66="OFF","OFF","")</f>
        <v/>
      </c>
      <c r="BT40" s="111" t="str">
        <f>IF('⚙ OFF Weekends'!$D$67="OFF","OFF","")</f>
        <v/>
      </c>
      <c r="BU40" s="111" t="str">
        <f>IF('⚙ OFF Weekends'!$D$68="OFF","OFF","")</f>
        <v/>
      </c>
      <c r="BV40" s="111" t="str">
        <f>IF('⚙ OFF Weekends'!$D$69="OFF","OFF","")</f>
        <v/>
      </c>
      <c r="BW40" s="111" t="str">
        <f>IF('⚙ OFF Weekends'!$D$70="OFF","OFF","")</f>
        <v/>
      </c>
      <c r="BX40" s="111" t="str">
        <f>IF('⚙ OFF Weekends'!$D$71="OFF","OFF","")</f>
        <v/>
      </c>
      <c r="BY40" s="111" t="str">
        <f>IF('⚙ OFF Weekends'!$D$72="OFF","OFF","")</f>
        <v/>
      </c>
      <c r="BZ40" s="111" t="str">
        <f>IF('⚙ OFF Weekends'!$D$73="OFF","OFF","")</f>
        <v/>
      </c>
      <c r="CA40" s="111" t="str">
        <f>IF('⚙ OFF Weekends'!$D$74="OFF","OFF","")</f>
        <v/>
      </c>
      <c r="CB40" s="111" t="str">
        <f>IF('⚙ OFF Weekends'!$D$75="OFF","OFF","")</f>
        <v/>
      </c>
      <c r="CC40" s="111" t="str">
        <f>IF('⚙ OFF Weekends'!$D$76="OFF","OFF","")</f>
        <v/>
      </c>
      <c r="CD40" s="111" t="str">
        <f>IF('⚙ OFF Weekends'!$D$77="OFF","OFF","")</f>
        <v/>
      </c>
      <c r="CE40" s="112">
        <f t="shared" si="9"/>
        <v>0</v>
      </c>
      <c r="CF40" s="112">
        <f t="shared" si="10"/>
        <v>0</v>
      </c>
      <c r="CG40" s="112">
        <f t="shared" si="11"/>
        <v>0</v>
      </c>
      <c r="CH40" s="112" t="str">
        <f t="shared" si="12"/>
        <v>0%</v>
      </c>
    </row>
    <row r="41" ht="15.0" customHeight="1">
      <c r="A41" s="113" t="str">
        <f>"Group Strength: "&amp;COUNTA(B18:B40)</f>
        <v>Group Strength: 22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3"/>
    </row>
    <row r="42" ht="4.5" customHeight="1">
      <c r="A42" s="11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3"/>
    </row>
    <row r="43" ht="15.75" customHeight="1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  <c r="BX43" s="72"/>
      <c r="BY43" s="72"/>
      <c r="BZ43" s="72"/>
      <c r="CA43" s="72"/>
      <c r="CB43" s="72"/>
      <c r="CC43" s="72"/>
      <c r="CD43" s="72"/>
      <c r="CE43" s="72"/>
      <c r="CF43" s="72"/>
      <c r="CG43" s="72"/>
      <c r="CH43" s="72"/>
    </row>
    <row r="44" ht="15.75" customHeight="1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  <c r="BV44" s="72"/>
      <c r="BW44" s="72"/>
      <c r="BX44" s="72"/>
      <c r="BY44" s="72"/>
      <c r="BZ44" s="72"/>
      <c r="CA44" s="72"/>
      <c r="CB44" s="72"/>
      <c r="CC44" s="72"/>
      <c r="CD44" s="72"/>
      <c r="CE44" s="72"/>
      <c r="CF44" s="72"/>
      <c r="CG44" s="72"/>
      <c r="CH44" s="72"/>
    </row>
    <row r="45" ht="15.75" customHeight="1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  <c r="BX45" s="72"/>
      <c r="BY45" s="72"/>
      <c r="BZ45" s="72"/>
      <c r="CA45" s="72"/>
      <c r="CB45" s="72"/>
      <c r="CC45" s="72"/>
      <c r="CD45" s="72"/>
      <c r="CE45" s="72"/>
      <c r="CF45" s="72"/>
      <c r="CG45" s="72"/>
      <c r="CH45" s="72"/>
    </row>
    <row r="46" ht="15.75" customHeight="1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  <c r="BV46" s="72"/>
      <c r="BW46" s="72"/>
      <c r="BX46" s="72"/>
      <c r="BY46" s="72"/>
      <c r="BZ46" s="72"/>
      <c r="CA46" s="72"/>
      <c r="CB46" s="72"/>
      <c r="CC46" s="72"/>
      <c r="CD46" s="72"/>
      <c r="CE46" s="72"/>
      <c r="CF46" s="72"/>
      <c r="CG46" s="72"/>
      <c r="CH46" s="72"/>
    </row>
    <row r="47" ht="15.75" customHeight="1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2"/>
      <c r="CD47" s="72"/>
      <c r="CE47" s="72"/>
      <c r="CF47" s="72"/>
      <c r="CG47" s="72"/>
      <c r="CH47" s="72"/>
    </row>
    <row r="48" ht="15.75" customHeight="1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  <c r="CG48" s="72"/>
      <c r="CH48" s="72"/>
    </row>
    <row r="49" ht="15.75" customHeight="1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  <c r="CC49" s="72"/>
      <c r="CD49" s="72"/>
      <c r="CE49" s="72"/>
      <c r="CF49" s="72"/>
      <c r="CG49" s="72"/>
      <c r="CH49" s="72"/>
    </row>
    <row r="50" ht="15.75" customHeight="1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  <c r="BS50" s="72"/>
      <c r="BT50" s="72"/>
      <c r="BU50" s="72"/>
      <c r="BV50" s="72"/>
      <c r="BW50" s="72"/>
      <c r="BX50" s="72"/>
      <c r="BY50" s="72"/>
      <c r="BZ50" s="72"/>
      <c r="CA50" s="72"/>
      <c r="CB50" s="72"/>
      <c r="CC50" s="72"/>
      <c r="CD50" s="72"/>
      <c r="CE50" s="72"/>
      <c r="CF50" s="72"/>
      <c r="CG50" s="72"/>
      <c r="CH50" s="72"/>
    </row>
    <row r="51" ht="15.75" customHeight="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  <c r="BS51" s="72"/>
      <c r="BT51" s="72"/>
      <c r="BU51" s="72"/>
      <c r="BV51" s="72"/>
      <c r="BW51" s="72"/>
      <c r="BX51" s="72"/>
      <c r="BY51" s="72"/>
      <c r="BZ51" s="72"/>
      <c r="CA51" s="72"/>
      <c r="CB51" s="72"/>
      <c r="CC51" s="72"/>
      <c r="CD51" s="72"/>
      <c r="CE51" s="72"/>
      <c r="CF51" s="72"/>
      <c r="CG51" s="72"/>
      <c r="CH51" s="72"/>
    </row>
    <row r="52" ht="15.75" customHeight="1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2"/>
      <c r="BD52" s="72"/>
      <c r="BE52" s="72"/>
      <c r="BF52" s="72"/>
      <c r="BG52" s="72"/>
      <c r="BH52" s="72"/>
      <c r="BI52" s="72"/>
      <c r="BJ52" s="72"/>
      <c r="BK52" s="72"/>
      <c r="BL52" s="72"/>
      <c r="BM52" s="72"/>
      <c r="BN52" s="72"/>
      <c r="BO52" s="72"/>
      <c r="BP52" s="72"/>
      <c r="BQ52" s="72"/>
      <c r="BR52" s="72"/>
      <c r="BS52" s="72"/>
      <c r="BT52" s="72"/>
      <c r="BU52" s="72"/>
      <c r="BV52" s="72"/>
      <c r="BW52" s="72"/>
      <c r="BX52" s="72"/>
      <c r="BY52" s="72"/>
      <c r="BZ52" s="72"/>
      <c r="CA52" s="72"/>
      <c r="CB52" s="72"/>
      <c r="CC52" s="72"/>
      <c r="CD52" s="72"/>
      <c r="CE52" s="72"/>
      <c r="CF52" s="72"/>
      <c r="CG52" s="72"/>
      <c r="CH52" s="72"/>
    </row>
    <row r="53" ht="15.75" customHeight="1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72"/>
      <c r="BC53" s="72"/>
      <c r="BD53" s="72"/>
      <c r="BE53" s="72"/>
      <c r="BF53" s="72"/>
      <c r="BG53" s="72"/>
      <c r="BH53" s="72"/>
      <c r="BI53" s="72"/>
      <c r="BJ53" s="72"/>
      <c r="BK53" s="72"/>
      <c r="BL53" s="72"/>
      <c r="BM53" s="72"/>
      <c r="BN53" s="72"/>
      <c r="BO53" s="72"/>
      <c r="BP53" s="72"/>
      <c r="BQ53" s="72"/>
      <c r="BR53" s="72"/>
      <c r="BS53" s="72"/>
      <c r="BT53" s="72"/>
      <c r="BU53" s="72"/>
      <c r="BV53" s="72"/>
      <c r="BW53" s="72"/>
      <c r="BX53" s="72"/>
      <c r="BY53" s="72"/>
      <c r="BZ53" s="72"/>
      <c r="CA53" s="72"/>
      <c r="CB53" s="72"/>
      <c r="CC53" s="72"/>
      <c r="CD53" s="72"/>
      <c r="CE53" s="72"/>
      <c r="CF53" s="72"/>
      <c r="CG53" s="72"/>
      <c r="CH53" s="72"/>
    </row>
    <row r="54" ht="15.75" customHeight="1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  <c r="AX54" s="72"/>
      <c r="AY54" s="72"/>
      <c r="AZ54" s="72"/>
      <c r="BA54" s="72"/>
      <c r="BB54" s="72"/>
      <c r="BC54" s="72"/>
      <c r="BD54" s="72"/>
      <c r="BE54" s="72"/>
      <c r="BF54" s="72"/>
      <c r="BG54" s="72"/>
      <c r="BH54" s="72"/>
      <c r="BI54" s="72"/>
      <c r="BJ54" s="72"/>
      <c r="BK54" s="72"/>
      <c r="BL54" s="72"/>
      <c r="BM54" s="72"/>
      <c r="BN54" s="72"/>
      <c r="BO54" s="72"/>
      <c r="BP54" s="72"/>
      <c r="BQ54" s="72"/>
      <c r="BR54" s="72"/>
      <c r="BS54" s="72"/>
      <c r="BT54" s="72"/>
      <c r="BU54" s="72"/>
      <c r="BV54" s="72"/>
      <c r="BW54" s="72"/>
      <c r="BX54" s="72"/>
      <c r="BY54" s="72"/>
      <c r="BZ54" s="72"/>
      <c r="CA54" s="72"/>
      <c r="CB54" s="72"/>
      <c r="CC54" s="72"/>
      <c r="CD54" s="72"/>
      <c r="CE54" s="72"/>
      <c r="CF54" s="72"/>
      <c r="CG54" s="72"/>
      <c r="CH54" s="72"/>
    </row>
    <row r="55" ht="15.75" customHeight="1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2"/>
      <c r="BC55" s="72"/>
      <c r="BD55" s="72"/>
      <c r="BE55" s="72"/>
      <c r="BF55" s="72"/>
      <c r="BG55" s="72"/>
      <c r="BH55" s="72"/>
      <c r="BI55" s="72"/>
      <c r="BJ55" s="72"/>
      <c r="BK55" s="72"/>
      <c r="BL55" s="72"/>
      <c r="BM55" s="72"/>
      <c r="BN55" s="72"/>
      <c r="BO55" s="72"/>
      <c r="BP55" s="72"/>
      <c r="BQ55" s="72"/>
      <c r="BR55" s="72"/>
      <c r="BS55" s="72"/>
      <c r="BT55" s="72"/>
      <c r="BU55" s="72"/>
      <c r="BV55" s="72"/>
      <c r="BW55" s="72"/>
      <c r="BX55" s="72"/>
      <c r="BY55" s="72"/>
      <c r="BZ55" s="72"/>
      <c r="CA55" s="72"/>
      <c r="CB55" s="72"/>
      <c r="CC55" s="72"/>
      <c r="CD55" s="72"/>
      <c r="CE55" s="72"/>
      <c r="CF55" s="72"/>
      <c r="CG55" s="72"/>
      <c r="CH55" s="72"/>
    </row>
    <row r="56" ht="15.75" customHeight="1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AW56" s="72"/>
      <c r="AX56" s="72"/>
      <c r="AY56" s="72"/>
      <c r="AZ56" s="72"/>
      <c r="BA56" s="72"/>
      <c r="BB56" s="72"/>
      <c r="BC56" s="72"/>
      <c r="BD56" s="72"/>
      <c r="BE56" s="72"/>
      <c r="BF56" s="72"/>
      <c r="BG56" s="72"/>
      <c r="BH56" s="72"/>
      <c r="BI56" s="72"/>
      <c r="BJ56" s="72"/>
      <c r="BK56" s="72"/>
      <c r="BL56" s="72"/>
      <c r="BM56" s="72"/>
      <c r="BN56" s="72"/>
      <c r="BO56" s="72"/>
      <c r="BP56" s="72"/>
      <c r="BQ56" s="72"/>
      <c r="BR56" s="72"/>
      <c r="BS56" s="72"/>
      <c r="BT56" s="72"/>
      <c r="BU56" s="72"/>
      <c r="BV56" s="72"/>
      <c r="BW56" s="72"/>
      <c r="BX56" s="72"/>
      <c r="BY56" s="72"/>
      <c r="BZ56" s="72"/>
      <c r="CA56" s="72"/>
      <c r="CB56" s="72"/>
      <c r="CC56" s="72"/>
      <c r="CD56" s="72"/>
      <c r="CE56" s="72"/>
      <c r="CF56" s="72"/>
      <c r="CG56" s="72"/>
      <c r="CH56" s="72"/>
    </row>
    <row r="57" ht="15.75" customHeight="1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2"/>
      <c r="AV57" s="72"/>
      <c r="AW57" s="72"/>
      <c r="AX57" s="72"/>
      <c r="AY57" s="72"/>
      <c r="AZ57" s="72"/>
      <c r="BA57" s="72"/>
      <c r="BB57" s="72"/>
      <c r="BC57" s="72"/>
      <c r="BD57" s="72"/>
      <c r="BE57" s="72"/>
      <c r="BF57" s="72"/>
      <c r="BG57" s="72"/>
      <c r="BH57" s="72"/>
      <c r="BI57" s="72"/>
      <c r="BJ57" s="72"/>
      <c r="BK57" s="72"/>
      <c r="BL57" s="72"/>
      <c r="BM57" s="72"/>
      <c r="BN57" s="72"/>
      <c r="BO57" s="72"/>
      <c r="BP57" s="72"/>
      <c r="BQ57" s="72"/>
      <c r="BR57" s="72"/>
      <c r="BS57" s="72"/>
      <c r="BT57" s="72"/>
      <c r="BU57" s="72"/>
      <c r="BV57" s="72"/>
      <c r="BW57" s="72"/>
      <c r="BX57" s="72"/>
      <c r="BY57" s="72"/>
      <c r="BZ57" s="72"/>
      <c r="CA57" s="72"/>
      <c r="CB57" s="72"/>
      <c r="CC57" s="72"/>
      <c r="CD57" s="72"/>
      <c r="CE57" s="72"/>
      <c r="CF57" s="72"/>
      <c r="CG57" s="72"/>
      <c r="CH57" s="72"/>
    </row>
    <row r="58" ht="15.75" customHeight="1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72"/>
      <c r="AV58" s="72"/>
      <c r="AW58" s="72"/>
      <c r="AX58" s="72"/>
      <c r="AY58" s="72"/>
      <c r="AZ58" s="72"/>
      <c r="BA58" s="72"/>
      <c r="BB58" s="72"/>
      <c r="BC58" s="72"/>
      <c r="BD58" s="72"/>
      <c r="BE58" s="72"/>
      <c r="BF58" s="72"/>
      <c r="BG58" s="72"/>
      <c r="BH58" s="72"/>
      <c r="BI58" s="72"/>
      <c r="BJ58" s="72"/>
      <c r="BK58" s="72"/>
      <c r="BL58" s="72"/>
      <c r="BM58" s="72"/>
      <c r="BN58" s="72"/>
      <c r="BO58" s="72"/>
      <c r="BP58" s="72"/>
      <c r="BQ58" s="72"/>
      <c r="BR58" s="72"/>
      <c r="BS58" s="72"/>
      <c r="BT58" s="72"/>
      <c r="BU58" s="72"/>
      <c r="BV58" s="72"/>
      <c r="BW58" s="72"/>
      <c r="BX58" s="72"/>
      <c r="BY58" s="72"/>
      <c r="BZ58" s="72"/>
      <c r="CA58" s="72"/>
      <c r="CB58" s="72"/>
      <c r="CC58" s="72"/>
      <c r="CD58" s="72"/>
      <c r="CE58" s="72"/>
      <c r="CF58" s="72"/>
      <c r="CG58" s="72"/>
      <c r="CH58" s="72"/>
    </row>
    <row r="59" ht="15.75" customHeight="1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72"/>
      <c r="BC59" s="72"/>
      <c r="BD59" s="72"/>
      <c r="BE59" s="72"/>
      <c r="BF59" s="72"/>
      <c r="BG59" s="72"/>
      <c r="BH59" s="72"/>
      <c r="BI59" s="72"/>
      <c r="BJ59" s="72"/>
      <c r="BK59" s="72"/>
      <c r="BL59" s="72"/>
      <c r="BM59" s="72"/>
      <c r="BN59" s="72"/>
      <c r="BO59" s="72"/>
      <c r="BP59" s="72"/>
      <c r="BQ59" s="72"/>
      <c r="BR59" s="72"/>
      <c r="BS59" s="72"/>
      <c r="BT59" s="72"/>
      <c r="BU59" s="72"/>
      <c r="BV59" s="72"/>
      <c r="BW59" s="72"/>
      <c r="BX59" s="72"/>
      <c r="BY59" s="72"/>
      <c r="BZ59" s="72"/>
      <c r="CA59" s="72"/>
      <c r="CB59" s="72"/>
      <c r="CC59" s="72"/>
      <c r="CD59" s="72"/>
      <c r="CE59" s="72"/>
      <c r="CF59" s="72"/>
      <c r="CG59" s="72"/>
      <c r="CH59" s="72"/>
    </row>
    <row r="60" ht="15.75" customHeight="1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72"/>
      <c r="AV60" s="72"/>
      <c r="AW60" s="72"/>
      <c r="AX60" s="72"/>
      <c r="AY60" s="72"/>
      <c r="AZ60" s="72"/>
      <c r="BA60" s="72"/>
      <c r="BB60" s="72"/>
      <c r="BC60" s="72"/>
      <c r="BD60" s="72"/>
      <c r="BE60" s="72"/>
      <c r="BF60" s="72"/>
      <c r="BG60" s="72"/>
      <c r="BH60" s="72"/>
      <c r="BI60" s="72"/>
      <c r="BJ60" s="72"/>
      <c r="BK60" s="72"/>
      <c r="BL60" s="72"/>
      <c r="BM60" s="72"/>
      <c r="BN60" s="72"/>
      <c r="BO60" s="72"/>
      <c r="BP60" s="72"/>
      <c r="BQ60" s="72"/>
      <c r="BR60" s="72"/>
      <c r="BS60" s="72"/>
      <c r="BT60" s="72"/>
      <c r="BU60" s="72"/>
      <c r="BV60" s="72"/>
      <c r="BW60" s="72"/>
      <c r="BX60" s="72"/>
      <c r="BY60" s="72"/>
      <c r="BZ60" s="72"/>
      <c r="CA60" s="72"/>
      <c r="CB60" s="72"/>
      <c r="CC60" s="72"/>
      <c r="CD60" s="72"/>
      <c r="CE60" s="72"/>
      <c r="CF60" s="72"/>
      <c r="CG60" s="72"/>
      <c r="CH60" s="72"/>
    </row>
    <row r="61" ht="15.75" customHeight="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72"/>
      <c r="AS61" s="72"/>
      <c r="AT61" s="72"/>
      <c r="AU61" s="72"/>
      <c r="AV61" s="72"/>
      <c r="AW61" s="72"/>
      <c r="AX61" s="72"/>
      <c r="AY61" s="72"/>
      <c r="AZ61" s="72"/>
      <c r="BA61" s="72"/>
      <c r="BB61" s="72"/>
      <c r="BC61" s="72"/>
      <c r="BD61" s="72"/>
      <c r="BE61" s="72"/>
      <c r="BF61" s="72"/>
      <c r="BG61" s="72"/>
      <c r="BH61" s="72"/>
      <c r="BI61" s="72"/>
      <c r="BJ61" s="72"/>
      <c r="BK61" s="72"/>
      <c r="BL61" s="72"/>
      <c r="BM61" s="72"/>
      <c r="BN61" s="72"/>
      <c r="BO61" s="72"/>
      <c r="BP61" s="72"/>
      <c r="BQ61" s="72"/>
      <c r="BR61" s="72"/>
      <c r="BS61" s="72"/>
      <c r="BT61" s="72"/>
      <c r="BU61" s="72"/>
      <c r="BV61" s="72"/>
      <c r="BW61" s="72"/>
      <c r="BX61" s="72"/>
      <c r="BY61" s="72"/>
      <c r="BZ61" s="72"/>
      <c r="CA61" s="72"/>
      <c r="CB61" s="72"/>
      <c r="CC61" s="72"/>
      <c r="CD61" s="72"/>
      <c r="CE61" s="72"/>
      <c r="CF61" s="72"/>
      <c r="CG61" s="72"/>
      <c r="CH61" s="72"/>
    </row>
    <row r="62" ht="15.75" customHeight="1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72"/>
      <c r="AV62" s="72"/>
      <c r="AW62" s="72"/>
      <c r="AX62" s="72"/>
      <c r="AY62" s="72"/>
      <c r="AZ62" s="72"/>
      <c r="BA62" s="72"/>
      <c r="BB62" s="72"/>
      <c r="BC62" s="72"/>
      <c r="BD62" s="72"/>
      <c r="BE62" s="72"/>
      <c r="BF62" s="72"/>
      <c r="BG62" s="72"/>
      <c r="BH62" s="72"/>
      <c r="BI62" s="72"/>
      <c r="BJ62" s="72"/>
      <c r="BK62" s="72"/>
      <c r="BL62" s="72"/>
      <c r="BM62" s="72"/>
      <c r="BN62" s="72"/>
      <c r="BO62" s="72"/>
      <c r="BP62" s="72"/>
      <c r="BQ62" s="72"/>
      <c r="BR62" s="72"/>
      <c r="BS62" s="72"/>
      <c r="BT62" s="72"/>
      <c r="BU62" s="72"/>
      <c r="BV62" s="72"/>
      <c r="BW62" s="72"/>
      <c r="BX62" s="72"/>
      <c r="BY62" s="72"/>
      <c r="BZ62" s="72"/>
      <c r="CA62" s="72"/>
      <c r="CB62" s="72"/>
      <c r="CC62" s="72"/>
      <c r="CD62" s="72"/>
      <c r="CE62" s="72"/>
      <c r="CF62" s="72"/>
      <c r="CG62" s="72"/>
      <c r="CH62" s="72"/>
    </row>
    <row r="63" ht="15.75" customHeight="1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72"/>
      <c r="BK63" s="72"/>
      <c r="BL63" s="72"/>
      <c r="BM63" s="72"/>
      <c r="BN63" s="72"/>
      <c r="BO63" s="72"/>
      <c r="BP63" s="72"/>
      <c r="BQ63" s="72"/>
      <c r="BR63" s="72"/>
      <c r="BS63" s="72"/>
      <c r="BT63" s="72"/>
      <c r="BU63" s="72"/>
      <c r="BV63" s="72"/>
      <c r="BW63" s="72"/>
      <c r="BX63" s="72"/>
      <c r="BY63" s="72"/>
      <c r="BZ63" s="72"/>
      <c r="CA63" s="72"/>
      <c r="CB63" s="72"/>
      <c r="CC63" s="72"/>
      <c r="CD63" s="72"/>
      <c r="CE63" s="72"/>
      <c r="CF63" s="72"/>
      <c r="CG63" s="72"/>
      <c r="CH63" s="72"/>
    </row>
    <row r="64" ht="15.75" customHeight="1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72"/>
      <c r="AS64" s="72"/>
      <c r="AT64" s="72"/>
      <c r="AU64" s="72"/>
      <c r="AV64" s="72"/>
      <c r="AW64" s="72"/>
      <c r="AX64" s="72"/>
      <c r="AY64" s="72"/>
      <c r="AZ64" s="72"/>
      <c r="BA64" s="72"/>
      <c r="BB64" s="72"/>
      <c r="BC64" s="72"/>
      <c r="BD64" s="72"/>
      <c r="BE64" s="72"/>
      <c r="BF64" s="72"/>
      <c r="BG64" s="72"/>
      <c r="BH64" s="72"/>
      <c r="BI64" s="72"/>
      <c r="BJ64" s="72"/>
      <c r="BK64" s="72"/>
      <c r="BL64" s="72"/>
      <c r="BM64" s="72"/>
      <c r="BN64" s="72"/>
      <c r="BO64" s="72"/>
      <c r="BP64" s="72"/>
      <c r="BQ64" s="72"/>
      <c r="BR64" s="72"/>
      <c r="BS64" s="72"/>
      <c r="BT64" s="72"/>
      <c r="BU64" s="72"/>
      <c r="BV64" s="72"/>
      <c r="BW64" s="72"/>
      <c r="BX64" s="72"/>
      <c r="BY64" s="72"/>
      <c r="BZ64" s="72"/>
      <c r="CA64" s="72"/>
      <c r="CB64" s="72"/>
      <c r="CC64" s="72"/>
      <c r="CD64" s="72"/>
      <c r="CE64" s="72"/>
      <c r="CF64" s="72"/>
      <c r="CG64" s="72"/>
      <c r="CH64" s="72"/>
    </row>
    <row r="65" ht="15.75" customHeight="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2"/>
      <c r="AU65" s="72"/>
      <c r="AV65" s="72"/>
      <c r="AW65" s="72"/>
      <c r="AX65" s="72"/>
      <c r="AY65" s="72"/>
      <c r="AZ65" s="72"/>
      <c r="BA65" s="72"/>
      <c r="BB65" s="72"/>
      <c r="BC65" s="72"/>
      <c r="BD65" s="72"/>
      <c r="BE65" s="72"/>
      <c r="BF65" s="72"/>
      <c r="BG65" s="72"/>
      <c r="BH65" s="72"/>
      <c r="BI65" s="72"/>
      <c r="BJ65" s="72"/>
      <c r="BK65" s="72"/>
      <c r="BL65" s="72"/>
      <c r="BM65" s="72"/>
      <c r="BN65" s="72"/>
      <c r="BO65" s="72"/>
      <c r="BP65" s="72"/>
      <c r="BQ65" s="72"/>
      <c r="BR65" s="72"/>
      <c r="BS65" s="72"/>
      <c r="BT65" s="72"/>
      <c r="BU65" s="72"/>
      <c r="BV65" s="72"/>
      <c r="BW65" s="72"/>
      <c r="BX65" s="72"/>
      <c r="BY65" s="72"/>
      <c r="BZ65" s="72"/>
      <c r="CA65" s="72"/>
      <c r="CB65" s="72"/>
      <c r="CC65" s="72"/>
      <c r="CD65" s="72"/>
      <c r="CE65" s="72"/>
      <c r="CF65" s="72"/>
      <c r="CG65" s="72"/>
      <c r="CH65" s="72"/>
    </row>
    <row r="66" ht="15.75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72"/>
      <c r="AS66" s="72"/>
      <c r="AT66" s="72"/>
      <c r="AU66" s="72"/>
      <c r="AV66" s="72"/>
      <c r="AW66" s="72"/>
      <c r="AX66" s="72"/>
      <c r="AY66" s="72"/>
      <c r="AZ66" s="72"/>
      <c r="BA66" s="72"/>
      <c r="BB66" s="72"/>
      <c r="BC66" s="72"/>
      <c r="BD66" s="72"/>
      <c r="BE66" s="72"/>
      <c r="BF66" s="72"/>
      <c r="BG66" s="72"/>
      <c r="BH66" s="72"/>
      <c r="BI66" s="72"/>
      <c r="BJ66" s="72"/>
      <c r="BK66" s="72"/>
      <c r="BL66" s="72"/>
      <c r="BM66" s="72"/>
      <c r="BN66" s="72"/>
      <c r="BO66" s="72"/>
      <c r="BP66" s="72"/>
      <c r="BQ66" s="72"/>
      <c r="BR66" s="72"/>
      <c r="BS66" s="72"/>
      <c r="BT66" s="72"/>
      <c r="BU66" s="72"/>
      <c r="BV66" s="72"/>
      <c r="BW66" s="72"/>
      <c r="BX66" s="72"/>
      <c r="BY66" s="72"/>
      <c r="BZ66" s="72"/>
      <c r="CA66" s="72"/>
      <c r="CB66" s="72"/>
      <c r="CC66" s="72"/>
      <c r="CD66" s="72"/>
      <c r="CE66" s="72"/>
      <c r="CF66" s="72"/>
      <c r="CG66" s="72"/>
      <c r="CH66" s="72"/>
    </row>
    <row r="67" ht="15.75" customHeight="1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72"/>
      <c r="BC67" s="72"/>
      <c r="BD67" s="72"/>
      <c r="BE67" s="72"/>
      <c r="BF67" s="72"/>
      <c r="BG67" s="72"/>
      <c r="BH67" s="72"/>
      <c r="BI67" s="72"/>
      <c r="BJ67" s="72"/>
      <c r="BK67" s="72"/>
      <c r="BL67" s="72"/>
      <c r="BM67" s="72"/>
      <c r="BN67" s="72"/>
      <c r="BO67" s="72"/>
      <c r="BP67" s="72"/>
      <c r="BQ67" s="72"/>
      <c r="BR67" s="72"/>
      <c r="BS67" s="72"/>
      <c r="BT67" s="72"/>
      <c r="BU67" s="72"/>
      <c r="BV67" s="72"/>
      <c r="BW67" s="72"/>
      <c r="BX67" s="72"/>
      <c r="BY67" s="72"/>
      <c r="BZ67" s="72"/>
      <c r="CA67" s="72"/>
      <c r="CB67" s="72"/>
      <c r="CC67" s="72"/>
      <c r="CD67" s="72"/>
      <c r="CE67" s="72"/>
      <c r="CF67" s="72"/>
      <c r="CG67" s="72"/>
      <c r="CH67" s="72"/>
    </row>
    <row r="68" ht="15.75" customHeight="1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72"/>
      <c r="AS68" s="72"/>
      <c r="AT68" s="72"/>
      <c r="AU68" s="72"/>
      <c r="AV68" s="72"/>
      <c r="AW68" s="72"/>
      <c r="AX68" s="72"/>
      <c r="AY68" s="72"/>
      <c r="AZ68" s="72"/>
      <c r="BA68" s="72"/>
      <c r="BB68" s="72"/>
      <c r="BC68" s="72"/>
      <c r="BD68" s="72"/>
      <c r="BE68" s="72"/>
      <c r="BF68" s="72"/>
      <c r="BG68" s="72"/>
      <c r="BH68" s="72"/>
      <c r="BI68" s="72"/>
      <c r="BJ68" s="72"/>
      <c r="BK68" s="72"/>
      <c r="BL68" s="72"/>
      <c r="BM68" s="72"/>
      <c r="BN68" s="72"/>
      <c r="BO68" s="72"/>
      <c r="BP68" s="72"/>
      <c r="BQ68" s="72"/>
      <c r="BR68" s="72"/>
      <c r="BS68" s="72"/>
      <c r="BT68" s="72"/>
      <c r="BU68" s="72"/>
      <c r="BV68" s="72"/>
      <c r="BW68" s="72"/>
      <c r="BX68" s="72"/>
      <c r="BY68" s="72"/>
      <c r="BZ68" s="72"/>
      <c r="CA68" s="72"/>
      <c r="CB68" s="72"/>
      <c r="CC68" s="72"/>
      <c r="CD68" s="72"/>
      <c r="CE68" s="72"/>
      <c r="CF68" s="72"/>
      <c r="CG68" s="72"/>
      <c r="CH68" s="72"/>
    </row>
    <row r="69" ht="15.75" customHeight="1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72"/>
      <c r="AS69" s="72"/>
      <c r="AT69" s="72"/>
      <c r="AU69" s="72"/>
      <c r="AV69" s="72"/>
      <c r="AW69" s="72"/>
      <c r="AX69" s="72"/>
      <c r="AY69" s="72"/>
      <c r="AZ69" s="72"/>
      <c r="BA69" s="72"/>
      <c r="BB69" s="72"/>
      <c r="BC69" s="72"/>
      <c r="BD69" s="72"/>
      <c r="BE69" s="72"/>
      <c r="BF69" s="72"/>
      <c r="BG69" s="72"/>
      <c r="BH69" s="72"/>
      <c r="BI69" s="72"/>
      <c r="BJ69" s="72"/>
      <c r="BK69" s="72"/>
      <c r="BL69" s="72"/>
      <c r="BM69" s="72"/>
      <c r="BN69" s="72"/>
      <c r="BO69" s="72"/>
      <c r="BP69" s="72"/>
      <c r="BQ69" s="72"/>
      <c r="BR69" s="72"/>
      <c r="BS69" s="72"/>
      <c r="BT69" s="72"/>
      <c r="BU69" s="72"/>
      <c r="BV69" s="72"/>
      <c r="BW69" s="72"/>
      <c r="BX69" s="72"/>
      <c r="BY69" s="72"/>
      <c r="BZ69" s="72"/>
      <c r="CA69" s="72"/>
      <c r="CB69" s="72"/>
      <c r="CC69" s="72"/>
      <c r="CD69" s="72"/>
      <c r="CE69" s="72"/>
      <c r="CF69" s="72"/>
      <c r="CG69" s="72"/>
      <c r="CH69" s="72"/>
    </row>
    <row r="70" ht="15.75" customHeight="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2"/>
      <c r="AV70" s="72"/>
      <c r="AW70" s="72"/>
      <c r="AX70" s="72"/>
      <c r="AY70" s="72"/>
      <c r="AZ70" s="72"/>
      <c r="BA70" s="72"/>
      <c r="BB70" s="72"/>
      <c r="BC70" s="72"/>
      <c r="BD70" s="72"/>
      <c r="BE70" s="72"/>
      <c r="BF70" s="72"/>
      <c r="BG70" s="72"/>
      <c r="BH70" s="72"/>
      <c r="BI70" s="72"/>
      <c r="BJ70" s="72"/>
      <c r="BK70" s="72"/>
      <c r="BL70" s="72"/>
      <c r="BM70" s="72"/>
      <c r="BN70" s="72"/>
      <c r="BO70" s="72"/>
      <c r="BP70" s="72"/>
      <c r="BQ70" s="72"/>
      <c r="BR70" s="72"/>
      <c r="BS70" s="72"/>
      <c r="BT70" s="72"/>
      <c r="BU70" s="72"/>
      <c r="BV70" s="72"/>
      <c r="BW70" s="72"/>
      <c r="BX70" s="72"/>
      <c r="BY70" s="72"/>
      <c r="BZ70" s="72"/>
      <c r="CA70" s="72"/>
      <c r="CB70" s="72"/>
      <c r="CC70" s="72"/>
      <c r="CD70" s="72"/>
      <c r="CE70" s="72"/>
      <c r="CF70" s="72"/>
      <c r="CG70" s="72"/>
      <c r="CH70" s="72"/>
    </row>
    <row r="71" ht="15.75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  <c r="AV71" s="72"/>
      <c r="AW71" s="72"/>
      <c r="AX71" s="72"/>
      <c r="AY71" s="72"/>
      <c r="AZ71" s="72"/>
      <c r="BA71" s="72"/>
      <c r="BB71" s="72"/>
      <c r="BC71" s="72"/>
      <c r="BD71" s="72"/>
      <c r="BE71" s="72"/>
      <c r="BF71" s="72"/>
      <c r="BG71" s="72"/>
      <c r="BH71" s="72"/>
      <c r="BI71" s="72"/>
      <c r="BJ71" s="72"/>
      <c r="BK71" s="72"/>
      <c r="BL71" s="72"/>
      <c r="BM71" s="72"/>
      <c r="BN71" s="72"/>
      <c r="BO71" s="72"/>
      <c r="BP71" s="72"/>
      <c r="BQ71" s="72"/>
      <c r="BR71" s="72"/>
      <c r="BS71" s="72"/>
      <c r="BT71" s="72"/>
      <c r="BU71" s="72"/>
      <c r="BV71" s="72"/>
      <c r="BW71" s="72"/>
      <c r="BX71" s="72"/>
      <c r="BY71" s="72"/>
      <c r="BZ71" s="72"/>
      <c r="CA71" s="72"/>
      <c r="CB71" s="72"/>
      <c r="CC71" s="72"/>
      <c r="CD71" s="72"/>
      <c r="CE71" s="72"/>
      <c r="CF71" s="72"/>
      <c r="CG71" s="72"/>
      <c r="CH71" s="72"/>
    </row>
    <row r="72" ht="15.75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  <c r="AT72" s="72"/>
      <c r="AU72" s="72"/>
      <c r="AV72" s="72"/>
      <c r="AW72" s="72"/>
      <c r="AX72" s="72"/>
      <c r="AY72" s="72"/>
      <c r="AZ72" s="72"/>
      <c r="BA72" s="72"/>
      <c r="BB72" s="72"/>
      <c r="BC72" s="72"/>
      <c r="BD72" s="72"/>
      <c r="BE72" s="72"/>
      <c r="BF72" s="72"/>
      <c r="BG72" s="72"/>
      <c r="BH72" s="72"/>
      <c r="BI72" s="72"/>
      <c r="BJ72" s="72"/>
      <c r="BK72" s="72"/>
      <c r="BL72" s="72"/>
      <c r="BM72" s="72"/>
      <c r="BN72" s="72"/>
      <c r="BO72" s="72"/>
      <c r="BP72" s="72"/>
      <c r="BQ72" s="72"/>
      <c r="BR72" s="72"/>
      <c r="BS72" s="72"/>
      <c r="BT72" s="72"/>
      <c r="BU72" s="72"/>
      <c r="BV72" s="72"/>
      <c r="BW72" s="72"/>
      <c r="BX72" s="72"/>
      <c r="BY72" s="72"/>
      <c r="BZ72" s="72"/>
      <c r="CA72" s="72"/>
      <c r="CB72" s="72"/>
      <c r="CC72" s="72"/>
      <c r="CD72" s="72"/>
      <c r="CE72" s="72"/>
      <c r="CF72" s="72"/>
      <c r="CG72" s="72"/>
      <c r="CH72" s="72"/>
    </row>
    <row r="73" ht="15.75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72"/>
      <c r="AS73" s="72"/>
      <c r="AT73" s="72"/>
      <c r="AU73" s="72"/>
      <c r="AV73" s="72"/>
      <c r="AW73" s="72"/>
      <c r="AX73" s="72"/>
      <c r="AY73" s="72"/>
      <c r="AZ73" s="72"/>
      <c r="BA73" s="72"/>
      <c r="BB73" s="72"/>
      <c r="BC73" s="72"/>
      <c r="BD73" s="72"/>
      <c r="BE73" s="72"/>
      <c r="BF73" s="72"/>
      <c r="BG73" s="72"/>
      <c r="BH73" s="72"/>
      <c r="BI73" s="72"/>
      <c r="BJ73" s="72"/>
      <c r="BK73" s="72"/>
      <c r="BL73" s="72"/>
      <c r="BM73" s="72"/>
      <c r="BN73" s="72"/>
      <c r="BO73" s="72"/>
      <c r="BP73" s="72"/>
      <c r="BQ73" s="72"/>
      <c r="BR73" s="72"/>
      <c r="BS73" s="72"/>
      <c r="BT73" s="72"/>
      <c r="BU73" s="72"/>
      <c r="BV73" s="72"/>
      <c r="BW73" s="72"/>
      <c r="BX73" s="72"/>
      <c r="BY73" s="72"/>
      <c r="BZ73" s="72"/>
      <c r="CA73" s="72"/>
      <c r="CB73" s="72"/>
      <c r="CC73" s="72"/>
      <c r="CD73" s="72"/>
      <c r="CE73" s="72"/>
      <c r="CF73" s="72"/>
      <c r="CG73" s="72"/>
      <c r="CH73" s="72"/>
    </row>
    <row r="74" ht="15.75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72"/>
      <c r="AS74" s="72"/>
      <c r="AT74" s="72"/>
      <c r="AU74" s="72"/>
      <c r="AV74" s="72"/>
      <c r="AW74" s="72"/>
      <c r="AX74" s="72"/>
      <c r="AY74" s="72"/>
      <c r="AZ74" s="72"/>
      <c r="BA74" s="72"/>
      <c r="BB74" s="72"/>
      <c r="BC74" s="72"/>
      <c r="BD74" s="72"/>
      <c r="BE74" s="72"/>
      <c r="BF74" s="72"/>
      <c r="BG74" s="72"/>
      <c r="BH74" s="72"/>
      <c r="BI74" s="72"/>
      <c r="BJ74" s="72"/>
      <c r="BK74" s="72"/>
      <c r="BL74" s="72"/>
      <c r="BM74" s="72"/>
      <c r="BN74" s="72"/>
      <c r="BO74" s="72"/>
      <c r="BP74" s="72"/>
      <c r="BQ74" s="72"/>
      <c r="BR74" s="72"/>
      <c r="BS74" s="72"/>
      <c r="BT74" s="72"/>
      <c r="BU74" s="72"/>
      <c r="BV74" s="72"/>
      <c r="BW74" s="72"/>
      <c r="BX74" s="72"/>
      <c r="BY74" s="72"/>
      <c r="BZ74" s="72"/>
      <c r="CA74" s="72"/>
      <c r="CB74" s="72"/>
      <c r="CC74" s="72"/>
      <c r="CD74" s="72"/>
      <c r="CE74" s="72"/>
      <c r="CF74" s="72"/>
      <c r="CG74" s="72"/>
      <c r="CH74" s="72"/>
    </row>
    <row r="75" ht="15.75" customHeight="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72"/>
      <c r="AS75" s="72"/>
      <c r="AT75" s="72"/>
      <c r="AU75" s="72"/>
      <c r="AV75" s="72"/>
      <c r="AW75" s="72"/>
      <c r="AX75" s="72"/>
      <c r="AY75" s="72"/>
      <c r="AZ75" s="72"/>
      <c r="BA75" s="72"/>
      <c r="BB75" s="72"/>
      <c r="BC75" s="72"/>
      <c r="BD75" s="72"/>
      <c r="BE75" s="72"/>
      <c r="BF75" s="72"/>
      <c r="BG75" s="72"/>
      <c r="BH75" s="72"/>
      <c r="BI75" s="72"/>
      <c r="BJ75" s="72"/>
      <c r="BK75" s="72"/>
      <c r="BL75" s="72"/>
      <c r="BM75" s="72"/>
      <c r="BN75" s="72"/>
      <c r="BO75" s="72"/>
      <c r="BP75" s="72"/>
      <c r="BQ75" s="72"/>
      <c r="BR75" s="72"/>
      <c r="BS75" s="72"/>
      <c r="BT75" s="72"/>
      <c r="BU75" s="72"/>
      <c r="BV75" s="72"/>
      <c r="BW75" s="72"/>
      <c r="BX75" s="72"/>
      <c r="BY75" s="72"/>
      <c r="BZ75" s="72"/>
      <c r="CA75" s="72"/>
      <c r="CB75" s="72"/>
      <c r="CC75" s="72"/>
      <c r="CD75" s="72"/>
      <c r="CE75" s="72"/>
      <c r="CF75" s="72"/>
      <c r="CG75" s="72"/>
      <c r="CH75" s="72"/>
    </row>
    <row r="76" ht="15.75" customHeight="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  <c r="AQ76" s="72"/>
      <c r="AR76" s="72"/>
      <c r="AS76" s="72"/>
      <c r="AT76" s="72"/>
      <c r="AU76" s="72"/>
      <c r="AV76" s="72"/>
      <c r="AW76" s="72"/>
      <c r="AX76" s="72"/>
      <c r="AY76" s="72"/>
      <c r="AZ76" s="72"/>
      <c r="BA76" s="72"/>
      <c r="BB76" s="72"/>
      <c r="BC76" s="72"/>
      <c r="BD76" s="72"/>
      <c r="BE76" s="72"/>
      <c r="BF76" s="72"/>
      <c r="BG76" s="72"/>
      <c r="BH76" s="72"/>
      <c r="BI76" s="72"/>
      <c r="BJ76" s="72"/>
      <c r="BK76" s="72"/>
      <c r="BL76" s="72"/>
      <c r="BM76" s="72"/>
      <c r="BN76" s="72"/>
      <c r="BO76" s="72"/>
      <c r="BP76" s="72"/>
      <c r="BQ76" s="72"/>
      <c r="BR76" s="72"/>
      <c r="BS76" s="72"/>
      <c r="BT76" s="72"/>
      <c r="BU76" s="72"/>
      <c r="BV76" s="72"/>
      <c r="BW76" s="72"/>
      <c r="BX76" s="72"/>
      <c r="BY76" s="72"/>
      <c r="BZ76" s="72"/>
      <c r="CA76" s="72"/>
      <c r="CB76" s="72"/>
      <c r="CC76" s="72"/>
      <c r="CD76" s="72"/>
      <c r="CE76" s="72"/>
      <c r="CF76" s="72"/>
      <c r="CG76" s="72"/>
      <c r="CH76" s="72"/>
    </row>
    <row r="77" ht="15.75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  <c r="AQ77" s="72"/>
      <c r="AR77" s="72"/>
      <c r="AS77" s="72"/>
      <c r="AT77" s="72"/>
      <c r="AU77" s="72"/>
      <c r="AV77" s="72"/>
      <c r="AW77" s="72"/>
      <c r="AX77" s="72"/>
      <c r="AY77" s="72"/>
      <c r="AZ77" s="72"/>
      <c r="BA77" s="72"/>
      <c r="BB77" s="72"/>
      <c r="BC77" s="72"/>
      <c r="BD77" s="72"/>
      <c r="BE77" s="72"/>
      <c r="BF77" s="72"/>
      <c r="BG77" s="72"/>
      <c r="BH77" s="72"/>
      <c r="BI77" s="72"/>
      <c r="BJ77" s="72"/>
      <c r="BK77" s="72"/>
      <c r="BL77" s="72"/>
      <c r="BM77" s="72"/>
      <c r="BN77" s="72"/>
      <c r="BO77" s="72"/>
      <c r="BP77" s="72"/>
      <c r="BQ77" s="72"/>
      <c r="BR77" s="72"/>
      <c r="BS77" s="72"/>
      <c r="BT77" s="72"/>
      <c r="BU77" s="72"/>
      <c r="BV77" s="72"/>
      <c r="BW77" s="72"/>
      <c r="BX77" s="72"/>
      <c r="BY77" s="72"/>
      <c r="BZ77" s="72"/>
      <c r="CA77" s="72"/>
      <c r="CB77" s="72"/>
      <c r="CC77" s="72"/>
      <c r="CD77" s="72"/>
      <c r="CE77" s="72"/>
      <c r="CF77" s="72"/>
      <c r="CG77" s="72"/>
      <c r="CH77" s="72"/>
    </row>
    <row r="78" ht="15.75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  <c r="AQ78" s="72"/>
      <c r="AR78" s="72"/>
      <c r="AS78" s="72"/>
      <c r="AT78" s="72"/>
      <c r="AU78" s="72"/>
      <c r="AV78" s="72"/>
      <c r="AW78" s="72"/>
      <c r="AX78" s="72"/>
      <c r="AY78" s="72"/>
      <c r="AZ78" s="72"/>
      <c r="BA78" s="72"/>
      <c r="BB78" s="72"/>
      <c r="BC78" s="72"/>
      <c r="BD78" s="72"/>
      <c r="BE78" s="72"/>
      <c r="BF78" s="72"/>
      <c r="BG78" s="72"/>
      <c r="BH78" s="72"/>
      <c r="BI78" s="72"/>
      <c r="BJ78" s="72"/>
      <c r="BK78" s="72"/>
      <c r="BL78" s="72"/>
      <c r="BM78" s="72"/>
      <c r="BN78" s="72"/>
      <c r="BO78" s="72"/>
      <c r="BP78" s="72"/>
      <c r="BQ78" s="72"/>
      <c r="BR78" s="72"/>
      <c r="BS78" s="72"/>
      <c r="BT78" s="72"/>
      <c r="BU78" s="72"/>
      <c r="BV78" s="72"/>
      <c r="BW78" s="72"/>
      <c r="BX78" s="72"/>
      <c r="BY78" s="72"/>
      <c r="BZ78" s="72"/>
      <c r="CA78" s="72"/>
      <c r="CB78" s="72"/>
      <c r="CC78" s="72"/>
      <c r="CD78" s="72"/>
      <c r="CE78" s="72"/>
      <c r="CF78" s="72"/>
      <c r="CG78" s="72"/>
      <c r="CH78" s="72"/>
    </row>
    <row r="79" ht="15.75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  <c r="AQ79" s="72"/>
      <c r="AR79" s="72"/>
      <c r="AS79" s="72"/>
      <c r="AT79" s="72"/>
      <c r="AU79" s="72"/>
      <c r="AV79" s="72"/>
      <c r="AW79" s="72"/>
      <c r="AX79" s="72"/>
      <c r="AY79" s="72"/>
      <c r="AZ79" s="72"/>
      <c r="BA79" s="72"/>
      <c r="BB79" s="72"/>
      <c r="BC79" s="72"/>
      <c r="BD79" s="72"/>
      <c r="BE79" s="72"/>
      <c r="BF79" s="72"/>
      <c r="BG79" s="72"/>
      <c r="BH79" s="72"/>
      <c r="BI79" s="72"/>
      <c r="BJ79" s="72"/>
      <c r="BK79" s="72"/>
      <c r="BL79" s="72"/>
      <c r="BM79" s="72"/>
      <c r="BN79" s="72"/>
      <c r="BO79" s="72"/>
      <c r="BP79" s="72"/>
      <c r="BQ79" s="72"/>
      <c r="BR79" s="72"/>
      <c r="BS79" s="72"/>
      <c r="BT79" s="72"/>
      <c r="BU79" s="72"/>
      <c r="BV79" s="72"/>
      <c r="BW79" s="72"/>
      <c r="BX79" s="72"/>
      <c r="BY79" s="72"/>
      <c r="BZ79" s="72"/>
      <c r="CA79" s="72"/>
      <c r="CB79" s="72"/>
      <c r="CC79" s="72"/>
      <c r="CD79" s="72"/>
      <c r="CE79" s="72"/>
      <c r="CF79" s="72"/>
      <c r="CG79" s="72"/>
      <c r="CH79" s="72"/>
    </row>
    <row r="80" ht="15.75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  <c r="AQ80" s="72"/>
      <c r="AR80" s="72"/>
      <c r="AS80" s="72"/>
      <c r="AT80" s="72"/>
      <c r="AU80" s="72"/>
      <c r="AV80" s="72"/>
      <c r="AW80" s="72"/>
      <c r="AX80" s="72"/>
      <c r="AY80" s="72"/>
      <c r="AZ80" s="72"/>
      <c r="BA80" s="72"/>
      <c r="BB80" s="72"/>
      <c r="BC80" s="72"/>
      <c r="BD80" s="72"/>
      <c r="BE80" s="72"/>
      <c r="BF80" s="72"/>
      <c r="BG80" s="72"/>
      <c r="BH80" s="72"/>
      <c r="BI80" s="72"/>
      <c r="BJ80" s="72"/>
      <c r="BK80" s="72"/>
      <c r="BL80" s="72"/>
      <c r="BM80" s="72"/>
      <c r="BN80" s="72"/>
      <c r="BO80" s="72"/>
      <c r="BP80" s="72"/>
      <c r="BQ80" s="72"/>
      <c r="BR80" s="72"/>
      <c r="BS80" s="72"/>
      <c r="BT80" s="72"/>
      <c r="BU80" s="72"/>
      <c r="BV80" s="72"/>
      <c r="BW80" s="72"/>
      <c r="BX80" s="72"/>
      <c r="BY80" s="72"/>
      <c r="BZ80" s="72"/>
      <c r="CA80" s="72"/>
      <c r="CB80" s="72"/>
      <c r="CC80" s="72"/>
      <c r="CD80" s="72"/>
      <c r="CE80" s="72"/>
      <c r="CF80" s="72"/>
      <c r="CG80" s="72"/>
      <c r="CH80" s="72"/>
    </row>
    <row r="81" ht="15.75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  <c r="AQ81" s="72"/>
      <c r="AR81" s="72"/>
      <c r="AS81" s="72"/>
      <c r="AT81" s="72"/>
      <c r="AU81" s="72"/>
      <c r="AV81" s="72"/>
      <c r="AW81" s="72"/>
      <c r="AX81" s="72"/>
      <c r="AY81" s="72"/>
      <c r="AZ81" s="72"/>
      <c r="BA81" s="72"/>
      <c r="BB81" s="72"/>
      <c r="BC81" s="72"/>
      <c r="BD81" s="72"/>
      <c r="BE81" s="72"/>
      <c r="BF81" s="72"/>
      <c r="BG81" s="72"/>
      <c r="BH81" s="72"/>
      <c r="BI81" s="72"/>
      <c r="BJ81" s="72"/>
      <c r="BK81" s="72"/>
      <c r="BL81" s="72"/>
      <c r="BM81" s="72"/>
      <c r="BN81" s="72"/>
      <c r="BO81" s="72"/>
      <c r="BP81" s="72"/>
      <c r="BQ81" s="72"/>
      <c r="BR81" s="72"/>
      <c r="BS81" s="72"/>
      <c r="BT81" s="72"/>
      <c r="BU81" s="72"/>
      <c r="BV81" s="72"/>
      <c r="BW81" s="72"/>
      <c r="BX81" s="72"/>
      <c r="BY81" s="72"/>
      <c r="BZ81" s="72"/>
      <c r="CA81" s="72"/>
      <c r="CB81" s="72"/>
      <c r="CC81" s="72"/>
      <c r="CD81" s="72"/>
      <c r="CE81" s="72"/>
      <c r="CF81" s="72"/>
      <c r="CG81" s="72"/>
      <c r="CH81" s="72"/>
    </row>
    <row r="82" ht="15.75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  <c r="AQ82" s="72"/>
      <c r="AR82" s="72"/>
      <c r="AS82" s="72"/>
      <c r="AT82" s="72"/>
      <c r="AU82" s="72"/>
      <c r="AV82" s="72"/>
      <c r="AW82" s="72"/>
      <c r="AX82" s="72"/>
      <c r="AY82" s="72"/>
      <c r="AZ82" s="72"/>
      <c r="BA82" s="72"/>
      <c r="BB82" s="72"/>
      <c r="BC82" s="72"/>
      <c r="BD82" s="72"/>
      <c r="BE82" s="72"/>
      <c r="BF82" s="72"/>
      <c r="BG82" s="72"/>
      <c r="BH82" s="72"/>
      <c r="BI82" s="72"/>
      <c r="BJ82" s="72"/>
      <c r="BK82" s="72"/>
      <c r="BL82" s="72"/>
      <c r="BM82" s="72"/>
      <c r="BN82" s="72"/>
      <c r="BO82" s="72"/>
      <c r="BP82" s="72"/>
      <c r="BQ82" s="72"/>
      <c r="BR82" s="72"/>
      <c r="BS82" s="72"/>
      <c r="BT82" s="72"/>
      <c r="BU82" s="72"/>
      <c r="BV82" s="72"/>
      <c r="BW82" s="72"/>
      <c r="BX82" s="72"/>
      <c r="BY82" s="72"/>
      <c r="BZ82" s="72"/>
      <c r="CA82" s="72"/>
      <c r="CB82" s="72"/>
      <c r="CC82" s="72"/>
      <c r="CD82" s="72"/>
      <c r="CE82" s="72"/>
      <c r="CF82" s="72"/>
      <c r="CG82" s="72"/>
      <c r="CH82" s="72"/>
    </row>
    <row r="83" ht="15.75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  <c r="AQ83" s="72"/>
      <c r="AR83" s="72"/>
      <c r="AS83" s="72"/>
      <c r="AT83" s="72"/>
      <c r="AU83" s="72"/>
      <c r="AV83" s="72"/>
      <c r="AW83" s="72"/>
      <c r="AX83" s="72"/>
      <c r="AY83" s="72"/>
      <c r="AZ83" s="72"/>
      <c r="BA83" s="72"/>
      <c r="BB83" s="72"/>
      <c r="BC83" s="72"/>
      <c r="BD83" s="72"/>
      <c r="BE83" s="72"/>
      <c r="BF83" s="72"/>
      <c r="BG83" s="72"/>
      <c r="BH83" s="72"/>
      <c r="BI83" s="72"/>
      <c r="BJ83" s="72"/>
      <c r="BK83" s="72"/>
      <c r="BL83" s="72"/>
      <c r="BM83" s="72"/>
      <c r="BN83" s="72"/>
      <c r="BO83" s="72"/>
      <c r="BP83" s="72"/>
      <c r="BQ83" s="72"/>
      <c r="BR83" s="72"/>
      <c r="BS83" s="72"/>
      <c r="BT83" s="72"/>
      <c r="BU83" s="72"/>
      <c r="BV83" s="72"/>
      <c r="BW83" s="72"/>
      <c r="BX83" s="72"/>
      <c r="BY83" s="72"/>
      <c r="BZ83" s="72"/>
      <c r="CA83" s="72"/>
      <c r="CB83" s="72"/>
      <c r="CC83" s="72"/>
      <c r="CD83" s="72"/>
      <c r="CE83" s="72"/>
      <c r="CF83" s="72"/>
      <c r="CG83" s="72"/>
      <c r="CH83" s="72"/>
    </row>
    <row r="84" ht="15.75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  <c r="AQ84" s="72"/>
      <c r="AR84" s="72"/>
      <c r="AS84" s="72"/>
      <c r="AT84" s="72"/>
      <c r="AU84" s="72"/>
      <c r="AV84" s="72"/>
      <c r="AW84" s="72"/>
      <c r="AX84" s="72"/>
      <c r="AY84" s="72"/>
      <c r="AZ84" s="72"/>
      <c r="BA84" s="72"/>
      <c r="BB84" s="72"/>
      <c r="BC84" s="72"/>
      <c r="BD84" s="72"/>
      <c r="BE84" s="72"/>
      <c r="BF84" s="72"/>
      <c r="BG84" s="72"/>
      <c r="BH84" s="72"/>
      <c r="BI84" s="72"/>
      <c r="BJ84" s="72"/>
      <c r="BK84" s="72"/>
      <c r="BL84" s="72"/>
      <c r="BM84" s="72"/>
      <c r="BN84" s="72"/>
      <c r="BO84" s="72"/>
      <c r="BP84" s="72"/>
      <c r="BQ84" s="72"/>
      <c r="BR84" s="72"/>
      <c r="BS84" s="72"/>
      <c r="BT84" s="72"/>
      <c r="BU84" s="72"/>
      <c r="BV84" s="72"/>
      <c r="BW84" s="72"/>
      <c r="BX84" s="72"/>
      <c r="BY84" s="72"/>
      <c r="BZ84" s="72"/>
      <c r="CA84" s="72"/>
      <c r="CB84" s="72"/>
      <c r="CC84" s="72"/>
      <c r="CD84" s="72"/>
      <c r="CE84" s="72"/>
      <c r="CF84" s="72"/>
      <c r="CG84" s="72"/>
      <c r="CH84" s="72"/>
    </row>
    <row r="85" ht="15.75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  <c r="AQ85" s="72"/>
      <c r="AR85" s="72"/>
      <c r="AS85" s="72"/>
      <c r="AT85" s="72"/>
      <c r="AU85" s="72"/>
      <c r="AV85" s="72"/>
      <c r="AW85" s="72"/>
      <c r="AX85" s="72"/>
      <c r="AY85" s="72"/>
      <c r="AZ85" s="72"/>
      <c r="BA85" s="72"/>
      <c r="BB85" s="72"/>
      <c r="BC85" s="72"/>
      <c r="BD85" s="72"/>
      <c r="BE85" s="72"/>
      <c r="BF85" s="72"/>
      <c r="BG85" s="72"/>
      <c r="BH85" s="72"/>
      <c r="BI85" s="72"/>
      <c r="BJ85" s="72"/>
      <c r="BK85" s="72"/>
      <c r="BL85" s="72"/>
      <c r="BM85" s="72"/>
      <c r="BN85" s="72"/>
      <c r="BO85" s="72"/>
      <c r="BP85" s="72"/>
      <c r="BQ85" s="72"/>
      <c r="BR85" s="72"/>
      <c r="BS85" s="72"/>
      <c r="BT85" s="72"/>
      <c r="BU85" s="72"/>
      <c r="BV85" s="72"/>
      <c r="BW85" s="72"/>
      <c r="BX85" s="72"/>
      <c r="BY85" s="72"/>
      <c r="BZ85" s="72"/>
      <c r="CA85" s="72"/>
      <c r="CB85" s="72"/>
      <c r="CC85" s="72"/>
      <c r="CD85" s="72"/>
      <c r="CE85" s="72"/>
      <c r="CF85" s="72"/>
      <c r="CG85" s="72"/>
      <c r="CH85" s="72"/>
    </row>
    <row r="86" ht="15.75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  <c r="AQ86" s="72"/>
      <c r="AR86" s="72"/>
      <c r="AS86" s="72"/>
      <c r="AT86" s="72"/>
      <c r="AU86" s="72"/>
      <c r="AV86" s="72"/>
      <c r="AW86" s="72"/>
      <c r="AX86" s="72"/>
      <c r="AY86" s="72"/>
      <c r="AZ86" s="72"/>
      <c r="BA86" s="72"/>
      <c r="BB86" s="72"/>
      <c r="BC86" s="72"/>
      <c r="BD86" s="72"/>
      <c r="BE86" s="72"/>
      <c r="BF86" s="72"/>
      <c r="BG86" s="72"/>
      <c r="BH86" s="72"/>
      <c r="BI86" s="72"/>
      <c r="BJ86" s="72"/>
      <c r="BK86" s="72"/>
      <c r="BL86" s="72"/>
      <c r="BM86" s="72"/>
      <c r="BN86" s="72"/>
      <c r="BO86" s="72"/>
      <c r="BP86" s="72"/>
      <c r="BQ86" s="72"/>
      <c r="BR86" s="72"/>
      <c r="BS86" s="72"/>
      <c r="BT86" s="72"/>
      <c r="BU86" s="72"/>
      <c r="BV86" s="72"/>
      <c r="BW86" s="72"/>
      <c r="BX86" s="72"/>
      <c r="BY86" s="72"/>
      <c r="BZ86" s="72"/>
      <c r="CA86" s="72"/>
      <c r="CB86" s="72"/>
      <c r="CC86" s="72"/>
      <c r="CD86" s="72"/>
      <c r="CE86" s="72"/>
      <c r="CF86" s="72"/>
      <c r="CG86" s="72"/>
      <c r="CH86" s="72"/>
    </row>
    <row r="87" ht="15.75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  <c r="AQ87" s="72"/>
      <c r="AR87" s="72"/>
      <c r="AS87" s="72"/>
      <c r="AT87" s="72"/>
      <c r="AU87" s="72"/>
      <c r="AV87" s="72"/>
      <c r="AW87" s="72"/>
      <c r="AX87" s="72"/>
      <c r="AY87" s="72"/>
      <c r="AZ87" s="72"/>
      <c r="BA87" s="72"/>
      <c r="BB87" s="72"/>
      <c r="BC87" s="72"/>
      <c r="BD87" s="72"/>
      <c r="BE87" s="72"/>
      <c r="BF87" s="72"/>
      <c r="BG87" s="72"/>
      <c r="BH87" s="72"/>
      <c r="BI87" s="72"/>
      <c r="BJ87" s="72"/>
      <c r="BK87" s="72"/>
      <c r="BL87" s="72"/>
      <c r="BM87" s="72"/>
      <c r="BN87" s="72"/>
      <c r="BO87" s="72"/>
      <c r="BP87" s="72"/>
      <c r="BQ87" s="72"/>
      <c r="BR87" s="72"/>
      <c r="BS87" s="72"/>
      <c r="BT87" s="72"/>
      <c r="BU87" s="72"/>
      <c r="BV87" s="72"/>
      <c r="BW87" s="72"/>
      <c r="BX87" s="72"/>
      <c r="BY87" s="72"/>
      <c r="BZ87" s="72"/>
      <c r="CA87" s="72"/>
      <c r="CB87" s="72"/>
      <c r="CC87" s="72"/>
      <c r="CD87" s="72"/>
      <c r="CE87" s="72"/>
      <c r="CF87" s="72"/>
      <c r="CG87" s="72"/>
      <c r="CH87" s="72"/>
    </row>
    <row r="88" ht="15.75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  <c r="AQ88" s="72"/>
      <c r="AR88" s="72"/>
      <c r="AS88" s="72"/>
      <c r="AT88" s="72"/>
      <c r="AU88" s="72"/>
      <c r="AV88" s="72"/>
      <c r="AW88" s="72"/>
      <c r="AX88" s="72"/>
      <c r="AY88" s="72"/>
      <c r="AZ88" s="72"/>
      <c r="BA88" s="72"/>
      <c r="BB88" s="72"/>
      <c r="BC88" s="72"/>
      <c r="BD88" s="72"/>
      <c r="BE88" s="72"/>
      <c r="BF88" s="72"/>
      <c r="BG88" s="72"/>
      <c r="BH88" s="72"/>
      <c r="BI88" s="72"/>
      <c r="BJ88" s="72"/>
      <c r="BK88" s="72"/>
      <c r="BL88" s="72"/>
      <c r="BM88" s="72"/>
      <c r="BN88" s="72"/>
      <c r="BO88" s="72"/>
      <c r="BP88" s="72"/>
      <c r="BQ88" s="72"/>
      <c r="BR88" s="72"/>
      <c r="BS88" s="72"/>
      <c r="BT88" s="72"/>
      <c r="BU88" s="72"/>
      <c r="BV88" s="72"/>
      <c r="BW88" s="72"/>
      <c r="BX88" s="72"/>
      <c r="BY88" s="72"/>
      <c r="BZ88" s="72"/>
      <c r="CA88" s="72"/>
      <c r="CB88" s="72"/>
      <c r="CC88" s="72"/>
      <c r="CD88" s="72"/>
      <c r="CE88" s="72"/>
      <c r="CF88" s="72"/>
      <c r="CG88" s="72"/>
      <c r="CH88" s="72"/>
    </row>
    <row r="89" ht="15.75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2"/>
      <c r="AT89" s="72"/>
      <c r="AU89" s="72"/>
      <c r="AV89" s="72"/>
      <c r="AW89" s="72"/>
      <c r="AX89" s="72"/>
      <c r="AY89" s="72"/>
      <c r="AZ89" s="72"/>
      <c r="BA89" s="72"/>
      <c r="BB89" s="72"/>
      <c r="BC89" s="72"/>
      <c r="BD89" s="72"/>
      <c r="BE89" s="72"/>
      <c r="BF89" s="72"/>
      <c r="BG89" s="72"/>
      <c r="BH89" s="72"/>
      <c r="BI89" s="72"/>
      <c r="BJ89" s="72"/>
      <c r="BK89" s="72"/>
      <c r="BL89" s="72"/>
      <c r="BM89" s="72"/>
      <c r="BN89" s="72"/>
      <c r="BO89" s="72"/>
      <c r="BP89" s="72"/>
      <c r="BQ89" s="72"/>
      <c r="BR89" s="72"/>
      <c r="BS89" s="72"/>
      <c r="BT89" s="72"/>
      <c r="BU89" s="72"/>
      <c r="BV89" s="72"/>
      <c r="BW89" s="72"/>
      <c r="BX89" s="72"/>
      <c r="BY89" s="72"/>
      <c r="BZ89" s="72"/>
      <c r="CA89" s="72"/>
      <c r="CB89" s="72"/>
      <c r="CC89" s="72"/>
      <c r="CD89" s="72"/>
      <c r="CE89" s="72"/>
      <c r="CF89" s="72"/>
      <c r="CG89" s="72"/>
      <c r="CH89" s="72"/>
    </row>
    <row r="90" ht="15.75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/>
      <c r="AR90" s="72"/>
      <c r="AS90" s="72"/>
      <c r="AT90" s="72"/>
      <c r="AU90" s="72"/>
      <c r="AV90" s="72"/>
      <c r="AW90" s="72"/>
      <c r="AX90" s="72"/>
      <c r="AY90" s="72"/>
      <c r="AZ90" s="72"/>
      <c r="BA90" s="72"/>
      <c r="BB90" s="72"/>
      <c r="BC90" s="72"/>
      <c r="BD90" s="72"/>
      <c r="BE90" s="72"/>
      <c r="BF90" s="72"/>
      <c r="BG90" s="72"/>
      <c r="BH90" s="72"/>
      <c r="BI90" s="72"/>
      <c r="BJ90" s="72"/>
      <c r="BK90" s="72"/>
      <c r="BL90" s="72"/>
      <c r="BM90" s="72"/>
      <c r="BN90" s="72"/>
      <c r="BO90" s="72"/>
      <c r="BP90" s="72"/>
      <c r="BQ90" s="72"/>
      <c r="BR90" s="72"/>
      <c r="BS90" s="72"/>
      <c r="BT90" s="72"/>
      <c r="BU90" s="72"/>
      <c r="BV90" s="72"/>
      <c r="BW90" s="72"/>
      <c r="BX90" s="72"/>
      <c r="BY90" s="72"/>
      <c r="BZ90" s="72"/>
      <c r="CA90" s="72"/>
      <c r="CB90" s="72"/>
      <c r="CC90" s="72"/>
      <c r="CD90" s="72"/>
      <c r="CE90" s="72"/>
      <c r="CF90" s="72"/>
      <c r="CG90" s="72"/>
      <c r="CH90" s="72"/>
    </row>
    <row r="91" ht="15.75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72"/>
      <c r="AW91" s="72"/>
      <c r="AX91" s="72"/>
      <c r="AY91" s="72"/>
      <c r="AZ91" s="72"/>
      <c r="BA91" s="72"/>
      <c r="BB91" s="72"/>
      <c r="BC91" s="72"/>
      <c r="BD91" s="72"/>
      <c r="BE91" s="72"/>
      <c r="BF91" s="72"/>
      <c r="BG91" s="72"/>
      <c r="BH91" s="72"/>
      <c r="BI91" s="72"/>
      <c r="BJ91" s="72"/>
      <c r="BK91" s="72"/>
      <c r="BL91" s="72"/>
      <c r="BM91" s="72"/>
      <c r="BN91" s="72"/>
      <c r="BO91" s="72"/>
      <c r="BP91" s="72"/>
      <c r="BQ91" s="72"/>
      <c r="BR91" s="72"/>
      <c r="BS91" s="72"/>
      <c r="BT91" s="72"/>
      <c r="BU91" s="72"/>
      <c r="BV91" s="72"/>
      <c r="BW91" s="72"/>
      <c r="BX91" s="72"/>
      <c r="BY91" s="72"/>
      <c r="BZ91" s="72"/>
      <c r="CA91" s="72"/>
      <c r="CB91" s="72"/>
      <c r="CC91" s="72"/>
      <c r="CD91" s="72"/>
      <c r="CE91" s="72"/>
      <c r="CF91" s="72"/>
      <c r="CG91" s="72"/>
      <c r="CH91" s="72"/>
    </row>
    <row r="92" ht="15.75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  <c r="AQ92" s="72"/>
      <c r="AR92" s="72"/>
      <c r="AS92" s="72"/>
      <c r="AT92" s="72"/>
      <c r="AU92" s="72"/>
      <c r="AV92" s="72"/>
      <c r="AW92" s="72"/>
      <c r="AX92" s="72"/>
      <c r="AY92" s="72"/>
      <c r="AZ92" s="72"/>
      <c r="BA92" s="72"/>
      <c r="BB92" s="72"/>
      <c r="BC92" s="72"/>
      <c r="BD92" s="72"/>
      <c r="BE92" s="72"/>
      <c r="BF92" s="72"/>
      <c r="BG92" s="72"/>
      <c r="BH92" s="72"/>
      <c r="BI92" s="72"/>
      <c r="BJ92" s="72"/>
      <c r="BK92" s="72"/>
      <c r="BL92" s="72"/>
      <c r="BM92" s="72"/>
      <c r="BN92" s="72"/>
      <c r="BO92" s="72"/>
      <c r="BP92" s="72"/>
      <c r="BQ92" s="72"/>
      <c r="BR92" s="72"/>
      <c r="BS92" s="72"/>
      <c r="BT92" s="72"/>
      <c r="BU92" s="72"/>
      <c r="BV92" s="72"/>
      <c r="BW92" s="72"/>
      <c r="BX92" s="72"/>
      <c r="BY92" s="72"/>
      <c r="BZ92" s="72"/>
      <c r="CA92" s="72"/>
      <c r="CB92" s="72"/>
      <c r="CC92" s="72"/>
      <c r="CD92" s="72"/>
      <c r="CE92" s="72"/>
      <c r="CF92" s="72"/>
      <c r="CG92" s="72"/>
      <c r="CH92" s="72"/>
    </row>
    <row r="93" ht="15.75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/>
      <c r="AR93" s="72"/>
      <c r="AS93" s="72"/>
      <c r="AT93" s="72"/>
      <c r="AU93" s="72"/>
      <c r="AV93" s="72"/>
      <c r="AW93" s="72"/>
      <c r="AX93" s="72"/>
      <c r="AY93" s="72"/>
      <c r="AZ93" s="72"/>
      <c r="BA93" s="72"/>
      <c r="BB93" s="72"/>
      <c r="BC93" s="72"/>
      <c r="BD93" s="72"/>
      <c r="BE93" s="72"/>
      <c r="BF93" s="72"/>
      <c r="BG93" s="72"/>
      <c r="BH93" s="72"/>
      <c r="BI93" s="72"/>
      <c r="BJ93" s="72"/>
      <c r="BK93" s="72"/>
      <c r="BL93" s="72"/>
      <c r="BM93" s="72"/>
      <c r="BN93" s="72"/>
      <c r="BO93" s="72"/>
      <c r="BP93" s="72"/>
      <c r="BQ93" s="72"/>
      <c r="BR93" s="72"/>
      <c r="BS93" s="72"/>
      <c r="BT93" s="72"/>
      <c r="BU93" s="72"/>
      <c r="BV93" s="72"/>
      <c r="BW93" s="72"/>
      <c r="BX93" s="72"/>
      <c r="BY93" s="72"/>
      <c r="BZ93" s="72"/>
      <c r="CA93" s="72"/>
      <c r="CB93" s="72"/>
      <c r="CC93" s="72"/>
      <c r="CD93" s="72"/>
      <c r="CE93" s="72"/>
      <c r="CF93" s="72"/>
      <c r="CG93" s="72"/>
      <c r="CH93" s="72"/>
    </row>
    <row r="94" ht="15.75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2"/>
      <c r="AS94" s="72"/>
      <c r="AT94" s="72"/>
      <c r="AU94" s="72"/>
      <c r="AV94" s="72"/>
      <c r="AW94" s="72"/>
      <c r="AX94" s="72"/>
      <c r="AY94" s="72"/>
      <c r="AZ94" s="72"/>
      <c r="BA94" s="72"/>
      <c r="BB94" s="72"/>
      <c r="BC94" s="72"/>
      <c r="BD94" s="72"/>
      <c r="BE94" s="72"/>
      <c r="BF94" s="72"/>
      <c r="BG94" s="72"/>
      <c r="BH94" s="72"/>
      <c r="BI94" s="72"/>
      <c r="BJ94" s="72"/>
      <c r="BK94" s="72"/>
      <c r="BL94" s="72"/>
      <c r="BM94" s="72"/>
      <c r="BN94" s="72"/>
      <c r="BO94" s="72"/>
      <c r="BP94" s="72"/>
      <c r="BQ94" s="72"/>
      <c r="BR94" s="72"/>
      <c r="BS94" s="72"/>
      <c r="BT94" s="72"/>
      <c r="BU94" s="72"/>
      <c r="BV94" s="72"/>
      <c r="BW94" s="72"/>
      <c r="BX94" s="72"/>
      <c r="BY94" s="72"/>
      <c r="BZ94" s="72"/>
      <c r="CA94" s="72"/>
      <c r="CB94" s="72"/>
      <c r="CC94" s="72"/>
      <c r="CD94" s="72"/>
      <c r="CE94" s="72"/>
      <c r="CF94" s="72"/>
      <c r="CG94" s="72"/>
      <c r="CH94" s="72"/>
    </row>
    <row r="95" ht="15.75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  <c r="AQ95" s="72"/>
      <c r="AR95" s="72"/>
      <c r="AS95" s="72"/>
      <c r="AT95" s="72"/>
      <c r="AU95" s="72"/>
      <c r="AV95" s="72"/>
      <c r="AW95" s="72"/>
      <c r="AX95" s="72"/>
      <c r="AY95" s="72"/>
      <c r="AZ95" s="72"/>
      <c r="BA95" s="72"/>
      <c r="BB95" s="72"/>
      <c r="BC95" s="72"/>
      <c r="BD95" s="72"/>
      <c r="BE95" s="72"/>
      <c r="BF95" s="72"/>
      <c r="BG95" s="72"/>
      <c r="BH95" s="72"/>
      <c r="BI95" s="72"/>
      <c r="BJ95" s="72"/>
      <c r="BK95" s="72"/>
      <c r="BL95" s="72"/>
      <c r="BM95" s="72"/>
      <c r="BN95" s="72"/>
      <c r="BO95" s="72"/>
      <c r="BP95" s="72"/>
      <c r="BQ95" s="72"/>
      <c r="BR95" s="72"/>
      <c r="BS95" s="72"/>
      <c r="BT95" s="72"/>
      <c r="BU95" s="72"/>
      <c r="BV95" s="72"/>
      <c r="BW95" s="72"/>
      <c r="BX95" s="72"/>
      <c r="BY95" s="72"/>
      <c r="BZ95" s="72"/>
      <c r="CA95" s="72"/>
      <c r="CB95" s="72"/>
      <c r="CC95" s="72"/>
      <c r="CD95" s="72"/>
      <c r="CE95" s="72"/>
      <c r="CF95" s="72"/>
      <c r="CG95" s="72"/>
      <c r="CH95" s="72"/>
    </row>
    <row r="96" ht="15.75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  <c r="AQ96" s="72"/>
      <c r="AR96" s="72"/>
      <c r="AS96" s="72"/>
      <c r="AT96" s="72"/>
      <c r="AU96" s="72"/>
      <c r="AV96" s="72"/>
      <c r="AW96" s="72"/>
      <c r="AX96" s="72"/>
      <c r="AY96" s="72"/>
      <c r="AZ96" s="72"/>
      <c r="BA96" s="72"/>
      <c r="BB96" s="72"/>
      <c r="BC96" s="72"/>
      <c r="BD96" s="72"/>
      <c r="BE96" s="72"/>
      <c r="BF96" s="72"/>
      <c r="BG96" s="72"/>
      <c r="BH96" s="72"/>
      <c r="BI96" s="72"/>
      <c r="BJ96" s="72"/>
      <c r="BK96" s="72"/>
      <c r="BL96" s="72"/>
      <c r="BM96" s="72"/>
      <c r="BN96" s="72"/>
      <c r="BO96" s="72"/>
      <c r="BP96" s="72"/>
      <c r="BQ96" s="72"/>
      <c r="BR96" s="72"/>
      <c r="BS96" s="72"/>
      <c r="BT96" s="72"/>
      <c r="BU96" s="72"/>
      <c r="BV96" s="72"/>
      <c r="BW96" s="72"/>
      <c r="BX96" s="72"/>
      <c r="BY96" s="72"/>
      <c r="BZ96" s="72"/>
      <c r="CA96" s="72"/>
      <c r="CB96" s="72"/>
      <c r="CC96" s="72"/>
      <c r="CD96" s="72"/>
      <c r="CE96" s="72"/>
      <c r="CF96" s="72"/>
      <c r="CG96" s="72"/>
      <c r="CH96" s="72"/>
    </row>
    <row r="97" ht="15.75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  <c r="AT97" s="72"/>
      <c r="AU97" s="72"/>
      <c r="AV97" s="72"/>
      <c r="AW97" s="72"/>
      <c r="AX97" s="72"/>
      <c r="AY97" s="72"/>
      <c r="AZ97" s="72"/>
      <c r="BA97" s="72"/>
      <c r="BB97" s="72"/>
      <c r="BC97" s="72"/>
      <c r="BD97" s="72"/>
      <c r="BE97" s="72"/>
      <c r="BF97" s="72"/>
      <c r="BG97" s="72"/>
      <c r="BH97" s="72"/>
      <c r="BI97" s="72"/>
      <c r="BJ97" s="72"/>
      <c r="BK97" s="72"/>
      <c r="BL97" s="72"/>
      <c r="BM97" s="72"/>
      <c r="BN97" s="72"/>
      <c r="BO97" s="72"/>
      <c r="BP97" s="72"/>
      <c r="BQ97" s="72"/>
      <c r="BR97" s="72"/>
      <c r="BS97" s="72"/>
      <c r="BT97" s="72"/>
      <c r="BU97" s="72"/>
      <c r="BV97" s="72"/>
      <c r="BW97" s="72"/>
      <c r="BX97" s="72"/>
      <c r="BY97" s="72"/>
      <c r="BZ97" s="72"/>
      <c r="CA97" s="72"/>
      <c r="CB97" s="72"/>
      <c r="CC97" s="72"/>
      <c r="CD97" s="72"/>
      <c r="CE97" s="72"/>
      <c r="CF97" s="72"/>
      <c r="CG97" s="72"/>
      <c r="CH97" s="72"/>
    </row>
    <row r="98" ht="15.75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  <c r="AQ98" s="72"/>
      <c r="AR98" s="72"/>
      <c r="AS98" s="72"/>
      <c r="AT98" s="72"/>
      <c r="AU98" s="72"/>
      <c r="AV98" s="72"/>
      <c r="AW98" s="72"/>
      <c r="AX98" s="72"/>
      <c r="AY98" s="72"/>
      <c r="AZ98" s="72"/>
      <c r="BA98" s="72"/>
      <c r="BB98" s="72"/>
      <c r="BC98" s="72"/>
      <c r="BD98" s="72"/>
      <c r="BE98" s="72"/>
      <c r="BF98" s="72"/>
      <c r="BG98" s="72"/>
      <c r="BH98" s="72"/>
      <c r="BI98" s="72"/>
      <c r="BJ98" s="72"/>
      <c r="BK98" s="72"/>
      <c r="BL98" s="72"/>
      <c r="BM98" s="72"/>
      <c r="BN98" s="72"/>
      <c r="BO98" s="72"/>
      <c r="BP98" s="72"/>
      <c r="BQ98" s="72"/>
      <c r="BR98" s="72"/>
      <c r="BS98" s="72"/>
      <c r="BT98" s="72"/>
      <c r="BU98" s="72"/>
      <c r="BV98" s="72"/>
      <c r="BW98" s="72"/>
      <c r="BX98" s="72"/>
      <c r="BY98" s="72"/>
      <c r="BZ98" s="72"/>
      <c r="CA98" s="72"/>
      <c r="CB98" s="72"/>
      <c r="CC98" s="72"/>
      <c r="CD98" s="72"/>
      <c r="CE98" s="72"/>
      <c r="CF98" s="72"/>
      <c r="CG98" s="72"/>
      <c r="CH98" s="72"/>
    </row>
    <row r="99" ht="15.75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  <c r="AQ99" s="72"/>
      <c r="AR99" s="72"/>
      <c r="AS99" s="72"/>
      <c r="AT99" s="72"/>
      <c r="AU99" s="72"/>
      <c r="AV99" s="72"/>
      <c r="AW99" s="72"/>
      <c r="AX99" s="72"/>
      <c r="AY99" s="72"/>
      <c r="AZ99" s="72"/>
      <c r="BA99" s="72"/>
      <c r="BB99" s="72"/>
      <c r="BC99" s="72"/>
      <c r="BD99" s="72"/>
      <c r="BE99" s="72"/>
      <c r="BF99" s="72"/>
      <c r="BG99" s="72"/>
      <c r="BH99" s="72"/>
      <c r="BI99" s="72"/>
      <c r="BJ99" s="72"/>
      <c r="BK99" s="72"/>
      <c r="BL99" s="72"/>
      <c r="BM99" s="72"/>
      <c r="BN99" s="72"/>
      <c r="BO99" s="72"/>
      <c r="BP99" s="72"/>
      <c r="BQ99" s="72"/>
      <c r="BR99" s="72"/>
      <c r="BS99" s="72"/>
      <c r="BT99" s="72"/>
      <c r="BU99" s="72"/>
      <c r="BV99" s="72"/>
      <c r="BW99" s="72"/>
      <c r="BX99" s="72"/>
      <c r="BY99" s="72"/>
      <c r="BZ99" s="72"/>
      <c r="CA99" s="72"/>
      <c r="CB99" s="72"/>
      <c r="CC99" s="72"/>
      <c r="CD99" s="72"/>
      <c r="CE99" s="72"/>
      <c r="CF99" s="72"/>
      <c r="CG99" s="72"/>
      <c r="CH99" s="72"/>
    </row>
    <row r="100" ht="15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  <c r="AQ100" s="72"/>
      <c r="AR100" s="72"/>
      <c r="AS100" s="72"/>
      <c r="AT100" s="72"/>
      <c r="AU100" s="72"/>
      <c r="AV100" s="72"/>
      <c r="AW100" s="72"/>
      <c r="AX100" s="72"/>
      <c r="AY100" s="72"/>
      <c r="AZ100" s="72"/>
      <c r="BA100" s="72"/>
      <c r="BB100" s="72"/>
      <c r="BC100" s="72"/>
      <c r="BD100" s="72"/>
      <c r="BE100" s="72"/>
      <c r="BF100" s="72"/>
      <c r="BG100" s="72"/>
      <c r="BH100" s="72"/>
      <c r="BI100" s="72"/>
      <c r="BJ100" s="72"/>
      <c r="BK100" s="72"/>
      <c r="BL100" s="72"/>
      <c r="BM100" s="72"/>
      <c r="BN100" s="72"/>
      <c r="BO100" s="72"/>
      <c r="BP100" s="72"/>
      <c r="BQ100" s="72"/>
      <c r="BR100" s="72"/>
      <c r="BS100" s="72"/>
      <c r="BT100" s="72"/>
      <c r="BU100" s="72"/>
      <c r="BV100" s="72"/>
      <c r="BW100" s="72"/>
      <c r="BX100" s="72"/>
      <c r="BY100" s="72"/>
      <c r="BZ100" s="72"/>
      <c r="CA100" s="72"/>
      <c r="CB100" s="72"/>
      <c r="CC100" s="72"/>
      <c r="CD100" s="72"/>
      <c r="CE100" s="72"/>
      <c r="CF100" s="72"/>
      <c r="CG100" s="72"/>
      <c r="CH100" s="72"/>
    </row>
    <row r="101" ht="15.7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  <c r="AV101" s="72"/>
      <c r="AW101" s="72"/>
      <c r="AX101" s="72"/>
      <c r="AY101" s="72"/>
      <c r="AZ101" s="72"/>
      <c r="BA101" s="72"/>
      <c r="BB101" s="72"/>
      <c r="BC101" s="72"/>
      <c r="BD101" s="72"/>
      <c r="BE101" s="72"/>
      <c r="BF101" s="72"/>
      <c r="BG101" s="72"/>
      <c r="BH101" s="72"/>
      <c r="BI101" s="72"/>
      <c r="BJ101" s="72"/>
      <c r="BK101" s="72"/>
      <c r="BL101" s="72"/>
      <c r="BM101" s="72"/>
      <c r="BN101" s="72"/>
      <c r="BO101" s="72"/>
      <c r="BP101" s="72"/>
      <c r="BQ101" s="72"/>
      <c r="BR101" s="72"/>
      <c r="BS101" s="72"/>
      <c r="BT101" s="72"/>
      <c r="BU101" s="72"/>
      <c r="BV101" s="72"/>
      <c r="BW101" s="72"/>
      <c r="BX101" s="72"/>
      <c r="BY101" s="72"/>
      <c r="BZ101" s="72"/>
      <c r="CA101" s="72"/>
      <c r="CB101" s="72"/>
      <c r="CC101" s="72"/>
      <c r="CD101" s="72"/>
      <c r="CE101" s="72"/>
      <c r="CF101" s="72"/>
      <c r="CG101" s="72"/>
      <c r="CH101" s="72"/>
    </row>
    <row r="102" ht="15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  <c r="AQ102" s="72"/>
      <c r="AR102" s="72"/>
      <c r="AS102" s="72"/>
      <c r="AT102" s="72"/>
      <c r="AU102" s="72"/>
      <c r="AV102" s="72"/>
      <c r="AW102" s="72"/>
      <c r="AX102" s="72"/>
      <c r="AY102" s="72"/>
      <c r="AZ102" s="72"/>
      <c r="BA102" s="72"/>
      <c r="BB102" s="72"/>
      <c r="BC102" s="72"/>
      <c r="BD102" s="72"/>
      <c r="BE102" s="72"/>
      <c r="BF102" s="72"/>
      <c r="BG102" s="72"/>
      <c r="BH102" s="72"/>
      <c r="BI102" s="72"/>
      <c r="BJ102" s="72"/>
      <c r="BK102" s="72"/>
      <c r="BL102" s="72"/>
      <c r="BM102" s="72"/>
      <c r="BN102" s="72"/>
      <c r="BO102" s="72"/>
      <c r="BP102" s="72"/>
      <c r="BQ102" s="72"/>
      <c r="BR102" s="72"/>
      <c r="BS102" s="72"/>
      <c r="BT102" s="72"/>
      <c r="BU102" s="72"/>
      <c r="BV102" s="72"/>
      <c r="BW102" s="72"/>
      <c r="BX102" s="72"/>
      <c r="BY102" s="72"/>
      <c r="BZ102" s="72"/>
      <c r="CA102" s="72"/>
      <c r="CB102" s="72"/>
      <c r="CC102" s="72"/>
      <c r="CD102" s="72"/>
      <c r="CE102" s="72"/>
      <c r="CF102" s="72"/>
      <c r="CG102" s="72"/>
      <c r="CH102" s="72"/>
    </row>
    <row r="103" ht="15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  <c r="AQ103" s="72"/>
      <c r="AR103" s="72"/>
      <c r="AS103" s="72"/>
      <c r="AT103" s="72"/>
      <c r="AU103" s="72"/>
      <c r="AV103" s="72"/>
      <c r="AW103" s="72"/>
      <c r="AX103" s="72"/>
      <c r="AY103" s="72"/>
      <c r="AZ103" s="72"/>
      <c r="BA103" s="72"/>
      <c r="BB103" s="72"/>
      <c r="BC103" s="72"/>
      <c r="BD103" s="72"/>
      <c r="BE103" s="72"/>
      <c r="BF103" s="72"/>
      <c r="BG103" s="72"/>
      <c r="BH103" s="72"/>
      <c r="BI103" s="72"/>
      <c r="BJ103" s="72"/>
      <c r="BK103" s="72"/>
      <c r="BL103" s="72"/>
      <c r="BM103" s="72"/>
      <c r="BN103" s="72"/>
      <c r="BO103" s="72"/>
      <c r="BP103" s="72"/>
      <c r="BQ103" s="72"/>
      <c r="BR103" s="72"/>
      <c r="BS103" s="72"/>
      <c r="BT103" s="72"/>
      <c r="BU103" s="72"/>
      <c r="BV103" s="72"/>
      <c r="BW103" s="72"/>
      <c r="BX103" s="72"/>
      <c r="BY103" s="72"/>
      <c r="BZ103" s="72"/>
      <c r="CA103" s="72"/>
      <c r="CB103" s="72"/>
      <c r="CC103" s="72"/>
      <c r="CD103" s="72"/>
      <c r="CE103" s="72"/>
      <c r="CF103" s="72"/>
      <c r="CG103" s="72"/>
      <c r="CH103" s="72"/>
    </row>
    <row r="104" ht="15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  <c r="AQ104" s="72"/>
      <c r="AR104" s="72"/>
      <c r="AS104" s="72"/>
      <c r="AT104" s="72"/>
      <c r="AU104" s="72"/>
      <c r="AV104" s="72"/>
      <c r="AW104" s="72"/>
      <c r="AX104" s="72"/>
      <c r="AY104" s="72"/>
      <c r="AZ104" s="72"/>
      <c r="BA104" s="72"/>
      <c r="BB104" s="72"/>
      <c r="BC104" s="72"/>
      <c r="BD104" s="72"/>
      <c r="BE104" s="72"/>
      <c r="BF104" s="72"/>
      <c r="BG104" s="72"/>
      <c r="BH104" s="72"/>
      <c r="BI104" s="72"/>
      <c r="BJ104" s="72"/>
      <c r="BK104" s="72"/>
      <c r="BL104" s="72"/>
      <c r="BM104" s="72"/>
      <c r="BN104" s="72"/>
      <c r="BO104" s="72"/>
      <c r="BP104" s="72"/>
      <c r="BQ104" s="72"/>
      <c r="BR104" s="72"/>
      <c r="BS104" s="72"/>
      <c r="BT104" s="72"/>
      <c r="BU104" s="72"/>
      <c r="BV104" s="72"/>
      <c r="BW104" s="72"/>
      <c r="BX104" s="72"/>
      <c r="BY104" s="72"/>
      <c r="BZ104" s="72"/>
      <c r="CA104" s="72"/>
      <c r="CB104" s="72"/>
      <c r="CC104" s="72"/>
      <c r="CD104" s="72"/>
      <c r="CE104" s="72"/>
      <c r="CF104" s="72"/>
      <c r="CG104" s="72"/>
      <c r="CH104" s="72"/>
    </row>
    <row r="105" ht="15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2"/>
      <c r="AR105" s="72"/>
      <c r="AS105" s="72"/>
      <c r="AT105" s="72"/>
      <c r="AU105" s="72"/>
      <c r="AV105" s="72"/>
      <c r="AW105" s="72"/>
      <c r="AX105" s="72"/>
      <c r="AY105" s="72"/>
      <c r="AZ105" s="72"/>
      <c r="BA105" s="72"/>
      <c r="BB105" s="72"/>
      <c r="BC105" s="72"/>
      <c r="BD105" s="72"/>
      <c r="BE105" s="72"/>
      <c r="BF105" s="72"/>
      <c r="BG105" s="72"/>
      <c r="BH105" s="72"/>
      <c r="BI105" s="72"/>
      <c r="BJ105" s="72"/>
      <c r="BK105" s="72"/>
      <c r="BL105" s="72"/>
      <c r="BM105" s="72"/>
      <c r="BN105" s="72"/>
      <c r="BO105" s="72"/>
      <c r="BP105" s="72"/>
      <c r="BQ105" s="72"/>
      <c r="BR105" s="72"/>
      <c r="BS105" s="72"/>
      <c r="BT105" s="72"/>
      <c r="BU105" s="72"/>
      <c r="BV105" s="72"/>
      <c r="BW105" s="72"/>
      <c r="BX105" s="72"/>
      <c r="BY105" s="72"/>
      <c r="BZ105" s="72"/>
      <c r="CA105" s="72"/>
      <c r="CB105" s="72"/>
      <c r="CC105" s="72"/>
      <c r="CD105" s="72"/>
      <c r="CE105" s="72"/>
      <c r="CF105" s="72"/>
      <c r="CG105" s="72"/>
      <c r="CH105" s="72"/>
    </row>
    <row r="106" ht="15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  <c r="AQ106" s="72"/>
      <c r="AR106" s="72"/>
      <c r="AS106" s="72"/>
      <c r="AT106" s="72"/>
      <c r="AU106" s="72"/>
      <c r="AV106" s="72"/>
      <c r="AW106" s="72"/>
      <c r="AX106" s="72"/>
      <c r="AY106" s="72"/>
      <c r="AZ106" s="72"/>
      <c r="BA106" s="72"/>
      <c r="BB106" s="72"/>
      <c r="BC106" s="72"/>
      <c r="BD106" s="72"/>
      <c r="BE106" s="72"/>
      <c r="BF106" s="72"/>
      <c r="BG106" s="72"/>
      <c r="BH106" s="72"/>
      <c r="BI106" s="72"/>
      <c r="BJ106" s="72"/>
      <c r="BK106" s="72"/>
      <c r="BL106" s="72"/>
      <c r="BM106" s="72"/>
      <c r="BN106" s="72"/>
      <c r="BO106" s="72"/>
      <c r="BP106" s="72"/>
      <c r="BQ106" s="72"/>
      <c r="BR106" s="72"/>
      <c r="BS106" s="72"/>
      <c r="BT106" s="72"/>
      <c r="BU106" s="72"/>
      <c r="BV106" s="72"/>
      <c r="BW106" s="72"/>
      <c r="BX106" s="72"/>
      <c r="BY106" s="72"/>
      <c r="BZ106" s="72"/>
      <c r="CA106" s="72"/>
      <c r="CB106" s="72"/>
      <c r="CC106" s="72"/>
      <c r="CD106" s="72"/>
      <c r="CE106" s="72"/>
      <c r="CF106" s="72"/>
      <c r="CG106" s="72"/>
      <c r="CH106" s="72"/>
    </row>
    <row r="107" ht="15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  <c r="AQ107" s="72"/>
      <c r="AR107" s="72"/>
      <c r="AS107" s="72"/>
      <c r="AT107" s="72"/>
      <c r="AU107" s="72"/>
      <c r="AV107" s="72"/>
      <c r="AW107" s="72"/>
      <c r="AX107" s="72"/>
      <c r="AY107" s="72"/>
      <c r="AZ107" s="72"/>
      <c r="BA107" s="72"/>
      <c r="BB107" s="72"/>
      <c r="BC107" s="72"/>
      <c r="BD107" s="72"/>
      <c r="BE107" s="72"/>
      <c r="BF107" s="72"/>
      <c r="BG107" s="72"/>
      <c r="BH107" s="72"/>
      <c r="BI107" s="72"/>
      <c r="BJ107" s="72"/>
      <c r="BK107" s="72"/>
      <c r="BL107" s="72"/>
      <c r="BM107" s="72"/>
      <c r="BN107" s="72"/>
      <c r="BO107" s="72"/>
      <c r="BP107" s="72"/>
      <c r="BQ107" s="72"/>
      <c r="BR107" s="72"/>
      <c r="BS107" s="72"/>
      <c r="BT107" s="72"/>
      <c r="BU107" s="72"/>
      <c r="BV107" s="72"/>
      <c r="BW107" s="72"/>
      <c r="BX107" s="72"/>
      <c r="BY107" s="72"/>
      <c r="BZ107" s="72"/>
      <c r="CA107" s="72"/>
      <c r="CB107" s="72"/>
      <c r="CC107" s="72"/>
      <c r="CD107" s="72"/>
      <c r="CE107" s="72"/>
      <c r="CF107" s="72"/>
      <c r="CG107" s="72"/>
      <c r="CH107" s="72"/>
    </row>
    <row r="108" ht="15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  <c r="AQ108" s="72"/>
      <c r="AR108" s="72"/>
      <c r="AS108" s="72"/>
      <c r="AT108" s="72"/>
      <c r="AU108" s="72"/>
      <c r="AV108" s="72"/>
      <c r="AW108" s="72"/>
      <c r="AX108" s="72"/>
      <c r="AY108" s="72"/>
      <c r="AZ108" s="72"/>
      <c r="BA108" s="72"/>
      <c r="BB108" s="72"/>
      <c r="BC108" s="72"/>
      <c r="BD108" s="72"/>
      <c r="BE108" s="72"/>
      <c r="BF108" s="72"/>
      <c r="BG108" s="72"/>
      <c r="BH108" s="72"/>
      <c r="BI108" s="72"/>
      <c r="BJ108" s="72"/>
      <c r="BK108" s="72"/>
      <c r="BL108" s="72"/>
      <c r="BM108" s="72"/>
      <c r="BN108" s="72"/>
      <c r="BO108" s="72"/>
      <c r="BP108" s="72"/>
      <c r="BQ108" s="72"/>
      <c r="BR108" s="72"/>
      <c r="BS108" s="72"/>
      <c r="BT108" s="72"/>
      <c r="BU108" s="72"/>
      <c r="BV108" s="72"/>
      <c r="BW108" s="72"/>
      <c r="BX108" s="72"/>
      <c r="BY108" s="72"/>
      <c r="BZ108" s="72"/>
      <c r="CA108" s="72"/>
      <c r="CB108" s="72"/>
      <c r="CC108" s="72"/>
      <c r="CD108" s="72"/>
      <c r="CE108" s="72"/>
      <c r="CF108" s="72"/>
      <c r="CG108" s="72"/>
      <c r="CH108" s="72"/>
    </row>
    <row r="109" ht="15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  <c r="AQ109" s="72"/>
      <c r="AR109" s="72"/>
      <c r="AS109" s="72"/>
      <c r="AT109" s="72"/>
      <c r="AU109" s="72"/>
      <c r="AV109" s="72"/>
      <c r="AW109" s="72"/>
      <c r="AX109" s="72"/>
      <c r="AY109" s="72"/>
      <c r="AZ109" s="72"/>
      <c r="BA109" s="72"/>
      <c r="BB109" s="72"/>
      <c r="BC109" s="72"/>
      <c r="BD109" s="72"/>
      <c r="BE109" s="72"/>
      <c r="BF109" s="72"/>
      <c r="BG109" s="72"/>
      <c r="BH109" s="72"/>
      <c r="BI109" s="72"/>
      <c r="BJ109" s="72"/>
      <c r="BK109" s="72"/>
      <c r="BL109" s="72"/>
      <c r="BM109" s="72"/>
      <c r="BN109" s="72"/>
      <c r="BO109" s="72"/>
      <c r="BP109" s="72"/>
      <c r="BQ109" s="72"/>
      <c r="BR109" s="72"/>
      <c r="BS109" s="72"/>
      <c r="BT109" s="72"/>
      <c r="BU109" s="72"/>
      <c r="BV109" s="72"/>
      <c r="BW109" s="72"/>
      <c r="BX109" s="72"/>
      <c r="BY109" s="72"/>
      <c r="BZ109" s="72"/>
      <c r="CA109" s="72"/>
      <c r="CB109" s="72"/>
      <c r="CC109" s="72"/>
      <c r="CD109" s="72"/>
      <c r="CE109" s="72"/>
      <c r="CF109" s="72"/>
      <c r="CG109" s="72"/>
      <c r="CH109" s="72"/>
    </row>
    <row r="110" ht="15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s="72"/>
      <c r="AV110" s="72"/>
      <c r="AW110" s="72"/>
      <c r="AX110" s="72"/>
      <c r="AY110" s="72"/>
      <c r="AZ110" s="72"/>
      <c r="BA110" s="72"/>
      <c r="BB110" s="72"/>
      <c r="BC110" s="72"/>
      <c r="BD110" s="72"/>
      <c r="BE110" s="72"/>
      <c r="BF110" s="72"/>
      <c r="BG110" s="72"/>
      <c r="BH110" s="72"/>
      <c r="BI110" s="72"/>
      <c r="BJ110" s="72"/>
      <c r="BK110" s="72"/>
      <c r="BL110" s="72"/>
      <c r="BM110" s="72"/>
      <c r="BN110" s="72"/>
      <c r="BO110" s="72"/>
      <c r="BP110" s="72"/>
      <c r="BQ110" s="72"/>
      <c r="BR110" s="72"/>
      <c r="BS110" s="72"/>
      <c r="BT110" s="72"/>
      <c r="BU110" s="72"/>
      <c r="BV110" s="72"/>
      <c r="BW110" s="72"/>
      <c r="BX110" s="72"/>
      <c r="BY110" s="72"/>
      <c r="BZ110" s="72"/>
      <c r="CA110" s="72"/>
      <c r="CB110" s="72"/>
      <c r="CC110" s="72"/>
      <c r="CD110" s="72"/>
      <c r="CE110" s="72"/>
      <c r="CF110" s="72"/>
      <c r="CG110" s="72"/>
      <c r="CH110" s="72"/>
    </row>
    <row r="111" ht="15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72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  <c r="BM111" s="72"/>
      <c r="BN111" s="72"/>
      <c r="BO111" s="72"/>
      <c r="BP111" s="72"/>
      <c r="BQ111" s="72"/>
      <c r="BR111" s="72"/>
      <c r="BS111" s="72"/>
      <c r="BT111" s="72"/>
      <c r="BU111" s="72"/>
      <c r="BV111" s="72"/>
      <c r="BW111" s="72"/>
      <c r="BX111" s="72"/>
      <c r="BY111" s="72"/>
      <c r="BZ111" s="72"/>
      <c r="CA111" s="72"/>
      <c r="CB111" s="72"/>
      <c r="CC111" s="72"/>
      <c r="CD111" s="72"/>
      <c r="CE111" s="72"/>
      <c r="CF111" s="72"/>
      <c r="CG111" s="72"/>
      <c r="CH111" s="72"/>
    </row>
    <row r="112" ht="15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  <c r="AQ112" s="72"/>
      <c r="AR112" s="72"/>
      <c r="AS112" s="72"/>
      <c r="AT112" s="72"/>
      <c r="AU112" s="72"/>
      <c r="AV112" s="72"/>
      <c r="AW112" s="72"/>
      <c r="AX112" s="72"/>
      <c r="AY112" s="72"/>
      <c r="AZ112" s="72"/>
      <c r="BA112" s="72"/>
      <c r="BB112" s="72"/>
      <c r="BC112" s="72"/>
      <c r="BD112" s="72"/>
      <c r="BE112" s="72"/>
      <c r="BF112" s="72"/>
      <c r="BG112" s="72"/>
      <c r="BH112" s="72"/>
      <c r="BI112" s="72"/>
      <c r="BJ112" s="72"/>
      <c r="BK112" s="72"/>
      <c r="BL112" s="72"/>
      <c r="BM112" s="72"/>
      <c r="BN112" s="72"/>
      <c r="BO112" s="72"/>
      <c r="BP112" s="72"/>
      <c r="BQ112" s="72"/>
      <c r="BR112" s="72"/>
      <c r="BS112" s="72"/>
      <c r="BT112" s="72"/>
      <c r="BU112" s="72"/>
      <c r="BV112" s="72"/>
      <c r="BW112" s="72"/>
      <c r="BX112" s="72"/>
      <c r="BY112" s="72"/>
      <c r="BZ112" s="72"/>
      <c r="CA112" s="72"/>
      <c r="CB112" s="72"/>
      <c r="CC112" s="72"/>
      <c r="CD112" s="72"/>
      <c r="CE112" s="72"/>
      <c r="CF112" s="72"/>
      <c r="CG112" s="72"/>
      <c r="CH112" s="72"/>
    </row>
    <row r="113" ht="15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  <c r="AQ113" s="72"/>
      <c r="AR113" s="72"/>
      <c r="AS113" s="72"/>
      <c r="AT113" s="72"/>
      <c r="AU113" s="72"/>
      <c r="AV113" s="72"/>
      <c r="AW113" s="72"/>
      <c r="AX113" s="72"/>
      <c r="AY113" s="72"/>
      <c r="AZ113" s="72"/>
      <c r="BA113" s="72"/>
      <c r="BB113" s="72"/>
      <c r="BC113" s="72"/>
      <c r="BD113" s="72"/>
      <c r="BE113" s="72"/>
      <c r="BF113" s="72"/>
      <c r="BG113" s="72"/>
      <c r="BH113" s="72"/>
      <c r="BI113" s="72"/>
      <c r="BJ113" s="72"/>
      <c r="BK113" s="72"/>
      <c r="BL113" s="72"/>
      <c r="BM113" s="72"/>
      <c r="BN113" s="72"/>
      <c r="BO113" s="72"/>
      <c r="BP113" s="72"/>
      <c r="BQ113" s="72"/>
      <c r="BR113" s="72"/>
      <c r="BS113" s="72"/>
      <c r="BT113" s="72"/>
      <c r="BU113" s="72"/>
      <c r="BV113" s="72"/>
      <c r="BW113" s="72"/>
      <c r="BX113" s="72"/>
      <c r="BY113" s="72"/>
      <c r="BZ113" s="72"/>
      <c r="CA113" s="72"/>
      <c r="CB113" s="72"/>
      <c r="CC113" s="72"/>
      <c r="CD113" s="72"/>
      <c r="CE113" s="72"/>
      <c r="CF113" s="72"/>
      <c r="CG113" s="72"/>
      <c r="CH113" s="72"/>
    </row>
    <row r="114" ht="15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  <c r="AQ114" s="72"/>
      <c r="AR114" s="72"/>
      <c r="AS114" s="72"/>
      <c r="AT114" s="72"/>
      <c r="AU114" s="72"/>
      <c r="AV114" s="72"/>
      <c r="AW114" s="72"/>
      <c r="AX114" s="72"/>
      <c r="AY114" s="72"/>
      <c r="AZ114" s="72"/>
      <c r="BA114" s="72"/>
      <c r="BB114" s="72"/>
      <c r="BC114" s="72"/>
      <c r="BD114" s="72"/>
      <c r="BE114" s="72"/>
      <c r="BF114" s="72"/>
      <c r="BG114" s="72"/>
      <c r="BH114" s="72"/>
      <c r="BI114" s="72"/>
      <c r="BJ114" s="72"/>
      <c r="BK114" s="72"/>
      <c r="BL114" s="72"/>
      <c r="BM114" s="72"/>
      <c r="BN114" s="72"/>
      <c r="BO114" s="72"/>
      <c r="BP114" s="72"/>
      <c r="BQ114" s="72"/>
      <c r="BR114" s="72"/>
      <c r="BS114" s="72"/>
      <c r="BT114" s="72"/>
      <c r="BU114" s="72"/>
      <c r="BV114" s="72"/>
      <c r="BW114" s="72"/>
      <c r="BX114" s="72"/>
      <c r="BY114" s="72"/>
      <c r="BZ114" s="72"/>
      <c r="CA114" s="72"/>
      <c r="CB114" s="72"/>
      <c r="CC114" s="72"/>
      <c r="CD114" s="72"/>
      <c r="CE114" s="72"/>
      <c r="CF114" s="72"/>
      <c r="CG114" s="72"/>
      <c r="CH114" s="72"/>
    </row>
    <row r="115" ht="15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  <c r="AQ115" s="72"/>
      <c r="AR115" s="72"/>
      <c r="AS115" s="72"/>
      <c r="AT115" s="72"/>
      <c r="AU115" s="72"/>
      <c r="AV115" s="72"/>
      <c r="AW115" s="72"/>
      <c r="AX115" s="72"/>
      <c r="AY115" s="72"/>
      <c r="AZ115" s="72"/>
      <c r="BA115" s="72"/>
      <c r="BB115" s="72"/>
      <c r="BC115" s="72"/>
      <c r="BD115" s="72"/>
      <c r="BE115" s="72"/>
      <c r="BF115" s="72"/>
      <c r="BG115" s="72"/>
      <c r="BH115" s="72"/>
      <c r="BI115" s="72"/>
      <c r="BJ115" s="72"/>
      <c r="BK115" s="72"/>
      <c r="BL115" s="72"/>
      <c r="BM115" s="72"/>
      <c r="BN115" s="72"/>
      <c r="BO115" s="72"/>
      <c r="BP115" s="72"/>
      <c r="BQ115" s="72"/>
      <c r="BR115" s="72"/>
      <c r="BS115" s="72"/>
      <c r="BT115" s="72"/>
      <c r="BU115" s="72"/>
      <c r="BV115" s="72"/>
      <c r="BW115" s="72"/>
      <c r="BX115" s="72"/>
      <c r="BY115" s="72"/>
      <c r="BZ115" s="72"/>
      <c r="CA115" s="72"/>
      <c r="CB115" s="72"/>
      <c r="CC115" s="72"/>
      <c r="CD115" s="72"/>
      <c r="CE115" s="72"/>
      <c r="CF115" s="72"/>
      <c r="CG115" s="72"/>
      <c r="CH115" s="72"/>
    </row>
    <row r="116" ht="15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  <c r="AT116" s="72"/>
      <c r="AU116" s="72"/>
      <c r="AV116" s="72"/>
      <c r="AW116" s="72"/>
      <c r="AX116" s="72"/>
      <c r="AY116" s="72"/>
      <c r="AZ116" s="72"/>
      <c r="BA116" s="72"/>
      <c r="BB116" s="72"/>
      <c r="BC116" s="72"/>
      <c r="BD116" s="72"/>
      <c r="BE116" s="72"/>
      <c r="BF116" s="72"/>
      <c r="BG116" s="72"/>
      <c r="BH116" s="72"/>
      <c r="BI116" s="72"/>
      <c r="BJ116" s="72"/>
      <c r="BK116" s="72"/>
      <c r="BL116" s="72"/>
      <c r="BM116" s="72"/>
      <c r="BN116" s="72"/>
      <c r="BO116" s="72"/>
      <c r="BP116" s="72"/>
      <c r="BQ116" s="72"/>
      <c r="BR116" s="72"/>
      <c r="BS116" s="72"/>
      <c r="BT116" s="72"/>
      <c r="BU116" s="72"/>
      <c r="BV116" s="72"/>
      <c r="BW116" s="72"/>
      <c r="BX116" s="72"/>
      <c r="BY116" s="72"/>
      <c r="BZ116" s="72"/>
      <c r="CA116" s="72"/>
      <c r="CB116" s="72"/>
      <c r="CC116" s="72"/>
      <c r="CD116" s="72"/>
      <c r="CE116" s="72"/>
      <c r="CF116" s="72"/>
      <c r="CG116" s="72"/>
      <c r="CH116" s="72"/>
    </row>
    <row r="117" ht="15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  <c r="AT117" s="72"/>
      <c r="AU117" s="72"/>
      <c r="AV117" s="72"/>
      <c r="AW117" s="72"/>
      <c r="AX117" s="72"/>
      <c r="AY117" s="72"/>
      <c r="AZ117" s="72"/>
      <c r="BA117" s="72"/>
      <c r="BB117" s="72"/>
      <c r="BC117" s="72"/>
      <c r="BD117" s="72"/>
      <c r="BE117" s="72"/>
      <c r="BF117" s="72"/>
      <c r="BG117" s="72"/>
      <c r="BH117" s="72"/>
      <c r="BI117" s="72"/>
      <c r="BJ117" s="72"/>
      <c r="BK117" s="72"/>
      <c r="BL117" s="72"/>
      <c r="BM117" s="72"/>
      <c r="BN117" s="72"/>
      <c r="BO117" s="72"/>
      <c r="BP117" s="72"/>
      <c r="BQ117" s="72"/>
      <c r="BR117" s="72"/>
      <c r="BS117" s="72"/>
      <c r="BT117" s="72"/>
      <c r="BU117" s="72"/>
      <c r="BV117" s="72"/>
      <c r="BW117" s="72"/>
      <c r="BX117" s="72"/>
      <c r="BY117" s="72"/>
      <c r="BZ117" s="72"/>
      <c r="CA117" s="72"/>
      <c r="CB117" s="72"/>
      <c r="CC117" s="72"/>
      <c r="CD117" s="72"/>
      <c r="CE117" s="72"/>
      <c r="CF117" s="72"/>
      <c r="CG117" s="72"/>
      <c r="CH117" s="72"/>
    </row>
    <row r="118" ht="15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  <c r="AT118" s="72"/>
      <c r="AU118" s="72"/>
      <c r="AV118" s="72"/>
      <c r="AW118" s="72"/>
      <c r="AX118" s="72"/>
      <c r="AY118" s="72"/>
      <c r="AZ118" s="72"/>
      <c r="BA118" s="72"/>
      <c r="BB118" s="72"/>
      <c r="BC118" s="72"/>
      <c r="BD118" s="72"/>
      <c r="BE118" s="72"/>
      <c r="BF118" s="72"/>
      <c r="BG118" s="72"/>
      <c r="BH118" s="72"/>
      <c r="BI118" s="72"/>
      <c r="BJ118" s="72"/>
      <c r="BK118" s="72"/>
      <c r="BL118" s="72"/>
      <c r="BM118" s="72"/>
      <c r="BN118" s="72"/>
      <c r="BO118" s="72"/>
      <c r="BP118" s="72"/>
      <c r="BQ118" s="72"/>
      <c r="BR118" s="72"/>
      <c r="BS118" s="72"/>
      <c r="BT118" s="72"/>
      <c r="BU118" s="72"/>
      <c r="BV118" s="72"/>
      <c r="BW118" s="72"/>
      <c r="BX118" s="72"/>
      <c r="BY118" s="72"/>
      <c r="BZ118" s="72"/>
      <c r="CA118" s="72"/>
      <c r="CB118" s="72"/>
      <c r="CC118" s="72"/>
      <c r="CD118" s="72"/>
      <c r="CE118" s="72"/>
      <c r="CF118" s="72"/>
      <c r="CG118" s="72"/>
      <c r="CH118" s="72"/>
    </row>
    <row r="119" ht="15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  <c r="AT119" s="72"/>
      <c r="AU119" s="72"/>
      <c r="AV119" s="72"/>
      <c r="AW119" s="72"/>
      <c r="AX119" s="72"/>
      <c r="AY119" s="72"/>
      <c r="AZ119" s="72"/>
      <c r="BA119" s="72"/>
      <c r="BB119" s="72"/>
      <c r="BC119" s="72"/>
      <c r="BD119" s="72"/>
      <c r="BE119" s="72"/>
      <c r="BF119" s="72"/>
      <c r="BG119" s="72"/>
      <c r="BH119" s="72"/>
      <c r="BI119" s="72"/>
      <c r="BJ119" s="72"/>
      <c r="BK119" s="72"/>
      <c r="BL119" s="72"/>
      <c r="BM119" s="72"/>
      <c r="BN119" s="72"/>
      <c r="BO119" s="72"/>
      <c r="BP119" s="72"/>
      <c r="BQ119" s="72"/>
      <c r="BR119" s="72"/>
      <c r="BS119" s="72"/>
      <c r="BT119" s="72"/>
      <c r="BU119" s="72"/>
      <c r="BV119" s="72"/>
      <c r="BW119" s="72"/>
      <c r="BX119" s="72"/>
      <c r="BY119" s="72"/>
      <c r="BZ119" s="72"/>
      <c r="CA119" s="72"/>
      <c r="CB119" s="72"/>
      <c r="CC119" s="72"/>
      <c r="CD119" s="72"/>
      <c r="CE119" s="72"/>
      <c r="CF119" s="72"/>
      <c r="CG119" s="72"/>
      <c r="CH119" s="72"/>
    </row>
    <row r="120" ht="15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  <c r="AT120" s="72"/>
      <c r="AU120" s="72"/>
      <c r="AV120" s="72"/>
      <c r="AW120" s="72"/>
      <c r="AX120" s="72"/>
      <c r="AY120" s="72"/>
      <c r="AZ120" s="72"/>
      <c r="BA120" s="72"/>
      <c r="BB120" s="72"/>
      <c r="BC120" s="72"/>
      <c r="BD120" s="72"/>
      <c r="BE120" s="72"/>
      <c r="BF120" s="72"/>
      <c r="BG120" s="72"/>
      <c r="BH120" s="72"/>
      <c r="BI120" s="72"/>
      <c r="BJ120" s="72"/>
      <c r="BK120" s="72"/>
      <c r="BL120" s="72"/>
      <c r="BM120" s="72"/>
      <c r="BN120" s="72"/>
      <c r="BO120" s="72"/>
      <c r="BP120" s="72"/>
      <c r="BQ120" s="72"/>
      <c r="BR120" s="72"/>
      <c r="BS120" s="72"/>
      <c r="BT120" s="72"/>
      <c r="BU120" s="72"/>
      <c r="BV120" s="72"/>
      <c r="BW120" s="72"/>
      <c r="BX120" s="72"/>
      <c r="BY120" s="72"/>
      <c r="BZ120" s="72"/>
      <c r="CA120" s="72"/>
      <c r="CB120" s="72"/>
      <c r="CC120" s="72"/>
      <c r="CD120" s="72"/>
      <c r="CE120" s="72"/>
      <c r="CF120" s="72"/>
      <c r="CG120" s="72"/>
      <c r="CH120" s="72"/>
    </row>
    <row r="121" ht="15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  <c r="AT121" s="72"/>
      <c r="AU121" s="72"/>
      <c r="AV121" s="72"/>
      <c r="AW121" s="72"/>
      <c r="AX121" s="72"/>
      <c r="AY121" s="72"/>
      <c r="AZ121" s="72"/>
      <c r="BA121" s="72"/>
      <c r="BB121" s="72"/>
      <c r="BC121" s="72"/>
      <c r="BD121" s="72"/>
      <c r="BE121" s="72"/>
      <c r="BF121" s="72"/>
      <c r="BG121" s="72"/>
      <c r="BH121" s="72"/>
      <c r="BI121" s="72"/>
      <c r="BJ121" s="72"/>
      <c r="BK121" s="72"/>
      <c r="BL121" s="72"/>
      <c r="BM121" s="72"/>
      <c r="BN121" s="72"/>
      <c r="BO121" s="72"/>
      <c r="BP121" s="72"/>
      <c r="BQ121" s="72"/>
      <c r="BR121" s="72"/>
      <c r="BS121" s="72"/>
      <c r="BT121" s="72"/>
      <c r="BU121" s="72"/>
      <c r="BV121" s="72"/>
      <c r="BW121" s="72"/>
      <c r="BX121" s="72"/>
      <c r="BY121" s="72"/>
      <c r="BZ121" s="72"/>
      <c r="CA121" s="72"/>
      <c r="CB121" s="72"/>
      <c r="CC121" s="72"/>
      <c r="CD121" s="72"/>
      <c r="CE121" s="72"/>
      <c r="CF121" s="72"/>
      <c r="CG121" s="72"/>
      <c r="CH121" s="72"/>
    </row>
    <row r="122" ht="15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  <c r="AT122" s="72"/>
      <c r="AU122" s="72"/>
      <c r="AV122" s="72"/>
      <c r="AW122" s="72"/>
      <c r="AX122" s="72"/>
      <c r="AY122" s="72"/>
      <c r="AZ122" s="72"/>
      <c r="BA122" s="72"/>
      <c r="BB122" s="72"/>
      <c r="BC122" s="72"/>
      <c r="BD122" s="72"/>
      <c r="BE122" s="72"/>
      <c r="BF122" s="72"/>
      <c r="BG122" s="72"/>
      <c r="BH122" s="72"/>
      <c r="BI122" s="72"/>
      <c r="BJ122" s="72"/>
      <c r="BK122" s="72"/>
      <c r="BL122" s="72"/>
      <c r="BM122" s="72"/>
      <c r="BN122" s="72"/>
      <c r="BO122" s="72"/>
      <c r="BP122" s="72"/>
      <c r="BQ122" s="72"/>
      <c r="BR122" s="72"/>
      <c r="BS122" s="72"/>
      <c r="BT122" s="72"/>
      <c r="BU122" s="72"/>
      <c r="BV122" s="72"/>
      <c r="BW122" s="72"/>
      <c r="BX122" s="72"/>
      <c r="BY122" s="72"/>
      <c r="BZ122" s="72"/>
      <c r="CA122" s="72"/>
      <c r="CB122" s="72"/>
      <c r="CC122" s="72"/>
      <c r="CD122" s="72"/>
      <c r="CE122" s="72"/>
      <c r="CF122" s="72"/>
      <c r="CG122" s="72"/>
      <c r="CH122" s="72"/>
    </row>
    <row r="123" ht="15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  <c r="AT123" s="72"/>
      <c r="AU123" s="72"/>
      <c r="AV123" s="72"/>
      <c r="AW123" s="72"/>
      <c r="AX123" s="72"/>
      <c r="AY123" s="72"/>
      <c r="AZ123" s="72"/>
      <c r="BA123" s="72"/>
      <c r="BB123" s="72"/>
      <c r="BC123" s="72"/>
      <c r="BD123" s="72"/>
      <c r="BE123" s="72"/>
      <c r="BF123" s="72"/>
      <c r="BG123" s="72"/>
      <c r="BH123" s="72"/>
      <c r="BI123" s="72"/>
      <c r="BJ123" s="72"/>
      <c r="BK123" s="72"/>
      <c r="BL123" s="72"/>
      <c r="BM123" s="72"/>
      <c r="BN123" s="72"/>
      <c r="BO123" s="72"/>
      <c r="BP123" s="72"/>
      <c r="BQ123" s="72"/>
      <c r="BR123" s="72"/>
      <c r="BS123" s="72"/>
      <c r="BT123" s="72"/>
      <c r="BU123" s="72"/>
      <c r="BV123" s="72"/>
      <c r="BW123" s="72"/>
      <c r="BX123" s="72"/>
      <c r="BY123" s="72"/>
      <c r="BZ123" s="72"/>
      <c r="CA123" s="72"/>
      <c r="CB123" s="72"/>
      <c r="CC123" s="72"/>
      <c r="CD123" s="72"/>
      <c r="CE123" s="72"/>
      <c r="CF123" s="72"/>
      <c r="CG123" s="72"/>
      <c r="CH123" s="72"/>
    </row>
    <row r="124" ht="15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  <c r="AT124" s="72"/>
      <c r="AU124" s="72"/>
      <c r="AV124" s="72"/>
      <c r="AW124" s="72"/>
      <c r="AX124" s="72"/>
      <c r="AY124" s="72"/>
      <c r="AZ124" s="72"/>
      <c r="BA124" s="72"/>
      <c r="BB124" s="72"/>
      <c r="BC124" s="72"/>
      <c r="BD124" s="72"/>
      <c r="BE124" s="72"/>
      <c r="BF124" s="72"/>
      <c r="BG124" s="72"/>
      <c r="BH124" s="72"/>
      <c r="BI124" s="72"/>
      <c r="BJ124" s="72"/>
      <c r="BK124" s="72"/>
      <c r="BL124" s="72"/>
      <c r="BM124" s="72"/>
      <c r="BN124" s="72"/>
      <c r="BO124" s="72"/>
      <c r="BP124" s="72"/>
      <c r="BQ124" s="72"/>
      <c r="BR124" s="72"/>
      <c r="BS124" s="72"/>
      <c r="BT124" s="72"/>
      <c r="BU124" s="72"/>
      <c r="BV124" s="72"/>
      <c r="BW124" s="72"/>
      <c r="BX124" s="72"/>
      <c r="BY124" s="72"/>
      <c r="BZ124" s="72"/>
      <c r="CA124" s="72"/>
      <c r="CB124" s="72"/>
      <c r="CC124" s="72"/>
      <c r="CD124" s="72"/>
      <c r="CE124" s="72"/>
      <c r="CF124" s="72"/>
      <c r="CG124" s="72"/>
      <c r="CH124" s="72"/>
    </row>
    <row r="125" ht="15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  <c r="AT125" s="72"/>
      <c r="AU125" s="72"/>
      <c r="AV125" s="72"/>
      <c r="AW125" s="72"/>
      <c r="AX125" s="72"/>
      <c r="AY125" s="72"/>
      <c r="AZ125" s="72"/>
      <c r="BA125" s="72"/>
      <c r="BB125" s="72"/>
      <c r="BC125" s="72"/>
      <c r="BD125" s="72"/>
      <c r="BE125" s="72"/>
      <c r="BF125" s="72"/>
      <c r="BG125" s="72"/>
      <c r="BH125" s="72"/>
      <c r="BI125" s="72"/>
      <c r="BJ125" s="72"/>
      <c r="BK125" s="72"/>
      <c r="BL125" s="72"/>
      <c r="BM125" s="72"/>
      <c r="BN125" s="72"/>
      <c r="BO125" s="72"/>
      <c r="BP125" s="72"/>
      <c r="BQ125" s="72"/>
      <c r="BR125" s="72"/>
      <c r="BS125" s="72"/>
      <c r="BT125" s="72"/>
      <c r="BU125" s="72"/>
      <c r="BV125" s="72"/>
      <c r="BW125" s="72"/>
      <c r="BX125" s="72"/>
      <c r="BY125" s="72"/>
      <c r="BZ125" s="72"/>
      <c r="CA125" s="72"/>
      <c r="CB125" s="72"/>
      <c r="CC125" s="72"/>
      <c r="CD125" s="72"/>
      <c r="CE125" s="72"/>
      <c r="CF125" s="72"/>
      <c r="CG125" s="72"/>
      <c r="CH125" s="72"/>
    </row>
    <row r="126" ht="15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  <c r="AT126" s="72"/>
      <c r="AU126" s="72"/>
      <c r="AV126" s="72"/>
      <c r="AW126" s="72"/>
      <c r="AX126" s="72"/>
      <c r="AY126" s="72"/>
      <c r="AZ126" s="72"/>
      <c r="BA126" s="72"/>
      <c r="BB126" s="72"/>
      <c r="BC126" s="72"/>
      <c r="BD126" s="72"/>
      <c r="BE126" s="72"/>
      <c r="BF126" s="72"/>
      <c r="BG126" s="72"/>
      <c r="BH126" s="72"/>
      <c r="BI126" s="72"/>
      <c r="BJ126" s="72"/>
      <c r="BK126" s="72"/>
      <c r="BL126" s="72"/>
      <c r="BM126" s="72"/>
      <c r="BN126" s="72"/>
      <c r="BO126" s="72"/>
      <c r="BP126" s="72"/>
      <c r="BQ126" s="72"/>
      <c r="BR126" s="72"/>
      <c r="BS126" s="72"/>
      <c r="BT126" s="72"/>
      <c r="BU126" s="72"/>
      <c r="BV126" s="72"/>
      <c r="BW126" s="72"/>
      <c r="BX126" s="72"/>
      <c r="BY126" s="72"/>
      <c r="BZ126" s="72"/>
      <c r="CA126" s="72"/>
      <c r="CB126" s="72"/>
      <c r="CC126" s="72"/>
      <c r="CD126" s="72"/>
      <c r="CE126" s="72"/>
      <c r="CF126" s="72"/>
      <c r="CG126" s="72"/>
      <c r="CH126" s="72"/>
    </row>
    <row r="127" ht="15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  <c r="AT127" s="72"/>
      <c r="AU127" s="72"/>
      <c r="AV127" s="72"/>
      <c r="AW127" s="72"/>
      <c r="AX127" s="72"/>
      <c r="AY127" s="72"/>
      <c r="AZ127" s="72"/>
      <c r="BA127" s="72"/>
      <c r="BB127" s="72"/>
      <c r="BC127" s="72"/>
      <c r="BD127" s="72"/>
      <c r="BE127" s="72"/>
      <c r="BF127" s="72"/>
      <c r="BG127" s="72"/>
      <c r="BH127" s="72"/>
      <c r="BI127" s="72"/>
      <c r="BJ127" s="72"/>
      <c r="BK127" s="72"/>
      <c r="BL127" s="72"/>
      <c r="BM127" s="72"/>
      <c r="BN127" s="72"/>
      <c r="BO127" s="72"/>
      <c r="BP127" s="72"/>
      <c r="BQ127" s="72"/>
      <c r="BR127" s="72"/>
      <c r="BS127" s="72"/>
      <c r="BT127" s="72"/>
      <c r="BU127" s="72"/>
      <c r="BV127" s="72"/>
      <c r="BW127" s="72"/>
      <c r="BX127" s="72"/>
      <c r="BY127" s="72"/>
      <c r="BZ127" s="72"/>
      <c r="CA127" s="72"/>
      <c r="CB127" s="72"/>
      <c r="CC127" s="72"/>
      <c r="CD127" s="72"/>
      <c r="CE127" s="72"/>
      <c r="CF127" s="72"/>
      <c r="CG127" s="72"/>
      <c r="CH127" s="72"/>
    </row>
    <row r="128" ht="15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  <c r="AT128" s="72"/>
      <c r="AU128" s="72"/>
      <c r="AV128" s="72"/>
      <c r="AW128" s="72"/>
      <c r="AX128" s="72"/>
      <c r="AY128" s="72"/>
      <c r="AZ128" s="72"/>
      <c r="BA128" s="72"/>
      <c r="BB128" s="72"/>
      <c r="BC128" s="72"/>
      <c r="BD128" s="72"/>
      <c r="BE128" s="72"/>
      <c r="BF128" s="72"/>
      <c r="BG128" s="72"/>
      <c r="BH128" s="72"/>
      <c r="BI128" s="72"/>
      <c r="BJ128" s="72"/>
      <c r="BK128" s="72"/>
      <c r="BL128" s="72"/>
      <c r="BM128" s="72"/>
      <c r="BN128" s="72"/>
      <c r="BO128" s="72"/>
      <c r="BP128" s="72"/>
      <c r="BQ128" s="72"/>
      <c r="BR128" s="72"/>
      <c r="BS128" s="72"/>
      <c r="BT128" s="72"/>
      <c r="BU128" s="72"/>
      <c r="BV128" s="72"/>
      <c r="BW128" s="72"/>
      <c r="BX128" s="72"/>
      <c r="BY128" s="72"/>
      <c r="BZ128" s="72"/>
      <c r="CA128" s="72"/>
      <c r="CB128" s="72"/>
      <c r="CC128" s="72"/>
      <c r="CD128" s="72"/>
      <c r="CE128" s="72"/>
      <c r="CF128" s="72"/>
      <c r="CG128" s="72"/>
      <c r="CH128" s="72"/>
    </row>
    <row r="129" ht="15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  <c r="AT129" s="72"/>
      <c r="AU129" s="72"/>
      <c r="AV129" s="72"/>
      <c r="AW129" s="72"/>
      <c r="AX129" s="72"/>
      <c r="AY129" s="72"/>
      <c r="AZ129" s="72"/>
      <c r="BA129" s="72"/>
      <c r="BB129" s="72"/>
      <c r="BC129" s="72"/>
      <c r="BD129" s="72"/>
      <c r="BE129" s="72"/>
      <c r="BF129" s="72"/>
      <c r="BG129" s="72"/>
      <c r="BH129" s="72"/>
      <c r="BI129" s="72"/>
      <c r="BJ129" s="72"/>
      <c r="BK129" s="72"/>
      <c r="BL129" s="72"/>
      <c r="BM129" s="72"/>
      <c r="BN129" s="72"/>
      <c r="BO129" s="72"/>
      <c r="BP129" s="72"/>
      <c r="BQ129" s="72"/>
      <c r="BR129" s="72"/>
      <c r="BS129" s="72"/>
      <c r="BT129" s="72"/>
      <c r="BU129" s="72"/>
      <c r="BV129" s="72"/>
      <c r="BW129" s="72"/>
      <c r="BX129" s="72"/>
      <c r="BY129" s="72"/>
      <c r="BZ129" s="72"/>
      <c r="CA129" s="72"/>
      <c r="CB129" s="72"/>
      <c r="CC129" s="72"/>
      <c r="CD129" s="72"/>
      <c r="CE129" s="72"/>
      <c r="CF129" s="72"/>
      <c r="CG129" s="72"/>
      <c r="CH129" s="72"/>
    </row>
    <row r="130" ht="15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  <c r="AT130" s="72"/>
      <c r="AU130" s="72"/>
      <c r="AV130" s="72"/>
      <c r="AW130" s="72"/>
      <c r="AX130" s="72"/>
      <c r="AY130" s="72"/>
      <c r="AZ130" s="72"/>
      <c r="BA130" s="72"/>
      <c r="BB130" s="72"/>
      <c r="BC130" s="72"/>
      <c r="BD130" s="72"/>
      <c r="BE130" s="72"/>
      <c r="BF130" s="72"/>
      <c r="BG130" s="72"/>
      <c r="BH130" s="72"/>
      <c r="BI130" s="72"/>
      <c r="BJ130" s="72"/>
      <c r="BK130" s="72"/>
      <c r="BL130" s="72"/>
      <c r="BM130" s="72"/>
      <c r="BN130" s="72"/>
      <c r="BO130" s="72"/>
      <c r="BP130" s="72"/>
      <c r="BQ130" s="72"/>
      <c r="BR130" s="72"/>
      <c r="BS130" s="72"/>
      <c r="BT130" s="72"/>
      <c r="BU130" s="72"/>
      <c r="BV130" s="72"/>
      <c r="BW130" s="72"/>
      <c r="BX130" s="72"/>
      <c r="BY130" s="72"/>
      <c r="BZ130" s="72"/>
      <c r="CA130" s="72"/>
      <c r="CB130" s="72"/>
      <c r="CC130" s="72"/>
      <c r="CD130" s="72"/>
      <c r="CE130" s="72"/>
      <c r="CF130" s="72"/>
      <c r="CG130" s="72"/>
      <c r="CH130" s="72"/>
    </row>
    <row r="131" ht="15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  <c r="AT131" s="72"/>
      <c r="AU131" s="72"/>
      <c r="AV131" s="72"/>
      <c r="AW131" s="72"/>
      <c r="AX131" s="72"/>
      <c r="AY131" s="72"/>
      <c r="AZ131" s="72"/>
      <c r="BA131" s="72"/>
      <c r="BB131" s="72"/>
      <c r="BC131" s="72"/>
      <c r="BD131" s="72"/>
      <c r="BE131" s="72"/>
      <c r="BF131" s="72"/>
      <c r="BG131" s="72"/>
      <c r="BH131" s="72"/>
      <c r="BI131" s="72"/>
      <c r="BJ131" s="72"/>
      <c r="BK131" s="72"/>
      <c r="BL131" s="72"/>
      <c r="BM131" s="72"/>
      <c r="BN131" s="72"/>
      <c r="BO131" s="72"/>
      <c r="BP131" s="72"/>
      <c r="BQ131" s="72"/>
      <c r="BR131" s="72"/>
      <c r="BS131" s="72"/>
      <c r="BT131" s="72"/>
      <c r="BU131" s="72"/>
      <c r="BV131" s="72"/>
      <c r="BW131" s="72"/>
      <c r="BX131" s="72"/>
      <c r="BY131" s="72"/>
      <c r="BZ131" s="72"/>
      <c r="CA131" s="72"/>
      <c r="CB131" s="72"/>
      <c r="CC131" s="72"/>
      <c r="CD131" s="72"/>
      <c r="CE131" s="72"/>
      <c r="CF131" s="72"/>
      <c r="CG131" s="72"/>
      <c r="CH131" s="72"/>
    </row>
    <row r="132" ht="15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  <c r="BS132" s="72"/>
      <c r="BT132" s="72"/>
      <c r="BU132" s="72"/>
      <c r="BV132" s="72"/>
      <c r="BW132" s="72"/>
      <c r="BX132" s="72"/>
      <c r="BY132" s="72"/>
      <c r="BZ132" s="72"/>
      <c r="CA132" s="72"/>
      <c r="CB132" s="72"/>
      <c r="CC132" s="72"/>
      <c r="CD132" s="72"/>
      <c r="CE132" s="72"/>
      <c r="CF132" s="72"/>
      <c r="CG132" s="72"/>
      <c r="CH132" s="72"/>
    </row>
    <row r="133" ht="15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72"/>
      <c r="BU133" s="72"/>
      <c r="BV133" s="72"/>
      <c r="BW133" s="72"/>
      <c r="BX133" s="72"/>
      <c r="BY133" s="72"/>
      <c r="BZ133" s="72"/>
      <c r="CA133" s="72"/>
      <c r="CB133" s="72"/>
      <c r="CC133" s="72"/>
      <c r="CD133" s="72"/>
      <c r="CE133" s="72"/>
      <c r="CF133" s="72"/>
      <c r="CG133" s="72"/>
      <c r="CH133" s="72"/>
    </row>
    <row r="134" ht="15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  <c r="AT134" s="72"/>
      <c r="AU134" s="72"/>
      <c r="AV134" s="72"/>
      <c r="AW134" s="72"/>
      <c r="AX134" s="72"/>
      <c r="AY134" s="72"/>
      <c r="AZ134" s="72"/>
      <c r="BA134" s="72"/>
      <c r="BB134" s="72"/>
      <c r="BC134" s="72"/>
      <c r="BD134" s="72"/>
      <c r="BE134" s="72"/>
      <c r="BF134" s="72"/>
      <c r="BG134" s="72"/>
      <c r="BH134" s="72"/>
      <c r="BI134" s="72"/>
      <c r="BJ134" s="72"/>
      <c r="BK134" s="72"/>
      <c r="BL134" s="72"/>
      <c r="BM134" s="72"/>
      <c r="BN134" s="72"/>
      <c r="BO134" s="72"/>
      <c r="BP134" s="72"/>
      <c r="BQ134" s="72"/>
      <c r="BR134" s="72"/>
      <c r="BS134" s="72"/>
      <c r="BT134" s="72"/>
      <c r="BU134" s="72"/>
      <c r="BV134" s="72"/>
      <c r="BW134" s="72"/>
      <c r="BX134" s="72"/>
      <c r="BY134" s="72"/>
      <c r="BZ134" s="72"/>
      <c r="CA134" s="72"/>
      <c r="CB134" s="72"/>
      <c r="CC134" s="72"/>
      <c r="CD134" s="72"/>
      <c r="CE134" s="72"/>
      <c r="CF134" s="72"/>
      <c r="CG134" s="72"/>
      <c r="CH134" s="72"/>
    </row>
    <row r="135" ht="15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  <c r="AT135" s="72"/>
      <c r="AU135" s="72"/>
      <c r="AV135" s="72"/>
      <c r="AW135" s="72"/>
      <c r="AX135" s="72"/>
      <c r="AY135" s="72"/>
      <c r="AZ135" s="72"/>
      <c r="BA135" s="72"/>
      <c r="BB135" s="72"/>
      <c r="BC135" s="72"/>
      <c r="BD135" s="72"/>
      <c r="BE135" s="72"/>
      <c r="BF135" s="72"/>
      <c r="BG135" s="72"/>
      <c r="BH135" s="72"/>
      <c r="BI135" s="72"/>
      <c r="BJ135" s="72"/>
      <c r="BK135" s="72"/>
      <c r="BL135" s="72"/>
      <c r="BM135" s="72"/>
      <c r="BN135" s="72"/>
      <c r="BO135" s="72"/>
      <c r="BP135" s="72"/>
      <c r="BQ135" s="72"/>
      <c r="BR135" s="72"/>
      <c r="BS135" s="72"/>
      <c r="BT135" s="72"/>
      <c r="BU135" s="72"/>
      <c r="BV135" s="72"/>
      <c r="BW135" s="72"/>
      <c r="BX135" s="72"/>
      <c r="BY135" s="72"/>
      <c r="BZ135" s="72"/>
      <c r="CA135" s="72"/>
      <c r="CB135" s="72"/>
      <c r="CC135" s="72"/>
      <c r="CD135" s="72"/>
      <c r="CE135" s="72"/>
      <c r="CF135" s="72"/>
      <c r="CG135" s="72"/>
      <c r="CH135" s="72"/>
    </row>
    <row r="136" ht="15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  <c r="AT136" s="72"/>
      <c r="AU136" s="72"/>
      <c r="AV136" s="72"/>
      <c r="AW136" s="72"/>
      <c r="AX136" s="72"/>
      <c r="AY136" s="72"/>
      <c r="AZ136" s="72"/>
      <c r="BA136" s="72"/>
      <c r="BB136" s="72"/>
      <c r="BC136" s="72"/>
      <c r="BD136" s="72"/>
      <c r="BE136" s="72"/>
      <c r="BF136" s="72"/>
      <c r="BG136" s="72"/>
      <c r="BH136" s="72"/>
      <c r="BI136" s="72"/>
      <c r="BJ136" s="72"/>
      <c r="BK136" s="72"/>
      <c r="BL136" s="72"/>
      <c r="BM136" s="72"/>
      <c r="BN136" s="72"/>
      <c r="BO136" s="72"/>
      <c r="BP136" s="72"/>
      <c r="BQ136" s="72"/>
      <c r="BR136" s="72"/>
      <c r="BS136" s="72"/>
      <c r="BT136" s="72"/>
      <c r="BU136" s="72"/>
      <c r="BV136" s="72"/>
      <c r="BW136" s="72"/>
      <c r="BX136" s="72"/>
      <c r="BY136" s="72"/>
      <c r="BZ136" s="72"/>
      <c r="CA136" s="72"/>
      <c r="CB136" s="72"/>
      <c r="CC136" s="72"/>
      <c r="CD136" s="72"/>
      <c r="CE136" s="72"/>
      <c r="CF136" s="72"/>
      <c r="CG136" s="72"/>
      <c r="CH136" s="72"/>
    </row>
    <row r="137" ht="15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  <c r="AT137" s="72"/>
      <c r="AU137" s="72"/>
      <c r="AV137" s="72"/>
      <c r="AW137" s="72"/>
      <c r="AX137" s="72"/>
      <c r="AY137" s="72"/>
      <c r="AZ137" s="72"/>
      <c r="BA137" s="72"/>
      <c r="BB137" s="72"/>
      <c r="BC137" s="72"/>
      <c r="BD137" s="72"/>
      <c r="BE137" s="72"/>
      <c r="BF137" s="72"/>
      <c r="BG137" s="72"/>
      <c r="BH137" s="72"/>
      <c r="BI137" s="72"/>
      <c r="BJ137" s="72"/>
      <c r="BK137" s="72"/>
      <c r="BL137" s="72"/>
      <c r="BM137" s="72"/>
      <c r="BN137" s="72"/>
      <c r="BO137" s="72"/>
      <c r="BP137" s="72"/>
      <c r="BQ137" s="72"/>
      <c r="BR137" s="72"/>
      <c r="BS137" s="72"/>
      <c r="BT137" s="72"/>
      <c r="BU137" s="72"/>
      <c r="BV137" s="72"/>
      <c r="BW137" s="72"/>
      <c r="BX137" s="72"/>
      <c r="BY137" s="72"/>
      <c r="BZ137" s="72"/>
      <c r="CA137" s="72"/>
      <c r="CB137" s="72"/>
      <c r="CC137" s="72"/>
      <c r="CD137" s="72"/>
      <c r="CE137" s="72"/>
      <c r="CF137" s="72"/>
      <c r="CG137" s="72"/>
      <c r="CH137" s="72"/>
    </row>
    <row r="138" ht="15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/>
      <c r="BN138" s="72"/>
      <c r="BO138" s="72"/>
      <c r="BP138" s="72"/>
      <c r="BQ138" s="72"/>
      <c r="BR138" s="72"/>
      <c r="BS138" s="72"/>
      <c r="BT138" s="72"/>
      <c r="BU138" s="72"/>
      <c r="BV138" s="72"/>
      <c r="BW138" s="72"/>
      <c r="BX138" s="72"/>
      <c r="BY138" s="72"/>
      <c r="BZ138" s="72"/>
      <c r="CA138" s="72"/>
      <c r="CB138" s="72"/>
      <c r="CC138" s="72"/>
      <c r="CD138" s="72"/>
      <c r="CE138" s="72"/>
      <c r="CF138" s="72"/>
      <c r="CG138" s="72"/>
      <c r="CH138" s="72"/>
    </row>
    <row r="139" ht="15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/>
      <c r="BN139" s="72"/>
      <c r="BO139" s="72"/>
      <c r="BP139" s="72"/>
      <c r="BQ139" s="72"/>
      <c r="BR139" s="72"/>
      <c r="BS139" s="72"/>
      <c r="BT139" s="72"/>
      <c r="BU139" s="72"/>
      <c r="BV139" s="72"/>
      <c r="BW139" s="72"/>
      <c r="BX139" s="72"/>
      <c r="BY139" s="72"/>
      <c r="BZ139" s="72"/>
      <c r="CA139" s="72"/>
      <c r="CB139" s="72"/>
      <c r="CC139" s="72"/>
      <c r="CD139" s="72"/>
      <c r="CE139" s="72"/>
      <c r="CF139" s="72"/>
      <c r="CG139" s="72"/>
      <c r="CH139" s="72"/>
    </row>
    <row r="140" ht="15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  <c r="AT140" s="72"/>
      <c r="AU140" s="72"/>
      <c r="AV140" s="72"/>
      <c r="AW140" s="72"/>
      <c r="AX140" s="72"/>
      <c r="AY140" s="72"/>
      <c r="AZ140" s="72"/>
      <c r="BA140" s="72"/>
      <c r="BB140" s="72"/>
      <c r="BC140" s="72"/>
      <c r="BD140" s="72"/>
      <c r="BE140" s="72"/>
      <c r="BF140" s="72"/>
      <c r="BG140" s="72"/>
      <c r="BH140" s="72"/>
      <c r="BI140" s="72"/>
      <c r="BJ140" s="72"/>
      <c r="BK140" s="72"/>
      <c r="BL140" s="72"/>
      <c r="BM140" s="72"/>
      <c r="BN140" s="72"/>
      <c r="BO140" s="72"/>
      <c r="BP140" s="72"/>
      <c r="BQ140" s="72"/>
      <c r="BR140" s="72"/>
      <c r="BS140" s="72"/>
      <c r="BT140" s="72"/>
      <c r="BU140" s="72"/>
      <c r="BV140" s="72"/>
      <c r="BW140" s="72"/>
      <c r="BX140" s="72"/>
      <c r="BY140" s="72"/>
      <c r="BZ140" s="72"/>
      <c r="CA140" s="72"/>
      <c r="CB140" s="72"/>
      <c r="CC140" s="72"/>
      <c r="CD140" s="72"/>
      <c r="CE140" s="72"/>
      <c r="CF140" s="72"/>
      <c r="CG140" s="72"/>
      <c r="CH140" s="72"/>
    </row>
    <row r="141" ht="15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  <c r="AT141" s="72"/>
      <c r="AU141" s="72"/>
      <c r="AV141" s="72"/>
      <c r="AW141" s="72"/>
      <c r="AX141" s="72"/>
      <c r="AY141" s="72"/>
      <c r="AZ141" s="72"/>
      <c r="BA141" s="72"/>
      <c r="BB141" s="72"/>
      <c r="BC141" s="72"/>
      <c r="BD141" s="72"/>
      <c r="BE141" s="72"/>
      <c r="BF141" s="72"/>
      <c r="BG141" s="72"/>
      <c r="BH141" s="72"/>
      <c r="BI141" s="72"/>
      <c r="BJ141" s="72"/>
      <c r="BK141" s="72"/>
      <c r="BL141" s="72"/>
      <c r="BM141" s="72"/>
      <c r="BN141" s="72"/>
      <c r="BO141" s="72"/>
      <c r="BP141" s="72"/>
      <c r="BQ141" s="72"/>
      <c r="BR141" s="72"/>
      <c r="BS141" s="72"/>
      <c r="BT141" s="72"/>
      <c r="BU141" s="72"/>
      <c r="BV141" s="72"/>
      <c r="BW141" s="72"/>
      <c r="BX141" s="72"/>
      <c r="BY141" s="72"/>
      <c r="BZ141" s="72"/>
      <c r="CA141" s="72"/>
      <c r="CB141" s="72"/>
      <c r="CC141" s="72"/>
      <c r="CD141" s="72"/>
      <c r="CE141" s="72"/>
      <c r="CF141" s="72"/>
      <c r="CG141" s="72"/>
      <c r="CH141" s="72"/>
    </row>
    <row r="142" ht="15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  <c r="AT142" s="72"/>
      <c r="AU142" s="72"/>
      <c r="AV142" s="72"/>
      <c r="AW142" s="72"/>
      <c r="AX142" s="72"/>
      <c r="AY142" s="72"/>
      <c r="AZ142" s="72"/>
      <c r="BA142" s="72"/>
      <c r="BB142" s="72"/>
      <c r="BC142" s="72"/>
      <c r="BD142" s="72"/>
      <c r="BE142" s="72"/>
      <c r="BF142" s="72"/>
      <c r="BG142" s="72"/>
      <c r="BH142" s="72"/>
      <c r="BI142" s="72"/>
      <c r="BJ142" s="72"/>
      <c r="BK142" s="72"/>
      <c r="BL142" s="72"/>
      <c r="BM142" s="72"/>
      <c r="BN142" s="72"/>
      <c r="BO142" s="72"/>
      <c r="BP142" s="72"/>
      <c r="BQ142" s="72"/>
      <c r="BR142" s="72"/>
      <c r="BS142" s="72"/>
      <c r="BT142" s="72"/>
      <c r="BU142" s="72"/>
      <c r="BV142" s="72"/>
      <c r="BW142" s="72"/>
      <c r="BX142" s="72"/>
      <c r="BY142" s="72"/>
      <c r="BZ142" s="72"/>
      <c r="CA142" s="72"/>
      <c r="CB142" s="72"/>
      <c r="CC142" s="72"/>
      <c r="CD142" s="72"/>
      <c r="CE142" s="72"/>
      <c r="CF142" s="72"/>
      <c r="CG142" s="72"/>
      <c r="CH142" s="72"/>
    </row>
    <row r="143" ht="15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  <c r="AT143" s="72"/>
      <c r="AU143" s="72"/>
      <c r="AV143" s="72"/>
      <c r="AW143" s="72"/>
      <c r="AX143" s="72"/>
      <c r="AY143" s="72"/>
      <c r="AZ143" s="72"/>
      <c r="BA143" s="72"/>
      <c r="BB143" s="72"/>
      <c r="BC143" s="72"/>
      <c r="BD143" s="72"/>
      <c r="BE143" s="72"/>
      <c r="BF143" s="72"/>
      <c r="BG143" s="72"/>
      <c r="BH143" s="72"/>
      <c r="BI143" s="72"/>
      <c r="BJ143" s="72"/>
      <c r="BK143" s="72"/>
      <c r="BL143" s="72"/>
      <c r="BM143" s="72"/>
      <c r="BN143" s="72"/>
      <c r="BO143" s="72"/>
      <c r="BP143" s="72"/>
      <c r="BQ143" s="72"/>
      <c r="BR143" s="72"/>
      <c r="BS143" s="72"/>
      <c r="BT143" s="72"/>
      <c r="BU143" s="72"/>
      <c r="BV143" s="72"/>
      <c r="BW143" s="72"/>
      <c r="BX143" s="72"/>
      <c r="BY143" s="72"/>
      <c r="BZ143" s="72"/>
      <c r="CA143" s="72"/>
      <c r="CB143" s="72"/>
      <c r="CC143" s="72"/>
      <c r="CD143" s="72"/>
      <c r="CE143" s="72"/>
      <c r="CF143" s="72"/>
      <c r="CG143" s="72"/>
      <c r="CH143" s="72"/>
    </row>
    <row r="144" ht="15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  <c r="AT144" s="72"/>
      <c r="AU144" s="72"/>
      <c r="AV144" s="72"/>
      <c r="AW144" s="72"/>
      <c r="AX144" s="72"/>
      <c r="AY144" s="72"/>
      <c r="AZ144" s="72"/>
      <c r="BA144" s="72"/>
      <c r="BB144" s="72"/>
      <c r="BC144" s="72"/>
      <c r="BD144" s="72"/>
      <c r="BE144" s="72"/>
      <c r="BF144" s="72"/>
      <c r="BG144" s="72"/>
      <c r="BH144" s="72"/>
      <c r="BI144" s="72"/>
      <c r="BJ144" s="72"/>
      <c r="BK144" s="72"/>
      <c r="BL144" s="72"/>
      <c r="BM144" s="72"/>
      <c r="BN144" s="72"/>
      <c r="BO144" s="72"/>
      <c r="BP144" s="72"/>
      <c r="BQ144" s="72"/>
      <c r="BR144" s="72"/>
      <c r="BS144" s="72"/>
      <c r="BT144" s="72"/>
      <c r="BU144" s="72"/>
      <c r="BV144" s="72"/>
      <c r="BW144" s="72"/>
      <c r="BX144" s="72"/>
      <c r="BY144" s="72"/>
      <c r="BZ144" s="72"/>
      <c r="CA144" s="72"/>
      <c r="CB144" s="72"/>
      <c r="CC144" s="72"/>
      <c r="CD144" s="72"/>
      <c r="CE144" s="72"/>
      <c r="CF144" s="72"/>
      <c r="CG144" s="72"/>
      <c r="CH144" s="72"/>
    </row>
    <row r="145" ht="15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  <c r="AT145" s="72"/>
      <c r="AU145" s="72"/>
      <c r="AV145" s="72"/>
      <c r="AW145" s="72"/>
      <c r="AX145" s="72"/>
      <c r="AY145" s="72"/>
      <c r="AZ145" s="72"/>
      <c r="BA145" s="72"/>
      <c r="BB145" s="72"/>
      <c r="BC145" s="72"/>
      <c r="BD145" s="72"/>
      <c r="BE145" s="72"/>
      <c r="BF145" s="72"/>
      <c r="BG145" s="72"/>
      <c r="BH145" s="72"/>
      <c r="BI145" s="72"/>
      <c r="BJ145" s="72"/>
      <c r="BK145" s="72"/>
      <c r="BL145" s="72"/>
      <c r="BM145" s="72"/>
      <c r="BN145" s="72"/>
      <c r="BO145" s="72"/>
      <c r="BP145" s="72"/>
      <c r="BQ145" s="72"/>
      <c r="BR145" s="72"/>
      <c r="BS145" s="72"/>
      <c r="BT145" s="72"/>
      <c r="BU145" s="72"/>
      <c r="BV145" s="72"/>
      <c r="BW145" s="72"/>
      <c r="BX145" s="72"/>
      <c r="BY145" s="72"/>
      <c r="BZ145" s="72"/>
      <c r="CA145" s="72"/>
      <c r="CB145" s="72"/>
      <c r="CC145" s="72"/>
      <c r="CD145" s="72"/>
      <c r="CE145" s="72"/>
      <c r="CF145" s="72"/>
      <c r="CG145" s="72"/>
      <c r="CH145" s="72"/>
    </row>
    <row r="146" ht="15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  <c r="AT146" s="72"/>
      <c r="AU146" s="72"/>
      <c r="AV146" s="72"/>
      <c r="AW146" s="72"/>
      <c r="AX146" s="72"/>
      <c r="AY146" s="72"/>
      <c r="AZ146" s="72"/>
      <c r="BA146" s="72"/>
      <c r="BB146" s="72"/>
      <c r="BC146" s="72"/>
      <c r="BD146" s="72"/>
      <c r="BE146" s="72"/>
      <c r="BF146" s="72"/>
      <c r="BG146" s="72"/>
      <c r="BH146" s="72"/>
      <c r="BI146" s="72"/>
      <c r="BJ146" s="72"/>
      <c r="BK146" s="72"/>
      <c r="BL146" s="72"/>
      <c r="BM146" s="72"/>
      <c r="BN146" s="72"/>
      <c r="BO146" s="72"/>
      <c r="BP146" s="72"/>
      <c r="BQ146" s="72"/>
      <c r="BR146" s="72"/>
      <c r="BS146" s="72"/>
      <c r="BT146" s="72"/>
      <c r="BU146" s="72"/>
      <c r="BV146" s="72"/>
      <c r="BW146" s="72"/>
      <c r="BX146" s="72"/>
      <c r="BY146" s="72"/>
      <c r="BZ146" s="72"/>
      <c r="CA146" s="72"/>
      <c r="CB146" s="72"/>
      <c r="CC146" s="72"/>
      <c r="CD146" s="72"/>
      <c r="CE146" s="72"/>
      <c r="CF146" s="72"/>
      <c r="CG146" s="72"/>
      <c r="CH146" s="72"/>
    </row>
    <row r="147" ht="15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  <c r="AT147" s="72"/>
      <c r="AU147" s="72"/>
      <c r="AV147" s="72"/>
      <c r="AW147" s="72"/>
      <c r="AX147" s="72"/>
      <c r="AY147" s="72"/>
      <c r="AZ147" s="72"/>
      <c r="BA147" s="72"/>
      <c r="BB147" s="72"/>
      <c r="BC147" s="72"/>
      <c r="BD147" s="72"/>
      <c r="BE147" s="72"/>
      <c r="BF147" s="72"/>
      <c r="BG147" s="72"/>
      <c r="BH147" s="72"/>
      <c r="BI147" s="72"/>
      <c r="BJ147" s="72"/>
      <c r="BK147" s="72"/>
      <c r="BL147" s="72"/>
      <c r="BM147" s="72"/>
      <c r="BN147" s="72"/>
      <c r="BO147" s="72"/>
      <c r="BP147" s="72"/>
      <c r="BQ147" s="72"/>
      <c r="BR147" s="72"/>
      <c r="BS147" s="72"/>
      <c r="BT147" s="72"/>
      <c r="BU147" s="72"/>
      <c r="BV147" s="72"/>
      <c r="BW147" s="72"/>
      <c r="BX147" s="72"/>
      <c r="BY147" s="72"/>
      <c r="BZ147" s="72"/>
      <c r="CA147" s="72"/>
      <c r="CB147" s="72"/>
      <c r="CC147" s="72"/>
      <c r="CD147" s="72"/>
      <c r="CE147" s="72"/>
      <c r="CF147" s="72"/>
      <c r="CG147" s="72"/>
      <c r="CH147" s="72"/>
    </row>
    <row r="148" ht="15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  <c r="AT148" s="72"/>
      <c r="AU148" s="72"/>
      <c r="AV148" s="72"/>
      <c r="AW148" s="72"/>
      <c r="AX148" s="72"/>
      <c r="AY148" s="72"/>
      <c r="AZ148" s="72"/>
      <c r="BA148" s="72"/>
      <c r="BB148" s="72"/>
      <c r="BC148" s="72"/>
      <c r="BD148" s="72"/>
      <c r="BE148" s="72"/>
      <c r="BF148" s="72"/>
      <c r="BG148" s="72"/>
      <c r="BH148" s="72"/>
      <c r="BI148" s="72"/>
      <c r="BJ148" s="72"/>
      <c r="BK148" s="72"/>
      <c r="BL148" s="72"/>
      <c r="BM148" s="72"/>
      <c r="BN148" s="72"/>
      <c r="BO148" s="72"/>
      <c r="BP148" s="72"/>
      <c r="BQ148" s="72"/>
      <c r="BR148" s="72"/>
      <c r="BS148" s="72"/>
      <c r="BT148" s="72"/>
      <c r="BU148" s="72"/>
      <c r="BV148" s="72"/>
      <c r="BW148" s="72"/>
      <c r="BX148" s="72"/>
      <c r="BY148" s="72"/>
      <c r="BZ148" s="72"/>
      <c r="CA148" s="72"/>
      <c r="CB148" s="72"/>
      <c r="CC148" s="72"/>
      <c r="CD148" s="72"/>
      <c r="CE148" s="72"/>
      <c r="CF148" s="72"/>
      <c r="CG148" s="72"/>
      <c r="CH148" s="72"/>
    </row>
    <row r="149" ht="15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  <c r="AT149" s="72"/>
      <c r="AU149" s="72"/>
      <c r="AV149" s="72"/>
      <c r="AW149" s="72"/>
      <c r="AX149" s="72"/>
      <c r="AY149" s="72"/>
      <c r="AZ149" s="72"/>
      <c r="BA149" s="72"/>
      <c r="BB149" s="72"/>
      <c r="BC149" s="72"/>
      <c r="BD149" s="72"/>
      <c r="BE149" s="72"/>
      <c r="BF149" s="72"/>
      <c r="BG149" s="72"/>
      <c r="BH149" s="72"/>
      <c r="BI149" s="72"/>
      <c r="BJ149" s="72"/>
      <c r="BK149" s="72"/>
      <c r="BL149" s="72"/>
      <c r="BM149" s="72"/>
      <c r="BN149" s="72"/>
      <c r="BO149" s="72"/>
      <c r="BP149" s="72"/>
      <c r="BQ149" s="72"/>
      <c r="BR149" s="72"/>
      <c r="BS149" s="72"/>
      <c r="BT149" s="72"/>
      <c r="BU149" s="72"/>
      <c r="BV149" s="72"/>
      <c r="BW149" s="72"/>
      <c r="BX149" s="72"/>
      <c r="BY149" s="72"/>
      <c r="BZ149" s="72"/>
      <c r="CA149" s="72"/>
      <c r="CB149" s="72"/>
      <c r="CC149" s="72"/>
      <c r="CD149" s="72"/>
      <c r="CE149" s="72"/>
      <c r="CF149" s="72"/>
      <c r="CG149" s="72"/>
      <c r="CH149" s="72"/>
    </row>
    <row r="150" ht="15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  <c r="AT150" s="72"/>
      <c r="AU150" s="72"/>
      <c r="AV150" s="72"/>
      <c r="AW150" s="72"/>
      <c r="AX150" s="72"/>
      <c r="AY150" s="72"/>
      <c r="AZ150" s="72"/>
      <c r="BA150" s="72"/>
      <c r="BB150" s="72"/>
      <c r="BC150" s="72"/>
      <c r="BD150" s="72"/>
      <c r="BE150" s="72"/>
      <c r="BF150" s="72"/>
      <c r="BG150" s="72"/>
      <c r="BH150" s="72"/>
      <c r="BI150" s="72"/>
      <c r="BJ150" s="72"/>
      <c r="BK150" s="72"/>
      <c r="BL150" s="72"/>
      <c r="BM150" s="72"/>
      <c r="BN150" s="72"/>
      <c r="BO150" s="72"/>
      <c r="BP150" s="72"/>
      <c r="BQ150" s="72"/>
      <c r="BR150" s="72"/>
      <c r="BS150" s="72"/>
      <c r="BT150" s="72"/>
      <c r="BU150" s="72"/>
      <c r="BV150" s="72"/>
      <c r="BW150" s="72"/>
      <c r="BX150" s="72"/>
      <c r="BY150" s="72"/>
      <c r="BZ150" s="72"/>
      <c r="CA150" s="72"/>
      <c r="CB150" s="72"/>
      <c r="CC150" s="72"/>
      <c r="CD150" s="72"/>
      <c r="CE150" s="72"/>
      <c r="CF150" s="72"/>
      <c r="CG150" s="72"/>
      <c r="CH150" s="72"/>
    </row>
    <row r="151" ht="15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  <c r="AT151" s="72"/>
      <c r="AU151" s="72"/>
      <c r="AV151" s="72"/>
      <c r="AW151" s="72"/>
      <c r="AX151" s="72"/>
      <c r="AY151" s="72"/>
      <c r="AZ151" s="72"/>
      <c r="BA151" s="72"/>
      <c r="BB151" s="72"/>
      <c r="BC151" s="72"/>
      <c r="BD151" s="72"/>
      <c r="BE151" s="72"/>
      <c r="BF151" s="72"/>
      <c r="BG151" s="72"/>
      <c r="BH151" s="72"/>
      <c r="BI151" s="72"/>
      <c r="BJ151" s="72"/>
      <c r="BK151" s="72"/>
      <c r="BL151" s="72"/>
      <c r="BM151" s="72"/>
      <c r="BN151" s="72"/>
      <c r="BO151" s="72"/>
      <c r="BP151" s="72"/>
      <c r="BQ151" s="72"/>
      <c r="BR151" s="72"/>
      <c r="BS151" s="72"/>
      <c r="BT151" s="72"/>
      <c r="BU151" s="72"/>
      <c r="BV151" s="72"/>
      <c r="BW151" s="72"/>
      <c r="BX151" s="72"/>
      <c r="BY151" s="72"/>
      <c r="BZ151" s="72"/>
      <c r="CA151" s="72"/>
      <c r="CB151" s="72"/>
      <c r="CC151" s="72"/>
      <c r="CD151" s="72"/>
      <c r="CE151" s="72"/>
      <c r="CF151" s="72"/>
      <c r="CG151" s="72"/>
      <c r="CH151" s="72"/>
    </row>
    <row r="152" ht="15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  <c r="AT152" s="72"/>
      <c r="AU152" s="72"/>
      <c r="AV152" s="72"/>
      <c r="AW152" s="72"/>
      <c r="AX152" s="72"/>
      <c r="AY152" s="72"/>
      <c r="AZ152" s="72"/>
      <c r="BA152" s="72"/>
      <c r="BB152" s="72"/>
      <c r="BC152" s="72"/>
      <c r="BD152" s="72"/>
      <c r="BE152" s="72"/>
      <c r="BF152" s="72"/>
      <c r="BG152" s="72"/>
      <c r="BH152" s="72"/>
      <c r="BI152" s="72"/>
      <c r="BJ152" s="72"/>
      <c r="BK152" s="72"/>
      <c r="BL152" s="72"/>
      <c r="BM152" s="72"/>
      <c r="BN152" s="72"/>
      <c r="BO152" s="72"/>
      <c r="BP152" s="72"/>
      <c r="BQ152" s="72"/>
      <c r="BR152" s="72"/>
      <c r="BS152" s="72"/>
      <c r="BT152" s="72"/>
      <c r="BU152" s="72"/>
      <c r="BV152" s="72"/>
      <c r="BW152" s="72"/>
      <c r="BX152" s="72"/>
      <c r="BY152" s="72"/>
      <c r="BZ152" s="72"/>
      <c r="CA152" s="72"/>
      <c r="CB152" s="72"/>
      <c r="CC152" s="72"/>
      <c r="CD152" s="72"/>
      <c r="CE152" s="72"/>
      <c r="CF152" s="72"/>
      <c r="CG152" s="72"/>
      <c r="CH152" s="72"/>
    </row>
    <row r="153" ht="15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/>
      <c r="BM153" s="72"/>
      <c r="BN153" s="72"/>
      <c r="BO153" s="72"/>
      <c r="BP153" s="72"/>
      <c r="BQ153" s="72"/>
      <c r="BR153" s="72"/>
      <c r="BS153" s="72"/>
      <c r="BT153" s="72"/>
      <c r="BU153" s="72"/>
      <c r="BV153" s="72"/>
      <c r="BW153" s="72"/>
      <c r="BX153" s="72"/>
      <c r="BY153" s="72"/>
      <c r="BZ153" s="72"/>
      <c r="CA153" s="72"/>
      <c r="CB153" s="72"/>
      <c r="CC153" s="72"/>
      <c r="CD153" s="72"/>
      <c r="CE153" s="72"/>
      <c r="CF153" s="72"/>
      <c r="CG153" s="72"/>
      <c r="CH153" s="72"/>
    </row>
    <row r="154" ht="15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/>
      <c r="BM154" s="72"/>
      <c r="BN154" s="72"/>
      <c r="BO154" s="72"/>
      <c r="BP154" s="72"/>
      <c r="BQ154" s="72"/>
      <c r="BR154" s="72"/>
      <c r="BS154" s="72"/>
      <c r="BT154" s="72"/>
      <c r="BU154" s="72"/>
      <c r="BV154" s="72"/>
      <c r="BW154" s="72"/>
      <c r="BX154" s="72"/>
      <c r="BY154" s="72"/>
      <c r="BZ154" s="72"/>
      <c r="CA154" s="72"/>
      <c r="CB154" s="72"/>
      <c r="CC154" s="72"/>
      <c r="CD154" s="72"/>
      <c r="CE154" s="72"/>
      <c r="CF154" s="72"/>
      <c r="CG154" s="72"/>
      <c r="CH154" s="72"/>
    </row>
    <row r="155" ht="15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/>
      <c r="BM155" s="72"/>
      <c r="BN155" s="72"/>
      <c r="BO155" s="72"/>
      <c r="BP155" s="72"/>
      <c r="BQ155" s="72"/>
      <c r="BR155" s="72"/>
      <c r="BS155" s="72"/>
      <c r="BT155" s="72"/>
      <c r="BU155" s="72"/>
      <c r="BV155" s="72"/>
      <c r="BW155" s="72"/>
      <c r="BX155" s="72"/>
      <c r="BY155" s="72"/>
      <c r="BZ155" s="72"/>
      <c r="CA155" s="72"/>
      <c r="CB155" s="72"/>
      <c r="CC155" s="72"/>
      <c r="CD155" s="72"/>
      <c r="CE155" s="72"/>
      <c r="CF155" s="72"/>
      <c r="CG155" s="72"/>
      <c r="CH155" s="72"/>
    </row>
    <row r="156" ht="15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/>
      <c r="BM156" s="72"/>
      <c r="BN156" s="72"/>
      <c r="BO156" s="72"/>
      <c r="BP156" s="72"/>
      <c r="BQ156" s="72"/>
      <c r="BR156" s="72"/>
      <c r="BS156" s="72"/>
      <c r="BT156" s="72"/>
      <c r="BU156" s="72"/>
      <c r="BV156" s="72"/>
      <c r="BW156" s="72"/>
      <c r="BX156" s="72"/>
      <c r="BY156" s="72"/>
      <c r="BZ156" s="72"/>
      <c r="CA156" s="72"/>
      <c r="CB156" s="72"/>
      <c r="CC156" s="72"/>
      <c r="CD156" s="72"/>
      <c r="CE156" s="72"/>
      <c r="CF156" s="72"/>
      <c r="CG156" s="72"/>
      <c r="CH156" s="72"/>
    </row>
    <row r="157" ht="15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/>
      <c r="BM157" s="72"/>
      <c r="BN157" s="72"/>
      <c r="BO157" s="72"/>
      <c r="BP157" s="72"/>
      <c r="BQ157" s="72"/>
      <c r="BR157" s="72"/>
      <c r="BS157" s="72"/>
      <c r="BT157" s="72"/>
      <c r="BU157" s="72"/>
      <c r="BV157" s="72"/>
      <c r="BW157" s="72"/>
      <c r="BX157" s="72"/>
      <c r="BY157" s="72"/>
      <c r="BZ157" s="72"/>
      <c r="CA157" s="72"/>
      <c r="CB157" s="72"/>
      <c r="CC157" s="72"/>
      <c r="CD157" s="72"/>
      <c r="CE157" s="72"/>
      <c r="CF157" s="72"/>
      <c r="CG157" s="72"/>
      <c r="CH157" s="72"/>
    </row>
    <row r="158" ht="15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/>
      <c r="BN158" s="72"/>
      <c r="BO158" s="72"/>
      <c r="BP158" s="72"/>
      <c r="BQ158" s="72"/>
      <c r="BR158" s="72"/>
      <c r="BS158" s="72"/>
      <c r="BT158" s="72"/>
      <c r="BU158" s="72"/>
      <c r="BV158" s="72"/>
      <c r="BW158" s="72"/>
      <c r="BX158" s="72"/>
      <c r="BY158" s="72"/>
      <c r="BZ158" s="72"/>
      <c r="CA158" s="72"/>
      <c r="CB158" s="72"/>
      <c r="CC158" s="72"/>
      <c r="CD158" s="72"/>
      <c r="CE158" s="72"/>
      <c r="CF158" s="72"/>
      <c r="CG158" s="72"/>
      <c r="CH158" s="72"/>
    </row>
    <row r="159" ht="15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/>
      <c r="BN159" s="72"/>
      <c r="BO159" s="72"/>
      <c r="BP159" s="72"/>
      <c r="BQ159" s="72"/>
      <c r="BR159" s="72"/>
      <c r="BS159" s="72"/>
      <c r="BT159" s="72"/>
      <c r="BU159" s="72"/>
      <c r="BV159" s="72"/>
      <c r="BW159" s="72"/>
      <c r="BX159" s="72"/>
      <c r="BY159" s="72"/>
      <c r="BZ159" s="72"/>
      <c r="CA159" s="72"/>
      <c r="CB159" s="72"/>
      <c r="CC159" s="72"/>
      <c r="CD159" s="72"/>
      <c r="CE159" s="72"/>
      <c r="CF159" s="72"/>
      <c r="CG159" s="72"/>
      <c r="CH159" s="72"/>
    </row>
    <row r="160" ht="15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/>
      <c r="BN160" s="72"/>
      <c r="BO160" s="72"/>
      <c r="BP160" s="72"/>
      <c r="BQ160" s="72"/>
      <c r="BR160" s="72"/>
      <c r="BS160" s="72"/>
      <c r="BT160" s="72"/>
      <c r="BU160" s="72"/>
      <c r="BV160" s="72"/>
      <c r="BW160" s="72"/>
      <c r="BX160" s="72"/>
      <c r="BY160" s="72"/>
      <c r="BZ160" s="72"/>
      <c r="CA160" s="72"/>
      <c r="CB160" s="72"/>
      <c r="CC160" s="72"/>
      <c r="CD160" s="72"/>
      <c r="CE160" s="72"/>
      <c r="CF160" s="72"/>
      <c r="CG160" s="72"/>
      <c r="CH160" s="72"/>
    </row>
    <row r="161" ht="15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/>
      <c r="BN161" s="72"/>
      <c r="BO161" s="72"/>
      <c r="BP161" s="72"/>
      <c r="BQ161" s="72"/>
      <c r="BR161" s="72"/>
      <c r="BS161" s="72"/>
      <c r="BT161" s="72"/>
      <c r="BU161" s="72"/>
      <c r="BV161" s="72"/>
      <c r="BW161" s="72"/>
      <c r="BX161" s="72"/>
      <c r="BY161" s="72"/>
      <c r="BZ161" s="72"/>
      <c r="CA161" s="72"/>
      <c r="CB161" s="72"/>
      <c r="CC161" s="72"/>
      <c r="CD161" s="72"/>
      <c r="CE161" s="72"/>
      <c r="CF161" s="72"/>
      <c r="CG161" s="72"/>
      <c r="CH161" s="72"/>
    </row>
    <row r="162" ht="15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/>
      <c r="BN162" s="72"/>
      <c r="BO162" s="72"/>
      <c r="BP162" s="72"/>
      <c r="BQ162" s="72"/>
      <c r="BR162" s="72"/>
      <c r="BS162" s="72"/>
      <c r="BT162" s="72"/>
      <c r="BU162" s="72"/>
      <c r="BV162" s="72"/>
      <c r="BW162" s="72"/>
      <c r="BX162" s="72"/>
      <c r="BY162" s="72"/>
      <c r="BZ162" s="72"/>
      <c r="CA162" s="72"/>
      <c r="CB162" s="72"/>
      <c r="CC162" s="72"/>
      <c r="CD162" s="72"/>
      <c r="CE162" s="72"/>
      <c r="CF162" s="72"/>
      <c r="CG162" s="72"/>
      <c r="CH162" s="72"/>
    </row>
    <row r="163" ht="15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/>
      <c r="BN163" s="72"/>
      <c r="BO163" s="72"/>
      <c r="BP163" s="72"/>
      <c r="BQ163" s="72"/>
      <c r="BR163" s="72"/>
      <c r="BS163" s="72"/>
      <c r="BT163" s="72"/>
      <c r="BU163" s="72"/>
      <c r="BV163" s="72"/>
      <c r="BW163" s="72"/>
      <c r="BX163" s="72"/>
      <c r="BY163" s="72"/>
      <c r="BZ163" s="72"/>
      <c r="CA163" s="72"/>
      <c r="CB163" s="72"/>
      <c r="CC163" s="72"/>
      <c r="CD163" s="72"/>
      <c r="CE163" s="72"/>
      <c r="CF163" s="72"/>
      <c r="CG163" s="72"/>
      <c r="CH163" s="72"/>
    </row>
    <row r="164" ht="15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  <c r="BS164" s="72"/>
      <c r="BT164" s="72"/>
      <c r="BU164" s="72"/>
      <c r="BV164" s="72"/>
      <c r="BW164" s="72"/>
      <c r="BX164" s="72"/>
      <c r="BY164" s="72"/>
      <c r="BZ164" s="72"/>
      <c r="CA164" s="72"/>
      <c r="CB164" s="72"/>
      <c r="CC164" s="72"/>
      <c r="CD164" s="72"/>
      <c r="CE164" s="72"/>
      <c r="CF164" s="72"/>
      <c r="CG164" s="72"/>
      <c r="CH164" s="72"/>
    </row>
    <row r="165" ht="15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  <c r="AT165" s="72"/>
      <c r="AU165" s="72"/>
      <c r="AV165" s="72"/>
      <c r="AW165" s="72"/>
      <c r="AX165" s="72"/>
      <c r="AY165" s="72"/>
      <c r="AZ165" s="72"/>
      <c r="BA165" s="72"/>
      <c r="BB165" s="72"/>
      <c r="BC165" s="72"/>
      <c r="BD165" s="72"/>
      <c r="BE165" s="72"/>
      <c r="BF165" s="72"/>
      <c r="BG165" s="72"/>
      <c r="BH165" s="72"/>
      <c r="BI165" s="72"/>
      <c r="BJ165" s="72"/>
      <c r="BK165" s="72"/>
      <c r="BL165" s="72"/>
      <c r="BM165" s="72"/>
      <c r="BN165" s="72"/>
      <c r="BO165" s="72"/>
      <c r="BP165" s="72"/>
      <c r="BQ165" s="72"/>
      <c r="BR165" s="72"/>
      <c r="BS165" s="72"/>
      <c r="BT165" s="72"/>
      <c r="BU165" s="72"/>
      <c r="BV165" s="72"/>
      <c r="BW165" s="72"/>
      <c r="BX165" s="72"/>
      <c r="BY165" s="72"/>
      <c r="BZ165" s="72"/>
      <c r="CA165" s="72"/>
      <c r="CB165" s="72"/>
      <c r="CC165" s="72"/>
      <c r="CD165" s="72"/>
      <c r="CE165" s="72"/>
      <c r="CF165" s="72"/>
      <c r="CG165" s="72"/>
      <c r="CH165" s="72"/>
    </row>
    <row r="166" ht="15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  <c r="AQ166" s="72"/>
      <c r="AR166" s="72"/>
      <c r="AS166" s="72"/>
      <c r="AT166" s="72"/>
      <c r="AU166" s="72"/>
      <c r="AV166" s="72"/>
      <c r="AW166" s="72"/>
      <c r="AX166" s="72"/>
      <c r="AY166" s="72"/>
      <c r="AZ166" s="72"/>
      <c r="BA166" s="72"/>
      <c r="BB166" s="72"/>
      <c r="BC166" s="72"/>
      <c r="BD166" s="72"/>
      <c r="BE166" s="72"/>
      <c r="BF166" s="72"/>
      <c r="BG166" s="72"/>
      <c r="BH166" s="72"/>
      <c r="BI166" s="72"/>
      <c r="BJ166" s="72"/>
      <c r="BK166" s="72"/>
      <c r="BL166" s="72"/>
      <c r="BM166" s="72"/>
      <c r="BN166" s="72"/>
      <c r="BO166" s="72"/>
      <c r="BP166" s="72"/>
      <c r="BQ166" s="72"/>
      <c r="BR166" s="72"/>
      <c r="BS166" s="72"/>
      <c r="BT166" s="72"/>
      <c r="BU166" s="72"/>
      <c r="BV166" s="72"/>
      <c r="BW166" s="72"/>
      <c r="BX166" s="72"/>
      <c r="BY166" s="72"/>
      <c r="BZ166" s="72"/>
      <c r="CA166" s="72"/>
      <c r="CB166" s="72"/>
      <c r="CC166" s="72"/>
      <c r="CD166" s="72"/>
      <c r="CE166" s="72"/>
      <c r="CF166" s="72"/>
      <c r="CG166" s="72"/>
      <c r="CH166" s="72"/>
    </row>
    <row r="167" ht="15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  <c r="AT167" s="72"/>
      <c r="AU167" s="72"/>
      <c r="AV167" s="72"/>
      <c r="AW167" s="72"/>
      <c r="AX167" s="72"/>
      <c r="AY167" s="72"/>
      <c r="AZ167" s="72"/>
      <c r="BA167" s="72"/>
      <c r="BB167" s="72"/>
      <c r="BC167" s="72"/>
      <c r="BD167" s="72"/>
      <c r="BE167" s="72"/>
      <c r="BF167" s="72"/>
      <c r="BG167" s="72"/>
      <c r="BH167" s="72"/>
      <c r="BI167" s="72"/>
      <c r="BJ167" s="72"/>
      <c r="BK167" s="72"/>
      <c r="BL167" s="72"/>
      <c r="BM167" s="72"/>
      <c r="BN167" s="72"/>
      <c r="BO167" s="72"/>
      <c r="BP167" s="72"/>
      <c r="BQ167" s="72"/>
      <c r="BR167" s="72"/>
      <c r="BS167" s="72"/>
      <c r="BT167" s="72"/>
      <c r="BU167" s="72"/>
      <c r="BV167" s="72"/>
      <c r="BW167" s="72"/>
      <c r="BX167" s="72"/>
      <c r="BY167" s="72"/>
      <c r="BZ167" s="72"/>
      <c r="CA167" s="72"/>
      <c r="CB167" s="72"/>
      <c r="CC167" s="72"/>
      <c r="CD167" s="72"/>
      <c r="CE167" s="72"/>
      <c r="CF167" s="72"/>
      <c r="CG167" s="72"/>
      <c r="CH167" s="72"/>
    </row>
    <row r="168" ht="15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  <c r="AT168" s="72"/>
      <c r="AU168" s="72"/>
      <c r="AV168" s="72"/>
      <c r="AW168" s="72"/>
      <c r="AX168" s="72"/>
      <c r="AY168" s="72"/>
      <c r="AZ168" s="72"/>
      <c r="BA168" s="72"/>
      <c r="BB168" s="72"/>
      <c r="BC168" s="72"/>
      <c r="BD168" s="72"/>
      <c r="BE168" s="72"/>
      <c r="BF168" s="72"/>
      <c r="BG168" s="72"/>
      <c r="BH168" s="72"/>
      <c r="BI168" s="72"/>
      <c r="BJ168" s="72"/>
      <c r="BK168" s="72"/>
      <c r="BL168" s="72"/>
      <c r="BM168" s="72"/>
      <c r="BN168" s="72"/>
      <c r="BO168" s="72"/>
      <c r="BP168" s="72"/>
      <c r="BQ168" s="72"/>
      <c r="BR168" s="72"/>
      <c r="BS168" s="72"/>
      <c r="BT168" s="72"/>
      <c r="BU168" s="72"/>
      <c r="BV168" s="72"/>
      <c r="BW168" s="72"/>
      <c r="BX168" s="72"/>
      <c r="BY168" s="72"/>
      <c r="BZ168" s="72"/>
      <c r="CA168" s="72"/>
      <c r="CB168" s="72"/>
      <c r="CC168" s="72"/>
      <c r="CD168" s="72"/>
      <c r="CE168" s="72"/>
      <c r="CF168" s="72"/>
      <c r="CG168" s="72"/>
      <c r="CH168" s="72"/>
    </row>
    <row r="169" ht="15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  <c r="AT169" s="72"/>
      <c r="AU169" s="72"/>
      <c r="AV169" s="72"/>
      <c r="AW169" s="72"/>
      <c r="AX169" s="72"/>
      <c r="AY169" s="72"/>
      <c r="AZ169" s="72"/>
      <c r="BA169" s="72"/>
      <c r="BB169" s="72"/>
      <c r="BC169" s="72"/>
      <c r="BD169" s="72"/>
      <c r="BE169" s="72"/>
      <c r="BF169" s="72"/>
      <c r="BG169" s="72"/>
      <c r="BH169" s="72"/>
      <c r="BI169" s="72"/>
      <c r="BJ169" s="72"/>
      <c r="BK169" s="72"/>
      <c r="BL169" s="72"/>
      <c r="BM169" s="72"/>
      <c r="BN169" s="72"/>
      <c r="BO169" s="72"/>
      <c r="BP169" s="72"/>
      <c r="BQ169" s="72"/>
      <c r="BR169" s="72"/>
      <c r="BS169" s="72"/>
      <c r="BT169" s="72"/>
      <c r="BU169" s="72"/>
      <c r="BV169" s="72"/>
      <c r="BW169" s="72"/>
      <c r="BX169" s="72"/>
      <c r="BY169" s="72"/>
      <c r="BZ169" s="72"/>
      <c r="CA169" s="72"/>
      <c r="CB169" s="72"/>
      <c r="CC169" s="72"/>
      <c r="CD169" s="72"/>
      <c r="CE169" s="72"/>
      <c r="CF169" s="72"/>
      <c r="CG169" s="72"/>
      <c r="CH169" s="72"/>
    </row>
    <row r="170" ht="15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  <c r="AT170" s="72"/>
      <c r="AU170" s="72"/>
      <c r="AV170" s="72"/>
      <c r="AW170" s="72"/>
      <c r="AX170" s="72"/>
      <c r="AY170" s="72"/>
      <c r="AZ170" s="72"/>
      <c r="BA170" s="72"/>
      <c r="BB170" s="72"/>
      <c r="BC170" s="72"/>
      <c r="BD170" s="72"/>
      <c r="BE170" s="72"/>
      <c r="BF170" s="72"/>
      <c r="BG170" s="72"/>
      <c r="BH170" s="72"/>
      <c r="BI170" s="72"/>
      <c r="BJ170" s="72"/>
      <c r="BK170" s="72"/>
      <c r="BL170" s="72"/>
      <c r="BM170" s="72"/>
      <c r="BN170" s="72"/>
      <c r="BO170" s="72"/>
      <c r="BP170" s="72"/>
      <c r="BQ170" s="72"/>
      <c r="BR170" s="72"/>
      <c r="BS170" s="72"/>
      <c r="BT170" s="72"/>
      <c r="BU170" s="72"/>
      <c r="BV170" s="72"/>
      <c r="BW170" s="72"/>
      <c r="BX170" s="72"/>
      <c r="BY170" s="72"/>
      <c r="BZ170" s="72"/>
      <c r="CA170" s="72"/>
      <c r="CB170" s="72"/>
      <c r="CC170" s="72"/>
      <c r="CD170" s="72"/>
      <c r="CE170" s="72"/>
      <c r="CF170" s="72"/>
      <c r="CG170" s="72"/>
      <c r="CH170" s="72"/>
    </row>
    <row r="171" ht="15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  <c r="AT171" s="72"/>
      <c r="AU171" s="72"/>
      <c r="AV171" s="72"/>
      <c r="AW171" s="72"/>
      <c r="AX171" s="72"/>
      <c r="AY171" s="72"/>
      <c r="AZ171" s="72"/>
      <c r="BA171" s="72"/>
      <c r="BB171" s="72"/>
      <c r="BC171" s="72"/>
      <c r="BD171" s="72"/>
      <c r="BE171" s="72"/>
      <c r="BF171" s="72"/>
      <c r="BG171" s="72"/>
      <c r="BH171" s="72"/>
      <c r="BI171" s="72"/>
      <c r="BJ171" s="72"/>
      <c r="BK171" s="72"/>
      <c r="BL171" s="72"/>
      <c r="BM171" s="72"/>
      <c r="BN171" s="72"/>
      <c r="BO171" s="72"/>
      <c r="BP171" s="72"/>
      <c r="BQ171" s="72"/>
      <c r="BR171" s="72"/>
      <c r="BS171" s="72"/>
      <c r="BT171" s="72"/>
      <c r="BU171" s="72"/>
      <c r="BV171" s="72"/>
      <c r="BW171" s="72"/>
      <c r="BX171" s="72"/>
      <c r="BY171" s="72"/>
      <c r="BZ171" s="72"/>
      <c r="CA171" s="72"/>
      <c r="CB171" s="72"/>
      <c r="CC171" s="72"/>
      <c r="CD171" s="72"/>
      <c r="CE171" s="72"/>
      <c r="CF171" s="72"/>
      <c r="CG171" s="72"/>
      <c r="CH171" s="72"/>
    </row>
    <row r="172" ht="15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  <c r="AT172" s="72"/>
      <c r="AU172" s="72"/>
      <c r="AV172" s="72"/>
      <c r="AW172" s="72"/>
      <c r="AX172" s="72"/>
      <c r="AY172" s="72"/>
      <c r="AZ172" s="72"/>
      <c r="BA172" s="72"/>
      <c r="BB172" s="72"/>
      <c r="BC172" s="72"/>
      <c r="BD172" s="72"/>
      <c r="BE172" s="72"/>
      <c r="BF172" s="72"/>
      <c r="BG172" s="72"/>
      <c r="BH172" s="72"/>
      <c r="BI172" s="72"/>
      <c r="BJ172" s="72"/>
      <c r="BK172" s="72"/>
      <c r="BL172" s="72"/>
      <c r="BM172" s="72"/>
      <c r="BN172" s="72"/>
      <c r="BO172" s="72"/>
      <c r="BP172" s="72"/>
      <c r="BQ172" s="72"/>
      <c r="BR172" s="72"/>
      <c r="BS172" s="72"/>
      <c r="BT172" s="72"/>
      <c r="BU172" s="72"/>
      <c r="BV172" s="72"/>
      <c r="BW172" s="72"/>
      <c r="BX172" s="72"/>
      <c r="BY172" s="72"/>
      <c r="BZ172" s="72"/>
      <c r="CA172" s="72"/>
      <c r="CB172" s="72"/>
      <c r="CC172" s="72"/>
      <c r="CD172" s="72"/>
      <c r="CE172" s="72"/>
      <c r="CF172" s="72"/>
      <c r="CG172" s="72"/>
      <c r="CH172" s="72"/>
    </row>
    <row r="173" ht="15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  <c r="AT173" s="72"/>
      <c r="AU173" s="72"/>
      <c r="AV173" s="72"/>
      <c r="AW173" s="72"/>
      <c r="AX173" s="72"/>
      <c r="AY173" s="72"/>
      <c r="AZ173" s="72"/>
      <c r="BA173" s="72"/>
      <c r="BB173" s="72"/>
      <c r="BC173" s="72"/>
      <c r="BD173" s="72"/>
      <c r="BE173" s="72"/>
      <c r="BF173" s="72"/>
      <c r="BG173" s="72"/>
      <c r="BH173" s="72"/>
      <c r="BI173" s="72"/>
      <c r="BJ173" s="72"/>
      <c r="BK173" s="72"/>
      <c r="BL173" s="72"/>
      <c r="BM173" s="72"/>
      <c r="BN173" s="72"/>
      <c r="BO173" s="72"/>
      <c r="BP173" s="72"/>
      <c r="BQ173" s="72"/>
      <c r="BR173" s="72"/>
      <c r="BS173" s="72"/>
      <c r="BT173" s="72"/>
      <c r="BU173" s="72"/>
      <c r="BV173" s="72"/>
      <c r="BW173" s="72"/>
      <c r="BX173" s="72"/>
      <c r="BY173" s="72"/>
      <c r="BZ173" s="72"/>
      <c r="CA173" s="72"/>
      <c r="CB173" s="72"/>
      <c r="CC173" s="72"/>
      <c r="CD173" s="72"/>
      <c r="CE173" s="72"/>
      <c r="CF173" s="72"/>
      <c r="CG173" s="72"/>
      <c r="CH173" s="72"/>
    </row>
    <row r="174" ht="15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  <c r="AT174" s="72"/>
      <c r="AU174" s="72"/>
      <c r="AV174" s="72"/>
      <c r="AW174" s="72"/>
      <c r="AX174" s="72"/>
      <c r="AY174" s="72"/>
      <c r="AZ174" s="72"/>
      <c r="BA174" s="72"/>
      <c r="BB174" s="72"/>
      <c r="BC174" s="72"/>
      <c r="BD174" s="72"/>
      <c r="BE174" s="72"/>
      <c r="BF174" s="72"/>
      <c r="BG174" s="72"/>
      <c r="BH174" s="72"/>
      <c r="BI174" s="72"/>
      <c r="BJ174" s="72"/>
      <c r="BK174" s="72"/>
      <c r="BL174" s="72"/>
      <c r="BM174" s="72"/>
      <c r="BN174" s="72"/>
      <c r="BO174" s="72"/>
      <c r="BP174" s="72"/>
      <c r="BQ174" s="72"/>
      <c r="BR174" s="72"/>
      <c r="BS174" s="72"/>
      <c r="BT174" s="72"/>
      <c r="BU174" s="72"/>
      <c r="BV174" s="72"/>
      <c r="BW174" s="72"/>
      <c r="BX174" s="72"/>
      <c r="BY174" s="72"/>
      <c r="BZ174" s="72"/>
      <c r="CA174" s="72"/>
      <c r="CB174" s="72"/>
      <c r="CC174" s="72"/>
      <c r="CD174" s="72"/>
      <c r="CE174" s="72"/>
      <c r="CF174" s="72"/>
      <c r="CG174" s="72"/>
      <c r="CH174" s="72"/>
    </row>
    <row r="175" ht="15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  <c r="AT175" s="72"/>
      <c r="AU175" s="72"/>
      <c r="AV175" s="72"/>
      <c r="AW175" s="72"/>
      <c r="AX175" s="72"/>
      <c r="AY175" s="72"/>
      <c r="AZ175" s="72"/>
      <c r="BA175" s="72"/>
      <c r="BB175" s="72"/>
      <c r="BC175" s="72"/>
      <c r="BD175" s="72"/>
      <c r="BE175" s="72"/>
      <c r="BF175" s="72"/>
      <c r="BG175" s="72"/>
      <c r="BH175" s="72"/>
      <c r="BI175" s="72"/>
      <c r="BJ175" s="72"/>
      <c r="BK175" s="72"/>
      <c r="BL175" s="72"/>
      <c r="BM175" s="72"/>
      <c r="BN175" s="72"/>
      <c r="BO175" s="72"/>
      <c r="BP175" s="72"/>
      <c r="BQ175" s="72"/>
      <c r="BR175" s="72"/>
      <c r="BS175" s="72"/>
      <c r="BT175" s="72"/>
      <c r="BU175" s="72"/>
      <c r="BV175" s="72"/>
      <c r="BW175" s="72"/>
      <c r="BX175" s="72"/>
      <c r="BY175" s="72"/>
      <c r="BZ175" s="72"/>
      <c r="CA175" s="72"/>
      <c r="CB175" s="72"/>
      <c r="CC175" s="72"/>
      <c r="CD175" s="72"/>
      <c r="CE175" s="72"/>
      <c r="CF175" s="72"/>
      <c r="CG175" s="72"/>
      <c r="CH175" s="72"/>
    </row>
    <row r="176" ht="15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/>
      <c r="BM176" s="72"/>
      <c r="BN176" s="72"/>
      <c r="BO176" s="72"/>
      <c r="BP176" s="72"/>
      <c r="BQ176" s="72"/>
      <c r="BR176" s="72"/>
      <c r="BS176" s="72"/>
      <c r="BT176" s="72"/>
      <c r="BU176" s="72"/>
      <c r="BV176" s="72"/>
      <c r="BW176" s="72"/>
      <c r="BX176" s="72"/>
      <c r="BY176" s="72"/>
      <c r="BZ176" s="72"/>
      <c r="CA176" s="72"/>
      <c r="CB176" s="72"/>
      <c r="CC176" s="72"/>
      <c r="CD176" s="72"/>
      <c r="CE176" s="72"/>
      <c r="CF176" s="72"/>
      <c r="CG176" s="72"/>
      <c r="CH176" s="72"/>
    </row>
    <row r="177" ht="15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  <c r="BM177" s="72"/>
      <c r="BN177" s="72"/>
      <c r="BO177" s="72"/>
      <c r="BP177" s="72"/>
      <c r="BQ177" s="72"/>
      <c r="BR177" s="72"/>
      <c r="BS177" s="72"/>
      <c r="BT177" s="72"/>
      <c r="BU177" s="72"/>
      <c r="BV177" s="72"/>
      <c r="BW177" s="72"/>
      <c r="BX177" s="72"/>
      <c r="BY177" s="72"/>
      <c r="BZ177" s="72"/>
      <c r="CA177" s="72"/>
      <c r="CB177" s="72"/>
      <c r="CC177" s="72"/>
      <c r="CD177" s="72"/>
      <c r="CE177" s="72"/>
      <c r="CF177" s="72"/>
      <c r="CG177" s="72"/>
      <c r="CH177" s="72"/>
    </row>
    <row r="178" ht="15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/>
      <c r="BM178" s="72"/>
      <c r="BN178" s="72"/>
      <c r="BO178" s="72"/>
      <c r="BP178" s="72"/>
      <c r="BQ178" s="72"/>
      <c r="BR178" s="72"/>
      <c r="BS178" s="72"/>
      <c r="BT178" s="72"/>
      <c r="BU178" s="72"/>
      <c r="BV178" s="72"/>
      <c r="BW178" s="72"/>
      <c r="BX178" s="72"/>
      <c r="BY178" s="72"/>
      <c r="BZ178" s="72"/>
      <c r="CA178" s="72"/>
      <c r="CB178" s="72"/>
      <c r="CC178" s="72"/>
      <c r="CD178" s="72"/>
      <c r="CE178" s="72"/>
      <c r="CF178" s="72"/>
      <c r="CG178" s="72"/>
      <c r="CH178" s="72"/>
    </row>
    <row r="179" ht="15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  <c r="BM179" s="72"/>
      <c r="BN179" s="72"/>
      <c r="BO179" s="72"/>
      <c r="BP179" s="72"/>
      <c r="BQ179" s="72"/>
      <c r="BR179" s="72"/>
      <c r="BS179" s="72"/>
      <c r="BT179" s="72"/>
      <c r="BU179" s="72"/>
      <c r="BV179" s="72"/>
      <c r="BW179" s="72"/>
      <c r="BX179" s="72"/>
      <c r="BY179" s="72"/>
      <c r="BZ179" s="72"/>
      <c r="CA179" s="72"/>
      <c r="CB179" s="72"/>
      <c r="CC179" s="72"/>
      <c r="CD179" s="72"/>
      <c r="CE179" s="72"/>
      <c r="CF179" s="72"/>
      <c r="CG179" s="72"/>
      <c r="CH179" s="72"/>
    </row>
    <row r="180" ht="15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  <c r="AT180" s="72"/>
      <c r="AU180" s="72"/>
      <c r="AV180" s="72"/>
      <c r="AW180" s="72"/>
      <c r="AX180" s="72"/>
      <c r="AY180" s="72"/>
      <c r="AZ180" s="72"/>
      <c r="BA180" s="72"/>
      <c r="BB180" s="72"/>
      <c r="BC180" s="72"/>
      <c r="BD180" s="72"/>
      <c r="BE180" s="72"/>
      <c r="BF180" s="72"/>
      <c r="BG180" s="72"/>
      <c r="BH180" s="72"/>
      <c r="BI180" s="72"/>
      <c r="BJ180" s="72"/>
      <c r="BK180" s="72"/>
      <c r="BL180" s="72"/>
      <c r="BM180" s="72"/>
      <c r="BN180" s="72"/>
      <c r="BO180" s="72"/>
      <c r="BP180" s="72"/>
      <c r="BQ180" s="72"/>
      <c r="BR180" s="72"/>
      <c r="BS180" s="72"/>
      <c r="BT180" s="72"/>
      <c r="BU180" s="72"/>
      <c r="BV180" s="72"/>
      <c r="BW180" s="72"/>
      <c r="BX180" s="72"/>
      <c r="BY180" s="72"/>
      <c r="BZ180" s="72"/>
      <c r="CA180" s="72"/>
      <c r="CB180" s="72"/>
      <c r="CC180" s="72"/>
      <c r="CD180" s="72"/>
      <c r="CE180" s="72"/>
      <c r="CF180" s="72"/>
      <c r="CG180" s="72"/>
      <c r="CH180" s="72"/>
    </row>
    <row r="181" ht="15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/>
      <c r="BM181" s="72"/>
      <c r="BN181" s="72"/>
      <c r="BO181" s="72"/>
      <c r="BP181" s="72"/>
      <c r="BQ181" s="72"/>
      <c r="BR181" s="72"/>
      <c r="BS181" s="72"/>
      <c r="BT181" s="72"/>
      <c r="BU181" s="72"/>
      <c r="BV181" s="72"/>
      <c r="BW181" s="72"/>
      <c r="BX181" s="72"/>
      <c r="BY181" s="72"/>
      <c r="BZ181" s="72"/>
      <c r="CA181" s="72"/>
      <c r="CB181" s="72"/>
      <c r="CC181" s="72"/>
      <c r="CD181" s="72"/>
      <c r="CE181" s="72"/>
      <c r="CF181" s="72"/>
      <c r="CG181" s="72"/>
      <c r="CH181" s="72"/>
    </row>
    <row r="182" ht="15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/>
      <c r="BM182" s="72"/>
      <c r="BN182" s="72"/>
      <c r="BO182" s="72"/>
      <c r="BP182" s="72"/>
      <c r="BQ182" s="72"/>
      <c r="BR182" s="72"/>
      <c r="BS182" s="72"/>
      <c r="BT182" s="72"/>
      <c r="BU182" s="72"/>
      <c r="BV182" s="72"/>
      <c r="BW182" s="72"/>
      <c r="BX182" s="72"/>
      <c r="BY182" s="72"/>
      <c r="BZ182" s="72"/>
      <c r="CA182" s="72"/>
      <c r="CB182" s="72"/>
      <c r="CC182" s="72"/>
      <c r="CD182" s="72"/>
      <c r="CE182" s="72"/>
      <c r="CF182" s="72"/>
      <c r="CG182" s="72"/>
      <c r="CH182" s="72"/>
    </row>
    <row r="183" ht="15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  <c r="BM183" s="72"/>
      <c r="BN183" s="72"/>
      <c r="BO183" s="72"/>
      <c r="BP183" s="72"/>
      <c r="BQ183" s="72"/>
      <c r="BR183" s="72"/>
      <c r="BS183" s="72"/>
      <c r="BT183" s="72"/>
      <c r="BU183" s="72"/>
      <c r="BV183" s="72"/>
      <c r="BW183" s="72"/>
      <c r="BX183" s="72"/>
      <c r="BY183" s="72"/>
      <c r="BZ183" s="72"/>
      <c r="CA183" s="72"/>
      <c r="CB183" s="72"/>
      <c r="CC183" s="72"/>
      <c r="CD183" s="72"/>
      <c r="CE183" s="72"/>
      <c r="CF183" s="72"/>
      <c r="CG183" s="72"/>
      <c r="CH183" s="72"/>
    </row>
    <row r="184" ht="15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/>
      <c r="BM184" s="72"/>
      <c r="BN184" s="72"/>
      <c r="BO184" s="72"/>
      <c r="BP184" s="72"/>
      <c r="BQ184" s="72"/>
      <c r="BR184" s="72"/>
      <c r="BS184" s="72"/>
      <c r="BT184" s="72"/>
      <c r="BU184" s="72"/>
      <c r="BV184" s="72"/>
      <c r="BW184" s="72"/>
      <c r="BX184" s="72"/>
      <c r="BY184" s="72"/>
      <c r="BZ184" s="72"/>
      <c r="CA184" s="72"/>
      <c r="CB184" s="72"/>
      <c r="CC184" s="72"/>
      <c r="CD184" s="72"/>
      <c r="CE184" s="72"/>
      <c r="CF184" s="72"/>
      <c r="CG184" s="72"/>
      <c r="CH184" s="72"/>
    </row>
    <row r="185" ht="15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  <c r="AT185" s="72"/>
      <c r="AU185" s="72"/>
      <c r="AV185" s="72"/>
      <c r="AW185" s="72"/>
      <c r="AX185" s="72"/>
      <c r="AY185" s="72"/>
      <c r="AZ185" s="72"/>
      <c r="BA185" s="72"/>
      <c r="BB185" s="72"/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  <c r="BM185" s="72"/>
      <c r="BN185" s="72"/>
      <c r="BO185" s="72"/>
      <c r="BP185" s="72"/>
      <c r="BQ185" s="72"/>
      <c r="BR185" s="72"/>
      <c r="BS185" s="72"/>
      <c r="BT185" s="72"/>
      <c r="BU185" s="72"/>
      <c r="BV185" s="72"/>
      <c r="BW185" s="72"/>
      <c r="BX185" s="72"/>
      <c r="BY185" s="72"/>
      <c r="BZ185" s="72"/>
      <c r="CA185" s="72"/>
      <c r="CB185" s="72"/>
      <c r="CC185" s="72"/>
      <c r="CD185" s="72"/>
      <c r="CE185" s="72"/>
      <c r="CF185" s="72"/>
      <c r="CG185" s="72"/>
      <c r="CH185" s="72"/>
    </row>
    <row r="186" ht="15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  <c r="AT186" s="72"/>
      <c r="AU186" s="72"/>
      <c r="AV186" s="72"/>
      <c r="AW186" s="72"/>
      <c r="AX186" s="72"/>
      <c r="AY186" s="72"/>
      <c r="AZ186" s="72"/>
      <c r="BA186" s="72"/>
      <c r="BB186" s="72"/>
      <c r="BC186" s="72"/>
      <c r="BD186" s="72"/>
      <c r="BE186" s="72"/>
      <c r="BF186" s="72"/>
      <c r="BG186" s="72"/>
      <c r="BH186" s="72"/>
      <c r="BI186" s="72"/>
      <c r="BJ186" s="72"/>
      <c r="BK186" s="72"/>
      <c r="BL186" s="72"/>
      <c r="BM186" s="72"/>
      <c r="BN186" s="72"/>
      <c r="BO186" s="72"/>
      <c r="BP186" s="72"/>
      <c r="BQ186" s="72"/>
      <c r="BR186" s="72"/>
      <c r="BS186" s="72"/>
      <c r="BT186" s="72"/>
      <c r="BU186" s="72"/>
      <c r="BV186" s="72"/>
      <c r="BW186" s="72"/>
      <c r="BX186" s="72"/>
      <c r="BY186" s="72"/>
      <c r="BZ186" s="72"/>
      <c r="CA186" s="72"/>
      <c r="CB186" s="72"/>
      <c r="CC186" s="72"/>
      <c r="CD186" s="72"/>
      <c r="CE186" s="72"/>
      <c r="CF186" s="72"/>
      <c r="CG186" s="72"/>
      <c r="CH186" s="72"/>
    </row>
    <row r="187" ht="15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  <c r="AT187" s="72"/>
      <c r="AU187" s="72"/>
      <c r="AV187" s="72"/>
      <c r="AW187" s="72"/>
      <c r="AX187" s="72"/>
      <c r="AY187" s="72"/>
      <c r="AZ187" s="72"/>
      <c r="BA187" s="72"/>
      <c r="BB187" s="72"/>
      <c r="BC187" s="72"/>
      <c r="BD187" s="72"/>
      <c r="BE187" s="72"/>
      <c r="BF187" s="72"/>
      <c r="BG187" s="72"/>
      <c r="BH187" s="72"/>
      <c r="BI187" s="72"/>
      <c r="BJ187" s="72"/>
      <c r="BK187" s="72"/>
      <c r="BL187" s="72"/>
      <c r="BM187" s="72"/>
      <c r="BN187" s="72"/>
      <c r="BO187" s="72"/>
      <c r="BP187" s="72"/>
      <c r="BQ187" s="72"/>
      <c r="BR187" s="72"/>
      <c r="BS187" s="72"/>
      <c r="BT187" s="72"/>
      <c r="BU187" s="72"/>
      <c r="BV187" s="72"/>
      <c r="BW187" s="72"/>
      <c r="BX187" s="72"/>
      <c r="BY187" s="72"/>
      <c r="BZ187" s="72"/>
      <c r="CA187" s="72"/>
      <c r="CB187" s="72"/>
      <c r="CC187" s="72"/>
      <c r="CD187" s="72"/>
      <c r="CE187" s="72"/>
      <c r="CF187" s="72"/>
      <c r="CG187" s="72"/>
      <c r="CH187" s="72"/>
    </row>
    <row r="188" ht="15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  <c r="AT188" s="72"/>
      <c r="AU188" s="72"/>
      <c r="AV188" s="72"/>
      <c r="AW188" s="72"/>
      <c r="AX188" s="72"/>
      <c r="AY188" s="72"/>
      <c r="AZ188" s="72"/>
      <c r="BA188" s="72"/>
      <c r="BB188" s="72"/>
      <c r="BC188" s="72"/>
      <c r="BD188" s="72"/>
      <c r="BE188" s="72"/>
      <c r="BF188" s="72"/>
      <c r="BG188" s="72"/>
      <c r="BH188" s="72"/>
      <c r="BI188" s="72"/>
      <c r="BJ188" s="72"/>
      <c r="BK188" s="72"/>
      <c r="BL188" s="72"/>
      <c r="BM188" s="72"/>
      <c r="BN188" s="72"/>
      <c r="BO188" s="72"/>
      <c r="BP188" s="72"/>
      <c r="BQ188" s="72"/>
      <c r="BR188" s="72"/>
      <c r="BS188" s="72"/>
      <c r="BT188" s="72"/>
      <c r="BU188" s="72"/>
      <c r="BV188" s="72"/>
      <c r="BW188" s="72"/>
      <c r="BX188" s="72"/>
      <c r="BY188" s="72"/>
      <c r="BZ188" s="72"/>
      <c r="CA188" s="72"/>
      <c r="CB188" s="72"/>
      <c r="CC188" s="72"/>
      <c r="CD188" s="72"/>
      <c r="CE188" s="72"/>
      <c r="CF188" s="72"/>
      <c r="CG188" s="72"/>
      <c r="CH188" s="72"/>
    </row>
    <row r="189" ht="15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  <c r="AT189" s="72"/>
      <c r="AU189" s="72"/>
      <c r="AV189" s="72"/>
      <c r="AW189" s="72"/>
      <c r="AX189" s="72"/>
      <c r="AY189" s="72"/>
      <c r="AZ189" s="72"/>
      <c r="BA189" s="72"/>
      <c r="BB189" s="72"/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  <c r="BM189" s="72"/>
      <c r="BN189" s="72"/>
      <c r="BO189" s="72"/>
      <c r="BP189" s="72"/>
      <c r="BQ189" s="72"/>
      <c r="BR189" s="72"/>
      <c r="BS189" s="72"/>
      <c r="BT189" s="72"/>
      <c r="BU189" s="72"/>
      <c r="BV189" s="72"/>
      <c r="BW189" s="72"/>
      <c r="BX189" s="72"/>
      <c r="BY189" s="72"/>
      <c r="BZ189" s="72"/>
      <c r="CA189" s="72"/>
      <c r="CB189" s="72"/>
      <c r="CC189" s="72"/>
      <c r="CD189" s="72"/>
      <c r="CE189" s="72"/>
      <c r="CF189" s="72"/>
      <c r="CG189" s="72"/>
      <c r="CH189" s="72"/>
    </row>
    <row r="190" ht="15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  <c r="AT190" s="72"/>
      <c r="AU190" s="72"/>
      <c r="AV190" s="72"/>
      <c r="AW190" s="72"/>
      <c r="AX190" s="72"/>
      <c r="AY190" s="72"/>
      <c r="AZ190" s="72"/>
      <c r="BA190" s="72"/>
      <c r="BB190" s="72"/>
      <c r="BC190" s="72"/>
      <c r="BD190" s="72"/>
      <c r="BE190" s="72"/>
      <c r="BF190" s="72"/>
      <c r="BG190" s="72"/>
      <c r="BH190" s="72"/>
      <c r="BI190" s="72"/>
      <c r="BJ190" s="72"/>
      <c r="BK190" s="72"/>
      <c r="BL190" s="72"/>
      <c r="BM190" s="72"/>
      <c r="BN190" s="72"/>
      <c r="BO190" s="72"/>
      <c r="BP190" s="72"/>
      <c r="BQ190" s="72"/>
      <c r="BR190" s="72"/>
      <c r="BS190" s="72"/>
      <c r="BT190" s="72"/>
      <c r="BU190" s="72"/>
      <c r="BV190" s="72"/>
      <c r="BW190" s="72"/>
      <c r="BX190" s="72"/>
      <c r="BY190" s="72"/>
      <c r="BZ190" s="72"/>
      <c r="CA190" s="72"/>
      <c r="CB190" s="72"/>
      <c r="CC190" s="72"/>
      <c r="CD190" s="72"/>
      <c r="CE190" s="72"/>
      <c r="CF190" s="72"/>
      <c r="CG190" s="72"/>
      <c r="CH190" s="72"/>
    </row>
    <row r="191" ht="15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/>
      <c r="BM191" s="72"/>
      <c r="BN191" s="72"/>
      <c r="BO191" s="72"/>
      <c r="BP191" s="72"/>
      <c r="BQ191" s="72"/>
      <c r="BR191" s="72"/>
      <c r="BS191" s="72"/>
      <c r="BT191" s="72"/>
      <c r="BU191" s="72"/>
      <c r="BV191" s="72"/>
      <c r="BW191" s="72"/>
      <c r="BX191" s="72"/>
      <c r="BY191" s="72"/>
      <c r="BZ191" s="72"/>
      <c r="CA191" s="72"/>
      <c r="CB191" s="72"/>
      <c r="CC191" s="72"/>
      <c r="CD191" s="72"/>
      <c r="CE191" s="72"/>
      <c r="CF191" s="72"/>
      <c r="CG191" s="72"/>
      <c r="CH191" s="72"/>
    </row>
    <row r="192" ht="15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  <c r="AT192" s="72"/>
      <c r="AU192" s="72"/>
      <c r="AV192" s="72"/>
      <c r="AW192" s="72"/>
      <c r="AX192" s="72"/>
      <c r="AY192" s="72"/>
      <c r="AZ192" s="72"/>
      <c r="BA192" s="72"/>
      <c r="BB192" s="72"/>
      <c r="BC192" s="72"/>
      <c r="BD192" s="72"/>
      <c r="BE192" s="72"/>
      <c r="BF192" s="72"/>
      <c r="BG192" s="72"/>
      <c r="BH192" s="72"/>
      <c r="BI192" s="72"/>
      <c r="BJ192" s="72"/>
      <c r="BK192" s="72"/>
      <c r="BL192" s="72"/>
      <c r="BM192" s="72"/>
      <c r="BN192" s="72"/>
      <c r="BO192" s="72"/>
      <c r="BP192" s="72"/>
      <c r="BQ192" s="72"/>
      <c r="BR192" s="72"/>
      <c r="BS192" s="72"/>
      <c r="BT192" s="72"/>
      <c r="BU192" s="72"/>
      <c r="BV192" s="72"/>
      <c r="BW192" s="72"/>
      <c r="BX192" s="72"/>
      <c r="BY192" s="72"/>
      <c r="BZ192" s="72"/>
      <c r="CA192" s="72"/>
      <c r="CB192" s="72"/>
      <c r="CC192" s="72"/>
      <c r="CD192" s="72"/>
      <c r="CE192" s="72"/>
      <c r="CF192" s="72"/>
      <c r="CG192" s="72"/>
      <c r="CH192" s="72"/>
    </row>
    <row r="193" ht="15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  <c r="AT193" s="72"/>
      <c r="AU193" s="72"/>
      <c r="AV193" s="72"/>
      <c r="AW193" s="72"/>
      <c r="AX193" s="72"/>
      <c r="AY193" s="72"/>
      <c r="AZ193" s="72"/>
      <c r="BA193" s="72"/>
      <c r="BB193" s="72"/>
      <c r="BC193" s="72"/>
      <c r="BD193" s="72"/>
      <c r="BE193" s="72"/>
      <c r="BF193" s="72"/>
      <c r="BG193" s="72"/>
      <c r="BH193" s="72"/>
      <c r="BI193" s="72"/>
      <c r="BJ193" s="72"/>
      <c r="BK193" s="72"/>
      <c r="BL193" s="72"/>
      <c r="BM193" s="72"/>
      <c r="BN193" s="72"/>
      <c r="BO193" s="72"/>
      <c r="BP193" s="72"/>
      <c r="BQ193" s="72"/>
      <c r="BR193" s="72"/>
      <c r="BS193" s="72"/>
      <c r="BT193" s="72"/>
      <c r="BU193" s="72"/>
      <c r="BV193" s="72"/>
      <c r="BW193" s="72"/>
      <c r="BX193" s="72"/>
      <c r="BY193" s="72"/>
      <c r="BZ193" s="72"/>
      <c r="CA193" s="72"/>
      <c r="CB193" s="72"/>
      <c r="CC193" s="72"/>
      <c r="CD193" s="72"/>
      <c r="CE193" s="72"/>
      <c r="CF193" s="72"/>
      <c r="CG193" s="72"/>
      <c r="CH193" s="72"/>
    </row>
    <row r="194" ht="15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  <c r="AT194" s="72"/>
      <c r="AU194" s="72"/>
      <c r="AV194" s="72"/>
      <c r="AW194" s="72"/>
      <c r="AX194" s="72"/>
      <c r="AY194" s="72"/>
      <c r="AZ194" s="72"/>
      <c r="BA194" s="72"/>
      <c r="BB194" s="72"/>
      <c r="BC194" s="72"/>
      <c r="BD194" s="72"/>
      <c r="BE194" s="72"/>
      <c r="BF194" s="72"/>
      <c r="BG194" s="72"/>
      <c r="BH194" s="72"/>
      <c r="BI194" s="72"/>
      <c r="BJ194" s="72"/>
      <c r="BK194" s="72"/>
      <c r="BL194" s="72"/>
      <c r="BM194" s="72"/>
      <c r="BN194" s="72"/>
      <c r="BO194" s="72"/>
      <c r="BP194" s="72"/>
      <c r="BQ194" s="72"/>
      <c r="BR194" s="72"/>
      <c r="BS194" s="72"/>
      <c r="BT194" s="72"/>
      <c r="BU194" s="72"/>
      <c r="BV194" s="72"/>
      <c r="BW194" s="72"/>
      <c r="BX194" s="72"/>
      <c r="BY194" s="72"/>
      <c r="BZ194" s="72"/>
      <c r="CA194" s="72"/>
      <c r="CB194" s="72"/>
      <c r="CC194" s="72"/>
      <c r="CD194" s="72"/>
      <c r="CE194" s="72"/>
      <c r="CF194" s="72"/>
      <c r="CG194" s="72"/>
      <c r="CH194" s="72"/>
    </row>
    <row r="195" ht="15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  <c r="AT195" s="72"/>
      <c r="AU195" s="72"/>
      <c r="AV195" s="72"/>
      <c r="AW195" s="72"/>
      <c r="AX195" s="72"/>
      <c r="AY195" s="72"/>
      <c r="AZ195" s="72"/>
      <c r="BA195" s="72"/>
      <c r="BB195" s="72"/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  <c r="BM195" s="72"/>
      <c r="BN195" s="72"/>
      <c r="BO195" s="72"/>
      <c r="BP195" s="72"/>
      <c r="BQ195" s="72"/>
      <c r="BR195" s="72"/>
      <c r="BS195" s="72"/>
      <c r="BT195" s="72"/>
      <c r="BU195" s="72"/>
      <c r="BV195" s="72"/>
      <c r="BW195" s="72"/>
      <c r="BX195" s="72"/>
      <c r="BY195" s="72"/>
      <c r="BZ195" s="72"/>
      <c r="CA195" s="72"/>
      <c r="CB195" s="72"/>
      <c r="CC195" s="72"/>
      <c r="CD195" s="72"/>
      <c r="CE195" s="72"/>
      <c r="CF195" s="72"/>
      <c r="CG195" s="72"/>
      <c r="CH195" s="72"/>
    </row>
    <row r="196" ht="15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/>
      <c r="BN196" s="72"/>
      <c r="BO196" s="72"/>
      <c r="BP196" s="72"/>
      <c r="BQ196" s="72"/>
      <c r="BR196" s="72"/>
      <c r="BS196" s="72"/>
      <c r="BT196" s="72"/>
      <c r="BU196" s="72"/>
      <c r="BV196" s="72"/>
      <c r="BW196" s="72"/>
      <c r="BX196" s="72"/>
      <c r="BY196" s="72"/>
      <c r="BZ196" s="72"/>
      <c r="CA196" s="72"/>
      <c r="CB196" s="72"/>
      <c r="CC196" s="72"/>
      <c r="CD196" s="72"/>
      <c r="CE196" s="72"/>
      <c r="CF196" s="72"/>
      <c r="CG196" s="72"/>
      <c r="CH196" s="72"/>
    </row>
    <row r="197" ht="15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/>
      <c r="AR197" s="72"/>
      <c r="AS197" s="72"/>
      <c r="AT197" s="72"/>
      <c r="AU197" s="72"/>
      <c r="AV197" s="72"/>
      <c r="AW197" s="72"/>
      <c r="AX197" s="72"/>
      <c r="AY197" s="72"/>
      <c r="AZ197" s="72"/>
      <c r="BA197" s="72"/>
      <c r="BB197" s="72"/>
      <c r="BC197" s="72"/>
      <c r="BD197" s="72"/>
      <c r="BE197" s="72"/>
      <c r="BF197" s="72"/>
      <c r="BG197" s="72"/>
      <c r="BH197" s="72"/>
      <c r="BI197" s="72"/>
      <c r="BJ197" s="72"/>
      <c r="BK197" s="72"/>
      <c r="BL197" s="72"/>
      <c r="BM197" s="72"/>
      <c r="BN197" s="72"/>
      <c r="BO197" s="72"/>
      <c r="BP197" s="72"/>
      <c r="BQ197" s="72"/>
      <c r="BR197" s="72"/>
      <c r="BS197" s="72"/>
      <c r="BT197" s="72"/>
      <c r="BU197" s="72"/>
      <c r="BV197" s="72"/>
      <c r="BW197" s="72"/>
      <c r="BX197" s="72"/>
      <c r="BY197" s="72"/>
      <c r="BZ197" s="72"/>
      <c r="CA197" s="72"/>
      <c r="CB197" s="72"/>
      <c r="CC197" s="72"/>
      <c r="CD197" s="72"/>
      <c r="CE197" s="72"/>
      <c r="CF197" s="72"/>
      <c r="CG197" s="72"/>
      <c r="CH197" s="72"/>
    </row>
    <row r="198" ht="15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  <c r="AQ198" s="72"/>
      <c r="AR198" s="72"/>
      <c r="AS198" s="72"/>
      <c r="AT198" s="72"/>
      <c r="AU198" s="72"/>
      <c r="AV198" s="72"/>
      <c r="AW198" s="72"/>
      <c r="AX198" s="72"/>
      <c r="AY198" s="72"/>
      <c r="AZ198" s="72"/>
      <c r="BA198" s="72"/>
      <c r="BB198" s="72"/>
      <c r="BC198" s="72"/>
      <c r="BD198" s="72"/>
      <c r="BE198" s="72"/>
      <c r="BF198" s="72"/>
      <c r="BG198" s="72"/>
      <c r="BH198" s="72"/>
      <c r="BI198" s="72"/>
      <c r="BJ198" s="72"/>
      <c r="BK198" s="72"/>
      <c r="BL198" s="72"/>
      <c r="BM198" s="72"/>
      <c r="BN198" s="72"/>
      <c r="BO198" s="72"/>
      <c r="BP198" s="72"/>
      <c r="BQ198" s="72"/>
      <c r="BR198" s="72"/>
      <c r="BS198" s="72"/>
      <c r="BT198" s="72"/>
      <c r="BU198" s="72"/>
      <c r="BV198" s="72"/>
      <c r="BW198" s="72"/>
      <c r="BX198" s="72"/>
      <c r="BY198" s="72"/>
      <c r="BZ198" s="72"/>
      <c r="CA198" s="72"/>
      <c r="CB198" s="72"/>
      <c r="CC198" s="72"/>
      <c r="CD198" s="72"/>
      <c r="CE198" s="72"/>
      <c r="CF198" s="72"/>
      <c r="CG198" s="72"/>
      <c r="CH198" s="72"/>
    </row>
    <row r="199" ht="15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  <c r="AQ199" s="72"/>
      <c r="AR199" s="72"/>
      <c r="AS199" s="72"/>
      <c r="AT199" s="72"/>
      <c r="AU199" s="72"/>
      <c r="AV199" s="72"/>
      <c r="AW199" s="72"/>
      <c r="AX199" s="72"/>
      <c r="AY199" s="72"/>
      <c r="AZ199" s="72"/>
      <c r="BA199" s="72"/>
      <c r="BB199" s="72"/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  <c r="BM199" s="72"/>
      <c r="BN199" s="72"/>
      <c r="BO199" s="72"/>
      <c r="BP199" s="72"/>
      <c r="BQ199" s="72"/>
      <c r="BR199" s="72"/>
      <c r="BS199" s="72"/>
      <c r="BT199" s="72"/>
      <c r="BU199" s="72"/>
      <c r="BV199" s="72"/>
      <c r="BW199" s="72"/>
      <c r="BX199" s="72"/>
      <c r="BY199" s="72"/>
      <c r="BZ199" s="72"/>
      <c r="CA199" s="72"/>
      <c r="CB199" s="72"/>
      <c r="CC199" s="72"/>
      <c r="CD199" s="72"/>
      <c r="CE199" s="72"/>
      <c r="CF199" s="72"/>
      <c r="CG199" s="72"/>
      <c r="CH199" s="72"/>
    </row>
    <row r="200" ht="15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  <c r="AQ200" s="72"/>
      <c r="AR200" s="72"/>
      <c r="AS200" s="72"/>
      <c r="AT200" s="72"/>
      <c r="AU200" s="72"/>
      <c r="AV200" s="72"/>
      <c r="AW200" s="72"/>
      <c r="AX200" s="72"/>
      <c r="AY200" s="72"/>
      <c r="AZ200" s="72"/>
      <c r="BA200" s="72"/>
      <c r="BB200" s="72"/>
      <c r="BC200" s="72"/>
      <c r="BD200" s="72"/>
      <c r="BE200" s="72"/>
      <c r="BF200" s="72"/>
      <c r="BG200" s="72"/>
      <c r="BH200" s="72"/>
      <c r="BI200" s="72"/>
      <c r="BJ200" s="72"/>
      <c r="BK200" s="72"/>
      <c r="BL200" s="72"/>
      <c r="BM200" s="72"/>
      <c r="BN200" s="72"/>
      <c r="BO200" s="72"/>
      <c r="BP200" s="72"/>
      <c r="BQ200" s="72"/>
      <c r="BR200" s="72"/>
      <c r="BS200" s="72"/>
      <c r="BT200" s="72"/>
      <c r="BU200" s="72"/>
      <c r="BV200" s="72"/>
      <c r="BW200" s="72"/>
      <c r="BX200" s="72"/>
      <c r="BY200" s="72"/>
      <c r="BZ200" s="72"/>
      <c r="CA200" s="72"/>
      <c r="CB200" s="72"/>
      <c r="CC200" s="72"/>
      <c r="CD200" s="72"/>
      <c r="CE200" s="72"/>
      <c r="CF200" s="72"/>
      <c r="CG200" s="72"/>
      <c r="CH200" s="72"/>
    </row>
    <row r="201" ht="15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72"/>
      <c r="BO201" s="72"/>
      <c r="BP201" s="72"/>
      <c r="BQ201" s="72"/>
      <c r="BR201" s="72"/>
      <c r="BS201" s="72"/>
      <c r="BT201" s="72"/>
      <c r="BU201" s="72"/>
      <c r="BV201" s="72"/>
      <c r="BW201" s="72"/>
      <c r="BX201" s="72"/>
      <c r="BY201" s="72"/>
      <c r="BZ201" s="72"/>
      <c r="CA201" s="72"/>
      <c r="CB201" s="72"/>
      <c r="CC201" s="72"/>
      <c r="CD201" s="72"/>
      <c r="CE201" s="72"/>
      <c r="CF201" s="72"/>
      <c r="CG201" s="72"/>
      <c r="CH201" s="72"/>
    </row>
    <row r="202" ht="15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72"/>
      <c r="BO202" s="72"/>
      <c r="BP202" s="72"/>
      <c r="BQ202" s="72"/>
      <c r="BR202" s="72"/>
      <c r="BS202" s="72"/>
      <c r="BT202" s="72"/>
      <c r="BU202" s="72"/>
      <c r="BV202" s="72"/>
      <c r="BW202" s="72"/>
      <c r="BX202" s="72"/>
      <c r="BY202" s="72"/>
      <c r="BZ202" s="72"/>
      <c r="CA202" s="72"/>
      <c r="CB202" s="72"/>
      <c r="CC202" s="72"/>
      <c r="CD202" s="72"/>
      <c r="CE202" s="72"/>
      <c r="CF202" s="72"/>
      <c r="CG202" s="72"/>
      <c r="CH202" s="72"/>
    </row>
    <row r="203" ht="15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72"/>
      <c r="BO203" s="72"/>
      <c r="BP203" s="72"/>
      <c r="BQ203" s="72"/>
      <c r="BR203" s="72"/>
      <c r="BS203" s="72"/>
      <c r="BT203" s="72"/>
      <c r="BU203" s="72"/>
      <c r="BV203" s="72"/>
      <c r="BW203" s="72"/>
      <c r="BX203" s="72"/>
      <c r="BY203" s="72"/>
      <c r="BZ203" s="72"/>
      <c r="CA203" s="72"/>
      <c r="CB203" s="72"/>
      <c r="CC203" s="72"/>
      <c r="CD203" s="72"/>
      <c r="CE203" s="72"/>
      <c r="CF203" s="72"/>
      <c r="CG203" s="72"/>
      <c r="CH203" s="72"/>
    </row>
    <row r="204" ht="15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72"/>
      <c r="BO204" s="72"/>
      <c r="BP204" s="72"/>
      <c r="BQ204" s="72"/>
      <c r="BR204" s="72"/>
      <c r="BS204" s="72"/>
      <c r="BT204" s="72"/>
      <c r="BU204" s="72"/>
      <c r="BV204" s="72"/>
      <c r="BW204" s="72"/>
      <c r="BX204" s="72"/>
      <c r="BY204" s="72"/>
      <c r="BZ204" s="72"/>
      <c r="CA204" s="72"/>
      <c r="CB204" s="72"/>
      <c r="CC204" s="72"/>
      <c r="CD204" s="72"/>
      <c r="CE204" s="72"/>
      <c r="CF204" s="72"/>
      <c r="CG204" s="72"/>
      <c r="CH204" s="72"/>
    </row>
    <row r="205" ht="15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72"/>
      <c r="BO205" s="72"/>
      <c r="BP205" s="72"/>
      <c r="BQ205" s="72"/>
      <c r="BR205" s="72"/>
      <c r="BS205" s="72"/>
      <c r="BT205" s="72"/>
      <c r="BU205" s="72"/>
      <c r="BV205" s="72"/>
      <c r="BW205" s="72"/>
      <c r="BX205" s="72"/>
      <c r="BY205" s="72"/>
      <c r="BZ205" s="72"/>
      <c r="CA205" s="72"/>
      <c r="CB205" s="72"/>
      <c r="CC205" s="72"/>
      <c r="CD205" s="72"/>
      <c r="CE205" s="72"/>
      <c r="CF205" s="72"/>
      <c r="CG205" s="72"/>
      <c r="CH205" s="72"/>
    </row>
    <row r="206" ht="15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72"/>
      <c r="BO206" s="72"/>
      <c r="BP206" s="72"/>
      <c r="BQ206" s="72"/>
      <c r="BR206" s="72"/>
      <c r="BS206" s="72"/>
      <c r="BT206" s="72"/>
      <c r="BU206" s="72"/>
      <c r="BV206" s="72"/>
      <c r="BW206" s="72"/>
      <c r="BX206" s="72"/>
      <c r="BY206" s="72"/>
      <c r="BZ206" s="72"/>
      <c r="CA206" s="72"/>
      <c r="CB206" s="72"/>
      <c r="CC206" s="72"/>
      <c r="CD206" s="72"/>
      <c r="CE206" s="72"/>
      <c r="CF206" s="72"/>
      <c r="CG206" s="72"/>
      <c r="CH206" s="72"/>
    </row>
    <row r="207" ht="15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72"/>
      <c r="BO207" s="72"/>
      <c r="BP207" s="72"/>
      <c r="BQ207" s="72"/>
      <c r="BR207" s="72"/>
      <c r="BS207" s="72"/>
      <c r="BT207" s="72"/>
      <c r="BU207" s="72"/>
      <c r="BV207" s="72"/>
      <c r="BW207" s="72"/>
      <c r="BX207" s="72"/>
      <c r="BY207" s="72"/>
      <c r="BZ207" s="72"/>
      <c r="CA207" s="72"/>
      <c r="CB207" s="72"/>
      <c r="CC207" s="72"/>
      <c r="CD207" s="72"/>
      <c r="CE207" s="72"/>
      <c r="CF207" s="72"/>
      <c r="CG207" s="72"/>
      <c r="CH207" s="72"/>
    </row>
    <row r="208" ht="15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72"/>
      <c r="BO208" s="72"/>
      <c r="BP208" s="72"/>
      <c r="BQ208" s="72"/>
      <c r="BR208" s="72"/>
      <c r="BS208" s="72"/>
      <c r="BT208" s="72"/>
      <c r="BU208" s="72"/>
      <c r="BV208" s="72"/>
      <c r="BW208" s="72"/>
      <c r="BX208" s="72"/>
      <c r="BY208" s="72"/>
      <c r="BZ208" s="72"/>
      <c r="CA208" s="72"/>
      <c r="CB208" s="72"/>
      <c r="CC208" s="72"/>
      <c r="CD208" s="72"/>
      <c r="CE208" s="72"/>
      <c r="CF208" s="72"/>
      <c r="CG208" s="72"/>
      <c r="CH208" s="72"/>
    </row>
    <row r="209" ht="15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72"/>
      <c r="BO209" s="72"/>
      <c r="BP209" s="72"/>
      <c r="BQ209" s="72"/>
      <c r="BR209" s="72"/>
      <c r="BS209" s="72"/>
      <c r="BT209" s="72"/>
      <c r="BU209" s="72"/>
      <c r="BV209" s="72"/>
      <c r="BW209" s="72"/>
      <c r="BX209" s="72"/>
      <c r="BY209" s="72"/>
      <c r="BZ209" s="72"/>
      <c r="CA209" s="72"/>
      <c r="CB209" s="72"/>
      <c r="CC209" s="72"/>
      <c r="CD209" s="72"/>
      <c r="CE209" s="72"/>
      <c r="CF209" s="72"/>
      <c r="CG209" s="72"/>
      <c r="CH209" s="72"/>
    </row>
    <row r="210" ht="15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72"/>
      <c r="BO210" s="72"/>
      <c r="BP210" s="72"/>
      <c r="BQ210" s="72"/>
      <c r="BR210" s="72"/>
      <c r="BS210" s="72"/>
      <c r="BT210" s="72"/>
      <c r="BU210" s="72"/>
      <c r="BV210" s="72"/>
      <c r="BW210" s="72"/>
      <c r="BX210" s="72"/>
      <c r="BY210" s="72"/>
      <c r="BZ210" s="72"/>
      <c r="CA210" s="72"/>
      <c r="CB210" s="72"/>
      <c r="CC210" s="72"/>
      <c r="CD210" s="72"/>
      <c r="CE210" s="72"/>
      <c r="CF210" s="72"/>
      <c r="CG210" s="72"/>
      <c r="CH210" s="72"/>
    </row>
    <row r="211" ht="15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  <c r="AQ211" s="72"/>
      <c r="AR211" s="72"/>
      <c r="AS211" s="72"/>
      <c r="AT211" s="72"/>
      <c r="AU211" s="72"/>
      <c r="AV211" s="72"/>
      <c r="AW211" s="72"/>
      <c r="AX211" s="72"/>
      <c r="AY211" s="72"/>
      <c r="AZ211" s="72"/>
      <c r="BA211" s="72"/>
      <c r="BB211" s="72"/>
      <c r="BC211" s="72"/>
      <c r="BD211" s="72"/>
      <c r="BE211" s="72"/>
      <c r="BF211" s="72"/>
      <c r="BG211" s="72"/>
      <c r="BH211" s="72"/>
      <c r="BI211" s="72"/>
      <c r="BJ211" s="72"/>
      <c r="BK211" s="72"/>
      <c r="BL211" s="72"/>
      <c r="BM211" s="72"/>
      <c r="BN211" s="72"/>
      <c r="BO211" s="72"/>
      <c r="BP211" s="72"/>
      <c r="BQ211" s="72"/>
      <c r="BR211" s="72"/>
      <c r="BS211" s="72"/>
      <c r="BT211" s="72"/>
      <c r="BU211" s="72"/>
      <c r="BV211" s="72"/>
      <c r="BW211" s="72"/>
      <c r="BX211" s="72"/>
      <c r="BY211" s="72"/>
      <c r="BZ211" s="72"/>
      <c r="CA211" s="72"/>
      <c r="CB211" s="72"/>
      <c r="CC211" s="72"/>
      <c r="CD211" s="72"/>
      <c r="CE211" s="72"/>
      <c r="CF211" s="72"/>
      <c r="CG211" s="72"/>
      <c r="CH211" s="72"/>
    </row>
    <row r="212" ht="15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  <c r="AQ212" s="72"/>
      <c r="AR212" s="72"/>
      <c r="AS212" s="72"/>
      <c r="AT212" s="72"/>
      <c r="AU212" s="72"/>
      <c r="AV212" s="72"/>
      <c r="AW212" s="72"/>
      <c r="AX212" s="72"/>
      <c r="AY212" s="72"/>
      <c r="AZ212" s="72"/>
      <c r="BA212" s="72"/>
      <c r="BB212" s="72"/>
      <c r="BC212" s="72"/>
      <c r="BD212" s="72"/>
      <c r="BE212" s="72"/>
      <c r="BF212" s="72"/>
      <c r="BG212" s="72"/>
      <c r="BH212" s="72"/>
      <c r="BI212" s="72"/>
      <c r="BJ212" s="72"/>
      <c r="BK212" s="72"/>
      <c r="BL212" s="72"/>
      <c r="BM212" s="72"/>
      <c r="BN212" s="72"/>
      <c r="BO212" s="72"/>
      <c r="BP212" s="72"/>
      <c r="BQ212" s="72"/>
      <c r="BR212" s="72"/>
      <c r="BS212" s="72"/>
      <c r="BT212" s="72"/>
      <c r="BU212" s="72"/>
      <c r="BV212" s="72"/>
      <c r="BW212" s="72"/>
      <c r="BX212" s="72"/>
      <c r="BY212" s="72"/>
      <c r="BZ212" s="72"/>
      <c r="CA212" s="72"/>
      <c r="CB212" s="72"/>
      <c r="CC212" s="72"/>
      <c r="CD212" s="72"/>
      <c r="CE212" s="72"/>
      <c r="CF212" s="72"/>
      <c r="CG212" s="72"/>
      <c r="CH212" s="72"/>
    </row>
    <row r="213" ht="15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  <c r="AQ213" s="72"/>
      <c r="AR213" s="72"/>
      <c r="AS213" s="72"/>
      <c r="AT213" s="72"/>
      <c r="AU213" s="72"/>
      <c r="AV213" s="72"/>
      <c r="AW213" s="72"/>
      <c r="AX213" s="72"/>
      <c r="AY213" s="72"/>
      <c r="AZ213" s="72"/>
      <c r="BA213" s="72"/>
      <c r="BB213" s="72"/>
      <c r="BC213" s="72"/>
      <c r="BD213" s="72"/>
      <c r="BE213" s="72"/>
      <c r="BF213" s="72"/>
      <c r="BG213" s="72"/>
      <c r="BH213" s="72"/>
      <c r="BI213" s="72"/>
      <c r="BJ213" s="72"/>
      <c r="BK213" s="72"/>
      <c r="BL213" s="72"/>
      <c r="BM213" s="72"/>
      <c r="BN213" s="72"/>
      <c r="BO213" s="72"/>
      <c r="BP213" s="72"/>
      <c r="BQ213" s="72"/>
      <c r="BR213" s="72"/>
      <c r="BS213" s="72"/>
      <c r="BT213" s="72"/>
      <c r="BU213" s="72"/>
      <c r="BV213" s="72"/>
      <c r="BW213" s="72"/>
      <c r="BX213" s="72"/>
      <c r="BY213" s="72"/>
      <c r="BZ213" s="72"/>
      <c r="CA213" s="72"/>
      <c r="CB213" s="72"/>
      <c r="CC213" s="72"/>
      <c r="CD213" s="72"/>
      <c r="CE213" s="72"/>
      <c r="CF213" s="72"/>
      <c r="CG213" s="72"/>
      <c r="CH213" s="72"/>
    </row>
    <row r="214" ht="15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  <c r="AQ214" s="72"/>
      <c r="AR214" s="72"/>
      <c r="AS214" s="72"/>
      <c r="AT214" s="72"/>
      <c r="AU214" s="72"/>
      <c r="AV214" s="72"/>
      <c r="AW214" s="72"/>
      <c r="AX214" s="72"/>
      <c r="AY214" s="72"/>
      <c r="AZ214" s="72"/>
      <c r="BA214" s="72"/>
      <c r="BB214" s="72"/>
      <c r="BC214" s="72"/>
      <c r="BD214" s="72"/>
      <c r="BE214" s="72"/>
      <c r="BF214" s="72"/>
      <c r="BG214" s="72"/>
      <c r="BH214" s="72"/>
      <c r="BI214" s="72"/>
      <c r="BJ214" s="72"/>
      <c r="BK214" s="72"/>
      <c r="BL214" s="72"/>
      <c r="BM214" s="72"/>
      <c r="BN214" s="72"/>
      <c r="BO214" s="72"/>
      <c r="BP214" s="72"/>
      <c r="BQ214" s="72"/>
      <c r="BR214" s="72"/>
      <c r="BS214" s="72"/>
      <c r="BT214" s="72"/>
      <c r="BU214" s="72"/>
      <c r="BV214" s="72"/>
      <c r="BW214" s="72"/>
      <c r="BX214" s="72"/>
      <c r="BY214" s="72"/>
      <c r="BZ214" s="72"/>
      <c r="CA214" s="72"/>
      <c r="CB214" s="72"/>
      <c r="CC214" s="72"/>
      <c r="CD214" s="72"/>
      <c r="CE214" s="72"/>
      <c r="CF214" s="72"/>
      <c r="CG214" s="72"/>
      <c r="CH214" s="72"/>
    </row>
    <row r="215" ht="15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  <c r="AQ215" s="72"/>
      <c r="AR215" s="72"/>
      <c r="AS215" s="72"/>
      <c r="AT215" s="72"/>
      <c r="AU215" s="72"/>
      <c r="AV215" s="72"/>
      <c r="AW215" s="72"/>
      <c r="AX215" s="72"/>
      <c r="AY215" s="72"/>
      <c r="AZ215" s="72"/>
      <c r="BA215" s="72"/>
      <c r="BB215" s="72"/>
      <c r="BC215" s="72"/>
      <c r="BD215" s="72"/>
      <c r="BE215" s="72"/>
      <c r="BF215" s="72"/>
      <c r="BG215" s="72"/>
      <c r="BH215" s="72"/>
      <c r="BI215" s="72"/>
      <c r="BJ215" s="72"/>
      <c r="BK215" s="72"/>
      <c r="BL215" s="72"/>
      <c r="BM215" s="72"/>
      <c r="BN215" s="72"/>
      <c r="BO215" s="72"/>
      <c r="BP215" s="72"/>
      <c r="BQ215" s="72"/>
      <c r="BR215" s="72"/>
      <c r="BS215" s="72"/>
      <c r="BT215" s="72"/>
      <c r="BU215" s="72"/>
      <c r="BV215" s="72"/>
      <c r="BW215" s="72"/>
      <c r="BX215" s="72"/>
      <c r="BY215" s="72"/>
      <c r="BZ215" s="72"/>
      <c r="CA215" s="72"/>
      <c r="CB215" s="72"/>
      <c r="CC215" s="72"/>
      <c r="CD215" s="72"/>
      <c r="CE215" s="72"/>
      <c r="CF215" s="72"/>
      <c r="CG215" s="72"/>
      <c r="CH215" s="72"/>
    </row>
    <row r="216" ht="15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  <c r="AQ216" s="72"/>
      <c r="AR216" s="72"/>
      <c r="AS216" s="72"/>
      <c r="AT216" s="72"/>
      <c r="AU216" s="72"/>
      <c r="AV216" s="72"/>
      <c r="AW216" s="72"/>
      <c r="AX216" s="72"/>
      <c r="AY216" s="72"/>
      <c r="AZ216" s="72"/>
      <c r="BA216" s="72"/>
      <c r="BB216" s="72"/>
      <c r="BC216" s="72"/>
      <c r="BD216" s="72"/>
      <c r="BE216" s="72"/>
      <c r="BF216" s="72"/>
      <c r="BG216" s="72"/>
      <c r="BH216" s="72"/>
      <c r="BI216" s="72"/>
      <c r="BJ216" s="72"/>
      <c r="BK216" s="72"/>
      <c r="BL216" s="72"/>
      <c r="BM216" s="72"/>
      <c r="BN216" s="72"/>
      <c r="BO216" s="72"/>
      <c r="BP216" s="72"/>
      <c r="BQ216" s="72"/>
      <c r="BR216" s="72"/>
      <c r="BS216" s="72"/>
      <c r="BT216" s="72"/>
      <c r="BU216" s="72"/>
      <c r="BV216" s="72"/>
      <c r="BW216" s="72"/>
      <c r="BX216" s="72"/>
      <c r="BY216" s="72"/>
      <c r="BZ216" s="72"/>
      <c r="CA216" s="72"/>
      <c r="CB216" s="72"/>
      <c r="CC216" s="72"/>
      <c r="CD216" s="72"/>
      <c r="CE216" s="72"/>
      <c r="CF216" s="72"/>
      <c r="CG216" s="72"/>
      <c r="CH216" s="72"/>
    </row>
    <row r="217" ht="15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  <c r="AS217" s="72"/>
      <c r="AT217" s="72"/>
      <c r="AU217" s="72"/>
      <c r="AV217" s="72"/>
      <c r="AW217" s="72"/>
      <c r="AX217" s="72"/>
      <c r="AY217" s="72"/>
      <c r="AZ217" s="72"/>
      <c r="BA217" s="72"/>
      <c r="BB217" s="72"/>
      <c r="BC217" s="72"/>
      <c r="BD217" s="72"/>
      <c r="BE217" s="72"/>
      <c r="BF217" s="72"/>
      <c r="BG217" s="72"/>
      <c r="BH217" s="72"/>
      <c r="BI217" s="72"/>
      <c r="BJ217" s="72"/>
      <c r="BK217" s="72"/>
      <c r="BL217" s="72"/>
      <c r="BM217" s="72"/>
      <c r="BN217" s="72"/>
      <c r="BO217" s="72"/>
      <c r="BP217" s="72"/>
      <c r="BQ217" s="72"/>
      <c r="BR217" s="72"/>
      <c r="BS217" s="72"/>
      <c r="BT217" s="72"/>
      <c r="BU217" s="72"/>
      <c r="BV217" s="72"/>
      <c r="BW217" s="72"/>
      <c r="BX217" s="72"/>
      <c r="BY217" s="72"/>
      <c r="BZ217" s="72"/>
      <c r="CA217" s="72"/>
      <c r="CB217" s="72"/>
      <c r="CC217" s="72"/>
      <c r="CD217" s="72"/>
      <c r="CE217" s="72"/>
      <c r="CF217" s="72"/>
      <c r="CG217" s="72"/>
      <c r="CH217" s="72"/>
    </row>
    <row r="218" ht="15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  <c r="AQ218" s="72"/>
      <c r="AR218" s="72"/>
      <c r="AS218" s="72"/>
      <c r="AT218" s="72"/>
      <c r="AU218" s="72"/>
      <c r="AV218" s="72"/>
      <c r="AW218" s="72"/>
      <c r="AX218" s="72"/>
      <c r="AY218" s="72"/>
      <c r="AZ218" s="72"/>
      <c r="BA218" s="72"/>
      <c r="BB218" s="72"/>
      <c r="BC218" s="72"/>
      <c r="BD218" s="72"/>
      <c r="BE218" s="72"/>
      <c r="BF218" s="72"/>
      <c r="BG218" s="72"/>
      <c r="BH218" s="72"/>
      <c r="BI218" s="72"/>
      <c r="BJ218" s="72"/>
      <c r="BK218" s="72"/>
      <c r="BL218" s="72"/>
      <c r="BM218" s="72"/>
      <c r="BN218" s="72"/>
      <c r="BO218" s="72"/>
      <c r="BP218" s="72"/>
      <c r="BQ218" s="72"/>
      <c r="BR218" s="72"/>
      <c r="BS218" s="72"/>
      <c r="BT218" s="72"/>
      <c r="BU218" s="72"/>
      <c r="BV218" s="72"/>
      <c r="BW218" s="72"/>
      <c r="BX218" s="72"/>
      <c r="BY218" s="72"/>
      <c r="BZ218" s="72"/>
      <c r="CA218" s="72"/>
      <c r="CB218" s="72"/>
      <c r="CC218" s="72"/>
      <c r="CD218" s="72"/>
      <c r="CE218" s="72"/>
      <c r="CF218" s="72"/>
      <c r="CG218" s="72"/>
      <c r="CH218" s="72"/>
    </row>
    <row r="219" ht="15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  <c r="AQ219" s="72"/>
      <c r="AR219" s="72"/>
      <c r="AS219" s="72"/>
      <c r="AT219" s="72"/>
      <c r="AU219" s="72"/>
      <c r="AV219" s="72"/>
      <c r="AW219" s="72"/>
      <c r="AX219" s="72"/>
      <c r="AY219" s="72"/>
      <c r="AZ219" s="72"/>
      <c r="BA219" s="72"/>
      <c r="BB219" s="72"/>
      <c r="BC219" s="72"/>
      <c r="BD219" s="72"/>
      <c r="BE219" s="72"/>
      <c r="BF219" s="72"/>
      <c r="BG219" s="72"/>
      <c r="BH219" s="72"/>
      <c r="BI219" s="72"/>
      <c r="BJ219" s="72"/>
      <c r="BK219" s="72"/>
      <c r="BL219" s="72"/>
      <c r="BM219" s="72"/>
      <c r="BN219" s="72"/>
      <c r="BO219" s="72"/>
      <c r="BP219" s="72"/>
      <c r="BQ219" s="72"/>
      <c r="BR219" s="72"/>
      <c r="BS219" s="72"/>
      <c r="BT219" s="72"/>
      <c r="BU219" s="72"/>
      <c r="BV219" s="72"/>
      <c r="BW219" s="72"/>
      <c r="BX219" s="72"/>
      <c r="BY219" s="72"/>
      <c r="BZ219" s="72"/>
      <c r="CA219" s="72"/>
      <c r="CB219" s="72"/>
      <c r="CC219" s="72"/>
      <c r="CD219" s="72"/>
      <c r="CE219" s="72"/>
      <c r="CF219" s="72"/>
      <c r="CG219" s="72"/>
      <c r="CH219" s="72"/>
    </row>
    <row r="220" ht="15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  <c r="AQ220" s="72"/>
      <c r="AR220" s="72"/>
      <c r="AS220" s="72"/>
      <c r="AT220" s="72"/>
      <c r="AU220" s="72"/>
      <c r="AV220" s="72"/>
      <c r="AW220" s="72"/>
      <c r="AX220" s="72"/>
      <c r="AY220" s="72"/>
      <c r="AZ220" s="72"/>
      <c r="BA220" s="72"/>
      <c r="BB220" s="72"/>
      <c r="BC220" s="72"/>
      <c r="BD220" s="72"/>
      <c r="BE220" s="72"/>
      <c r="BF220" s="72"/>
      <c r="BG220" s="72"/>
      <c r="BH220" s="72"/>
      <c r="BI220" s="72"/>
      <c r="BJ220" s="72"/>
      <c r="BK220" s="72"/>
      <c r="BL220" s="72"/>
      <c r="BM220" s="72"/>
      <c r="BN220" s="72"/>
      <c r="BO220" s="72"/>
      <c r="BP220" s="72"/>
      <c r="BQ220" s="72"/>
      <c r="BR220" s="72"/>
      <c r="BS220" s="72"/>
      <c r="BT220" s="72"/>
      <c r="BU220" s="72"/>
      <c r="BV220" s="72"/>
      <c r="BW220" s="72"/>
      <c r="BX220" s="72"/>
      <c r="BY220" s="72"/>
      <c r="BZ220" s="72"/>
      <c r="CA220" s="72"/>
      <c r="CB220" s="72"/>
      <c r="CC220" s="72"/>
      <c r="CD220" s="72"/>
      <c r="CE220" s="72"/>
      <c r="CF220" s="72"/>
      <c r="CG220" s="72"/>
      <c r="CH220" s="72"/>
    </row>
    <row r="221" ht="15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  <c r="AQ221" s="72"/>
      <c r="AR221" s="72"/>
      <c r="AS221" s="72"/>
      <c r="AT221" s="72"/>
      <c r="AU221" s="72"/>
      <c r="AV221" s="72"/>
      <c r="AW221" s="72"/>
      <c r="AX221" s="72"/>
      <c r="AY221" s="72"/>
      <c r="AZ221" s="72"/>
      <c r="BA221" s="72"/>
      <c r="BB221" s="72"/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  <c r="BM221" s="72"/>
      <c r="BN221" s="72"/>
      <c r="BO221" s="72"/>
      <c r="BP221" s="72"/>
      <c r="BQ221" s="72"/>
      <c r="BR221" s="72"/>
      <c r="BS221" s="72"/>
      <c r="BT221" s="72"/>
      <c r="BU221" s="72"/>
      <c r="BV221" s="72"/>
      <c r="BW221" s="72"/>
      <c r="BX221" s="72"/>
      <c r="BY221" s="72"/>
      <c r="BZ221" s="72"/>
      <c r="CA221" s="72"/>
      <c r="CB221" s="72"/>
      <c r="CC221" s="72"/>
      <c r="CD221" s="72"/>
      <c r="CE221" s="72"/>
      <c r="CF221" s="72"/>
      <c r="CG221" s="72"/>
      <c r="CH221" s="72"/>
    </row>
    <row r="222" ht="15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  <c r="AQ222" s="72"/>
      <c r="AR222" s="72"/>
      <c r="AS222" s="72"/>
      <c r="AT222" s="72"/>
      <c r="AU222" s="72"/>
      <c r="AV222" s="72"/>
      <c r="AW222" s="72"/>
      <c r="AX222" s="72"/>
      <c r="AY222" s="72"/>
      <c r="AZ222" s="72"/>
      <c r="BA222" s="72"/>
      <c r="BB222" s="72"/>
      <c r="BC222" s="72"/>
      <c r="BD222" s="72"/>
      <c r="BE222" s="72"/>
      <c r="BF222" s="72"/>
      <c r="BG222" s="72"/>
      <c r="BH222" s="72"/>
      <c r="BI222" s="72"/>
      <c r="BJ222" s="72"/>
      <c r="BK222" s="72"/>
      <c r="BL222" s="72"/>
      <c r="BM222" s="72"/>
      <c r="BN222" s="72"/>
      <c r="BO222" s="72"/>
      <c r="BP222" s="72"/>
      <c r="BQ222" s="72"/>
      <c r="BR222" s="72"/>
      <c r="BS222" s="72"/>
      <c r="BT222" s="72"/>
      <c r="BU222" s="72"/>
      <c r="BV222" s="72"/>
      <c r="BW222" s="72"/>
      <c r="BX222" s="72"/>
      <c r="BY222" s="72"/>
      <c r="BZ222" s="72"/>
      <c r="CA222" s="72"/>
      <c r="CB222" s="72"/>
      <c r="CC222" s="72"/>
      <c r="CD222" s="72"/>
      <c r="CE222" s="72"/>
      <c r="CF222" s="72"/>
      <c r="CG222" s="72"/>
      <c r="CH222" s="72"/>
    </row>
    <row r="223" ht="15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  <c r="AQ223" s="72"/>
      <c r="AR223" s="72"/>
      <c r="AS223" s="72"/>
      <c r="AT223" s="72"/>
      <c r="AU223" s="72"/>
      <c r="AV223" s="72"/>
      <c r="AW223" s="72"/>
      <c r="AX223" s="72"/>
      <c r="AY223" s="72"/>
      <c r="AZ223" s="72"/>
      <c r="BA223" s="72"/>
      <c r="BB223" s="72"/>
      <c r="BC223" s="72"/>
      <c r="BD223" s="72"/>
      <c r="BE223" s="72"/>
      <c r="BF223" s="72"/>
      <c r="BG223" s="72"/>
      <c r="BH223" s="72"/>
      <c r="BI223" s="72"/>
      <c r="BJ223" s="72"/>
      <c r="BK223" s="72"/>
      <c r="BL223" s="72"/>
      <c r="BM223" s="72"/>
      <c r="BN223" s="72"/>
      <c r="BO223" s="72"/>
      <c r="BP223" s="72"/>
      <c r="BQ223" s="72"/>
      <c r="BR223" s="72"/>
      <c r="BS223" s="72"/>
      <c r="BT223" s="72"/>
      <c r="BU223" s="72"/>
      <c r="BV223" s="72"/>
      <c r="BW223" s="72"/>
      <c r="BX223" s="72"/>
      <c r="BY223" s="72"/>
      <c r="BZ223" s="72"/>
      <c r="CA223" s="72"/>
      <c r="CB223" s="72"/>
      <c r="CC223" s="72"/>
      <c r="CD223" s="72"/>
      <c r="CE223" s="72"/>
      <c r="CF223" s="72"/>
      <c r="CG223" s="72"/>
      <c r="CH223" s="72"/>
    </row>
    <row r="224" ht="15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  <c r="AQ224" s="72"/>
      <c r="AR224" s="72"/>
      <c r="AS224" s="72"/>
      <c r="AT224" s="72"/>
      <c r="AU224" s="72"/>
      <c r="AV224" s="72"/>
      <c r="AW224" s="72"/>
      <c r="AX224" s="72"/>
      <c r="AY224" s="72"/>
      <c r="AZ224" s="72"/>
      <c r="BA224" s="72"/>
      <c r="BB224" s="72"/>
      <c r="BC224" s="72"/>
      <c r="BD224" s="72"/>
      <c r="BE224" s="72"/>
      <c r="BF224" s="72"/>
      <c r="BG224" s="72"/>
      <c r="BH224" s="72"/>
      <c r="BI224" s="72"/>
      <c r="BJ224" s="72"/>
      <c r="BK224" s="72"/>
      <c r="BL224" s="72"/>
      <c r="BM224" s="72"/>
      <c r="BN224" s="72"/>
      <c r="BO224" s="72"/>
      <c r="BP224" s="72"/>
      <c r="BQ224" s="72"/>
      <c r="BR224" s="72"/>
      <c r="BS224" s="72"/>
      <c r="BT224" s="72"/>
      <c r="BU224" s="72"/>
      <c r="BV224" s="72"/>
      <c r="BW224" s="72"/>
      <c r="BX224" s="72"/>
      <c r="BY224" s="72"/>
      <c r="BZ224" s="72"/>
      <c r="CA224" s="72"/>
      <c r="CB224" s="72"/>
      <c r="CC224" s="72"/>
      <c r="CD224" s="72"/>
      <c r="CE224" s="72"/>
      <c r="CF224" s="72"/>
      <c r="CG224" s="72"/>
      <c r="CH224" s="72"/>
    </row>
    <row r="225" ht="15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  <c r="AQ225" s="72"/>
      <c r="AR225" s="72"/>
      <c r="AS225" s="72"/>
      <c r="AT225" s="72"/>
      <c r="AU225" s="72"/>
      <c r="AV225" s="72"/>
      <c r="AW225" s="72"/>
      <c r="AX225" s="72"/>
      <c r="AY225" s="72"/>
      <c r="AZ225" s="72"/>
      <c r="BA225" s="72"/>
      <c r="BB225" s="72"/>
      <c r="BC225" s="72"/>
      <c r="BD225" s="72"/>
      <c r="BE225" s="72"/>
      <c r="BF225" s="72"/>
      <c r="BG225" s="72"/>
      <c r="BH225" s="72"/>
      <c r="BI225" s="72"/>
      <c r="BJ225" s="72"/>
      <c r="BK225" s="72"/>
      <c r="BL225" s="72"/>
      <c r="BM225" s="72"/>
      <c r="BN225" s="72"/>
      <c r="BO225" s="72"/>
      <c r="BP225" s="72"/>
      <c r="BQ225" s="72"/>
      <c r="BR225" s="72"/>
      <c r="BS225" s="72"/>
      <c r="BT225" s="72"/>
      <c r="BU225" s="72"/>
      <c r="BV225" s="72"/>
      <c r="BW225" s="72"/>
      <c r="BX225" s="72"/>
      <c r="BY225" s="72"/>
      <c r="BZ225" s="72"/>
      <c r="CA225" s="72"/>
      <c r="CB225" s="72"/>
      <c r="CC225" s="72"/>
      <c r="CD225" s="72"/>
      <c r="CE225" s="72"/>
      <c r="CF225" s="72"/>
      <c r="CG225" s="72"/>
      <c r="CH225" s="72"/>
    </row>
    <row r="226" ht="15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  <c r="AQ226" s="72"/>
      <c r="AR226" s="72"/>
      <c r="AS226" s="72"/>
      <c r="AT226" s="72"/>
      <c r="AU226" s="72"/>
      <c r="AV226" s="72"/>
      <c r="AW226" s="72"/>
      <c r="AX226" s="72"/>
      <c r="AY226" s="72"/>
      <c r="AZ226" s="72"/>
      <c r="BA226" s="72"/>
      <c r="BB226" s="72"/>
      <c r="BC226" s="72"/>
      <c r="BD226" s="72"/>
      <c r="BE226" s="72"/>
      <c r="BF226" s="72"/>
      <c r="BG226" s="72"/>
      <c r="BH226" s="72"/>
      <c r="BI226" s="72"/>
      <c r="BJ226" s="72"/>
      <c r="BK226" s="72"/>
      <c r="BL226" s="72"/>
      <c r="BM226" s="72"/>
      <c r="BN226" s="72"/>
      <c r="BO226" s="72"/>
      <c r="BP226" s="72"/>
      <c r="BQ226" s="72"/>
      <c r="BR226" s="72"/>
      <c r="BS226" s="72"/>
      <c r="BT226" s="72"/>
      <c r="BU226" s="72"/>
      <c r="BV226" s="72"/>
      <c r="BW226" s="72"/>
      <c r="BX226" s="72"/>
      <c r="BY226" s="72"/>
      <c r="BZ226" s="72"/>
      <c r="CA226" s="72"/>
      <c r="CB226" s="72"/>
      <c r="CC226" s="72"/>
      <c r="CD226" s="72"/>
      <c r="CE226" s="72"/>
      <c r="CF226" s="72"/>
      <c r="CG226" s="72"/>
      <c r="CH226" s="72"/>
    </row>
    <row r="227" ht="15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  <c r="AQ227" s="72"/>
      <c r="AR227" s="72"/>
      <c r="AS227" s="72"/>
      <c r="AT227" s="72"/>
      <c r="AU227" s="72"/>
      <c r="AV227" s="72"/>
      <c r="AW227" s="72"/>
      <c r="AX227" s="72"/>
      <c r="AY227" s="72"/>
      <c r="AZ227" s="72"/>
      <c r="BA227" s="72"/>
      <c r="BB227" s="72"/>
      <c r="BC227" s="72"/>
      <c r="BD227" s="72"/>
      <c r="BE227" s="72"/>
      <c r="BF227" s="72"/>
      <c r="BG227" s="72"/>
      <c r="BH227" s="72"/>
      <c r="BI227" s="72"/>
      <c r="BJ227" s="72"/>
      <c r="BK227" s="72"/>
      <c r="BL227" s="72"/>
      <c r="BM227" s="72"/>
      <c r="BN227" s="72"/>
      <c r="BO227" s="72"/>
      <c r="BP227" s="72"/>
      <c r="BQ227" s="72"/>
      <c r="BR227" s="72"/>
      <c r="BS227" s="72"/>
      <c r="BT227" s="72"/>
      <c r="BU227" s="72"/>
      <c r="BV227" s="72"/>
      <c r="BW227" s="72"/>
      <c r="BX227" s="72"/>
      <c r="BY227" s="72"/>
      <c r="BZ227" s="72"/>
      <c r="CA227" s="72"/>
      <c r="CB227" s="72"/>
      <c r="CC227" s="72"/>
      <c r="CD227" s="72"/>
      <c r="CE227" s="72"/>
      <c r="CF227" s="72"/>
      <c r="CG227" s="72"/>
      <c r="CH227" s="72"/>
    </row>
    <row r="228" ht="15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  <c r="AQ228" s="72"/>
      <c r="AR228" s="72"/>
      <c r="AS228" s="72"/>
      <c r="AT228" s="72"/>
      <c r="AU228" s="72"/>
      <c r="AV228" s="72"/>
      <c r="AW228" s="72"/>
      <c r="AX228" s="72"/>
      <c r="AY228" s="72"/>
      <c r="AZ228" s="72"/>
      <c r="BA228" s="72"/>
      <c r="BB228" s="72"/>
      <c r="BC228" s="72"/>
      <c r="BD228" s="72"/>
      <c r="BE228" s="72"/>
      <c r="BF228" s="72"/>
      <c r="BG228" s="72"/>
      <c r="BH228" s="72"/>
      <c r="BI228" s="72"/>
      <c r="BJ228" s="72"/>
      <c r="BK228" s="72"/>
      <c r="BL228" s="72"/>
      <c r="BM228" s="72"/>
      <c r="BN228" s="72"/>
      <c r="BO228" s="72"/>
      <c r="BP228" s="72"/>
      <c r="BQ228" s="72"/>
      <c r="BR228" s="72"/>
      <c r="BS228" s="72"/>
      <c r="BT228" s="72"/>
      <c r="BU228" s="72"/>
      <c r="BV228" s="72"/>
      <c r="BW228" s="72"/>
      <c r="BX228" s="72"/>
      <c r="BY228" s="72"/>
      <c r="BZ228" s="72"/>
      <c r="CA228" s="72"/>
      <c r="CB228" s="72"/>
      <c r="CC228" s="72"/>
      <c r="CD228" s="72"/>
      <c r="CE228" s="72"/>
      <c r="CF228" s="72"/>
      <c r="CG228" s="72"/>
      <c r="CH228" s="72"/>
    </row>
    <row r="229" ht="15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  <c r="AQ229" s="72"/>
      <c r="AR229" s="72"/>
      <c r="AS229" s="72"/>
      <c r="AT229" s="72"/>
      <c r="AU229" s="72"/>
      <c r="AV229" s="72"/>
      <c r="AW229" s="72"/>
      <c r="AX229" s="72"/>
      <c r="AY229" s="72"/>
      <c r="AZ229" s="72"/>
      <c r="BA229" s="72"/>
      <c r="BB229" s="72"/>
      <c r="BC229" s="72"/>
      <c r="BD229" s="72"/>
      <c r="BE229" s="72"/>
      <c r="BF229" s="72"/>
      <c r="BG229" s="72"/>
      <c r="BH229" s="72"/>
      <c r="BI229" s="72"/>
      <c r="BJ229" s="72"/>
      <c r="BK229" s="72"/>
      <c r="BL229" s="72"/>
      <c r="BM229" s="72"/>
      <c r="BN229" s="72"/>
      <c r="BO229" s="72"/>
      <c r="BP229" s="72"/>
      <c r="BQ229" s="72"/>
      <c r="BR229" s="72"/>
      <c r="BS229" s="72"/>
      <c r="BT229" s="72"/>
      <c r="BU229" s="72"/>
      <c r="BV229" s="72"/>
      <c r="BW229" s="72"/>
      <c r="BX229" s="72"/>
      <c r="BY229" s="72"/>
      <c r="BZ229" s="72"/>
      <c r="CA229" s="72"/>
      <c r="CB229" s="72"/>
      <c r="CC229" s="72"/>
      <c r="CD229" s="72"/>
      <c r="CE229" s="72"/>
      <c r="CF229" s="72"/>
      <c r="CG229" s="72"/>
      <c r="CH229" s="72"/>
    </row>
    <row r="230" ht="15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  <c r="AQ230" s="72"/>
      <c r="AR230" s="72"/>
      <c r="AS230" s="72"/>
      <c r="AT230" s="72"/>
      <c r="AU230" s="72"/>
      <c r="AV230" s="72"/>
      <c r="AW230" s="72"/>
      <c r="AX230" s="72"/>
      <c r="AY230" s="72"/>
      <c r="AZ230" s="72"/>
      <c r="BA230" s="72"/>
      <c r="BB230" s="72"/>
      <c r="BC230" s="72"/>
      <c r="BD230" s="72"/>
      <c r="BE230" s="72"/>
      <c r="BF230" s="72"/>
      <c r="BG230" s="72"/>
      <c r="BH230" s="72"/>
      <c r="BI230" s="72"/>
      <c r="BJ230" s="72"/>
      <c r="BK230" s="72"/>
      <c r="BL230" s="72"/>
      <c r="BM230" s="72"/>
      <c r="BN230" s="72"/>
      <c r="BO230" s="72"/>
      <c r="BP230" s="72"/>
      <c r="BQ230" s="72"/>
      <c r="BR230" s="72"/>
      <c r="BS230" s="72"/>
      <c r="BT230" s="72"/>
      <c r="BU230" s="72"/>
      <c r="BV230" s="72"/>
      <c r="BW230" s="72"/>
      <c r="BX230" s="72"/>
      <c r="BY230" s="72"/>
      <c r="BZ230" s="72"/>
      <c r="CA230" s="72"/>
      <c r="CB230" s="72"/>
      <c r="CC230" s="72"/>
      <c r="CD230" s="72"/>
      <c r="CE230" s="72"/>
      <c r="CF230" s="72"/>
      <c r="CG230" s="72"/>
      <c r="CH230" s="72"/>
    </row>
    <row r="231" ht="15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  <c r="AQ231" s="72"/>
      <c r="AR231" s="72"/>
      <c r="AS231" s="72"/>
      <c r="AT231" s="72"/>
      <c r="AU231" s="72"/>
      <c r="AV231" s="72"/>
      <c r="AW231" s="72"/>
      <c r="AX231" s="72"/>
      <c r="AY231" s="72"/>
      <c r="AZ231" s="72"/>
      <c r="BA231" s="72"/>
      <c r="BB231" s="72"/>
      <c r="BC231" s="72"/>
      <c r="BD231" s="72"/>
      <c r="BE231" s="72"/>
      <c r="BF231" s="72"/>
      <c r="BG231" s="72"/>
      <c r="BH231" s="72"/>
      <c r="BI231" s="72"/>
      <c r="BJ231" s="72"/>
      <c r="BK231" s="72"/>
      <c r="BL231" s="72"/>
      <c r="BM231" s="72"/>
      <c r="BN231" s="72"/>
      <c r="BO231" s="72"/>
      <c r="BP231" s="72"/>
      <c r="BQ231" s="72"/>
      <c r="BR231" s="72"/>
      <c r="BS231" s="72"/>
      <c r="BT231" s="72"/>
      <c r="BU231" s="72"/>
      <c r="BV231" s="72"/>
      <c r="BW231" s="72"/>
      <c r="BX231" s="72"/>
      <c r="BY231" s="72"/>
      <c r="BZ231" s="72"/>
      <c r="CA231" s="72"/>
      <c r="CB231" s="72"/>
      <c r="CC231" s="72"/>
      <c r="CD231" s="72"/>
      <c r="CE231" s="72"/>
      <c r="CF231" s="72"/>
      <c r="CG231" s="72"/>
      <c r="CH231" s="72"/>
    </row>
    <row r="232" ht="15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  <c r="AQ232" s="72"/>
      <c r="AR232" s="72"/>
      <c r="AS232" s="72"/>
      <c r="AT232" s="72"/>
      <c r="AU232" s="72"/>
      <c r="AV232" s="72"/>
      <c r="AW232" s="72"/>
      <c r="AX232" s="72"/>
      <c r="AY232" s="72"/>
      <c r="AZ232" s="72"/>
      <c r="BA232" s="72"/>
      <c r="BB232" s="72"/>
      <c r="BC232" s="72"/>
      <c r="BD232" s="72"/>
      <c r="BE232" s="72"/>
      <c r="BF232" s="72"/>
      <c r="BG232" s="72"/>
      <c r="BH232" s="72"/>
      <c r="BI232" s="72"/>
      <c r="BJ232" s="72"/>
      <c r="BK232" s="72"/>
      <c r="BL232" s="72"/>
      <c r="BM232" s="72"/>
      <c r="BN232" s="72"/>
      <c r="BO232" s="72"/>
      <c r="BP232" s="72"/>
      <c r="BQ232" s="72"/>
      <c r="BR232" s="72"/>
      <c r="BS232" s="72"/>
      <c r="BT232" s="72"/>
      <c r="BU232" s="72"/>
      <c r="BV232" s="72"/>
      <c r="BW232" s="72"/>
      <c r="BX232" s="72"/>
      <c r="BY232" s="72"/>
      <c r="BZ232" s="72"/>
      <c r="CA232" s="72"/>
      <c r="CB232" s="72"/>
      <c r="CC232" s="72"/>
      <c r="CD232" s="72"/>
      <c r="CE232" s="72"/>
      <c r="CF232" s="72"/>
      <c r="CG232" s="72"/>
      <c r="CH232" s="72"/>
    </row>
    <row r="233" ht="15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  <c r="AQ233" s="72"/>
      <c r="AR233" s="72"/>
      <c r="AS233" s="72"/>
      <c r="AT233" s="72"/>
      <c r="AU233" s="72"/>
      <c r="AV233" s="72"/>
      <c r="AW233" s="72"/>
      <c r="AX233" s="72"/>
      <c r="AY233" s="72"/>
      <c r="AZ233" s="72"/>
      <c r="BA233" s="72"/>
      <c r="BB233" s="72"/>
      <c r="BC233" s="72"/>
      <c r="BD233" s="72"/>
      <c r="BE233" s="72"/>
      <c r="BF233" s="72"/>
      <c r="BG233" s="72"/>
      <c r="BH233" s="72"/>
      <c r="BI233" s="72"/>
      <c r="BJ233" s="72"/>
      <c r="BK233" s="72"/>
      <c r="BL233" s="72"/>
      <c r="BM233" s="72"/>
      <c r="BN233" s="72"/>
      <c r="BO233" s="72"/>
      <c r="BP233" s="72"/>
      <c r="BQ233" s="72"/>
      <c r="BR233" s="72"/>
      <c r="BS233" s="72"/>
      <c r="BT233" s="72"/>
      <c r="BU233" s="72"/>
      <c r="BV233" s="72"/>
      <c r="BW233" s="72"/>
      <c r="BX233" s="72"/>
      <c r="BY233" s="72"/>
      <c r="BZ233" s="72"/>
      <c r="CA233" s="72"/>
      <c r="CB233" s="72"/>
      <c r="CC233" s="72"/>
      <c r="CD233" s="72"/>
      <c r="CE233" s="72"/>
      <c r="CF233" s="72"/>
      <c r="CG233" s="72"/>
      <c r="CH233" s="72"/>
    </row>
    <row r="234" ht="15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  <c r="AQ234" s="72"/>
      <c r="AR234" s="72"/>
      <c r="AS234" s="72"/>
      <c r="AT234" s="72"/>
      <c r="AU234" s="72"/>
      <c r="AV234" s="72"/>
      <c r="AW234" s="72"/>
      <c r="AX234" s="72"/>
      <c r="AY234" s="72"/>
      <c r="AZ234" s="72"/>
      <c r="BA234" s="72"/>
      <c r="BB234" s="72"/>
      <c r="BC234" s="72"/>
      <c r="BD234" s="72"/>
      <c r="BE234" s="72"/>
      <c r="BF234" s="72"/>
      <c r="BG234" s="72"/>
      <c r="BH234" s="72"/>
      <c r="BI234" s="72"/>
      <c r="BJ234" s="72"/>
      <c r="BK234" s="72"/>
      <c r="BL234" s="72"/>
      <c r="BM234" s="72"/>
      <c r="BN234" s="72"/>
      <c r="BO234" s="72"/>
      <c r="BP234" s="72"/>
      <c r="BQ234" s="72"/>
      <c r="BR234" s="72"/>
      <c r="BS234" s="72"/>
      <c r="BT234" s="72"/>
      <c r="BU234" s="72"/>
      <c r="BV234" s="72"/>
      <c r="BW234" s="72"/>
      <c r="BX234" s="72"/>
      <c r="BY234" s="72"/>
      <c r="BZ234" s="72"/>
      <c r="CA234" s="72"/>
      <c r="CB234" s="72"/>
      <c r="CC234" s="72"/>
      <c r="CD234" s="72"/>
      <c r="CE234" s="72"/>
      <c r="CF234" s="72"/>
      <c r="CG234" s="72"/>
      <c r="CH234" s="72"/>
    </row>
    <row r="235" ht="15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  <c r="AQ235" s="72"/>
      <c r="AR235" s="72"/>
      <c r="AS235" s="72"/>
      <c r="AT235" s="72"/>
      <c r="AU235" s="72"/>
      <c r="AV235" s="72"/>
      <c r="AW235" s="72"/>
      <c r="AX235" s="72"/>
      <c r="AY235" s="72"/>
      <c r="AZ235" s="72"/>
      <c r="BA235" s="72"/>
      <c r="BB235" s="72"/>
      <c r="BC235" s="72"/>
      <c r="BD235" s="72"/>
      <c r="BE235" s="72"/>
      <c r="BF235" s="72"/>
      <c r="BG235" s="72"/>
      <c r="BH235" s="72"/>
      <c r="BI235" s="72"/>
      <c r="BJ235" s="72"/>
      <c r="BK235" s="72"/>
      <c r="BL235" s="72"/>
      <c r="BM235" s="72"/>
      <c r="BN235" s="72"/>
      <c r="BO235" s="72"/>
      <c r="BP235" s="72"/>
      <c r="BQ235" s="72"/>
      <c r="BR235" s="72"/>
      <c r="BS235" s="72"/>
      <c r="BT235" s="72"/>
      <c r="BU235" s="72"/>
      <c r="BV235" s="72"/>
      <c r="BW235" s="72"/>
      <c r="BX235" s="72"/>
      <c r="BY235" s="72"/>
      <c r="BZ235" s="72"/>
      <c r="CA235" s="72"/>
      <c r="CB235" s="72"/>
      <c r="CC235" s="72"/>
      <c r="CD235" s="72"/>
      <c r="CE235" s="72"/>
      <c r="CF235" s="72"/>
      <c r="CG235" s="72"/>
      <c r="CH235" s="72"/>
    </row>
    <row r="236" ht="15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  <c r="AQ236" s="72"/>
      <c r="AR236" s="72"/>
      <c r="AS236" s="72"/>
      <c r="AT236" s="72"/>
      <c r="AU236" s="72"/>
      <c r="AV236" s="72"/>
      <c r="AW236" s="72"/>
      <c r="AX236" s="72"/>
      <c r="AY236" s="72"/>
      <c r="AZ236" s="72"/>
      <c r="BA236" s="72"/>
      <c r="BB236" s="72"/>
      <c r="BC236" s="72"/>
      <c r="BD236" s="72"/>
      <c r="BE236" s="72"/>
      <c r="BF236" s="72"/>
      <c r="BG236" s="72"/>
      <c r="BH236" s="72"/>
      <c r="BI236" s="72"/>
      <c r="BJ236" s="72"/>
      <c r="BK236" s="72"/>
      <c r="BL236" s="72"/>
      <c r="BM236" s="72"/>
      <c r="BN236" s="72"/>
      <c r="BO236" s="72"/>
      <c r="BP236" s="72"/>
      <c r="BQ236" s="72"/>
      <c r="BR236" s="72"/>
      <c r="BS236" s="72"/>
      <c r="BT236" s="72"/>
      <c r="BU236" s="72"/>
      <c r="BV236" s="72"/>
      <c r="BW236" s="72"/>
      <c r="BX236" s="72"/>
      <c r="BY236" s="72"/>
      <c r="BZ236" s="72"/>
      <c r="CA236" s="72"/>
      <c r="CB236" s="72"/>
      <c r="CC236" s="72"/>
      <c r="CD236" s="72"/>
      <c r="CE236" s="72"/>
      <c r="CF236" s="72"/>
      <c r="CG236" s="72"/>
      <c r="CH236" s="72"/>
    </row>
    <row r="237" ht="15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  <c r="AQ237" s="72"/>
      <c r="AR237" s="72"/>
      <c r="AS237" s="72"/>
      <c r="AT237" s="72"/>
      <c r="AU237" s="72"/>
      <c r="AV237" s="72"/>
      <c r="AW237" s="72"/>
      <c r="AX237" s="72"/>
      <c r="AY237" s="72"/>
      <c r="AZ237" s="72"/>
      <c r="BA237" s="72"/>
      <c r="BB237" s="72"/>
      <c r="BC237" s="72"/>
      <c r="BD237" s="72"/>
      <c r="BE237" s="72"/>
      <c r="BF237" s="72"/>
      <c r="BG237" s="72"/>
      <c r="BH237" s="72"/>
      <c r="BI237" s="72"/>
      <c r="BJ237" s="72"/>
      <c r="BK237" s="72"/>
      <c r="BL237" s="72"/>
      <c r="BM237" s="72"/>
      <c r="BN237" s="72"/>
      <c r="BO237" s="72"/>
      <c r="BP237" s="72"/>
      <c r="BQ237" s="72"/>
      <c r="BR237" s="72"/>
      <c r="BS237" s="72"/>
      <c r="BT237" s="72"/>
      <c r="BU237" s="72"/>
      <c r="BV237" s="72"/>
      <c r="BW237" s="72"/>
      <c r="BX237" s="72"/>
      <c r="BY237" s="72"/>
      <c r="BZ237" s="72"/>
      <c r="CA237" s="72"/>
      <c r="CB237" s="72"/>
      <c r="CC237" s="72"/>
      <c r="CD237" s="72"/>
      <c r="CE237" s="72"/>
      <c r="CF237" s="72"/>
      <c r="CG237" s="72"/>
      <c r="CH237" s="72"/>
    </row>
    <row r="238" ht="15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  <c r="AQ238" s="72"/>
      <c r="AR238" s="72"/>
      <c r="AS238" s="72"/>
      <c r="AT238" s="72"/>
      <c r="AU238" s="72"/>
      <c r="AV238" s="72"/>
      <c r="AW238" s="72"/>
      <c r="AX238" s="72"/>
      <c r="AY238" s="72"/>
      <c r="AZ238" s="72"/>
      <c r="BA238" s="72"/>
      <c r="BB238" s="72"/>
      <c r="BC238" s="72"/>
      <c r="BD238" s="72"/>
      <c r="BE238" s="72"/>
      <c r="BF238" s="72"/>
      <c r="BG238" s="72"/>
      <c r="BH238" s="72"/>
      <c r="BI238" s="72"/>
      <c r="BJ238" s="72"/>
      <c r="BK238" s="72"/>
      <c r="BL238" s="72"/>
      <c r="BM238" s="72"/>
      <c r="BN238" s="72"/>
      <c r="BO238" s="72"/>
      <c r="BP238" s="72"/>
      <c r="BQ238" s="72"/>
      <c r="BR238" s="72"/>
      <c r="BS238" s="72"/>
      <c r="BT238" s="72"/>
      <c r="BU238" s="72"/>
      <c r="BV238" s="72"/>
      <c r="BW238" s="72"/>
      <c r="BX238" s="72"/>
      <c r="BY238" s="72"/>
      <c r="BZ238" s="72"/>
      <c r="CA238" s="72"/>
      <c r="CB238" s="72"/>
      <c r="CC238" s="72"/>
      <c r="CD238" s="72"/>
      <c r="CE238" s="72"/>
      <c r="CF238" s="72"/>
      <c r="CG238" s="72"/>
      <c r="CH238" s="72"/>
    </row>
    <row r="239" ht="15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  <c r="AQ239" s="72"/>
      <c r="AR239" s="72"/>
      <c r="AS239" s="72"/>
      <c r="AT239" s="72"/>
      <c r="AU239" s="72"/>
      <c r="AV239" s="72"/>
      <c r="AW239" s="72"/>
      <c r="AX239" s="72"/>
      <c r="AY239" s="72"/>
      <c r="AZ239" s="72"/>
      <c r="BA239" s="72"/>
      <c r="BB239" s="72"/>
      <c r="BC239" s="72"/>
      <c r="BD239" s="72"/>
      <c r="BE239" s="72"/>
      <c r="BF239" s="72"/>
      <c r="BG239" s="72"/>
      <c r="BH239" s="72"/>
      <c r="BI239" s="72"/>
      <c r="BJ239" s="72"/>
      <c r="BK239" s="72"/>
      <c r="BL239" s="72"/>
      <c r="BM239" s="72"/>
      <c r="BN239" s="72"/>
      <c r="BO239" s="72"/>
      <c r="BP239" s="72"/>
      <c r="BQ239" s="72"/>
      <c r="BR239" s="72"/>
      <c r="BS239" s="72"/>
      <c r="BT239" s="72"/>
      <c r="BU239" s="72"/>
      <c r="BV239" s="72"/>
      <c r="BW239" s="72"/>
      <c r="BX239" s="72"/>
      <c r="BY239" s="72"/>
      <c r="BZ239" s="72"/>
      <c r="CA239" s="72"/>
      <c r="CB239" s="72"/>
      <c r="CC239" s="72"/>
      <c r="CD239" s="72"/>
      <c r="CE239" s="72"/>
      <c r="CF239" s="72"/>
      <c r="CG239" s="72"/>
      <c r="CH239" s="72"/>
    </row>
    <row r="240" ht="15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  <c r="AQ240" s="72"/>
      <c r="AR240" s="72"/>
      <c r="AS240" s="72"/>
      <c r="AT240" s="72"/>
      <c r="AU240" s="72"/>
      <c r="AV240" s="72"/>
      <c r="AW240" s="72"/>
      <c r="AX240" s="72"/>
      <c r="AY240" s="72"/>
      <c r="AZ240" s="72"/>
      <c r="BA240" s="72"/>
      <c r="BB240" s="72"/>
      <c r="BC240" s="72"/>
      <c r="BD240" s="72"/>
      <c r="BE240" s="72"/>
      <c r="BF240" s="72"/>
      <c r="BG240" s="72"/>
      <c r="BH240" s="72"/>
      <c r="BI240" s="72"/>
      <c r="BJ240" s="72"/>
      <c r="BK240" s="72"/>
      <c r="BL240" s="72"/>
      <c r="BM240" s="72"/>
      <c r="BN240" s="72"/>
      <c r="BO240" s="72"/>
      <c r="BP240" s="72"/>
      <c r="BQ240" s="72"/>
      <c r="BR240" s="72"/>
      <c r="BS240" s="72"/>
      <c r="BT240" s="72"/>
      <c r="BU240" s="72"/>
      <c r="BV240" s="72"/>
      <c r="BW240" s="72"/>
      <c r="BX240" s="72"/>
      <c r="BY240" s="72"/>
      <c r="BZ240" s="72"/>
      <c r="CA240" s="72"/>
      <c r="CB240" s="72"/>
      <c r="CC240" s="72"/>
      <c r="CD240" s="72"/>
      <c r="CE240" s="72"/>
      <c r="CF240" s="72"/>
      <c r="CG240" s="72"/>
      <c r="CH240" s="72"/>
    </row>
    <row r="241" ht="15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  <c r="AQ241" s="72"/>
      <c r="AR241" s="72"/>
      <c r="AS241" s="72"/>
      <c r="AT241" s="72"/>
      <c r="AU241" s="72"/>
      <c r="AV241" s="72"/>
      <c r="AW241" s="72"/>
      <c r="AX241" s="72"/>
      <c r="AY241" s="72"/>
      <c r="AZ241" s="72"/>
      <c r="BA241" s="72"/>
      <c r="BB241" s="72"/>
      <c r="BC241" s="72"/>
      <c r="BD241" s="72"/>
      <c r="BE241" s="72"/>
      <c r="BF241" s="72"/>
      <c r="BG241" s="72"/>
      <c r="BH241" s="72"/>
      <c r="BI241" s="72"/>
      <c r="BJ241" s="72"/>
      <c r="BK241" s="72"/>
      <c r="BL241" s="72"/>
      <c r="BM241" s="72"/>
      <c r="BN241" s="72"/>
      <c r="BO241" s="72"/>
      <c r="BP241" s="72"/>
      <c r="BQ241" s="72"/>
      <c r="BR241" s="72"/>
      <c r="BS241" s="72"/>
      <c r="BT241" s="72"/>
      <c r="BU241" s="72"/>
      <c r="BV241" s="72"/>
      <c r="BW241" s="72"/>
      <c r="BX241" s="72"/>
      <c r="BY241" s="72"/>
      <c r="BZ241" s="72"/>
      <c r="CA241" s="72"/>
      <c r="CB241" s="72"/>
      <c r="CC241" s="72"/>
      <c r="CD241" s="72"/>
      <c r="CE241" s="72"/>
      <c r="CF241" s="72"/>
      <c r="CG241" s="72"/>
      <c r="CH241" s="72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41:CH41"/>
    <mergeCell ref="A42:CH42"/>
    <mergeCell ref="A1:CH1"/>
    <mergeCell ref="A2:CH2"/>
    <mergeCell ref="A5:CH5"/>
    <mergeCell ref="A7:CH7"/>
    <mergeCell ref="A8:CH8"/>
    <mergeCell ref="A16:CH16"/>
    <mergeCell ref="A17:CH17"/>
  </mergeCells>
  <conditionalFormatting sqref="I5:CD42">
    <cfRule type="cellIs" dxfId="0" priority="1" operator="equal">
      <formula>"Present"</formula>
    </cfRule>
  </conditionalFormatting>
  <conditionalFormatting sqref="I5:CD42">
    <cfRule type="cellIs" dxfId="1" priority="2" operator="equal">
      <formula>"Absent"</formula>
    </cfRule>
  </conditionalFormatting>
  <conditionalFormatting sqref="I5:CD42">
    <cfRule type="cellIs" dxfId="2" priority="3" operator="equal">
      <formula>"Leave"</formula>
    </cfRule>
  </conditionalFormatting>
  <conditionalFormatting sqref="I5:CD42">
    <cfRule type="cellIs" dxfId="3" priority="4" operator="equal">
      <formula>"Late"</formula>
    </cfRule>
  </conditionalFormatting>
  <conditionalFormatting sqref="I5:CD42">
    <cfRule type="cellIs" dxfId="4" priority="5" operator="equal">
      <formula>"Sat Off"</formula>
    </cfRule>
  </conditionalFormatting>
  <conditionalFormatting sqref="I5:CD42">
    <cfRule type="cellIs" dxfId="5" priority="6" operator="equal">
      <formula>"N/A"</formula>
    </cfRule>
  </conditionalFormatting>
  <conditionalFormatting sqref="I5:CD42">
    <cfRule type="cellIs" dxfId="6" priority="7" operator="equal">
      <formula>"Dropout"</formula>
    </cfRule>
  </conditionalFormatting>
  <conditionalFormatting sqref="I5:CD42">
    <cfRule type="cellIs" dxfId="7" priority="8" operator="equal">
      <formula>"OFF"</formula>
    </cfRule>
  </conditionalFormatting>
  <dataValidations>
    <dataValidation type="list" allowBlank="1" sqref="F6 F9:F15 F18:F40 F43:F93">
      <formula1>"✓,—"</formula1>
    </dataValidation>
    <dataValidation type="list" allowBlank="1" sqref="I6:CD6 I9:CD15 I18:CD40 I43:CD93">
      <formula1>"Present,Absent,Leave,Late,Sat Off,N/A,Dropout"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07D8B"/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12.0"/>
    <col customWidth="1" min="4" max="4" width="10.0"/>
    <col customWidth="1" min="5" max="6" width="8.71"/>
  </cols>
  <sheetData>
    <row r="1" ht="23.25" customHeight="1">
      <c r="A1" s="159" t="s">
        <v>835</v>
      </c>
      <c r="B1" s="2"/>
      <c r="C1" s="2"/>
      <c r="D1" s="3"/>
    </row>
    <row r="2" ht="13.5" customHeight="1">
      <c r="A2" s="5" t="s">
        <v>3</v>
      </c>
      <c r="B2" s="5" t="s">
        <v>32</v>
      </c>
      <c r="C2" s="5" t="s">
        <v>33</v>
      </c>
      <c r="D2" s="5" t="s">
        <v>28</v>
      </c>
    </row>
    <row r="3" ht="13.5" customHeight="1">
      <c r="A3" s="160"/>
      <c r="B3" s="160"/>
      <c r="C3" s="160"/>
      <c r="D3" s="160" t="s">
        <v>836</v>
      </c>
    </row>
    <row r="4" ht="15.75" customHeight="1">
      <c r="A4" s="47">
        <v>1.0</v>
      </c>
      <c r="B4" s="47" t="s">
        <v>74</v>
      </c>
      <c r="C4" s="47" t="s">
        <v>76</v>
      </c>
      <c r="D4" s="47"/>
    </row>
    <row r="5" ht="15.75" customHeight="1">
      <c r="A5" s="161">
        <v>2.0</v>
      </c>
      <c r="B5" s="161" t="s">
        <v>199</v>
      </c>
      <c r="C5" s="161" t="s">
        <v>200</v>
      </c>
      <c r="D5" s="161"/>
    </row>
    <row r="6" ht="15.75" customHeight="1">
      <c r="A6" s="47">
        <v>3.0</v>
      </c>
      <c r="B6" s="47" t="s">
        <v>201</v>
      </c>
      <c r="C6" s="47" t="s">
        <v>76</v>
      </c>
      <c r="D6" s="47"/>
    </row>
    <row r="7" ht="15.75" customHeight="1">
      <c r="A7" s="161">
        <v>4.0</v>
      </c>
      <c r="B7" s="161" t="s">
        <v>202</v>
      </c>
      <c r="C7" s="161" t="s">
        <v>200</v>
      </c>
      <c r="D7" s="161"/>
    </row>
    <row r="8" ht="15.75" customHeight="1">
      <c r="A8" s="47">
        <v>5.0</v>
      </c>
      <c r="B8" s="47" t="s">
        <v>208</v>
      </c>
      <c r="C8" s="47" t="s">
        <v>76</v>
      </c>
      <c r="D8" s="47"/>
    </row>
    <row r="9" ht="15.75" customHeight="1">
      <c r="A9" s="161">
        <v>6.0</v>
      </c>
      <c r="B9" s="161" t="s">
        <v>209</v>
      </c>
      <c r="C9" s="161" t="s">
        <v>200</v>
      </c>
      <c r="D9" s="161"/>
    </row>
    <row r="10" ht="15.75" customHeight="1">
      <c r="A10" s="47">
        <v>7.0</v>
      </c>
      <c r="B10" s="47" t="s">
        <v>213</v>
      </c>
      <c r="C10" s="47" t="s">
        <v>76</v>
      </c>
      <c r="D10" s="47"/>
    </row>
    <row r="11" ht="15.75" customHeight="1">
      <c r="A11" s="161">
        <v>8.0</v>
      </c>
      <c r="B11" s="161" t="s">
        <v>214</v>
      </c>
      <c r="C11" s="161" t="s">
        <v>200</v>
      </c>
      <c r="D11" s="161"/>
    </row>
    <row r="12" ht="15.75" customHeight="1">
      <c r="A12" s="47">
        <v>9.0</v>
      </c>
      <c r="B12" s="47" t="s">
        <v>218</v>
      </c>
      <c r="C12" s="47" t="s">
        <v>76</v>
      </c>
      <c r="D12" s="47"/>
    </row>
    <row r="13" ht="15.75" customHeight="1">
      <c r="A13" s="161">
        <v>10.0</v>
      </c>
      <c r="B13" s="161" t="s">
        <v>224</v>
      </c>
      <c r="C13" s="161" t="s">
        <v>200</v>
      </c>
      <c r="D13" s="161"/>
    </row>
    <row r="14" ht="15.75" customHeight="1">
      <c r="A14" s="47">
        <v>11.0</v>
      </c>
      <c r="B14" s="47" t="s">
        <v>228</v>
      </c>
      <c r="C14" s="47" t="s">
        <v>76</v>
      </c>
      <c r="D14" s="47"/>
    </row>
    <row r="15" ht="15.75" customHeight="1">
      <c r="A15" s="161">
        <v>12.0</v>
      </c>
      <c r="B15" s="161" t="s">
        <v>232</v>
      </c>
      <c r="C15" s="161" t="s">
        <v>200</v>
      </c>
      <c r="D15" s="161"/>
    </row>
    <row r="16" ht="15.75" customHeight="1">
      <c r="A16" s="47">
        <v>13.0</v>
      </c>
      <c r="B16" s="47" t="s">
        <v>236</v>
      </c>
      <c r="C16" s="47" t="s">
        <v>76</v>
      </c>
      <c r="D16" s="47"/>
    </row>
    <row r="17" ht="15.75" customHeight="1">
      <c r="A17" s="161">
        <v>14.0</v>
      </c>
      <c r="B17" s="161" t="s">
        <v>237</v>
      </c>
      <c r="C17" s="161" t="s">
        <v>200</v>
      </c>
      <c r="D17" s="161"/>
    </row>
    <row r="18" ht="15.75" customHeight="1">
      <c r="A18" s="47">
        <v>15.0</v>
      </c>
      <c r="B18" s="47" t="s">
        <v>241</v>
      </c>
      <c r="C18" s="47" t="s">
        <v>76</v>
      </c>
      <c r="D18" s="162" t="s">
        <v>197</v>
      </c>
    </row>
    <row r="19" ht="15.75" customHeight="1">
      <c r="A19" s="161">
        <v>16.0</v>
      </c>
      <c r="B19" s="161" t="s">
        <v>245</v>
      </c>
      <c r="C19" s="161" t="s">
        <v>200</v>
      </c>
      <c r="D19" s="161"/>
    </row>
    <row r="20" ht="15.75" customHeight="1">
      <c r="A20" s="47">
        <v>17.0</v>
      </c>
      <c r="B20" s="47" t="s">
        <v>246</v>
      </c>
      <c r="C20" s="47" t="s">
        <v>76</v>
      </c>
      <c r="D20" s="47"/>
    </row>
    <row r="21" ht="15.75" customHeight="1">
      <c r="A21" s="161">
        <v>18.0</v>
      </c>
      <c r="B21" s="161" t="s">
        <v>248</v>
      </c>
      <c r="C21" s="161" t="s">
        <v>200</v>
      </c>
      <c r="D21" s="161"/>
    </row>
    <row r="22" ht="15.75" customHeight="1">
      <c r="A22" s="47">
        <v>19.0</v>
      </c>
      <c r="B22" s="47" t="s">
        <v>249</v>
      </c>
      <c r="C22" s="47" t="s">
        <v>76</v>
      </c>
      <c r="D22" s="47"/>
    </row>
    <row r="23" ht="15.75" customHeight="1">
      <c r="A23" s="161">
        <v>20.0</v>
      </c>
      <c r="B23" s="161" t="s">
        <v>253</v>
      </c>
      <c r="C23" s="161" t="s">
        <v>200</v>
      </c>
      <c r="D23" s="161"/>
    </row>
    <row r="24" ht="15.75" customHeight="1">
      <c r="A24" s="47">
        <v>21.0</v>
      </c>
      <c r="B24" s="47" t="s">
        <v>254</v>
      </c>
      <c r="C24" s="47" t="s">
        <v>76</v>
      </c>
      <c r="D24" s="47"/>
    </row>
    <row r="25" ht="15.75" customHeight="1">
      <c r="A25" s="161">
        <v>22.0</v>
      </c>
      <c r="B25" s="161" t="s">
        <v>257</v>
      </c>
      <c r="C25" s="161" t="s">
        <v>200</v>
      </c>
      <c r="D25" s="161"/>
    </row>
    <row r="26" ht="15.75" customHeight="1">
      <c r="A26" s="47">
        <v>23.0</v>
      </c>
      <c r="B26" s="47" t="s">
        <v>260</v>
      </c>
      <c r="C26" s="47" t="s">
        <v>76</v>
      </c>
      <c r="D26" s="47"/>
    </row>
    <row r="27" ht="15.75" customHeight="1">
      <c r="A27" s="161">
        <v>24.0</v>
      </c>
      <c r="B27" s="161" t="s">
        <v>261</v>
      </c>
      <c r="C27" s="161" t="s">
        <v>200</v>
      </c>
      <c r="D27" s="161"/>
    </row>
    <row r="28" ht="15.75" customHeight="1">
      <c r="A28" s="47">
        <v>25.0</v>
      </c>
      <c r="B28" s="47" t="s">
        <v>262</v>
      </c>
      <c r="C28" s="47" t="s">
        <v>76</v>
      </c>
      <c r="D28" s="47"/>
    </row>
    <row r="29" ht="15.75" customHeight="1">
      <c r="A29" s="161">
        <v>26.0</v>
      </c>
      <c r="B29" s="161" t="s">
        <v>264</v>
      </c>
      <c r="C29" s="161" t="s">
        <v>200</v>
      </c>
      <c r="D29" s="161"/>
    </row>
    <row r="30" ht="15.75" customHeight="1">
      <c r="A30" s="47">
        <v>27.0</v>
      </c>
      <c r="B30" s="47" t="s">
        <v>265</v>
      </c>
      <c r="C30" s="47" t="s">
        <v>76</v>
      </c>
      <c r="D30" s="47"/>
    </row>
    <row r="31" ht="15.75" customHeight="1">
      <c r="A31" s="161">
        <v>28.0</v>
      </c>
      <c r="B31" s="161" t="s">
        <v>269</v>
      </c>
      <c r="C31" s="161" t="s">
        <v>200</v>
      </c>
      <c r="D31" s="161"/>
    </row>
    <row r="32" ht="15.75" customHeight="1">
      <c r="A32" s="47">
        <v>29.0</v>
      </c>
      <c r="B32" s="47" t="s">
        <v>270</v>
      </c>
      <c r="C32" s="47" t="s">
        <v>76</v>
      </c>
      <c r="D32" s="47"/>
    </row>
    <row r="33" ht="15.75" customHeight="1">
      <c r="A33" s="161">
        <v>30.0</v>
      </c>
      <c r="B33" s="161" t="s">
        <v>274</v>
      </c>
      <c r="C33" s="161" t="s">
        <v>200</v>
      </c>
      <c r="D33" s="161"/>
    </row>
    <row r="34" ht="15.75" customHeight="1">
      <c r="A34" s="47">
        <v>31.0</v>
      </c>
      <c r="B34" s="47" t="s">
        <v>276</v>
      </c>
      <c r="C34" s="47" t="s">
        <v>76</v>
      </c>
      <c r="D34" s="47"/>
    </row>
    <row r="35" ht="15.75" customHeight="1">
      <c r="A35" s="161">
        <v>32.0</v>
      </c>
      <c r="B35" s="161" t="s">
        <v>279</v>
      </c>
      <c r="C35" s="161" t="s">
        <v>200</v>
      </c>
      <c r="D35" s="161"/>
    </row>
    <row r="36" ht="15.75" customHeight="1">
      <c r="A36" s="47">
        <v>33.0</v>
      </c>
      <c r="B36" s="47" t="s">
        <v>283</v>
      </c>
      <c r="C36" s="47" t="s">
        <v>76</v>
      </c>
      <c r="D36" s="47"/>
    </row>
    <row r="37" ht="15.75" customHeight="1">
      <c r="A37" s="161">
        <v>34.0</v>
      </c>
      <c r="B37" s="161" t="s">
        <v>284</v>
      </c>
      <c r="C37" s="161" t="s">
        <v>200</v>
      </c>
      <c r="D37" s="161"/>
    </row>
    <row r="38" ht="15.75" customHeight="1">
      <c r="A38" s="47">
        <v>35.0</v>
      </c>
      <c r="B38" s="47" t="s">
        <v>286</v>
      </c>
      <c r="C38" s="47" t="s">
        <v>76</v>
      </c>
      <c r="D38" s="47"/>
    </row>
    <row r="39" ht="15.75" customHeight="1">
      <c r="A39" s="161">
        <v>36.0</v>
      </c>
      <c r="B39" s="161" t="s">
        <v>288</v>
      </c>
      <c r="C39" s="161" t="s">
        <v>200</v>
      </c>
      <c r="D39" s="161"/>
    </row>
    <row r="40" ht="15.75" customHeight="1">
      <c r="A40" s="47">
        <v>37.0</v>
      </c>
      <c r="B40" s="47" t="s">
        <v>291</v>
      </c>
      <c r="C40" s="47" t="s">
        <v>76</v>
      </c>
      <c r="D40" s="47"/>
    </row>
    <row r="41" ht="15.75" customHeight="1">
      <c r="A41" s="161">
        <v>38.0</v>
      </c>
      <c r="B41" s="161" t="s">
        <v>297</v>
      </c>
      <c r="C41" s="161" t="s">
        <v>200</v>
      </c>
      <c r="D41" s="161"/>
    </row>
    <row r="42" ht="15.75" customHeight="1">
      <c r="A42" s="47">
        <v>39.0</v>
      </c>
      <c r="B42" s="47" t="s">
        <v>300</v>
      </c>
      <c r="C42" s="47" t="s">
        <v>76</v>
      </c>
      <c r="D42" s="47"/>
    </row>
    <row r="43" ht="15.75" customHeight="1">
      <c r="A43" s="161">
        <v>40.0</v>
      </c>
      <c r="B43" s="161" t="s">
        <v>302</v>
      </c>
      <c r="C43" s="161" t="s">
        <v>200</v>
      </c>
      <c r="D43" s="161"/>
    </row>
    <row r="44" ht="15.75" customHeight="1">
      <c r="A44" s="47">
        <v>41.0</v>
      </c>
      <c r="B44" s="47" t="s">
        <v>304</v>
      </c>
      <c r="C44" s="47" t="s">
        <v>76</v>
      </c>
      <c r="D44" s="47"/>
    </row>
    <row r="45" ht="15.75" customHeight="1">
      <c r="A45" s="161">
        <v>42.0</v>
      </c>
      <c r="B45" s="161" t="s">
        <v>307</v>
      </c>
      <c r="C45" s="161" t="s">
        <v>200</v>
      </c>
      <c r="D45" s="161"/>
    </row>
    <row r="46" ht="15.75" customHeight="1">
      <c r="A46" s="47">
        <v>43.0</v>
      </c>
      <c r="B46" s="47" t="s">
        <v>308</v>
      </c>
      <c r="C46" s="47" t="s">
        <v>76</v>
      </c>
      <c r="D46" s="47"/>
    </row>
    <row r="47" ht="15.75" customHeight="1">
      <c r="A47" s="161">
        <v>44.0</v>
      </c>
      <c r="B47" s="161" t="s">
        <v>312</v>
      </c>
      <c r="C47" s="161" t="s">
        <v>200</v>
      </c>
      <c r="D47" s="161"/>
    </row>
    <row r="48" ht="15.75" customHeight="1">
      <c r="A48" s="47">
        <v>45.0</v>
      </c>
      <c r="B48" s="47" t="s">
        <v>313</v>
      </c>
      <c r="C48" s="47" t="s">
        <v>76</v>
      </c>
      <c r="D48" s="47"/>
    </row>
    <row r="49" ht="15.75" customHeight="1">
      <c r="A49" s="161">
        <v>46.0</v>
      </c>
      <c r="B49" s="161" t="s">
        <v>317</v>
      </c>
      <c r="C49" s="161" t="s">
        <v>200</v>
      </c>
      <c r="D49" s="161"/>
    </row>
    <row r="50" ht="15.75" customHeight="1">
      <c r="A50" s="47">
        <v>47.0</v>
      </c>
      <c r="B50" s="47" t="s">
        <v>321</v>
      </c>
      <c r="C50" s="47" t="s">
        <v>76</v>
      </c>
      <c r="D50" s="47"/>
    </row>
    <row r="51" ht="15.75" customHeight="1">
      <c r="A51" s="161">
        <v>48.0</v>
      </c>
      <c r="B51" s="161" t="s">
        <v>325</v>
      </c>
      <c r="C51" s="161" t="s">
        <v>200</v>
      </c>
      <c r="D51" s="161"/>
    </row>
    <row r="52" ht="15.75" customHeight="1">
      <c r="A52" s="47">
        <v>49.0</v>
      </c>
      <c r="B52" s="47" t="s">
        <v>326</v>
      </c>
      <c r="C52" s="47" t="s">
        <v>76</v>
      </c>
      <c r="D52" s="47"/>
    </row>
    <row r="53" ht="15.75" customHeight="1">
      <c r="A53" s="161">
        <v>50.0</v>
      </c>
      <c r="B53" s="161" t="s">
        <v>331</v>
      </c>
      <c r="C53" s="161" t="s">
        <v>200</v>
      </c>
      <c r="D53" s="161"/>
    </row>
    <row r="54" ht="15.75" customHeight="1">
      <c r="A54" s="47">
        <v>51.0</v>
      </c>
      <c r="B54" s="47" t="s">
        <v>335</v>
      </c>
      <c r="C54" s="47" t="s">
        <v>76</v>
      </c>
      <c r="D54" s="47"/>
    </row>
    <row r="55" ht="15.75" customHeight="1">
      <c r="A55" s="161">
        <v>52.0</v>
      </c>
      <c r="B55" s="161" t="s">
        <v>336</v>
      </c>
      <c r="C55" s="161" t="s">
        <v>200</v>
      </c>
      <c r="D55" s="161"/>
    </row>
    <row r="56" ht="15.75" customHeight="1">
      <c r="A56" s="47">
        <v>53.0</v>
      </c>
      <c r="B56" s="47" t="s">
        <v>340</v>
      </c>
      <c r="C56" s="47" t="s">
        <v>76</v>
      </c>
      <c r="D56" s="47"/>
    </row>
    <row r="57" ht="15.75" customHeight="1">
      <c r="A57" s="161">
        <v>54.0</v>
      </c>
      <c r="B57" s="161" t="s">
        <v>341</v>
      </c>
      <c r="C57" s="161" t="s">
        <v>200</v>
      </c>
      <c r="D57" s="161"/>
    </row>
    <row r="58" ht="15.75" customHeight="1">
      <c r="A58" s="47">
        <v>55.0</v>
      </c>
      <c r="B58" s="47" t="s">
        <v>347</v>
      </c>
      <c r="C58" s="47" t="s">
        <v>76</v>
      </c>
      <c r="D58" s="47"/>
    </row>
    <row r="59" ht="15.75" customHeight="1">
      <c r="A59" s="161">
        <v>56.0</v>
      </c>
      <c r="B59" s="161" t="s">
        <v>350</v>
      </c>
      <c r="C59" s="161" t="s">
        <v>200</v>
      </c>
      <c r="D59" s="161"/>
    </row>
    <row r="60" ht="15.75" customHeight="1">
      <c r="A60" s="47">
        <v>57.0</v>
      </c>
      <c r="B60" s="47" t="s">
        <v>354</v>
      </c>
      <c r="C60" s="47" t="s">
        <v>76</v>
      </c>
      <c r="D60" s="47"/>
    </row>
    <row r="61" ht="15.75" customHeight="1">
      <c r="A61" s="161">
        <v>58.0</v>
      </c>
      <c r="B61" s="161" t="s">
        <v>356</v>
      </c>
      <c r="C61" s="161" t="s">
        <v>200</v>
      </c>
      <c r="D61" s="161"/>
    </row>
    <row r="62" ht="15.75" customHeight="1">
      <c r="A62" s="47">
        <v>59.0</v>
      </c>
      <c r="B62" s="47" t="s">
        <v>358</v>
      </c>
      <c r="C62" s="47" t="s">
        <v>76</v>
      </c>
      <c r="D62" s="47"/>
    </row>
    <row r="63" ht="15.75" customHeight="1">
      <c r="A63" s="161">
        <v>60.0</v>
      </c>
      <c r="B63" s="161" t="s">
        <v>359</v>
      </c>
      <c r="C63" s="161" t="s">
        <v>200</v>
      </c>
      <c r="D63" s="161"/>
    </row>
    <row r="64" ht="15.75" customHeight="1">
      <c r="A64" s="47">
        <v>61.0</v>
      </c>
      <c r="B64" s="47" t="s">
        <v>364</v>
      </c>
      <c r="C64" s="47" t="s">
        <v>76</v>
      </c>
      <c r="D64" s="47"/>
    </row>
    <row r="65" ht="15.75" customHeight="1">
      <c r="A65" s="161">
        <v>62.0</v>
      </c>
      <c r="B65" s="161" t="s">
        <v>365</v>
      </c>
      <c r="C65" s="161" t="s">
        <v>200</v>
      </c>
      <c r="D65" s="161"/>
    </row>
    <row r="66" ht="15.75" customHeight="1">
      <c r="A66" s="47">
        <v>63.0</v>
      </c>
      <c r="B66" s="47" t="s">
        <v>367</v>
      </c>
      <c r="C66" s="47" t="s">
        <v>76</v>
      </c>
      <c r="D66" s="47"/>
    </row>
    <row r="67" ht="15.75" customHeight="1">
      <c r="A67" s="161">
        <v>64.0</v>
      </c>
      <c r="B67" s="161" t="s">
        <v>368</v>
      </c>
      <c r="C67" s="161" t="s">
        <v>200</v>
      </c>
      <c r="D67" s="161"/>
    </row>
    <row r="68" ht="15.75" customHeight="1">
      <c r="A68" s="47">
        <v>65.0</v>
      </c>
      <c r="B68" s="47" t="s">
        <v>370</v>
      </c>
      <c r="C68" s="47" t="s">
        <v>76</v>
      </c>
      <c r="D68" s="47"/>
    </row>
    <row r="69" ht="15.75" customHeight="1">
      <c r="A69" s="161">
        <v>66.0</v>
      </c>
      <c r="B69" s="161" t="s">
        <v>371</v>
      </c>
      <c r="C69" s="161" t="s">
        <v>200</v>
      </c>
      <c r="D69" s="161"/>
    </row>
    <row r="70" ht="15.75" customHeight="1">
      <c r="A70" s="47">
        <v>67.0</v>
      </c>
      <c r="B70" s="47" t="s">
        <v>373</v>
      </c>
      <c r="C70" s="47" t="s">
        <v>76</v>
      </c>
      <c r="D70" s="47"/>
    </row>
    <row r="71" ht="15.75" customHeight="1">
      <c r="A71" s="161">
        <v>68.0</v>
      </c>
      <c r="B71" s="161" t="s">
        <v>374</v>
      </c>
      <c r="C71" s="161" t="s">
        <v>200</v>
      </c>
      <c r="D71" s="161"/>
    </row>
    <row r="72" ht="15.75" customHeight="1">
      <c r="A72" s="47">
        <v>69.0</v>
      </c>
      <c r="B72" s="47" t="s">
        <v>380</v>
      </c>
      <c r="C72" s="47" t="s">
        <v>76</v>
      </c>
      <c r="D72" s="47"/>
    </row>
    <row r="73" ht="15.75" customHeight="1">
      <c r="A73" s="161">
        <v>70.0</v>
      </c>
      <c r="B73" s="161" t="s">
        <v>384</v>
      </c>
      <c r="C73" s="161" t="s">
        <v>200</v>
      </c>
      <c r="D73" s="161"/>
    </row>
    <row r="74" ht="15.75" customHeight="1">
      <c r="A74" s="47">
        <v>71.0</v>
      </c>
      <c r="B74" s="47" t="s">
        <v>387</v>
      </c>
      <c r="C74" s="47" t="s">
        <v>76</v>
      </c>
      <c r="D74" s="47"/>
    </row>
    <row r="75" ht="15.75" customHeight="1">
      <c r="A75" s="161">
        <v>72.0</v>
      </c>
      <c r="B75" s="161" t="s">
        <v>393</v>
      </c>
      <c r="C75" s="161" t="s">
        <v>200</v>
      </c>
      <c r="D75" s="161"/>
    </row>
    <row r="76" ht="15.75" customHeight="1">
      <c r="A76" s="47">
        <v>73.0</v>
      </c>
      <c r="B76" s="47" t="s">
        <v>395</v>
      </c>
      <c r="C76" s="47" t="s">
        <v>76</v>
      </c>
      <c r="D76" s="47"/>
    </row>
    <row r="77" ht="15.75" customHeight="1">
      <c r="A77" s="161">
        <v>74.0</v>
      </c>
      <c r="B77" s="161" t="s">
        <v>400</v>
      </c>
      <c r="C77" s="161" t="s">
        <v>200</v>
      </c>
      <c r="D77" s="161"/>
    </row>
    <row r="78" ht="15.75" customHeight="1">
      <c r="A78" s="72"/>
      <c r="B78" s="72"/>
      <c r="C78" s="72"/>
      <c r="D78" s="72"/>
    </row>
    <row r="79" ht="15.75" customHeight="1">
      <c r="A79" s="72"/>
      <c r="B79" s="72"/>
      <c r="C79" s="72"/>
      <c r="D79" s="72"/>
    </row>
    <row r="80" ht="15.75" customHeight="1">
      <c r="A80" s="72"/>
      <c r="B80" s="72"/>
      <c r="C80" s="72"/>
      <c r="D80" s="72"/>
    </row>
    <row r="81" ht="15.75" customHeight="1">
      <c r="A81" s="72"/>
      <c r="B81" s="72"/>
      <c r="C81" s="72"/>
      <c r="D81" s="72"/>
    </row>
    <row r="82" ht="15.75" customHeight="1">
      <c r="A82" s="72"/>
      <c r="B82" s="72"/>
      <c r="C82" s="72"/>
      <c r="D82" s="72"/>
    </row>
    <row r="83" ht="15.75" customHeight="1">
      <c r="A83" s="72"/>
      <c r="B83" s="72"/>
      <c r="C83" s="72"/>
      <c r="D83" s="72"/>
    </row>
    <row r="84" ht="15.75" customHeight="1">
      <c r="A84" s="72"/>
      <c r="B84" s="72"/>
      <c r="C84" s="72"/>
      <c r="D84" s="72"/>
    </row>
    <row r="85" ht="15.75" customHeight="1">
      <c r="A85" s="72"/>
      <c r="B85" s="72"/>
      <c r="C85" s="72"/>
      <c r="D85" s="72"/>
    </row>
    <row r="86" ht="15.75" customHeight="1">
      <c r="A86" s="72"/>
      <c r="B86" s="72"/>
      <c r="C86" s="72"/>
      <c r="D86" s="72"/>
    </row>
    <row r="87" ht="15.75" customHeight="1">
      <c r="A87" s="72"/>
      <c r="B87" s="72"/>
      <c r="C87" s="72"/>
      <c r="D87" s="72"/>
    </row>
    <row r="88" ht="15.75" customHeight="1">
      <c r="A88" s="72"/>
      <c r="B88" s="72"/>
      <c r="C88" s="72"/>
      <c r="D88" s="72"/>
    </row>
    <row r="89" ht="15.75" customHeight="1">
      <c r="A89" s="72"/>
      <c r="B89" s="72"/>
      <c r="C89" s="72"/>
      <c r="D89" s="72"/>
    </row>
    <row r="90" ht="15.75" customHeight="1">
      <c r="A90" s="72"/>
      <c r="B90" s="72"/>
      <c r="C90" s="72"/>
      <c r="D90" s="72"/>
    </row>
    <row r="91" ht="15.75" customHeight="1">
      <c r="A91" s="72"/>
      <c r="B91" s="72"/>
      <c r="C91" s="72"/>
      <c r="D91" s="72"/>
    </row>
    <row r="92" ht="15.75" customHeight="1">
      <c r="A92" s="72"/>
      <c r="B92" s="72"/>
      <c r="C92" s="72"/>
      <c r="D92" s="72"/>
    </row>
    <row r="93" ht="15.75" customHeight="1">
      <c r="A93" s="72"/>
      <c r="B93" s="72"/>
      <c r="C93" s="72"/>
      <c r="D93" s="72"/>
    </row>
    <row r="94" ht="15.75" customHeight="1">
      <c r="A94" s="72"/>
      <c r="B94" s="72"/>
      <c r="C94" s="72"/>
      <c r="D94" s="72"/>
    </row>
    <row r="95" ht="15.75" customHeight="1">
      <c r="A95" s="72"/>
      <c r="B95" s="72"/>
      <c r="C95" s="72"/>
      <c r="D95" s="72"/>
    </row>
    <row r="96" ht="15.75" customHeight="1">
      <c r="A96" s="72"/>
      <c r="B96" s="72"/>
      <c r="C96" s="72"/>
      <c r="D96" s="72"/>
    </row>
    <row r="97" ht="15.75" customHeight="1">
      <c r="A97" s="72"/>
      <c r="B97" s="72"/>
      <c r="C97" s="72"/>
      <c r="D97" s="72"/>
    </row>
    <row r="98" ht="15.75" customHeight="1">
      <c r="A98" s="72"/>
      <c r="B98" s="72"/>
      <c r="C98" s="72"/>
      <c r="D98" s="72"/>
    </row>
    <row r="99" ht="15.75" customHeight="1">
      <c r="A99" s="72"/>
      <c r="B99" s="72"/>
      <c r="C99" s="72"/>
      <c r="D99" s="72"/>
    </row>
    <row r="100" ht="15.75" customHeight="1">
      <c r="A100" s="72"/>
      <c r="B100" s="72"/>
      <c r="C100" s="72"/>
      <c r="D100" s="72"/>
    </row>
    <row r="101" ht="15.75" customHeight="1">
      <c r="A101" s="72"/>
      <c r="B101" s="72"/>
      <c r="C101" s="72"/>
      <c r="D101" s="72"/>
    </row>
    <row r="102" ht="15.75" customHeight="1">
      <c r="A102" s="72"/>
      <c r="B102" s="72"/>
      <c r="C102" s="72"/>
      <c r="D102" s="72"/>
    </row>
    <row r="103" ht="15.75" customHeight="1">
      <c r="A103" s="72"/>
      <c r="B103" s="72"/>
      <c r="C103" s="72"/>
      <c r="D103" s="72"/>
    </row>
    <row r="104" ht="15.75" customHeight="1">
      <c r="A104" s="72"/>
      <c r="B104" s="72"/>
      <c r="C104" s="72"/>
      <c r="D104" s="72"/>
    </row>
    <row r="105" ht="15.75" customHeight="1">
      <c r="A105" s="72"/>
      <c r="B105" s="72"/>
      <c r="C105" s="72"/>
      <c r="D105" s="72"/>
    </row>
    <row r="106" ht="15.75" customHeight="1">
      <c r="A106" s="72"/>
      <c r="B106" s="72"/>
      <c r="C106" s="72"/>
      <c r="D106" s="72"/>
    </row>
    <row r="107" ht="15.75" customHeight="1">
      <c r="A107" s="72"/>
      <c r="B107" s="72"/>
      <c r="C107" s="72"/>
      <c r="D107" s="72"/>
    </row>
    <row r="108" ht="15.75" customHeight="1">
      <c r="A108" s="72"/>
      <c r="B108" s="72"/>
      <c r="C108" s="72"/>
      <c r="D108" s="72"/>
    </row>
    <row r="109" ht="15.75" customHeight="1">
      <c r="A109" s="72"/>
      <c r="B109" s="72"/>
      <c r="C109" s="72"/>
      <c r="D109" s="72"/>
    </row>
    <row r="110" ht="15.75" customHeight="1">
      <c r="A110" s="72"/>
      <c r="B110" s="72"/>
      <c r="C110" s="72"/>
      <c r="D110" s="72"/>
    </row>
    <row r="111" ht="15.75" customHeight="1">
      <c r="A111" s="72"/>
      <c r="B111" s="72"/>
      <c r="C111" s="72"/>
      <c r="D111" s="72"/>
    </row>
    <row r="112" ht="15.75" customHeight="1">
      <c r="A112" s="72"/>
      <c r="B112" s="72"/>
      <c r="C112" s="72"/>
      <c r="D112" s="72"/>
    </row>
    <row r="113" ht="15.75" customHeight="1">
      <c r="A113" s="72"/>
      <c r="B113" s="72"/>
      <c r="C113" s="72"/>
      <c r="D113" s="72"/>
    </row>
    <row r="114" ht="15.75" customHeight="1">
      <c r="A114" s="72"/>
      <c r="B114" s="72"/>
      <c r="C114" s="72"/>
      <c r="D114" s="72"/>
    </row>
    <row r="115" ht="15.75" customHeight="1">
      <c r="A115" s="72"/>
      <c r="B115" s="72"/>
      <c r="C115" s="72"/>
      <c r="D115" s="72"/>
    </row>
    <row r="116" ht="15.75" customHeight="1">
      <c r="A116" s="72"/>
      <c r="B116" s="72"/>
      <c r="C116" s="72"/>
      <c r="D116" s="72"/>
    </row>
    <row r="117" ht="15.75" customHeight="1">
      <c r="A117" s="72"/>
      <c r="B117" s="72"/>
      <c r="C117" s="72"/>
      <c r="D117" s="72"/>
    </row>
    <row r="118" ht="15.75" customHeight="1">
      <c r="A118" s="72"/>
      <c r="B118" s="72"/>
      <c r="C118" s="72"/>
      <c r="D118" s="72"/>
    </row>
    <row r="119" ht="15.75" customHeight="1">
      <c r="A119" s="72"/>
      <c r="B119" s="72"/>
      <c r="C119" s="72"/>
      <c r="D119" s="72"/>
    </row>
    <row r="120" ht="15.75" customHeight="1">
      <c r="A120" s="72"/>
      <c r="B120" s="72"/>
      <c r="C120" s="72"/>
      <c r="D120" s="72"/>
    </row>
    <row r="121" ht="15.75" customHeight="1">
      <c r="A121" s="72"/>
      <c r="B121" s="72"/>
      <c r="C121" s="72"/>
      <c r="D121" s="72"/>
    </row>
    <row r="122" ht="15.75" customHeight="1">
      <c r="A122" s="72"/>
      <c r="B122" s="72"/>
      <c r="C122" s="72"/>
      <c r="D122" s="72"/>
    </row>
    <row r="123" ht="15.75" customHeight="1">
      <c r="A123" s="72"/>
      <c r="B123" s="72"/>
      <c r="C123" s="72"/>
      <c r="D123" s="72"/>
    </row>
    <row r="124" ht="15.75" customHeight="1">
      <c r="A124" s="72"/>
      <c r="B124" s="72"/>
      <c r="C124" s="72"/>
      <c r="D124" s="72"/>
    </row>
    <row r="125" ht="15.75" customHeight="1">
      <c r="A125" s="72"/>
      <c r="B125" s="72"/>
      <c r="C125" s="72"/>
      <c r="D125" s="72"/>
    </row>
    <row r="126" ht="15.75" customHeight="1">
      <c r="A126" s="72"/>
      <c r="B126" s="72"/>
      <c r="C126" s="72"/>
      <c r="D126" s="72"/>
    </row>
    <row r="127" ht="15.75" customHeight="1">
      <c r="A127" s="72"/>
      <c r="B127" s="72"/>
      <c r="C127" s="72"/>
      <c r="D127" s="72"/>
    </row>
    <row r="128" ht="15.75" customHeight="1">
      <c r="A128" s="72"/>
      <c r="B128" s="72"/>
      <c r="C128" s="72"/>
      <c r="D128" s="72"/>
    </row>
    <row r="129" ht="15.75" customHeight="1">
      <c r="A129" s="72"/>
      <c r="B129" s="72"/>
      <c r="C129" s="72"/>
      <c r="D129" s="72"/>
    </row>
    <row r="130" ht="15.75" customHeight="1">
      <c r="A130" s="72"/>
      <c r="B130" s="72"/>
      <c r="C130" s="72"/>
      <c r="D130" s="72"/>
    </row>
    <row r="131" ht="15.75" customHeight="1">
      <c r="A131" s="72"/>
      <c r="B131" s="72"/>
      <c r="C131" s="72"/>
      <c r="D131" s="72"/>
    </row>
    <row r="132" ht="15.75" customHeight="1">
      <c r="A132" s="72"/>
      <c r="B132" s="72"/>
      <c r="C132" s="72"/>
      <c r="D132" s="72"/>
    </row>
    <row r="133" ht="15.75" customHeight="1">
      <c r="A133" s="72"/>
      <c r="B133" s="72"/>
      <c r="C133" s="72"/>
      <c r="D133" s="72"/>
    </row>
    <row r="134" ht="15.75" customHeight="1">
      <c r="A134" s="72"/>
      <c r="B134" s="72"/>
      <c r="C134" s="72"/>
      <c r="D134" s="72"/>
    </row>
    <row r="135" ht="15.75" customHeight="1">
      <c r="A135" s="72"/>
      <c r="B135" s="72"/>
      <c r="C135" s="72"/>
      <c r="D135" s="72"/>
    </row>
    <row r="136" ht="15.75" customHeight="1">
      <c r="A136" s="72"/>
      <c r="B136" s="72"/>
      <c r="C136" s="72"/>
      <c r="D136" s="72"/>
    </row>
    <row r="137" ht="15.75" customHeight="1">
      <c r="A137" s="72"/>
      <c r="B137" s="72"/>
      <c r="C137" s="72"/>
      <c r="D137" s="72"/>
    </row>
    <row r="138" ht="15.75" customHeight="1">
      <c r="A138" s="72"/>
      <c r="B138" s="72"/>
      <c r="C138" s="72"/>
      <c r="D138" s="72"/>
    </row>
    <row r="139" ht="15.75" customHeight="1">
      <c r="A139" s="72"/>
      <c r="B139" s="72"/>
      <c r="C139" s="72"/>
      <c r="D139" s="72"/>
    </row>
    <row r="140" ht="15.75" customHeight="1">
      <c r="A140" s="72"/>
      <c r="B140" s="72"/>
      <c r="C140" s="72"/>
      <c r="D140" s="72"/>
    </row>
    <row r="141" ht="15.75" customHeight="1">
      <c r="A141" s="72"/>
      <c r="B141" s="72"/>
      <c r="C141" s="72"/>
      <c r="D141" s="72"/>
    </row>
    <row r="142" ht="15.75" customHeight="1">
      <c r="A142" s="72"/>
      <c r="B142" s="72"/>
      <c r="C142" s="72"/>
      <c r="D142" s="72"/>
    </row>
    <row r="143" ht="15.75" customHeight="1">
      <c r="A143" s="72"/>
      <c r="B143" s="72"/>
      <c r="C143" s="72"/>
      <c r="D143" s="72"/>
    </row>
    <row r="144" ht="15.75" customHeight="1">
      <c r="A144" s="72"/>
      <c r="B144" s="72"/>
      <c r="C144" s="72"/>
      <c r="D144" s="72"/>
    </row>
    <row r="145" ht="15.75" customHeight="1">
      <c r="A145" s="72"/>
      <c r="B145" s="72"/>
      <c r="C145" s="72"/>
      <c r="D145" s="72"/>
    </row>
    <row r="146" ht="15.75" customHeight="1">
      <c r="A146" s="72"/>
      <c r="B146" s="72"/>
      <c r="C146" s="72"/>
      <c r="D146" s="72"/>
    </row>
    <row r="147" ht="15.75" customHeight="1">
      <c r="A147" s="72"/>
      <c r="B147" s="72"/>
      <c r="C147" s="72"/>
      <c r="D147" s="72"/>
    </row>
    <row r="148" ht="15.75" customHeight="1">
      <c r="A148" s="72"/>
      <c r="B148" s="72"/>
      <c r="C148" s="72"/>
      <c r="D148" s="72"/>
    </row>
    <row r="149" ht="15.75" customHeight="1">
      <c r="A149" s="72"/>
      <c r="B149" s="72"/>
      <c r="C149" s="72"/>
      <c r="D149" s="72"/>
    </row>
    <row r="150" ht="15.75" customHeight="1">
      <c r="A150" s="72"/>
      <c r="B150" s="72"/>
      <c r="C150" s="72"/>
      <c r="D150" s="72"/>
    </row>
    <row r="151" ht="15.75" customHeight="1">
      <c r="A151" s="72"/>
      <c r="B151" s="72"/>
      <c r="C151" s="72"/>
      <c r="D151" s="72"/>
    </row>
    <row r="152" ht="15.75" customHeight="1">
      <c r="A152" s="72"/>
      <c r="B152" s="72"/>
      <c r="C152" s="72"/>
      <c r="D152" s="72"/>
    </row>
    <row r="153" ht="15.75" customHeight="1">
      <c r="A153" s="72"/>
      <c r="B153" s="72"/>
      <c r="C153" s="72"/>
      <c r="D153" s="72"/>
    </row>
    <row r="154" ht="15.75" customHeight="1">
      <c r="A154" s="72"/>
      <c r="B154" s="72"/>
      <c r="C154" s="72"/>
      <c r="D154" s="72"/>
    </row>
    <row r="155" ht="15.75" customHeight="1">
      <c r="A155" s="72"/>
      <c r="B155" s="72"/>
      <c r="C155" s="72"/>
      <c r="D155" s="72"/>
    </row>
    <row r="156" ht="15.75" customHeight="1">
      <c r="A156" s="72"/>
      <c r="B156" s="72"/>
      <c r="C156" s="72"/>
      <c r="D156" s="72"/>
    </row>
    <row r="157" ht="15.75" customHeight="1">
      <c r="A157" s="72"/>
      <c r="B157" s="72"/>
      <c r="C157" s="72"/>
      <c r="D157" s="72"/>
    </row>
    <row r="158" ht="15.75" customHeight="1">
      <c r="A158" s="72"/>
      <c r="B158" s="72"/>
      <c r="C158" s="72"/>
      <c r="D158" s="72"/>
    </row>
    <row r="159" ht="15.75" customHeight="1">
      <c r="A159" s="72"/>
      <c r="B159" s="72"/>
      <c r="C159" s="72"/>
      <c r="D159" s="72"/>
    </row>
    <row r="160" ht="15.75" customHeight="1">
      <c r="A160" s="72"/>
      <c r="B160" s="72"/>
      <c r="C160" s="72"/>
      <c r="D160" s="72"/>
    </row>
    <row r="161" ht="15.75" customHeight="1">
      <c r="A161" s="72"/>
      <c r="B161" s="72"/>
      <c r="C161" s="72"/>
      <c r="D161" s="72"/>
    </row>
    <row r="162" ht="15.75" customHeight="1">
      <c r="A162" s="72"/>
      <c r="B162" s="72"/>
      <c r="C162" s="72"/>
      <c r="D162" s="72"/>
    </row>
    <row r="163" ht="15.75" customHeight="1">
      <c r="A163" s="72"/>
      <c r="B163" s="72"/>
      <c r="C163" s="72"/>
      <c r="D163" s="72"/>
    </row>
    <row r="164" ht="15.75" customHeight="1">
      <c r="A164" s="72"/>
      <c r="B164" s="72"/>
      <c r="C164" s="72"/>
      <c r="D164" s="72"/>
    </row>
    <row r="165" ht="15.75" customHeight="1">
      <c r="A165" s="72"/>
      <c r="B165" s="72"/>
      <c r="C165" s="72"/>
      <c r="D165" s="72"/>
    </row>
    <row r="166" ht="15.75" customHeight="1">
      <c r="A166" s="72"/>
      <c r="B166" s="72"/>
      <c r="C166" s="72"/>
      <c r="D166" s="72"/>
    </row>
    <row r="167" ht="15.75" customHeight="1">
      <c r="A167" s="72"/>
      <c r="B167" s="72"/>
      <c r="C167" s="72"/>
      <c r="D167" s="72"/>
    </row>
    <row r="168" ht="15.75" customHeight="1">
      <c r="A168" s="72"/>
      <c r="B168" s="72"/>
      <c r="C168" s="72"/>
      <c r="D168" s="72"/>
    </row>
    <row r="169" ht="15.75" customHeight="1">
      <c r="A169" s="72"/>
      <c r="B169" s="72"/>
      <c r="C169" s="72"/>
      <c r="D169" s="72"/>
    </row>
    <row r="170" ht="15.75" customHeight="1">
      <c r="A170" s="72"/>
      <c r="B170" s="72"/>
      <c r="C170" s="72"/>
      <c r="D170" s="72"/>
    </row>
    <row r="171" ht="15.75" customHeight="1">
      <c r="A171" s="72"/>
      <c r="B171" s="72"/>
      <c r="C171" s="72"/>
      <c r="D171" s="72"/>
    </row>
    <row r="172" ht="15.75" customHeight="1">
      <c r="A172" s="72"/>
      <c r="B172" s="72"/>
      <c r="C172" s="72"/>
      <c r="D172" s="72"/>
    </row>
    <row r="173" ht="15.75" customHeight="1">
      <c r="A173" s="72"/>
      <c r="B173" s="72"/>
      <c r="C173" s="72"/>
      <c r="D173" s="72"/>
    </row>
    <row r="174" ht="15.75" customHeight="1">
      <c r="A174" s="72"/>
      <c r="B174" s="72"/>
      <c r="C174" s="72"/>
      <c r="D174" s="72"/>
    </row>
    <row r="175" ht="15.75" customHeight="1">
      <c r="A175" s="72"/>
      <c r="B175" s="72"/>
      <c r="C175" s="72"/>
      <c r="D175" s="72"/>
    </row>
    <row r="176" ht="15.75" customHeight="1">
      <c r="A176" s="72"/>
      <c r="B176" s="72"/>
      <c r="C176" s="72"/>
      <c r="D176" s="72"/>
    </row>
    <row r="177" ht="15.75" customHeight="1">
      <c r="A177" s="72"/>
      <c r="B177" s="72"/>
      <c r="C177" s="72"/>
      <c r="D177" s="72"/>
    </row>
    <row r="178" ht="15.75" customHeight="1">
      <c r="A178" s="72"/>
      <c r="B178" s="72"/>
      <c r="C178" s="72"/>
      <c r="D178" s="72"/>
    </row>
    <row r="179" ht="15.75" customHeight="1">
      <c r="A179" s="72"/>
      <c r="B179" s="72"/>
      <c r="C179" s="72"/>
      <c r="D179" s="72"/>
    </row>
    <row r="180" ht="15.75" customHeight="1">
      <c r="A180" s="72"/>
      <c r="B180" s="72"/>
      <c r="C180" s="72"/>
      <c r="D180" s="72"/>
    </row>
    <row r="181" ht="15.75" customHeight="1">
      <c r="A181" s="72"/>
      <c r="B181" s="72"/>
      <c r="C181" s="72"/>
      <c r="D181" s="72"/>
    </row>
    <row r="182" ht="15.75" customHeight="1">
      <c r="A182" s="72"/>
      <c r="B182" s="72"/>
      <c r="C182" s="72"/>
      <c r="D182" s="72"/>
    </row>
    <row r="183" ht="15.75" customHeight="1">
      <c r="A183" s="72"/>
      <c r="B183" s="72"/>
      <c r="C183" s="72"/>
      <c r="D183" s="72"/>
    </row>
    <row r="184" ht="15.75" customHeight="1">
      <c r="A184" s="72"/>
      <c r="B184" s="72"/>
      <c r="C184" s="72"/>
      <c r="D184" s="72"/>
    </row>
    <row r="185" ht="15.75" customHeight="1">
      <c r="A185" s="72"/>
      <c r="B185" s="72"/>
      <c r="C185" s="72"/>
      <c r="D185" s="72"/>
    </row>
    <row r="186" ht="15.75" customHeight="1">
      <c r="A186" s="72"/>
      <c r="B186" s="72"/>
      <c r="C186" s="72"/>
      <c r="D186" s="72"/>
    </row>
    <row r="187" ht="15.75" customHeight="1">
      <c r="A187" s="72"/>
      <c r="B187" s="72"/>
      <c r="C187" s="72"/>
      <c r="D187" s="72"/>
    </row>
    <row r="188" ht="15.75" customHeight="1">
      <c r="A188" s="72"/>
      <c r="B188" s="72"/>
      <c r="C188" s="72"/>
      <c r="D188" s="72"/>
    </row>
    <row r="189" ht="15.75" customHeight="1">
      <c r="A189" s="72"/>
      <c r="B189" s="72"/>
      <c r="C189" s="72"/>
      <c r="D189" s="72"/>
    </row>
    <row r="190" ht="15.75" customHeight="1">
      <c r="A190" s="72"/>
      <c r="B190" s="72"/>
      <c r="C190" s="72"/>
      <c r="D190" s="72"/>
    </row>
    <row r="191" ht="15.75" customHeight="1">
      <c r="A191" s="72"/>
      <c r="B191" s="72"/>
      <c r="C191" s="72"/>
      <c r="D191" s="72"/>
    </row>
    <row r="192" ht="15.75" customHeight="1">
      <c r="A192" s="72"/>
      <c r="B192" s="72"/>
      <c r="C192" s="72"/>
      <c r="D192" s="72"/>
    </row>
    <row r="193" ht="15.75" customHeight="1">
      <c r="A193" s="72"/>
      <c r="B193" s="72"/>
      <c r="C193" s="72"/>
      <c r="D193" s="72"/>
    </row>
    <row r="194" ht="15.75" customHeight="1">
      <c r="A194" s="72"/>
      <c r="B194" s="72"/>
      <c r="C194" s="72"/>
      <c r="D194" s="72"/>
    </row>
    <row r="195" ht="15.75" customHeight="1">
      <c r="A195" s="72"/>
      <c r="B195" s="72"/>
      <c r="C195" s="72"/>
      <c r="D195" s="72"/>
    </row>
    <row r="196" ht="15.75" customHeight="1">
      <c r="A196" s="72"/>
      <c r="B196" s="72"/>
      <c r="C196" s="72"/>
      <c r="D196" s="72"/>
    </row>
    <row r="197" ht="15.75" customHeight="1">
      <c r="A197" s="72"/>
      <c r="B197" s="72"/>
      <c r="C197" s="72"/>
      <c r="D197" s="72"/>
    </row>
    <row r="198" ht="15.75" customHeight="1">
      <c r="A198" s="72"/>
      <c r="B198" s="72"/>
      <c r="C198" s="72"/>
      <c r="D198" s="72"/>
    </row>
    <row r="199" ht="15.75" customHeight="1">
      <c r="A199" s="72"/>
      <c r="B199" s="72"/>
      <c r="C199" s="72"/>
      <c r="D199" s="72"/>
    </row>
    <row r="200" ht="15.75" customHeight="1">
      <c r="A200" s="72"/>
      <c r="B200" s="72"/>
      <c r="C200" s="72"/>
      <c r="D200" s="72"/>
    </row>
    <row r="201" ht="15.75" customHeight="1">
      <c r="A201" s="72"/>
      <c r="B201" s="72"/>
      <c r="C201" s="72"/>
      <c r="D201" s="72"/>
    </row>
    <row r="202" ht="15.75" customHeight="1">
      <c r="A202" s="72"/>
      <c r="B202" s="72"/>
      <c r="C202" s="72"/>
      <c r="D202" s="72"/>
    </row>
    <row r="203" ht="15.75" customHeight="1">
      <c r="A203" s="72"/>
      <c r="B203" s="72"/>
      <c r="C203" s="72"/>
      <c r="D203" s="72"/>
    </row>
    <row r="204" ht="15.75" customHeight="1">
      <c r="A204" s="72"/>
      <c r="B204" s="72"/>
      <c r="C204" s="72"/>
      <c r="D204" s="72"/>
    </row>
    <row r="205" ht="15.75" customHeight="1">
      <c r="A205" s="72"/>
      <c r="B205" s="72"/>
      <c r="C205" s="72"/>
      <c r="D205" s="72"/>
    </row>
    <row r="206" ht="15.75" customHeight="1">
      <c r="A206" s="72"/>
      <c r="B206" s="72"/>
      <c r="C206" s="72"/>
      <c r="D206" s="72"/>
    </row>
    <row r="207" ht="15.75" customHeight="1">
      <c r="A207" s="72"/>
      <c r="B207" s="72"/>
      <c r="C207" s="72"/>
      <c r="D207" s="72"/>
    </row>
    <row r="208" ht="15.75" customHeight="1">
      <c r="A208" s="72"/>
      <c r="B208" s="72"/>
      <c r="C208" s="72"/>
      <c r="D208" s="72"/>
    </row>
    <row r="209" ht="15.75" customHeight="1">
      <c r="A209" s="72"/>
      <c r="B209" s="72"/>
      <c r="C209" s="72"/>
      <c r="D209" s="72"/>
    </row>
    <row r="210" ht="15.75" customHeight="1">
      <c r="A210" s="72"/>
      <c r="B210" s="72"/>
      <c r="C210" s="72"/>
      <c r="D210" s="72"/>
    </row>
    <row r="211" ht="15.75" customHeight="1">
      <c r="A211" s="72"/>
      <c r="B211" s="72"/>
      <c r="C211" s="72"/>
      <c r="D211" s="72"/>
    </row>
    <row r="212" ht="15.75" customHeight="1">
      <c r="A212" s="72"/>
      <c r="B212" s="72"/>
      <c r="C212" s="72"/>
      <c r="D212" s="72"/>
    </row>
    <row r="213" ht="15.75" customHeight="1">
      <c r="A213" s="72"/>
      <c r="B213" s="72"/>
      <c r="C213" s="72"/>
      <c r="D213" s="72"/>
    </row>
    <row r="214" ht="15.75" customHeight="1">
      <c r="A214" s="72"/>
      <c r="B214" s="72"/>
      <c r="C214" s="72"/>
      <c r="D214" s="72"/>
    </row>
    <row r="215" ht="15.75" customHeight="1">
      <c r="A215" s="72"/>
      <c r="B215" s="72"/>
      <c r="C215" s="72"/>
      <c r="D215" s="72"/>
    </row>
    <row r="216" ht="15.75" customHeight="1">
      <c r="A216" s="72"/>
      <c r="B216" s="72"/>
      <c r="C216" s="72"/>
      <c r="D216" s="72"/>
    </row>
    <row r="217" ht="15.75" customHeight="1">
      <c r="A217" s="72"/>
      <c r="B217" s="72"/>
      <c r="C217" s="72"/>
      <c r="D217" s="72"/>
    </row>
    <row r="218" ht="15.75" customHeight="1">
      <c r="A218" s="72"/>
      <c r="B218" s="72"/>
      <c r="C218" s="72"/>
      <c r="D218" s="72"/>
    </row>
    <row r="219" ht="15.75" customHeight="1">
      <c r="A219" s="72"/>
      <c r="B219" s="72"/>
      <c r="C219" s="72"/>
      <c r="D219" s="72"/>
    </row>
    <row r="220" ht="15.75" customHeight="1">
      <c r="A220" s="72"/>
      <c r="B220" s="72"/>
      <c r="C220" s="72"/>
      <c r="D220" s="72"/>
    </row>
    <row r="221" ht="15.75" customHeight="1">
      <c r="A221" s="72"/>
      <c r="B221" s="72"/>
      <c r="C221" s="72"/>
      <c r="D221" s="72"/>
    </row>
    <row r="222" ht="15.75" customHeight="1">
      <c r="A222" s="72"/>
      <c r="B222" s="72"/>
      <c r="C222" s="72"/>
      <c r="D222" s="72"/>
    </row>
    <row r="223" ht="15.75" customHeight="1">
      <c r="A223" s="72"/>
      <c r="B223" s="72"/>
      <c r="C223" s="72"/>
      <c r="D223" s="72"/>
    </row>
    <row r="224" ht="15.75" customHeight="1">
      <c r="A224" s="72"/>
      <c r="B224" s="72"/>
      <c r="C224" s="72"/>
      <c r="D224" s="72"/>
    </row>
    <row r="225" ht="15.75" customHeight="1">
      <c r="A225" s="72"/>
      <c r="B225" s="72"/>
      <c r="C225" s="72"/>
      <c r="D225" s="72"/>
    </row>
    <row r="226" ht="15.75" customHeight="1">
      <c r="A226" s="72"/>
      <c r="B226" s="72"/>
      <c r="C226" s="72"/>
      <c r="D226" s="72"/>
    </row>
    <row r="227" ht="15.75" customHeight="1">
      <c r="A227" s="72"/>
      <c r="B227" s="72"/>
      <c r="C227" s="72"/>
      <c r="D227" s="72"/>
    </row>
    <row r="228" ht="15.75" customHeight="1">
      <c r="A228" s="72"/>
      <c r="B228" s="72"/>
      <c r="C228" s="72"/>
      <c r="D228" s="72"/>
    </row>
    <row r="229" ht="15.75" customHeight="1">
      <c r="A229" s="72"/>
      <c r="B229" s="72"/>
      <c r="C229" s="72"/>
      <c r="D229" s="72"/>
    </row>
    <row r="230" ht="15.75" customHeight="1">
      <c r="A230" s="72"/>
      <c r="B230" s="72"/>
      <c r="C230" s="72"/>
      <c r="D230" s="72"/>
    </row>
    <row r="231" ht="15.75" customHeight="1">
      <c r="A231" s="72"/>
      <c r="B231" s="72"/>
      <c r="C231" s="72"/>
      <c r="D231" s="72"/>
    </row>
    <row r="232" ht="15.75" customHeight="1">
      <c r="A232" s="72"/>
      <c r="B232" s="72"/>
      <c r="C232" s="72"/>
      <c r="D232" s="72"/>
    </row>
    <row r="233" ht="15.75" customHeight="1">
      <c r="A233" s="72"/>
      <c r="B233" s="72"/>
      <c r="C233" s="72"/>
      <c r="D233" s="72"/>
    </row>
    <row r="234" ht="15.75" customHeight="1">
      <c r="A234" s="72"/>
      <c r="B234" s="72"/>
      <c r="C234" s="72"/>
      <c r="D234" s="72"/>
    </row>
    <row r="235" ht="15.75" customHeight="1">
      <c r="A235" s="72"/>
      <c r="B235" s="72"/>
      <c r="C235" s="72"/>
      <c r="D235" s="72"/>
    </row>
    <row r="236" ht="15.75" customHeight="1">
      <c r="A236" s="72"/>
      <c r="B236" s="72"/>
      <c r="C236" s="72"/>
      <c r="D236" s="72"/>
    </row>
    <row r="237" ht="15.75" customHeight="1">
      <c r="A237" s="72"/>
      <c r="B237" s="72"/>
      <c r="C237" s="72"/>
      <c r="D237" s="72"/>
    </row>
    <row r="238" ht="15.75" customHeight="1">
      <c r="A238" s="72"/>
      <c r="B238" s="72"/>
      <c r="C238" s="72"/>
      <c r="D238" s="72"/>
    </row>
    <row r="239" ht="15.75" customHeight="1">
      <c r="A239" s="72"/>
      <c r="B239" s="72"/>
      <c r="C239" s="72"/>
      <c r="D239" s="72"/>
    </row>
    <row r="240" ht="15.75" customHeight="1">
      <c r="A240" s="72"/>
      <c r="B240" s="72"/>
      <c r="C240" s="72"/>
      <c r="D240" s="72"/>
    </row>
    <row r="241" ht="15.75" customHeight="1">
      <c r="A241" s="72"/>
      <c r="B241" s="72"/>
      <c r="C241" s="72"/>
      <c r="D241" s="72"/>
    </row>
    <row r="242" ht="15.75" customHeight="1">
      <c r="A242" s="72"/>
      <c r="B242" s="72"/>
      <c r="C242" s="72"/>
      <c r="D242" s="72"/>
    </row>
    <row r="243" ht="15.75" customHeight="1">
      <c r="A243" s="72"/>
      <c r="B243" s="72"/>
      <c r="C243" s="72"/>
      <c r="D243" s="72"/>
    </row>
    <row r="244" ht="15.75" customHeight="1">
      <c r="A244" s="72"/>
      <c r="B244" s="72"/>
      <c r="C244" s="72"/>
      <c r="D244" s="72"/>
    </row>
    <row r="245" ht="15.75" customHeight="1">
      <c r="A245" s="72"/>
      <c r="B245" s="72"/>
      <c r="C245" s="72"/>
      <c r="D245" s="72"/>
    </row>
    <row r="246" ht="15.75" customHeight="1">
      <c r="A246" s="72"/>
      <c r="B246" s="72"/>
      <c r="C246" s="72"/>
      <c r="D246" s="72"/>
    </row>
    <row r="247" ht="15.75" customHeight="1">
      <c r="A247" s="72"/>
      <c r="B247" s="72"/>
      <c r="C247" s="72"/>
      <c r="D247" s="72"/>
    </row>
    <row r="248" ht="15.75" customHeight="1">
      <c r="A248" s="72"/>
      <c r="B248" s="72"/>
      <c r="C248" s="72"/>
      <c r="D248" s="72"/>
    </row>
    <row r="249" ht="15.75" customHeight="1">
      <c r="A249" s="72"/>
      <c r="B249" s="72"/>
      <c r="C249" s="72"/>
      <c r="D249" s="72"/>
    </row>
    <row r="250" ht="15.75" customHeight="1">
      <c r="A250" s="72"/>
      <c r="B250" s="72"/>
      <c r="C250" s="72"/>
      <c r="D250" s="72"/>
    </row>
    <row r="251" ht="15.75" customHeight="1">
      <c r="A251" s="72"/>
      <c r="B251" s="72"/>
      <c r="C251" s="72"/>
      <c r="D251" s="72"/>
    </row>
    <row r="252" ht="15.75" customHeight="1">
      <c r="A252" s="72"/>
      <c r="B252" s="72"/>
      <c r="C252" s="72"/>
      <c r="D252" s="72"/>
    </row>
    <row r="253" ht="15.75" customHeight="1">
      <c r="A253" s="72"/>
      <c r="B253" s="72"/>
      <c r="C253" s="72"/>
      <c r="D253" s="72"/>
    </row>
    <row r="254" ht="15.75" customHeight="1">
      <c r="A254" s="72"/>
      <c r="B254" s="72"/>
      <c r="C254" s="72"/>
      <c r="D254" s="72"/>
    </row>
    <row r="255" ht="15.75" customHeight="1">
      <c r="A255" s="72"/>
      <c r="B255" s="72"/>
      <c r="C255" s="72"/>
      <c r="D255" s="72"/>
    </row>
    <row r="256" ht="15.75" customHeight="1">
      <c r="A256" s="72"/>
      <c r="B256" s="72"/>
      <c r="C256" s="72"/>
      <c r="D256" s="72"/>
    </row>
    <row r="257" ht="15.75" customHeight="1">
      <c r="A257" s="72"/>
      <c r="B257" s="72"/>
      <c r="C257" s="72"/>
      <c r="D257" s="72"/>
    </row>
    <row r="258" ht="15.75" customHeight="1">
      <c r="A258" s="72"/>
      <c r="B258" s="72"/>
      <c r="C258" s="72"/>
      <c r="D258" s="72"/>
    </row>
    <row r="259" ht="15.75" customHeight="1">
      <c r="A259" s="72"/>
      <c r="B259" s="72"/>
      <c r="C259" s="72"/>
      <c r="D259" s="72"/>
    </row>
    <row r="260" ht="15.75" customHeight="1">
      <c r="A260" s="72"/>
      <c r="B260" s="72"/>
      <c r="C260" s="72"/>
      <c r="D260" s="72"/>
    </row>
    <row r="261" ht="15.75" customHeight="1">
      <c r="A261" s="72"/>
      <c r="B261" s="72"/>
      <c r="C261" s="72"/>
      <c r="D261" s="72"/>
    </row>
    <row r="262" ht="15.75" customHeight="1">
      <c r="A262" s="72"/>
      <c r="B262" s="72"/>
      <c r="C262" s="72"/>
      <c r="D262" s="72"/>
    </row>
    <row r="263" ht="15.75" customHeight="1">
      <c r="A263" s="72"/>
      <c r="B263" s="72"/>
      <c r="C263" s="72"/>
      <c r="D263" s="72"/>
    </row>
    <row r="264" ht="15.75" customHeight="1">
      <c r="A264" s="72"/>
      <c r="B264" s="72"/>
      <c r="C264" s="72"/>
      <c r="D264" s="72"/>
    </row>
    <row r="265" ht="15.75" customHeight="1">
      <c r="A265" s="72"/>
      <c r="B265" s="72"/>
      <c r="C265" s="72"/>
      <c r="D265" s="72"/>
    </row>
    <row r="266" ht="15.75" customHeight="1">
      <c r="A266" s="72"/>
      <c r="B266" s="72"/>
      <c r="C266" s="72"/>
      <c r="D266" s="72"/>
    </row>
    <row r="267" ht="15.75" customHeight="1">
      <c r="A267" s="72"/>
      <c r="B267" s="72"/>
      <c r="C267" s="72"/>
      <c r="D267" s="72"/>
    </row>
    <row r="268" ht="15.75" customHeight="1">
      <c r="A268" s="72"/>
      <c r="B268" s="72"/>
      <c r="C268" s="72"/>
      <c r="D268" s="72"/>
    </row>
    <row r="269" ht="15.75" customHeight="1">
      <c r="A269" s="72"/>
      <c r="B269" s="72"/>
      <c r="C269" s="72"/>
      <c r="D269" s="72"/>
    </row>
    <row r="270" ht="15.75" customHeight="1">
      <c r="A270" s="72"/>
      <c r="B270" s="72"/>
      <c r="C270" s="72"/>
      <c r="D270" s="72"/>
    </row>
    <row r="271" ht="15.75" customHeight="1">
      <c r="A271" s="72"/>
      <c r="B271" s="72"/>
      <c r="C271" s="72"/>
      <c r="D271" s="72"/>
    </row>
    <row r="272" ht="15.75" customHeight="1">
      <c r="A272" s="72"/>
      <c r="B272" s="72"/>
      <c r="C272" s="72"/>
      <c r="D272" s="72"/>
    </row>
    <row r="273" ht="15.75" customHeight="1">
      <c r="A273" s="72"/>
      <c r="B273" s="72"/>
      <c r="C273" s="72"/>
      <c r="D273" s="72"/>
    </row>
    <row r="274" ht="15.75" customHeight="1">
      <c r="A274" s="72"/>
      <c r="B274" s="72"/>
      <c r="C274" s="72"/>
      <c r="D274" s="72"/>
    </row>
    <row r="275" ht="15.75" customHeight="1">
      <c r="A275" s="72"/>
      <c r="B275" s="72"/>
      <c r="C275" s="72"/>
      <c r="D275" s="72"/>
    </row>
    <row r="276" ht="15.75" customHeight="1">
      <c r="A276" s="72"/>
      <c r="B276" s="72"/>
      <c r="C276" s="72"/>
      <c r="D276" s="72"/>
    </row>
    <row r="277" ht="15.75" customHeight="1">
      <c r="A277" s="72"/>
      <c r="B277" s="72"/>
      <c r="C277" s="72"/>
      <c r="D277" s="72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1B9A"/>
    <pageSetUpPr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4.43" defaultRowHeight="15.0"/>
  <cols>
    <col customWidth="1" min="1" max="1" width="26.0"/>
    <col customWidth="1" min="2" max="2" width="15.0"/>
    <col customWidth="1" min="3" max="3" width="18.0"/>
    <col customWidth="1" min="4" max="4" width="8.0"/>
    <col customWidth="1" min="5" max="5" width="3.0"/>
    <col customWidth="1" min="6" max="35" width="13.0"/>
  </cols>
  <sheetData>
    <row r="1" ht="31.5" customHeight="1">
      <c r="A1" s="163" t="s">
        <v>848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</row>
    <row r="2" ht="18.0" customHeight="1">
      <c r="A2" s="164" t="s">
        <v>849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/>
    </row>
    <row r="3" ht="21.75" customHeight="1">
      <c r="A3" s="165" t="s">
        <v>850</v>
      </c>
      <c r="B3" s="165" t="s">
        <v>4</v>
      </c>
      <c r="C3" s="165" t="s">
        <v>851</v>
      </c>
      <c r="D3" s="165" t="s">
        <v>852</v>
      </c>
      <c r="E3" s="165"/>
      <c r="F3" s="166" t="s">
        <v>853</v>
      </c>
      <c r="G3" s="166" t="s">
        <v>854</v>
      </c>
      <c r="H3" s="166" t="s">
        <v>855</v>
      </c>
      <c r="I3" s="166" t="s">
        <v>856</v>
      </c>
      <c r="J3" s="166" t="s">
        <v>857</v>
      </c>
      <c r="K3" s="166" t="s">
        <v>858</v>
      </c>
      <c r="L3" s="166" t="s">
        <v>859</v>
      </c>
      <c r="M3" s="166" t="s">
        <v>860</v>
      </c>
      <c r="N3" s="166" t="s">
        <v>861</v>
      </c>
      <c r="O3" s="166" t="s">
        <v>862</v>
      </c>
      <c r="P3" s="166" t="s">
        <v>863</v>
      </c>
      <c r="Q3" s="166" t="s">
        <v>864</v>
      </c>
      <c r="R3" s="166" t="s">
        <v>865</v>
      </c>
      <c r="S3" s="166" t="s">
        <v>866</v>
      </c>
      <c r="T3" s="166" t="s">
        <v>867</v>
      </c>
      <c r="U3" s="166" t="s">
        <v>868</v>
      </c>
      <c r="V3" s="166" t="s">
        <v>869</v>
      </c>
      <c r="W3" s="166" t="s">
        <v>870</v>
      </c>
      <c r="X3" s="166" t="s">
        <v>871</v>
      </c>
      <c r="Y3" s="166" t="s">
        <v>872</v>
      </c>
      <c r="Z3" s="166" t="s">
        <v>873</v>
      </c>
      <c r="AA3" s="166" t="s">
        <v>874</v>
      </c>
      <c r="AB3" s="166" t="s">
        <v>875</v>
      </c>
      <c r="AC3" s="166" t="s">
        <v>876</v>
      </c>
      <c r="AD3" s="166" t="s">
        <v>877</v>
      </c>
      <c r="AE3" s="166" t="s">
        <v>878</v>
      </c>
      <c r="AF3" s="166" t="s">
        <v>879</v>
      </c>
      <c r="AG3" s="166" t="s">
        <v>880</v>
      </c>
      <c r="AH3" s="166" t="s">
        <v>881</v>
      </c>
      <c r="AI3" s="166" t="s">
        <v>882</v>
      </c>
    </row>
    <row r="4" ht="21.75" customHeight="1">
      <c r="A4" s="167" t="s">
        <v>883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3"/>
    </row>
    <row r="5" ht="19.5" customHeight="1">
      <c r="A5" s="168" t="s">
        <v>205</v>
      </c>
      <c r="B5" s="169" t="s">
        <v>18</v>
      </c>
      <c r="C5" s="169" t="s">
        <v>268</v>
      </c>
      <c r="D5" s="170" t="str">
        <f t="shared" ref="D5:D16" si="1">IFERROR(TEXT((COUNTIF(F5:AI5,"Present")+COUNTIF(F5:AI5,"Late"))/COUNTIF($F$3:AI$3,"&lt;&gt;*Date*"),"0%"),"—")</f>
        <v>—</v>
      </c>
      <c r="E5" s="171"/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2"/>
      <c r="AB5" s="172"/>
      <c r="AC5" s="172"/>
      <c r="AD5" s="172"/>
      <c r="AE5" s="172"/>
      <c r="AF5" s="172"/>
      <c r="AG5" s="172"/>
      <c r="AH5" s="172"/>
      <c r="AI5" s="172"/>
    </row>
    <row r="6" ht="19.5" customHeight="1">
      <c r="A6" s="173" t="s">
        <v>210</v>
      </c>
      <c r="B6" s="174" t="s">
        <v>18</v>
      </c>
      <c r="C6" s="174" t="s">
        <v>268</v>
      </c>
      <c r="D6" s="170" t="str">
        <f t="shared" si="1"/>
        <v>—</v>
      </c>
      <c r="E6" s="171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175"/>
      <c r="AC6" s="175"/>
      <c r="AD6" s="175"/>
      <c r="AE6" s="175"/>
      <c r="AF6" s="175"/>
      <c r="AG6" s="175"/>
      <c r="AH6" s="175"/>
      <c r="AI6" s="175"/>
    </row>
    <row r="7" ht="19.5" customHeight="1">
      <c r="A7" s="168" t="s">
        <v>215</v>
      </c>
      <c r="B7" s="169" t="s">
        <v>18</v>
      </c>
      <c r="C7" s="169" t="s">
        <v>268</v>
      </c>
      <c r="D7" s="170" t="str">
        <f t="shared" si="1"/>
        <v>—</v>
      </c>
      <c r="E7" s="171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2"/>
      <c r="AC7" s="172"/>
      <c r="AD7" s="172"/>
      <c r="AE7" s="172"/>
      <c r="AF7" s="172"/>
      <c r="AG7" s="172"/>
      <c r="AH7" s="172"/>
      <c r="AI7" s="172"/>
    </row>
    <row r="8" ht="19.5" customHeight="1">
      <c r="A8" s="173" t="s">
        <v>220</v>
      </c>
      <c r="B8" s="174" t="s">
        <v>18</v>
      </c>
      <c r="C8" s="174" t="s">
        <v>887</v>
      </c>
      <c r="D8" s="170" t="str">
        <f t="shared" si="1"/>
        <v>—</v>
      </c>
      <c r="E8" s="171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175"/>
      <c r="T8" s="175"/>
      <c r="U8" s="175"/>
      <c r="V8" s="175"/>
      <c r="W8" s="175"/>
      <c r="X8" s="175"/>
      <c r="Y8" s="175"/>
      <c r="Z8" s="175"/>
      <c r="AA8" s="175"/>
      <c r="AB8" s="175"/>
      <c r="AC8" s="175"/>
      <c r="AD8" s="175"/>
      <c r="AE8" s="175"/>
      <c r="AF8" s="175"/>
      <c r="AG8" s="175"/>
      <c r="AH8" s="175"/>
      <c r="AI8" s="175"/>
    </row>
    <row r="9" ht="19.5" customHeight="1">
      <c r="A9" s="168" t="s">
        <v>225</v>
      </c>
      <c r="B9" s="169" t="s">
        <v>18</v>
      </c>
      <c r="C9" s="169" t="s">
        <v>888</v>
      </c>
      <c r="D9" s="170" t="str">
        <f t="shared" si="1"/>
        <v>—</v>
      </c>
      <c r="E9" s="171"/>
      <c r="F9" s="172"/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  <c r="AA9" s="172"/>
      <c r="AB9" s="172"/>
      <c r="AC9" s="172"/>
      <c r="AD9" s="172"/>
      <c r="AE9" s="172"/>
      <c r="AF9" s="172"/>
      <c r="AG9" s="172"/>
      <c r="AH9" s="172"/>
      <c r="AI9" s="172"/>
    </row>
    <row r="10" ht="19.5" customHeight="1">
      <c r="A10" s="173" t="s">
        <v>229</v>
      </c>
      <c r="B10" s="174" t="s">
        <v>18</v>
      </c>
      <c r="C10" s="174" t="s">
        <v>889</v>
      </c>
      <c r="D10" s="170" t="str">
        <f t="shared" si="1"/>
        <v>—</v>
      </c>
      <c r="E10" s="171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  <c r="R10" s="175"/>
      <c r="S10" s="175"/>
      <c r="T10" s="175"/>
      <c r="U10" s="175"/>
      <c r="V10" s="175"/>
      <c r="W10" s="175"/>
      <c r="X10" s="175"/>
      <c r="Y10" s="175"/>
      <c r="Z10" s="175"/>
      <c r="AA10" s="175"/>
      <c r="AB10" s="175"/>
      <c r="AC10" s="175"/>
      <c r="AD10" s="175"/>
      <c r="AE10" s="175"/>
      <c r="AF10" s="175"/>
      <c r="AG10" s="175"/>
      <c r="AH10" s="175"/>
      <c r="AI10" s="175"/>
    </row>
    <row r="11" ht="19.5" customHeight="1">
      <c r="A11" s="168" t="s">
        <v>233</v>
      </c>
      <c r="B11" s="169" t="s">
        <v>18</v>
      </c>
      <c r="C11" s="169" t="s">
        <v>890</v>
      </c>
      <c r="D11" s="170" t="str">
        <f t="shared" si="1"/>
        <v>—</v>
      </c>
      <c r="E11" s="171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2"/>
      <c r="AD11" s="172"/>
      <c r="AE11" s="172"/>
      <c r="AF11" s="172"/>
      <c r="AG11" s="172"/>
      <c r="AH11" s="172"/>
      <c r="AI11" s="172"/>
    </row>
    <row r="12" ht="19.5" customHeight="1">
      <c r="A12" s="173" t="s">
        <v>238</v>
      </c>
      <c r="B12" s="174" t="s">
        <v>18</v>
      </c>
      <c r="C12" s="174" t="s">
        <v>891</v>
      </c>
      <c r="D12" s="170" t="str">
        <f t="shared" si="1"/>
        <v>—</v>
      </c>
      <c r="E12" s="171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175"/>
      <c r="R12" s="175"/>
      <c r="S12" s="175"/>
      <c r="T12" s="175"/>
      <c r="U12" s="175"/>
      <c r="V12" s="175"/>
      <c r="W12" s="175"/>
      <c r="X12" s="175"/>
      <c r="Y12" s="175"/>
      <c r="Z12" s="175"/>
      <c r="AA12" s="175"/>
      <c r="AB12" s="175"/>
      <c r="AC12" s="175"/>
      <c r="AD12" s="175"/>
      <c r="AE12" s="175"/>
      <c r="AF12" s="175"/>
      <c r="AG12" s="175"/>
      <c r="AH12" s="175"/>
      <c r="AI12" s="175"/>
    </row>
    <row r="13" ht="19.5" customHeight="1">
      <c r="A13" s="168" t="s">
        <v>242</v>
      </c>
      <c r="B13" s="169" t="s">
        <v>18</v>
      </c>
      <c r="C13" s="169" t="s">
        <v>252</v>
      </c>
      <c r="D13" s="170" t="str">
        <f t="shared" si="1"/>
        <v>—</v>
      </c>
      <c r="E13" s="171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  <c r="AC13" s="172"/>
      <c r="AD13" s="172"/>
      <c r="AE13" s="172"/>
      <c r="AF13" s="172"/>
      <c r="AG13" s="172"/>
      <c r="AH13" s="172"/>
      <c r="AI13" s="172"/>
    </row>
    <row r="14" ht="19.5" customHeight="1">
      <c r="A14" s="173" t="s">
        <v>247</v>
      </c>
      <c r="B14" s="174" t="s">
        <v>18</v>
      </c>
      <c r="C14" s="174" t="s">
        <v>252</v>
      </c>
      <c r="D14" s="170" t="str">
        <f t="shared" si="1"/>
        <v>—</v>
      </c>
      <c r="E14" s="171"/>
      <c r="F14" s="175"/>
      <c r="G14" s="175"/>
      <c r="H14" s="175"/>
      <c r="I14" s="175"/>
      <c r="J14" s="175"/>
      <c r="K14" s="175"/>
      <c r="L14" s="175"/>
      <c r="M14" s="175"/>
      <c r="N14" s="175"/>
      <c r="O14" s="175"/>
      <c r="P14" s="175"/>
      <c r="Q14" s="175"/>
      <c r="R14" s="175"/>
      <c r="S14" s="175"/>
      <c r="T14" s="175"/>
      <c r="U14" s="175"/>
      <c r="V14" s="175"/>
      <c r="W14" s="175"/>
      <c r="X14" s="175"/>
      <c r="Y14" s="175"/>
      <c r="Z14" s="175"/>
      <c r="AA14" s="175"/>
      <c r="AB14" s="175"/>
      <c r="AC14" s="175"/>
      <c r="AD14" s="175"/>
      <c r="AE14" s="175"/>
      <c r="AF14" s="175"/>
      <c r="AG14" s="175"/>
      <c r="AH14" s="175"/>
      <c r="AI14" s="175"/>
    </row>
    <row r="15" ht="19.5" customHeight="1">
      <c r="A15" s="168" t="s">
        <v>250</v>
      </c>
      <c r="B15" s="169" t="s">
        <v>18</v>
      </c>
      <c r="C15" s="169" t="s">
        <v>268</v>
      </c>
      <c r="D15" s="170" t="str">
        <f t="shared" si="1"/>
        <v>—</v>
      </c>
      <c r="E15" s="171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  <c r="AA15" s="172"/>
      <c r="AB15" s="172"/>
      <c r="AC15" s="172"/>
      <c r="AD15" s="172"/>
      <c r="AE15" s="172"/>
      <c r="AF15" s="172"/>
      <c r="AG15" s="172"/>
      <c r="AH15" s="172"/>
      <c r="AI15" s="172"/>
    </row>
    <row r="16" ht="19.5" customHeight="1">
      <c r="A16" s="173" t="s">
        <v>255</v>
      </c>
      <c r="B16" s="174" t="s">
        <v>18</v>
      </c>
      <c r="C16" s="174"/>
      <c r="D16" s="170" t="str">
        <f t="shared" si="1"/>
        <v>—</v>
      </c>
      <c r="E16" s="171"/>
      <c r="F16" s="175"/>
      <c r="G16" s="175"/>
      <c r="H16" s="175"/>
      <c r="I16" s="175"/>
      <c r="J16" s="175"/>
      <c r="K16" s="175"/>
      <c r="L16" s="175"/>
      <c r="M16" s="175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  <c r="Z16" s="175"/>
      <c r="AA16" s="175"/>
      <c r="AB16" s="175"/>
      <c r="AC16" s="175"/>
      <c r="AD16" s="175"/>
      <c r="AE16" s="175"/>
      <c r="AF16" s="175"/>
      <c r="AG16" s="175"/>
      <c r="AH16" s="175"/>
      <c r="AI16" s="175"/>
    </row>
    <row r="17">
      <c r="F17" s="176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  <c r="AA17" s="176"/>
      <c r="AB17" s="176"/>
      <c r="AC17" s="176"/>
      <c r="AD17" s="176"/>
      <c r="AE17" s="176"/>
      <c r="AF17" s="176"/>
      <c r="AG17" s="176"/>
      <c r="AH17" s="176"/>
      <c r="AI17" s="176"/>
    </row>
    <row r="18" ht="21.75" customHeight="1">
      <c r="A18" s="177" t="s">
        <v>896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3"/>
    </row>
    <row r="19" ht="19.5" customHeight="1">
      <c r="A19" s="178" t="s">
        <v>287</v>
      </c>
      <c r="B19" s="179" t="s">
        <v>20</v>
      </c>
      <c r="C19" s="179" t="s">
        <v>268</v>
      </c>
      <c r="D19" s="170" t="str">
        <f t="shared" ref="D19:D25" si="2">IFERROR(TEXT((COUNTIF(F19:AI19,"Present")+COUNTIF(F19:AI19,"Late"))/COUNTIF($F$3:AI$3,"&lt;&gt;*Date*"),"0%"),"—")</f>
        <v>—</v>
      </c>
      <c r="E19" s="171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  <c r="AC19" s="180"/>
      <c r="AD19" s="180"/>
      <c r="AE19" s="180"/>
      <c r="AF19" s="180"/>
      <c r="AG19" s="180"/>
      <c r="AH19" s="180"/>
      <c r="AI19" s="180"/>
    </row>
    <row r="20" ht="19.5" customHeight="1">
      <c r="A20" s="181" t="s">
        <v>292</v>
      </c>
      <c r="B20" s="182" t="s">
        <v>20</v>
      </c>
      <c r="C20" s="182" t="s">
        <v>268</v>
      </c>
      <c r="D20" s="170" t="str">
        <f t="shared" si="2"/>
        <v>—</v>
      </c>
      <c r="E20" s="171"/>
      <c r="F20" s="183"/>
      <c r="G20" s="183"/>
      <c r="H20" s="183"/>
      <c r="I20" s="183"/>
      <c r="J20" s="183"/>
      <c r="K20" s="183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  <c r="AA20" s="183"/>
      <c r="AB20" s="183"/>
      <c r="AC20" s="183"/>
      <c r="AD20" s="183"/>
      <c r="AE20" s="183"/>
      <c r="AF20" s="183"/>
      <c r="AG20" s="183"/>
      <c r="AH20" s="183"/>
      <c r="AI20" s="183"/>
    </row>
    <row r="21" ht="19.5" customHeight="1">
      <c r="A21" s="178" t="s">
        <v>301</v>
      </c>
      <c r="B21" s="179" t="s">
        <v>20</v>
      </c>
      <c r="C21" s="179" t="s">
        <v>268</v>
      </c>
      <c r="D21" s="170" t="str">
        <f t="shared" si="2"/>
        <v>—</v>
      </c>
      <c r="E21" s="171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  <c r="AA21" s="180"/>
      <c r="AB21" s="180"/>
      <c r="AC21" s="180"/>
      <c r="AD21" s="180"/>
      <c r="AE21" s="180"/>
      <c r="AF21" s="180"/>
      <c r="AG21" s="180"/>
      <c r="AH21" s="180"/>
      <c r="AI21" s="180"/>
    </row>
    <row r="22" ht="19.5" customHeight="1">
      <c r="A22" s="181" t="s">
        <v>305</v>
      </c>
      <c r="B22" s="182" t="s">
        <v>20</v>
      </c>
      <c r="C22" s="182" t="s">
        <v>268</v>
      </c>
      <c r="D22" s="170" t="str">
        <f t="shared" si="2"/>
        <v>—</v>
      </c>
      <c r="E22" s="171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3"/>
      <c r="AA22" s="183"/>
      <c r="AB22" s="183"/>
      <c r="AC22" s="183"/>
      <c r="AD22" s="183"/>
      <c r="AE22" s="183"/>
      <c r="AF22" s="183"/>
      <c r="AG22" s="183"/>
      <c r="AH22" s="183"/>
      <c r="AI22" s="183"/>
    </row>
    <row r="23" ht="19.5" customHeight="1">
      <c r="A23" s="178" t="s">
        <v>311</v>
      </c>
      <c r="B23" s="179" t="s">
        <v>20</v>
      </c>
      <c r="C23" s="179" t="s">
        <v>268</v>
      </c>
      <c r="D23" s="170" t="str">
        <f t="shared" si="2"/>
        <v>—</v>
      </c>
      <c r="E23" s="171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0"/>
      <c r="AC23" s="180"/>
      <c r="AD23" s="180"/>
      <c r="AE23" s="180"/>
      <c r="AF23" s="180"/>
      <c r="AG23" s="180"/>
      <c r="AH23" s="180"/>
      <c r="AI23" s="180"/>
    </row>
    <row r="24" ht="19.5" customHeight="1">
      <c r="A24" s="181" t="s">
        <v>316</v>
      </c>
      <c r="B24" s="182" t="s">
        <v>20</v>
      </c>
      <c r="C24" s="182" t="s">
        <v>268</v>
      </c>
      <c r="D24" s="170" t="str">
        <f t="shared" si="2"/>
        <v>—</v>
      </c>
      <c r="E24" s="171"/>
      <c r="F24" s="183"/>
      <c r="G24" s="183"/>
      <c r="H24" s="183"/>
      <c r="I24" s="183"/>
      <c r="J24" s="183"/>
      <c r="K24" s="183"/>
      <c r="L24" s="183"/>
      <c r="M24" s="183"/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  <c r="Z24" s="183"/>
      <c r="AA24" s="183"/>
      <c r="AB24" s="183"/>
      <c r="AC24" s="183"/>
      <c r="AD24" s="183"/>
      <c r="AE24" s="183"/>
      <c r="AF24" s="183"/>
      <c r="AG24" s="183"/>
      <c r="AH24" s="183"/>
      <c r="AI24" s="183"/>
    </row>
    <row r="25" ht="19.5" customHeight="1">
      <c r="A25" s="178" t="s">
        <v>322</v>
      </c>
      <c r="B25" s="179" t="s">
        <v>20</v>
      </c>
      <c r="C25" s="179"/>
      <c r="D25" s="170" t="str">
        <f t="shared" si="2"/>
        <v>—</v>
      </c>
      <c r="E25" s="171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  <c r="AC25" s="180"/>
      <c r="AD25" s="180"/>
      <c r="AE25" s="180"/>
      <c r="AF25" s="180"/>
      <c r="AG25" s="180"/>
      <c r="AH25" s="180"/>
      <c r="AI25" s="180"/>
    </row>
    <row r="26" ht="15.75" customHeight="1"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  <c r="AA26" s="176"/>
      <c r="AB26" s="176"/>
      <c r="AC26" s="176"/>
      <c r="AD26" s="176"/>
      <c r="AE26" s="176"/>
      <c r="AF26" s="176"/>
      <c r="AG26" s="176"/>
      <c r="AH26" s="176"/>
      <c r="AI26" s="176"/>
    </row>
    <row r="27" ht="21.75" customHeight="1">
      <c r="A27" s="184" t="s">
        <v>901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3"/>
    </row>
    <row r="28" ht="19.5" customHeight="1">
      <c r="A28" s="185" t="s">
        <v>390</v>
      </c>
      <c r="B28" s="186" t="s">
        <v>23</v>
      </c>
      <c r="C28" s="186" t="s">
        <v>268</v>
      </c>
      <c r="D28" s="170" t="str">
        <f t="shared" ref="D28:D29" si="3">IFERROR(TEXT((COUNTIF(F28:AI28,"Present")+COUNTIF(F28:AI28,"Late"))/COUNTIF($F$3:AI$3,"&lt;&gt;*Date*"),"0%"),"—")</f>
        <v>—</v>
      </c>
      <c r="E28" s="171"/>
      <c r="F28" s="187"/>
      <c r="G28" s="187"/>
      <c r="H28" s="187"/>
      <c r="I28" s="187"/>
      <c r="J28" s="187"/>
      <c r="K28" s="187"/>
      <c r="L28" s="187"/>
      <c r="M28" s="187"/>
      <c r="N28" s="187"/>
      <c r="O28" s="187"/>
      <c r="P28" s="187"/>
      <c r="Q28" s="187"/>
      <c r="R28" s="187"/>
      <c r="S28" s="187"/>
      <c r="T28" s="187"/>
      <c r="U28" s="187"/>
      <c r="V28" s="187"/>
      <c r="W28" s="187"/>
      <c r="X28" s="187"/>
      <c r="Y28" s="187"/>
      <c r="Z28" s="187"/>
      <c r="AA28" s="187"/>
      <c r="AB28" s="187"/>
      <c r="AC28" s="187"/>
      <c r="AD28" s="187"/>
      <c r="AE28" s="187"/>
      <c r="AF28" s="187"/>
      <c r="AG28" s="187"/>
      <c r="AH28" s="187"/>
      <c r="AI28" s="187"/>
    </row>
    <row r="29" ht="19.5" customHeight="1">
      <c r="A29" s="188" t="s">
        <v>399</v>
      </c>
      <c r="B29" s="189" t="s">
        <v>23</v>
      </c>
      <c r="C29" s="189" t="s">
        <v>268</v>
      </c>
      <c r="D29" s="170" t="str">
        <f t="shared" si="3"/>
        <v>—</v>
      </c>
      <c r="E29" s="171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  <c r="AA29" s="190"/>
      <c r="AB29" s="190"/>
      <c r="AC29" s="190"/>
      <c r="AD29" s="190"/>
      <c r="AE29" s="190"/>
      <c r="AF29" s="190"/>
      <c r="AG29" s="190"/>
      <c r="AH29" s="190"/>
      <c r="AI29" s="190"/>
    </row>
    <row r="30" ht="15.75" customHeight="1">
      <c r="F30" s="176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  <c r="AA30" s="176"/>
      <c r="AB30" s="176"/>
      <c r="AC30" s="176"/>
      <c r="AD30" s="176"/>
      <c r="AE30" s="176"/>
      <c r="AF30" s="176"/>
      <c r="AG30" s="176"/>
      <c r="AH30" s="176"/>
      <c r="AI30" s="176"/>
    </row>
    <row r="31" ht="21.75" customHeight="1">
      <c r="A31" s="191" t="s">
        <v>902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3"/>
    </row>
    <row r="32" ht="19.5" customHeight="1">
      <c r="A32" s="192" t="s">
        <v>433</v>
      </c>
      <c r="B32" s="193" t="s">
        <v>24</v>
      </c>
      <c r="C32" s="193" t="s">
        <v>268</v>
      </c>
      <c r="D32" s="170" t="str">
        <f t="shared" ref="D32:D38" si="4">IFERROR(TEXT((COUNTIF(F32:AI32,"Present")+COUNTIF(F32:AI32,"Late"))/COUNTIF($F$3:AI$3,"&lt;&gt;*Date*"),"0%"),"—")</f>
        <v>—</v>
      </c>
      <c r="E32" s="171"/>
      <c r="F32" s="194"/>
      <c r="G32" s="194"/>
      <c r="H32" s="194"/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194"/>
      <c r="T32" s="194"/>
      <c r="U32" s="194"/>
      <c r="V32" s="194"/>
      <c r="W32" s="194"/>
      <c r="X32" s="194"/>
      <c r="Y32" s="194"/>
      <c r="Z32" s="194"/>
      <c r="AA32" s="194"/>
      <c r="AB32" s="194"/>
      <c r="AC32" s="194"/>
      <c r="AD32" s="194"/>
      <c r="AE32" s="194"/>
      <c r="AF32" s="194"/>
      <c r="AG32" s="194"/>
      <c r="AH32" s="194"/>
      <c r="AI32" s="194"/>
    </row>
    <row r="33" ht="19.5" customHeight="1">
      <c r="A33" s="197" t="s">
        <v>443</v>
      </c>
      <c r="B33" s="198" t="s">
        <v>24</v>
      </c>
      <c r="C33" s="198" t="s">
        <v>268</v>
      </c>
      <c r="D33" s="170" t="str">
        <f t="shared" si="4"/>
        <v>—</v>
      </c>
      <c r="E33" s="171"/>
      <c r="F33" s="199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99"/>
      <c r="R33" s="199"/>
      <c r="S33" s="199"/>
      <c r="T33" s="199"/>
      <c r="U33" s="199"/>
      <c r="V33" s="199"/>
      <c r="W33" s="199"/>
      <c r="X33" s="199"/>
      <c r="Y33" s="199"/>
      <c r="Z33" s="199"/>
      <c r="AA33" s="199"/>
      <c r="AB33" s="199"/>
      <c r="AC33" s="199"/>
      <c r="AD33" s="199"/>
      <c r="AE33" s="199"/>
      <c r="AF33" s="199"/>
      <c r="AG33" s="199"/>
      <c r="AH33" s="199"/>
      <c r="AI33" s="199"/>
    </row>
    <row r="34" ht="19.5" customHeight="1">
      <c r="A34" s="192" t="s">
        <v>450</v>
      </c>
      <c r="B34" s="193" t="s">
        <v>24</v>
      </c>
      <c r="C34" s="193" t="s">
        <v>268</v>
      </c>
      <c r="D34" s="170" t="str">
        <f t="shared" si="4"/>
        <v>—</v>
      </c>
      <c r="E34" s="171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194"/>
      <c r="T34" s="194"/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  <c r="AH34" s="194"/>
      <c r="AI34" s="194"/>
    </row>
    <row r="35" ht="19.5" customHeight="1">
      <c r="A35" s="197" t="s">
        <v>457</v>
      </c>
      <c r="B35" s="198" t="s">
        <v>24</v>
      </c>
      <c r="C35" s="198" t="s">
        <v>460</v>
      </c>
      <c r="D35" s="170" t="str">
        <f t="shared" si="4"/>
        <v>—</v>
      </c>
      <c r="E35" s="171"/>
      <c r="F35" s="199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99"/>
      <c r="R35" s="199"/>
      <c r="S35" s="199"/>
      <c r="T35" s="199"/>
      <c r="U35" s="199"/>
      <c r="V35" s="199"/>
      <c r="W35" s="199"/>
      <c r="X35" s="199"/>
      <c r="Y35" s="199"/>
      <c r="Z35" s="199"/>
      <c r="AA35" s="199"/>
      <c r="AB35" s="199"/>
      <c r="AC35" s="199"/>
      <c r="AD35" s="199"/>
      <c r="AE35" s="199"/>
      <c r="AF35" s="199"/>
      <c r="AG35" s="199"/>
      <c r="AH35" s="199"/>
      <c r="AI35" s="199"/>
    </row>
    <row r="36" ht="19.5" customHeight="1">
      <c r="A36" s="192" t="s">
        <v>464</v>
      </c>
      <c r="B36" s="193" t="s">
        <v>24</v>
      </c>
      <c r="C36" s="193" t="s">
        <v>268</v>
      </c>
      <c r="D36" s="170" t="str">
        <f t="shared" si="4"/>
        <v>—</v>
      </c>
      <c r="E36" s="171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194"/>
      <c r="R36" s="194"/>
      <c r="S36" s="194"/>
      <c r="T36" s="194"/>
      <c r="U36" s="194"/>
      <c r="V36" s="194"/>
      <c r="W36" s="194"/>
      <c r="X36" s="194"/>
      <c r="Y36" s="194"/>
      <c r="Z36" s="194"/>
      <c r="AA36" s="194"/>
      <c r="AB36" s="194"/>
      <c r="AC36" s="194"/>
      <c r="AD36" s="194"/>
      <c r="AE36" s="194"/>
      <c r="AF36" s="194"/>
      <c r="AG36" s="194"/>
      <c r="AH36" s="194"/>
      <c r="AI36" s="194"/>
    </row>
    <row r="37" ht="19.5" customHeight="1">
      <c r="A37" s="197" t="s">
        <v>467</v>
      </c>
      <c r="B37" s="198" t="s">
        <v>24</v>
      </c>
      <c r="C37" s="198" t="s">
        <v>268</v>
      </c>
      <c r="D37" s="170" t="str">
        <f t="shared" si="4"/>
        <v>—</v>
      </c>
      <c r="E37" s="171"/>
      <c r="F37" s="199"/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  <c r="AA37" s="199"/>
      <c r="AB37" s="199"/>
      <c r="AC37" s="199"/>
      <c r="AD37" s="199"/>
      <c r="AE37" s="199"/>
      <c r="AF37" s="199"/>
      <c r="AG37" s="199"/>
      <c r="AH37" s="199"/>
      <c r="AI37" s="199"/>
    </row>
    <row r="38" ht="19.5" customHeight="1">
      <c r="A38" s="192" t="s">
        <v>472</v>
      </c>
      <c r="B38" s="193" t="s">
        <v>24</v>
      </c>
      <c r="C38" s="193"/>
      <c r="D38" s="170" t="str">
        <f t="shared" si="4"/>
        <v>—</v>
      </c>
      <c r="E38" s="171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  <c r="AH38" s="194"/>
      <c r="AI38" s="194"/>
    </row>
    <row r="39" ht="15.75" customHeight="1"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6"/>
      <c r="AB39" s="176"/>
      <c r="AC39" s="176"/>
      <c r="AD39" s="176"/>
      <c r="AE39" s="176"/>
      <c r="AF39" s="176"/>
      <c r="AG39" s="176"/>
      <c r="AH39" s="176"/>
      <c r="AI39" s="176"/>
    </row>
    <row r="40" ht="21.75" customHeight="1">
      <c r="A40" s="200" t="s">
        <v>904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3"/>
    </row>
    <row r="41" ht="19.5" customHeight="1">
      <c r="A41" s="201" t="s">
        <v>709</v>
      </c>
      <c r="B41" s="202" t="s">
        <v>26</v>
      </c>
      <c r="C41" s="202" t="s">
        <v>268</v>
      </c>
      <c r="D41" s="170" t="str">
        <f t="shared" ref="D41:D49" si="5">IFERROR(TEXT((COUNTIF(F41:AI41,"Present")+COUNTIF(F41:AI41,"Late"))/COUNTIF($F$3:AI$3,"&lt;&gt;*Date*"),"0%"),"—")</f>
        <v>—</v>
      </c>
      <c r="E41" s="171"/>
      <c r="F41" s="204"/>
      <c r="G41" s="204"/>
      <c r="H41" s="204"/>
      <c r="I41" s="204"/>
      <c r="J41" s="204"/>
      <c r="K41" s="204"/>
      <c r="L41" s="204"/>
      <c r="M41" s="204"/>
      <c r="N41" s="204"/>
      <c r="O41" s="204"/>
      <c r="P41" s="204"/>
      <c r="Q41" s="204"/>
      <c r="R41" s="204"/>
      <c r="S41" s="204"/>
      <c r="T41" s="204"/>
      <c r="U41" s="204"/>
      <c r="V41" s="204"/>
      <c r="W41" s="204"/>
      <c r="X41" s="204"/>
      <c r="Y41" s="204"/>
      <c r="Z41" s="204"/>
      <c r="AA41" s="204"/>
      <c r="AB41" s="204"/>
      <c r="AC41" s="204"/>
      <c r="AD41" s="204"/>
      <c r="AE41" s="204"/>
      <c r="AF41" s="204"/>
      <c r="AG41" s="204"/>
      <c r="AH41" s="204"/>
      <c r="AI41" s="204"/>
    </row>
    <row r="42" ht="19.5" customHeight="1">
      <c r="A42" s="205" t="s">
        <v>715</v>
      </c>
      <c r="B42" s="206" t="s">
        <v>26</v>
      </c>
      <c r="C42" s="206" t="s">
        <v>268</v>
      </c>
      <c r="D42" s="170" t="str">
        <f t="shared" si="5"/>
        <v>—</v>
      </c>
      <c r="E42" s="171"/>
      <c r="F42" s="207"/>
      <c r="G42" s="207"/>
      <c r="H42" s="207"/>
      <c r="I42" s="207"/>
      <c r="J42" s="207"/>
      <c r="K42" s="207"/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Y42" s="207"/>
      <c r="Z42" s="207"/>
      <c r="AA42" s="207"/>
      <c r="AB42" s="207"/>
      <c r="AC42" s="207"/>
      <c r="AD42" s="207"/>
      <c r="AE42" s="207"/>
      <c r="AF42" s="207"/>
      <c r="AG42" s="207"/>
      <c r="AH42" s="207"/>
      <c r="AI42" s="207"/>
    </row>
    <row r="43" ht="19.5" customHeight="1">
      <c r="A43" s="201" t="s">
        <v>719</v>
      </c>
      <c r="B43" s="202" t="s">
        <v>26</v>
      </c>
      <c r="C43" s="202" t="s">
        <v>720</v>
      </c>
      <c r="D43" s="170" t="str">
        <f t="shared" si="5"/>
        <v>—</v>
      </c>
      <c r="E43" s="171"/>
      <c r="F43" s="204"/>
      <c r="G43" s="204"/>
      <c r="H43" s="204"/>
      <c r="I43" s="204"/>
      <c r="J43" s="204"/>
      <c r="K43" s="204"/>
      <c r="L43" s="204"/>
      <c r="M43" s="204"/>
      <c r="N43" s="204"/>
      <c r="O43" s="204"/>
      <c r="P43" s="204"/>
      <c r="Q43" s="204"/>
      <c r="R43" s="204"/>
      <c r="S43" s="204"/>
      <c r="T43" s="204"/>
      <c r="U43" s="204"/>
      <c r="V43" s="204"/>
      <c r="W43" s="204"/>
      <c r="X43" s="204"/>
      <c r="Y43" s="204"/>
      <c r="Z43" s="204"/>
      <c r="AA43" s="204"/>
      <c r="AB43" s="204"/>
      <c r="AC43" s="204"/>
      <c r="AD43" s="204"/>
      <c r="AE43" s="204"/>
      <c r="AF43" s="204"/>
      <c r="AG43" s="204"/>
      <c r="AH43" s="204"/>
      <c r="AI43" s="204"/>
    </row>
    <row r="44" ht="19.5" customHeight="1">
      <c r="A44" s="205" t="s">
        <v>723</v>
      </c>
      <c r="B44" s="206" t="s">
        <v>26</v>
      </c>
      <c r="C44" s="206" t="s">
        <v>268</v>
      </c>
      <c r="D44" s="170" t="str">
        <f t="shared" si="5"/>
        <v>—</v>
      </c>
      <c r="E44" s="171"/>
      <c r="F44" s="207"/>
      <c r="G44" s="207"/>
      <c r="H44" s="207"/>
      <c r="I44" s="207"/>
      <c r="J44" s="207"/>
      <c r="K44" s="207"/>
      <c r="L44" s="207"/>
      <c r="M44" s="207"/>
      <c r="N44" s="207"/>
      <c r="O44" s="207"/>
      <c r="P44" s="207"/>
      <c r="Q44" s="207"/>
      <c r="R44" s="207"/>
      <c r="S44" s="207"/>
      <c r="T44" s="207"/>
      <c r="U44" s="207"/>
      <c r="V44" s="207"/>
      <c r="W44" s="207"/>
      <c r="X44" s="207"/>
      <c r="Y44" s="207"/>
      <c r="Z44" s="207"/>
      <c r="AA44" s="207"/>
      <c r="AB44" s="207"/>
      <c r="AC44" s="207"/>
      <c r="AD44" s="207"/>
      <c r="AE44" s="207"/>
      <c r="AF44" s="207"/>
      <c r="AG44" s="207"/>
      <c r="AH44" s="207"/>
      <c r="AI44" s="207"/>
    </row>
    <row r="45" ht="19.5" customHeight="1">
      <c r="A45" s="201" t="s">
        <v>724</v>
      </c>
      <c r="B45" s="202" t="s">
        <v>26</v>
      </c>
      <c r="C45" s="202" t="s">
        <v>268</v>
      </c>
      <c r="D45" s="170" t="str">
        <f t="shared" si="5"/>
        <v>—</v>
      </c>
      <c r="E45" s="171"/>
      <c r="F45" s="204"/>
      <c r="G45" s="204"/>
      <c r="H45" s="204"/>
      <c r="I45" s="204"/>
      <c r="J45" s="204"/>
      <c r="K45" s="204"/>
      <c r="L45" s="204"/>
      <c r="M45" s="204"/>
      <c r="N45" s="204"/>
      <c r="O45" s="204"/>
      <c r="P45" s="204"/>
      <c r="Q45" s="204"/>
      <c r="R45" s="204"/>
      <c r="S45" s="204"/>
      <c r="T45" s="204"/>
      <c r="U45" s="204"/>
      <c r="V45" s="204"/>
      <c r="W45" s="204"/>
      <c r="X45" s="204"/>
      <c r="Y45" s="204"/>
      <c r="Z45" s="204"/>
      <c r="AA45" s="204"/>
      <c r="AB45" s="204"/>
      <c r="AC45" s="204"/>
      <c r="AD45" s="204"/>
      <c r="AE45" s="204"/>
      <c r="AF45" s="204"/>
      <c r="AG45" s="204"/>
      <c r="AH45" s="204"/>
      <c r="AI45" s="204"/>
    </row>
    <row r="46" ht="19.5" customHeight="1">
      <c r="A46" s="205" t="s">
        <v>727</v>
      </c>
      <c r="B46" s="206" t="s">
        <v>26</v>
      </c>
      <c r="C46" s="206" t="s">
        <v>268</v>
      </c>
      <c r="D46" s="170" t="str">
        <f t="shared" si="5"/>
        <v>—</v>
      </c>
      <c r="E46" s="171"/>
      <c r="F46" s="207"/>
      <c r="G46" s="207"/>
      <c r="H46" s="207"/>
      <c r="I46" s="207"/>
      <c r="J46" s="207"/>
      <c r="K46" s="207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Y46" s="207"/>
      <c r="Z46" s="207"/>
      <c r="AA46" s="207"/>
      <c r="AB46" s="207"/>
      <c r="AC46" s="207"/>
      <c r="AD46" s="207"/>
      <c r="AE46" s="207"/>
      <c r="AF46" s="207"/>
      <c r="AG46" s="207"/>
      <c r="AH46" s="207"/>
      <c r="AI46" s="207"/>
    </row>
    <row r="47" ht="19.5" customHeight="1">
      <c r="A47" s="201" t="s">
        <v>730</v>
      </c>
      <c r="B47" s="202" t="s">
        <v>26</v>
      </c>
      <c r="C47" s="202" t="s">
        <v>268</v>
      </c>
      <c r="D47" s="170" t="str">
        <f t="shared" si="5"/>
        <v>—</v>
      </c>
      <c r="E47" s="171"/>
      <c r="F47" s="204"/>
      <c r="G47" s="204"/>
      <c r="H47" s="204"/>
      <c r="I47" s="204"/>
      <c r="J47" s="204"/>
      <c r="K47" s="204"/>
      <c r="L47" s="204"/>
      <c r="M47" s="204"/>
      <c r="N47" s="204"/>
      <c r="O47" s="204"/>
      <c r="P47" s="204"/>
      <c r="Q47" s="204"/>
      <c r="R47" s="204"/>
      <c r="S47" s="204"/>
      <c r="T47" s="204"/>
      <c r="U47" s="204"/>
      <c r="V47" s="204"/>
      <c r="W47" s="204"/>
      <c r="X47" s="204"/>
      <c r="Y47" s="204"/>
      <c r="Z47" s="204"/>
      <c r="AA47" s="204"/>
      <c r="AB47" s="204"/>
      <c r="AC47" s="204"/>
      <c r="AD47" s="204"/>
      <c r="AE47" s="204"/>
      <c r="AF47" s="204"/>
      <c r="AG47" s="204"/>
      <c r="AH47" s="204"/>
      <c r="AI47" s="204"/>
    </row>
    <row r="48" ht="19.5" customHeight="1">
      <c r="A48" s="205" t="s">
        <v>731</v>
      </c>
      <c r="B48" s="206" t="s">
        <v>26</v>
      </c>
      <c r="C48" s="206" t="s">
        <v>268</v>
      </c>
      <c r="D48" s="170" t="str">
        <f t="shared" si="5"/>
        <v>—</v>
      </c>
      <c r="E48" s="171"/>
      <c r="F48" s="207"/>
      <c r="G48" s="207"/>
      <c r="H48" s="207"/>
      <c r="I48" s="207"/>
      <c r="J48" s="207"/>
      <c r="K48" s="207"/>
      <c r="L48" s="207"/>
      <c r="M48" s="207"/>
      <c r="N48" s="207"/>
      <c r="O48" s="207"/>
      <c r="P48" s="207"/>
      <c r="Q48" s="207"/>
      <c r="R48" s="207"/>
      <c r="S48" s="207"/>
      <c r="T48" s="207"/>
      <c r="U48" s="207"/>
      <c r="V48" s="207"/>
      <c r="W48" s="207"/>
      <c r="X48" s="207"/>
      <c r="Y48" s="207"/>
      <c r="Z48" s="207"/>
      <c r="AA48" s="207"/>
      <c r="AB48" s="207"/>
      <c r="AC48" s="207"/>
      <c r="AD48" s="207"/>
      <c r="AE48" s="207"/>
      <c r="AF48" s="207"/>
      <c r="AG48" s="207"/>
      <c r="AH48" s="207"/>
      <c r="AI48" s="207"/>
    </row>
    <row r="49" ht="19.5" customHeight="1">
      <c r="A49" s="201" t="s">
        <v>734</v>
      </c>
      <c r="B49" s="202" t="s">
        <v>26</v>
      </c>
      <c r="C49" s="202" t="s">
        <v>268</v>
      </c>
      <c r="D49" s="170" t="str">
        <f t="shared" si="5"/>
        <v>—</v>
      </c>
      <c r="E49" s="171"/>
      <c r="F49" s="204"/>
      <c r="G49" s="204"/>
      <c r="H49" s="204"/>
      <c r="I49" s="204"/>
      <c r="J49" s="204"/>
      <c r="K49" s="204"/>
      <c r="L49" s="204"/>
      <c r="M49" s="204"/>
      <c r="N49" s="204"/>
      <c r="O49" s="204"/>
      <c r="P49" s="204"/>
      <c r="Q49" s="204"/>
      <c r="R49" s="204"/>
      <c r="S49" s="204"/>
      <c r="T49" s="204"/>
      <c r="U49" s="204"/>
      <c r="V49" s="204"/>
      <c r="W49" s="204"/>
      <c r="X49" s="204"/>
      <c r="Y49" s="204"/>
      <c r="Z49" s="204"/>
      <c r="AA49" s="204"/>
      <c r="AB49" s="204"/>
      <c r="AC49" s="204"/>
      <c r="AD49" s="204"/>
      <c r="AE49" s="204"/>
      <c r="AF49" s="204"/>
      <c r="AG49" s="204"/>
      <c r="AH49" s="204"/>
      <c r="AI49" s="204"/>
    </row>
    <row r="50" ht="15.75" customHeight="1">
      <c r="F50" s="176"/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  <c r="AA50" s="176"/>
      <c r="AB50" s="176"/>
      <c r="AC50" s="176"/>
      <c r="AD50" s="176"/>
      <c r="AE50" s="176"/>
      <c r="AF50" s="176"/>
      <c r="AG50" s="176"/>
      <c r="AH50" s="176"/>
      <c r="AI50" s="176"/>
    </row>
    <row r="51" ht="21.75" customHeight="1">
      <c r="A51" s="208" t="s">
        <v>908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3"/>
    </row>
    <row r="52" ht="19.5" customHeight="1">
      <c r="A52" s="209" t="s">
        <v>773</v>
      </c>
      <c r="B52" s="210" t="s">
        <v>30</v>
      </c>
      <c r="C52" s="210" t="s">
        <v>268</v>
      </c>
      <c r="D52" s="170" t="str">
        <f t="shared" ref="D52:D55" si="6">IFERROR(TEXT((COUNTIF(F52:AI52,"Present")+COUNTIF(F52:AI52,"Late"))/COUNTIF($F$3:AI$3,"&lt;&gt;*Date*"),"0%"),"—")</f>
        <v>—</v>
      </c>
      <c r="E52" s="171"/>
      <c r="F52" s="211"/>
      <c r="G52" s="211"/>
      <c r="H52" s="211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Y52" s="211"/>
      <c r="Z52" s="211"/>
      <c r="AA52" s="211"/>
      <c r="AB52" s="211"/>
      <c r="AC52" s="211"/>
      <c r="AD52" s="211"/>
      <c r="AE52" s="211"/>
      <c r="AF52" s="211"/>
      <c r="AG52" s="211"/>
      <c r="AH52" s="211"/>
      <c r="AI52" s="211"/>
    </row>
    <row r="53" ht="19.5" customHeight="1">
      <c r="A53" s="212" t="s">
        <v>777</v>
      </c>
      <c r="B53" s="213" t="s">
        <v>30</v>
      </c>
      <c r="C53" s="213" t="s">
        <v>268</v>
      </c>
      <c r="D53" s="170" t="str">
        <f t="shared" si="6"/>
        <v>—</v>
      </c>
      <c r="E53" s="171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214"/>
      <c r="S53" s="214"/>
      <c r="T53" s="214"/>
      <c r="U53" s="214"/>
      <c r="V53" s="214"/>
      <c r="W53" s="214"/>
      <c r="X53" s="214"/>
      <c r="Y53" s="214"/>
      <c r="Z53" s="214"/>
      <c r="AA53" s="214"/>
      <c r="AB53" s="214"/>
      <c r="AC53" s="214"/>
      <c r="AD53" s="214"/>
      <c r="AE53" s="214"/>
      <c r="AF53" s="214"/>
      <c r="AG53" s="214"/>
      <c r="AH53" s="214"/>
      <c r="AI53" s="214"/>
    </row>
    <row r="54" ht="19.5" customHeight="1">
      <c r="A54" s="209" t="s">
        <v>781</v>
      </c>
      <c r="B54" s="210" t="s">
        <v>30</v>
      </c>
      <c r="C54" s="210" t="s">
        <v>268</v>
      </c>
      <c r="D54" s="170" t="str">
        <f t="shared" si="6"/>
        <v>—</v>
      </c>
      <c r="E54" s="171"/>
      <c r="F54" s="211"/>
      <c r="G54" s="211"/>
      <c r="H54" s="211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Y54" s="211"/>
      <c r="Z54" s="211"/>
      <c r="AA54" s="211"/>
      <c r="AB54" s="211"/>
      <c r="AC54" s="211"/>
      <c r="AD54" s="211"/>
      <c r="AE54" s="211"/>
      <c r="AF54" s="211"/>
      <c r="AG54" s="211"/>
      <c r="AH54" s="211"/>
      <c r="AI54" s="211"/>
    </row>
    <row r="55" ht="19.5" customHeight="1">
      <c r="A55" s="212" t="s">
        <v>784</v>
      </c>
      <c r="B55" s="213" t="s">
        <v>30</v>
      </c>
      <c r="C55" s="213" t="s">
        <v>268</v>
      </c>
      <c r="D55" s="170" t="str">
        <f t="shared" si="6"/>
        <v>—</v>
      </c>
      <c r="E55" s="171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214"/>
      <c r="S55" s="214"/>
      <c r="T55" s="214"/>
      <c r="U55" s="214"/>
      <c r="V55" s="214"/>
      <c r="W55" s="214"/>
      <c r="X55" s="214"/>
      <c r="Y55" s="214"/>
      <c r="Z55" s="214"/>
      <c r="AA55" s="214"/>
      <c r="AB55" s="214"/>
      <c r="AC55" s="214"/>
      <c r="AD55" s="214"/>
      <c r="AE55" s="214"/>
      <c r="AF55" s="214"/>
      <c r="AG55" s="214"/>
      <c r="AH55" s="214"/>
      <c r="AI55" s="214"/>
    </row>
    <row r="56" ht="15.75" customHeight="1"/>
    <row r="57" ht="21.75" customHeight="1">
      <c r="A57" s="215" t="s">
        <v>910</v>
      </c>
      <c r="B57" s="2"/>
      <c r="C57" s="2"/>
      <c r="D57" s="2"/>
      <c r="E57" s="3"/>
      <c r="F57" s="216">
        <f t="shared" ref="F57:AI57" si="7">COUNTIF(F5:F55,"Present")+COUNTIF(F5:F55,"Late")</f>
        <v>0</v>
      </c>
      <c r="G57" s="216">
        <f t="shared" si="7"/>
        <v>0</v>
      </c>
      <c r="H57" s="216">
        <f t="shared" si="7"/>
        <v>0</v>
      </c>
      <c r="I57" s="216">
        <f t="shared" si="7"/>
        <v>0</v>
      </c>
      <c r="J57" s="216">
        <f t="shared" si="7"/>
        <v>0</v>
      </c>
      <c r="K57" s="216">
        <f t="shared" si="7"/>
        <v>0</v>
      </c>
      <c r="L57" s="216">
        <f t="shared" si="7"/>
        <v>0</v>
      </c>
      <c r="M57" s="216">
        <f t="shared" si="7"/>
        <v>0</v>
      </c>
      <c r="N57" s="216">
        <f t="shared" si="7"/>
        <v>0</v>
      </c>
      <c r="O57" s="216">
        <f t="shared" si="7"/>
        <v>0</v>
      </c>
      <c r="P57" s="216">
        <f t="shared" si="7"/>
        <v>0</v>
      </c>
      <c r="Q57" s="216">
        <f t="shared" si="7"/>
        <v>0</v>
      </c>
      <c r="R57" s="216">
        <f t="shared" si="7"/>
        <v>0</v>
      </c>
      <c r="S57" s="216">
        <f t="shared" si="7"/>
        <v>0</v>
      </c>
      <c r="T57" s="216">
        <f t="shared" si="7"/>
        <v>0</v>
      </c>
      <c r="U57" s="216">
        <f t="shared" si="7"/>
        <v>0</v>
      </c>
      <c r="V57" s="216">
        <f t="shared" si="7"/>
        <v>0</v>
      </c>
      <c r="W57" s="216">
        <f t="shared" si="7"/>
        <v>0</v>
      </c>
      <c r="X57" s="216">
        <f t="shared" si="7"/>
        <v>0</v>
      </c>
      <c r="Y57" s="216">
        <f t="shared" si="7"/>
        <v>0</v>
      </c>
      <c r="Z57" s="216">
        <f t="shared" si="7"/>
        <v>0</v>
      </c>
      <c r="AA57" s="216">
        <f t="shared" si="7"/>
        <v>0</v>
      </c>
      <c r="AB57" s="216">
        <f t="shared" si="7"/>
        <v>0</v>
      </c>
      <c r="AC57" s="216">
        <f t="shared" si="7"/>
        <v>0</v>
      </c>
      <c r="AD57" s="216">
        <f t="shared" si="7"/>
        <v>0</v>
      </c>
      <c r="AE57" s="216">
        <f t="shared" si="7"/>
        <v>0</v>
      </c>
      <c r="AF57" s="216">
        <f t="shared" si="7"/>
        <v>0</v>
      </c>
      <c r="AG57" s="216">
        <f t="shared" si="7"/>
        <v>0</v>
      </c>
      <c r="AH57" s="216">
        <f t="shared" si="7"/>
        <v>0</v>
      </c>
      <c r="AI57" s="216">
        <f t="shared" si="7"/>
        <v>0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51:AI51"/>
    <mergeCell ref="A57:E57"/>
    <mergeCell ref="A1:AI1"/>
    <mergeCell ref="A2:AI2"/>
    <mergeCell ref="A4:AI4"/>
    <mergeCell ref="A18:AI18"/>
    <mergeCell ref="A27:AI27"/>
    <mergeCell ref="A31:AI31"/>
    <mergeCell ref="A40:AI40"/>
  </mergeCells>
  <conditionalFormatting sqref="F5:AI55">
    <cfRule type="cellIs" dxfId="8" priority="1" operator="equal">
      <formula>"Present"</formula>
    </cfRule>
  </conditionalFormatting>
  <conditionalFormatting sqref="F5:AI55">
    <cfRule type="cellIs" dxfId="9" priority="2" operator="equal">
      <formula>"Absent"</formula>
    </cfRule>
  </conditionalFormatting>
  <conditionalFormatting sqref="F5:AI55">
    <cfRule type="cellIs" dxfId="10" priority="3" operator="equal">
      <formula>"Late"</formula>
    </cfRule>
  </conditionalFormatting>
  <conditionalFormatting sqref="F5:AI55">
    <cfRule type="cellIs" dxfId="11" priority="4" operator="equal">
      <formula>"Leave"</formula>
    </cfRule>
  </conditionalFormatting>
  <dataValidations>
    <dataValidation type="list" allowBlank="1" sqref="F5:AI17 F19:AI26 F28:AI30 F32:AI39 F41:AI50 F52:AI55">
      <formula1>"Present,Absent,Late,Leave"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30.0"/>
    <col customWidth="1" min="3" max="3" width="55.0"/>
    <col customWidth="1" min="4" max="6" width="8.71"/>
  </cols>
  <sheetData>
    <row r="1" ht="34.5" customHeight="1">
      <c r="A1" s="217" t="s">
        <v>915</v>
      </c>
      <c r="B1" s="2"/>
      <c r="C1" s="3"/>
    </row>
    <row r="2">
      <c r="A2" s="72"/>
      <c r="B2" s="72"/>
      <c r="C2" s="72"/>
    </row>
    <row r="3" ht="24.0" customHeight="1">
      <c r="A3" s="218" t="s">
        <v>916</v>
      </c>
      <c r="B3" s="2"/>
      <c r="C3" s="3"/>
    </row>
    <row r="4" ht="39.75" customHeight="1">
      <c r="A4" s="219" t="s">
        <v>917</v>
      </c>
      <c r="B4" s="220" t="s">
        <v>918</v>
      </c>
      <c r="C4" s="221" t="s">
        <v>919</v>
      </c>
    </row>
    <row r="5" ht="39.75" customHeight="1">
      <c r="A5" s="219" t="s">
        <v>920</v>
      </c>
      <c r="B5" s="220" t="s">
        <v>921</v>
      </c>
      <c r="C5" s="221" t="s">
        <v>922</v>
      </c>
    </row>
    <row r="6" ht="39.75" customHeight="1">
      <c r="A6" s="219" t="s">
        <v>923</v>
      </c>
      <c r="B6" s="220" t="s">
        <v>924</v>
      </c>
      <c r="C6" s="221" t="s">
        <v>925</v>
      </c>
    </row>
    <row r="7" ht="39.75" customHeight="1">
      <c r="A7" s="219" t="s">
        <v>926</v>
      </c>
      <c r="B7" s="220" t="s">
        <v>927</v>
      </c>
      <c r="C7" s="221" t="s">
        <v>928</v>
      </c>
    </row>
    <row r="8" ht="39.75" customHeight="1">
      <c r="A8" s="219" t="s">
        <v>929</v>
      </c>
      <c r="B8" s="220" t="s">
        <v>930</v>
      </c>
      <c r="C8" s="221" t="s">
        <v>931</v>
      </c>
    </row>
    <row r="9">
      <c r="A9" s="72"/>
      <c r="B9" s="72"/>
      <c r="C9" s="72"/>
    </row>
    <row r="10" ht="24.0" customHeight="1">
      <c r="A10" s="222" t="s">
        <v>932</v>
      </c>
      <c r="B10" s="2"/>
      <c r="C10" s="3"/>
    </row>
    <row r="11" ht="39.75" customHeight="1">
      <c r="A11" s="223" t="s">
        <v>917</v>
      </c>
      <c r="B11" s="220" t="s">
        <v>933</v>
      </c>
      <c r="C11" s="221" t="s">
        <v>934</v>
      </c>
    </row>
    <row r="12" ht="39.75" customHeight="1">
      <c r="A12" s="223" t="s">
        <v>920</v>
      </c>
      <c r="B12" s="220" t="s">
        <v>935</v>
      </c>
      <c r="C12" s="221" t="s">
        <v>936</v>
      </c>
    </row>
    <row r="13" ht="39.75" customHeight="1">
      <c r="A13" s="223" t="s">
        <v>923</v>
      </c>
      <c r="B13" s="220" t="s">
        <v>937</v>
      </c>
      <c r="C13" s="221" t="s">
        <v>938</v>
      </c>
    </row>
    <row r="14" ht="39.75" customHeight="1">
      <c r="A14" s="223" t="s">
        <v>926</v>
      </c>
      <c r="B14" s="220" t="s">
        <v>939</v>
      </c>
      <c r="C14" s="221" t="s">
        <v>940</v>
      </c>
    </row>
    <row r="15">
      <c r="A15" s="72"/>
      <c r="B15" s="72"/>
      <c r="C15" s="72"/>
    </row>
    <row r="16" ht="24.0" customHeight="1">
      <c r="A16" s="224" t="s">
        <v>941</v>
      </c>
      <c r="B16" s="2"/>
      <c r="C16" s="3"/>
    </row>
    <row r="17" ht="19.5" customHeight="1">
      <c r="A17" s="225" t="s">
        <v>942</v>
      </c>
      <c r="B17" s="226" t="s">
        <v>943</v>
      </c>
      <c r="C17" s="139"/>
    </row>
    <row r="18" ht="19.5" customHeight="1">
      <c r="A18" s="227" t="s">
        <v>944</v>
      </c>
      <c r="B18" s="228" t="s">
        <v>945</v>
      </c>
      <c r="C18" s="139"/>
    </row>
    <row r="19" ht="19.5" customHeight="1">
      <c r="A19" s="229" t="s">
        <v>946</v>
      </c>
      <c r="B19" s="226" t="s">
        <v>947</v>
      </c>
      <c r="C19" s="139"/>
    </row>
    <row r="20" ht="19.5" customHeight="1">
      <c r="A20" s="230" t="s">
        <v>948</v>
      </c>
      <c r="B20" s="228" t="s">
        <v>949</v>
      </c>
      <c r="C20" s="139"/>
    </row>
    <row r="21" ht="19.5" customHeight="1">
      <c r="A21" s="231" t="s">
        <v>950</v>
      </c>
      <c r="B21" s="226" t="s">
        <v>951</v>
      </c>
      <c r="C21" s="139"/>
    </row>
    <row r="22" ht="19.5" customHeight="1">
      <c r="A22" s="232" t="s">
        <v>952</v>
      </c>
      <c r="B22" s="228" t="s">
        <v>953</v>
      </c>
      <c r="C22" s="139"/>
    </row>
    <row r="23" ht="19.5" customHeight="1">
      <c r="A23" s="233" t="s">
        <v>954</v>
      </c>
      <c r="B23" s="226" t="s">
        <v>955</v>
      </c>
      <c r="C23" s="139"/>
    </row>
    <row r="24" ht="19.5" customHeight="1">
      <c r="A24" s="234" t="s">
        <v>956</v>
      </c>
      <c r="B24" s="228" t="s">
        <v>957</v>
      </c>
      <c r="C24" s="139"/>
    </row>
    <row r="25" ht="15.75" customHeight="1">
      <c r="A25" s="72"/>
      <c r="B25" s="72"/>
      <c r="C25" s="72"/>
    </row>
    <row r="26" ht="24.0" customHeight="1">
      <c r="A26" s="235" t="s">
        <v>958</v>
      </c>
      <c r="B26" s="2"/>
      <c r="C26" s="3"/>
    </row>
    <row r="27" ht="21.75" customHeight="1">
      <c r="A27" s="236" t="s">
        <v>959</v>
      </c>
      <c r="B27" s="237" t="s">
        <v>960</v>
      </c>
      <c r="C27" s="238" t="s">
        <v>961</v>
      </c>
    </row>
    <row r="28" ht="21.75" customHeight="1">
      <c r="A28" s="239" t="s">
        <v>959</v>
      </c>
      <c r="B28" s="240" t="s">
        <v>962</v>
      </c>
      <c r="C28" s="12" t="s">
        <v>963</v>
      </c>
    </row>
    <row r="29" ht="21.75" customHeight="1">
      <c r="A29" s="236" t="s">
        <v>959</v>
      </c>
      <c r="B29" s="237" t="s">
        <v>964</v>
      </c>
      <c r="C29" s="238" t="s">
        <v>965</v>
      </c>
    </row>
    <row r="30" ht="21.75" customHeight="1">
      <c r="A30" s="239" t="s">
        <v>959</v>
      </c>
      <c r="B30" s="240" t="s">
        <v>966</v>
      </c>
      <c r="C30" s="12" t="s">
        <v>967</v>
      </c>
    </row>
    <row r="31" ht="21.75" customHeight="1">
      <c r="A31" s="236" t="s">
        <v>959</v>
      </c>
      <c r="B31" s="237" t="s">
        <v>968</v>
      </c>
      <c r="C31" s="238" t="s">
        <v>969</v>
      </c>
    </row>
    <row r="32" ht="21.75" customHeight="1">
      <c r="A32" s="239" t="s">
        <v>959</v>
      </c>
      <c r="B32" s="240" t="s">
        <v>970</v>
      </c>
      <c r="C32" s="12" t="s">
        <v>971</v>
      </c>
    </row>
    <row r="33" ht="15.75" customHeight="1">
      <c r="A33" s="72"/>
      <c r="B33" s="72"/>
      <c r="C33" s="72"/>
    </row>
    <row r="34" ht="15.75" customHeight="1">
      <c r="A34" s="72"/>
      <c r="B34" s="72"/>
      <c r="C34" s="72"/>
    </row>
    <row r="35" ht="15.75" customHeight="1">
      <c r="A35" s="72"/>
      <c r="B35" s="72"/>
      <c r="C35" s="72"/>
    </row>
    <row r="36" ht="15.75" customHeight="1">
      <c r="A36" s="72"/>
      <c r="B36" s="72"/>
      <c r="C36" s="72"/>
    </row>
    <row r="37" ht="15.75" customHeight="1">
      <c r="A37" s="72"/>
      <c r="B37" s="72"/>
      <c r="C37" s="72"/>
    </row>
    <row r="38" ht="15.75" customHeight="1">
      <c r="A38" s="72"/>
      <c r="B38" s="72"/>
      <c r="C38" s="72"/>
    </row>
    <row r="39" ht="15.75" customHeight="1">
      <c r="A39" s="72"/>
      <c r="B39" s="72"/>
      <c r="C39" s="72"/>
    </row>
    <row r="40" ht="15.75" customHeight="1">
      <c r="A40" s="72"/>
      <c r="B40" s="72"/>
      <c r="C40" s="72"/>
    </row>
    <row r="41" ht="15.75" customHeight="1">
      <c r="A41" s="72"/>
      <c r="B41" s="72"/>
      <c r="C41" s="72"/>
    </row>
    <row r="42" ht="15.75" customHeight="1">
      <c r="A42" s="72"/>
      <c r="B42" s="72"/>
      <c r="C42" s="72"/>
    </row>
    <row r="43" ht="15.75" customHeight="1">
      <c r="A43" s="72"/>
      <c r="B43" s="72"/>
      <c r="C43" s="72"/>
    </row>
    <row r="44" ht="15.75" customHeight="1">
      <c r="A44" s="72"/>
      <c r="B44" s="72"/>
      <c r="C44" s="72"/>
    </row>
    <row r="45" ht="15.75" customHeight="1">
      <c r="A45" s="72"/>
      <c r="B45" s="72"/>
      <c r="C45" s="72"/>
    </row>
    <row r="46" ht="15.75" customHeight="1">
      <c r="A46" s="72"/>
      <c r="B46" s="72"/>
      <c r="C46" s="72"/>
    </row>
    <row r="47" ht="15.75" customHeight="1">
      <c r="A47" s="72"/>
      <c r="B47" s="72"/>
      <c r="C47" s="72"/>
    </row>
    <row r="48" ht="15.75" customHeight="1">
      <c r="A48" s="72"/>
      <c r="B48" s="72"/>
      <c r="C48" s="72"/>
    </row>
    <row r="49" ht="15.75" customHeight="1">
      <c r="A49" s="72"/>
      <c r="B49" s="72"/>
      <c r="C49" s="72"/>
    </row>
    <row r="50" ht="15.75" customHeight="1">
      <c r="A50" s="72"/>
      <c r="B50" s="72"/>
      <c r="C50" s="72"/>
    </row>
    <row r="51" ht="15.75" customHeight="1">
      <c r="A51" s="72"/>
      <c r="B51" s="72"/>
      <c r="C51" s="72"/>
    </row>
    <row r="52" ht="15.75" customHeight="1">
      <c r="A52" s="72"/>
      <c r="B52" s="72"/>
      <c r="C52" s="72"/>
    </row>
    <row r="53" ht="15.75" customHeight="1">
      <c r="A53" s="72"/>
      <c r="B53" s="72"/>
      <c r="C53" s="72"/>
    </row>
    <row r="54" ht="15.75" customHeight="1">
      <c r="A54" s="72"/>
      <c r="B54" s="72"/>
      <c r="C54" s="72"/>
    </row>
    <row r="55" ht="15.75" customHeight="1">
      <c r="A55" s="72"/>
      <c r="B55" s="72"/>
      <c r="C55" s="72"/>
    </row>
    <row r="56" ht="15.75" customHeight="1">
      <c r="A56" s="72"/>
      <c r="B56" s="72"/>
      <c r="C56" s="72"/>
    </row>
    <row r="57" ht="15.75" customHeight="1">
      <c r="A57" s="72"/>
      <c r="B57" s="72"/>
      <c r="C57" s="72"/>
    </row>
    <row r="58" ht="15.75" customHeight="1">
      <c r="A58" s="72"/>
      <c r="B58" s="72"/>
      <c r="C58" s="72"/>
    </row>
    <row r="59" ht="15.75" customHeight="1">
      <c r="A59" s="72"/>
      <c r="B59" s="72"/>
      <c r="C59" s="72"/>
    </row>
    <row r="60" ht="15.75" customHeight="1">
      <c r="A60" s="72"/>
      <c r="B60" s="72"/>
      <c r="C60" s="72"/>
    </row>
    <row r="61" ht="15.75" customHeight="1">
      <c r="A61" s="72"/>
      <c r="B61" s="72"/>
      <c r="C61" s="72"/>
    </row>
    <row r="62" ht="15.75" customHeight="1">
      <c r="A62" s="72"/>
      <c r="B62" s="72"/>
      <c r="C62" s="72"/>
    </row>
    <row r="63" ht="15.75" customHeight="1">
      <c r="A63" s="72"/>
      <c r="B63" s="72"/>
      <c r="C63" s="72"/>
    </row>
    <row r="64" ht="15.75" customHeight="1">
      <c r="A64" s="72"/>
      <c r="B64" s="72"/>
      <c r="C64" s="72"/>
    </row>
    <row r="65" ht="15.75" customHeight="1">
      <c r="A65" s="72"/>
      <c r="B65" s="72"/>
      <c r="C65" s="72"/>
    </row>
    <row r="66" ht="15.75" customHeight="1">
      <c r="A66" s="72"/>
      <c r="B66" s="72"/>
      <c r="C66" s="72"/>
    </row>
    <row r="67" ht="15.75" customHeight="1">
      <c r="A67" s="72"/>
      <c r="B67" s="72"/>
      <c r="C67" s="72"/>
    </row>
    <row r="68" ht="15.75" customHeight="1">
      <c r="A68" s="72"/>
      <c r="B68" s="72"/>
      <c r="C68" s="72"/>
    </row>
    <row r="69" ht="15.75" customHeight="1">
      <c r="A69" s="72"/>
      <c r="B69" s="72"/>
      <c r="C69" s="72"/>
    </row>
    <row r="70" ht="15.75" customHeight="1">
      <c r="A70" s="72"/>
      <c r="B70" s="72"/>
      <c r="C70" s="72"/>
    </row>
    <row r="71" ht="15.75" customHeight="1">
      <c r="A71" s="72"/>
      <c r="B71" s="72"/>
      <c r="C71" s="72"/>
    </row>
    <row r="72" ht="15.75" customHeight="1">
      <c r="A72" s="72"/>
      <c r="B72" s="72"/>
      <c r="C72" s="72"/>
    </row>
    <row r="73" ht="15.75" customHeight="1">
      <c r="A73" s="72"/>
      <c r="B73" s="72"/>
      <c r="C73" s="72"/>
    </row>
    <row r="74" ht="15.75" customHeight="1">
      <c r="A74" s="72"/>
      <c r="B74" s="72"/>
      <c r="C74" s="72"/>
    </row>
    <row r="75" ht="15.75" customHeight="1">
      <c r="A75" s="72"/>
      <c r="B75" s="72"/>
      <c r="C75" s="72"/>
    </row>
    <row r="76" ht="15.75" customHeight="1">
      <c r="A76" s="72"/>
      <c r="B76" s="72"/>
      <c r="C76" s="72"/>
    </row>
    <row r="77" ht="15.75" customHeight="1">
      <c r="A77" s="72"/>
      <c r="B77" s="72"/>
      <c r="C77" s="72"/>
    </row>
    <row r="78" ht="15.75" customHeight="1">
      <c r="A78" s="72"/>
      <c r="B78" s="72"/>
      <c r="C78" s="72"/>
    </row>
    <row r="79" ht="15.75" customHeight="1">
      <c r="A79" s="72"/>
      <c r="B79" s="72"/>
      <c r="C79" s="72"/>
    </row>
    <row r="80" ht="15.75" customHeight="1">
      <c r="A80" s="72"/>
      <c r="B80" s="72"/>
      <c r="C80" s="72"/>
    </row>
    <row r="81" ht="15.75" customHeight="1">
      <c r="A81" s="72"/>
      <c r="B81" s="72"/>
      <c r="C81" s="72"/>
    </row>
    <row r="82" ht="15.75" customHeight="1">
      <c r="A82" s="72"/>
      <c r="B82" s="72"/>
      <c r="C82" s="72"/>
    </row>
    <row r="83" ht="15.75" customHeight="1">
      <c r="A83" s="72"/>
      <c r="B83" s="72"/>
      <c r="C83" s="72"/>
    </row>
    <row r="84" ht="15.75" customHeight="1">
      <c r="A84" s="72"/>
      <c r="B84" s="72"/>
      <c r="C84" s="72"/>
    </row>
    <row r="85" ht="15.75" customHeight="1">
      <c r="A85" s="72"/>
      <c r="B85" s="72"/>
      <c r="C85" s="72"/>
    </row>
    <row r="86" ht="15.75" customHeight="1">
      <c r="A86" s="72"/>
      <c r="B86" s="72"/>
      <c r="C86" s="72"/>
    </row>
    <row r="87" ht="15.75" customHeight="1">
      <c r="A87" s="72"/>
      <c r="B87" s="72"/>
      <c r="C87" s="72"/>
    </row>
    <row r="88" ht="15.75" customHeight="1">
      <c r="A88" s="72"/>
      <c r="B88" s="72"/>
      <c r="C88" s="72"/>
    </row>
    <row r="89" ht="15.75" customHeight="1">
      <c r="A89" s="72"/>
      <c r="B89" s="72"/>
      <c r="C89" s="72"/>
    </row>
    <row r="90" ht="15.75" customHeight="1">
      <c r="A90" s="72"/>
      <c r="B90" s="72"/>
      <c r="C90" s="72"/>
    </row>
    <row r="91" ht="15.75" customHeight="1">
      <c r="A91" s="72"/>
      <c r="B91" s="72"/>
      <c r="C91" s="72"/>
    </row>
    <row r="92" ht="15.75" customHeight="1">
      <c r="A92" s="72"/>
      <c r="B92" s="72"/>
      <c r="C92" s="72"/>
    </row>
    <row r="93" ht="15.75" customHeight="1">
      <c r="A93" s="72"/>
      <c r="B93" s="72"/>
      <c r="C93" s="72"/>
    </row>
    <row r="94" ht="15.75" customHeight="1">
      <c r="A94" s="72"/>
      <c r="B94" s="72"/>
      <c r="C94" s="72"/>
    </row>
    <row r="95" ht="15.75" customHeight="1">
      <c r="A95" s="72"/>
      <c r="B95" s="72"/>
      <c r="C95" s="72"/>
    </row>
    <row r="96" ht="15.75" customHeight="1">
      <c r="A96" s="72"/>
      <c r="B96" s="72"/>
      <c r="C96" s="72"/>
    </row>
    <row r="97" ht="15.75" customHeight="1">
      <c r="A97" s="72"/>
      <c r="B97" s="72"/>
      <c r="C97" s="72"/>
    </row>
    <row r="98" ht="15.75" customHeight="1">
      <c r="A98" s="72"/>
      <c r="B98" s="72"/>
      <c r="C98" s="72"/>
    </row>
    <row r="99" ht="15.75" customHeight="1">
      <c r="A99" s="72"/>
      <c r="B99" s="72"/>
      <c r="C99" s="72"/>
    </row>
    <row r="100" ht="15.75" customHeight="1">
      <c r="A100" s="72"/>
      <c r="B100" s="72"/>
      <c r="C100" s="72"/>
    </row>
    <row r="101" ht="15.75" customHeight="1">
      <c r="A101" s="72"/>
      <c r="B101" s="72"/>
      <c r="C101" s="72"/>
    </row>
    <row r="102" ht="15.75" customHeight="1">
      <c r="A102" s="72"/>
      <c r="B102" s="72"/>
      <c r="C102" s="72"/>
    </row>
    <row r="103" ht="15.75" customHeight="1">
      <c r="A103" s="72"/>
      <c r="B103" s="72"/>
      <c r="C103" s="72"/>
    </row>
    <row r="104" ht="15.75" customHeight="1">
      <c r="A104" s="72"/>
      <c r="B104" s="72"/>
      <c r="C104" s="72"/>
    </row>
    <row r="105" ht="15.75" customHeight="1">
      <c r="A105" s="72"/>
      <c r="B105" s="72"/>
      <c r="C105" s="72"/>
    </row>
    <row r="106" ht="15.75" customHeight="1">
      <c r="A106" s="72"/>
      <c r="B106" s="72"/>
      <c r="C106" s="72"/>
    </row>
    <row r="107" ht="15.75" customHeight="1">
      <c r="A107" s="72"/>
      <c r="B107" s="72"/>
      <c r="C107" s="72"/>
    </row>
    <row r="108" ht="15.75" customHeight="1">
      <c r="A108" s="72"/>
      <c r="B108" s="72"/>
      <c r="C108" s="72"/>
    </row>
    <row r="109" ht="15.75" customHeight="1">
      <c r="A109" s="72"/>
      <c r="B109" s="72"/>
      <c r="C109" s="72"/>
    </row>
    <row r="110" ht="15.75" customHeight="1">
      <c r="A110" s="72"/>
      <c r="B110" s="72"/>
      <c r="C110" s="72"/>
    </row>
    <row r="111" ht="15.75" customHeight="1">
      <c r="A111" s="72"/>
      <c r="B111" s="72"/>
      <c r="C111" s="72"/>
    </row>
    <row r="112" ht="15.75" customHeight="1">
      <c r="A112" s="72"/>
      <c r="B112" s="72"/>
      <c r="C112" s="72"/>
    </row>
    <row r="113" ht="15.75" customHeight="1">
      <c r="A113" s="72"/>
      <c r="B113" s="72"/>
      <c r="C113" s="72"/>
    </row>
    <row r="114" ht="15.75" customHeight="1">
      <c r="A114" s="72"/>
      <c r="B114" s="72"/>
      <c r="C114" s="72"/>
    </row>
    <row r="115" ht="15.75" customHeight="1">
      <c r="A115" s="72"/>
      <c r="B115" s="72"/>
      <c r="C115" s="72"/>
    </row>
    <row r="116" ht="15.75" customHeight="1">
      <c r="A116" s="72"/>
      <c r="B116" s="72"/>
      <c r="C116" s="72"/>
    </row>
    <row r="117" ht="15.75" customHeight="1">
      <c r="A117" s="72"/>
      <c r="B117" s="72"/>
      <c r="C117" s="72"/>
    </row>
    <row r="118" ht="15.75" customHeight="1">
      <c r="A118" s="72"/>
      <c r="B118" s="72"/>
      <c r="C118" s="72"/>
    </row>
    <row r="119" ht="15.75" customHeight="1">
      <c r="A119" s="72"/>
      <c r="B119" s="72"/>
      <c r="C119" s="72"/>
    </row>
    <row r="120" ht="15.75" customHeight="1">
      <c r="A120" s="72"/>
      <c r="B120" s="72"/>
      <c r="C120" s="72"/>
    </row>
    <row r="121" ht="15.75" customHeight="1">
      <c r="A121" s="72"/>
      <c r="B121" s="72"/>
      <c r="C121" s="72"/>
    </row>
    <row r="122" ht="15.75" customHeight="1">
      <c r="A122" s="72"/>
      <c r="B122" s="72"/>
      <c r="C122" s="72"/>
    </row>
    <row r="123" ht="15.75" customHeight="1">
      <c r="A123" s="72"/>
      <c r="B123" s="72"/>
      <c r="C123" s="72"/>
    </row>
    <row r="124" ht="15.75" customHeight="1">
      <c r="A124" s="72"/>
      <c r="B124" s="72"/>
      <c r="C124" s="72"/>
    </row>
    <row r="125" ht="15.75" customHeight="1">
      <c r="A125" s="72"/>
      <c r="B125" s="72"/>
      <c r="C125" s="72"/>
    </row>
    <row r="126" ht="15.75" customHeight="1">
      <c r="A126" s="72"/>
      <c r="B126" s="72"/>
      <c r="C126" s="72"/>
    </row>
    <row r="127" ht="15.75" customHeight="1">
      <c r="A127" s="72"/>
      <c r="B127" s="72"/>
      <c r="C127" s="72"/>
    </row>
    <row r="128" ht="15.75" customHeight="1">
      <c r="A128" s="72"/>
      <c r="B128" s="72"/>
      <c r="C128" s="72"/>
    </row>
    <row r="129" ht="15.75" customHeight="1">
      <c r="A129" s="72"/>
      <c r="B129" s="72"/>
      <c r="C129" s="72"/>
    </row>
    <row r="130" ht="15.75" customHeight="1">
      <c r="A130" s="72"/>
      <c r="B130" s="72"/>
      <c r="C130" s="72"/>
    </row>
    <row r="131" ht="15.75" customHeight="1">
      <c r="A131" s="72"/>
      <c r="B131" s="72"/>
      <c r="C131" s="72"/>
    </row>
    <row r="132" ht="15.75" customHeight="1">
      <c r="A132" s="72"/>
      <c r="B132" s="72"/>
      <c r="C132" s="72"/>
    </row>
    <row r="133" ht="15.75" customHeight="1">
      <c r="A133" s="72"/>
      <c r="B133" s="72"/>
      <c r="C133" s="72"/>
    </row>
    <row r="134" ht="15.75" customHeight="1">
      <c r="A134" s="72"/>
      <c r="B134" s="72"/>
      <c r="C134" s="72"/>
    </row>
    <row r="135" ht="15.75" customHeight="1">
      <c r="A135" s="72"/>
      <c r="B135" s="72"/>
      <c r="C135" s="72"/>
    </row>
    <row r="136" ht="15.75" customHeight="1">
      <c r="A136" s="72"/>
      <c r="B136" s="72"/>
      <c r="C136" s="72"/>
    </row>
    <row r="137" ht="15.75" customHeight="1">
      <c r="A137" s="72"/>
      <c r="B137" s="72"/>
      <c r="C137" s="72"/>
    </row>
    <row r="138" ht="15.75" customHeight="1">
      <c r="A138" s="72"/>
      <c r="B138" s="72"/>
      <c r="C138" s="72"/>
    </row>
    <row r="139" ht="15.75" customHeight="1">
      <c r="A139" s="72"/>
      <c r="B139" s="72"/>
      <c r="C139" s="72"/>
    </row>
    <row r="140" ht="15.75" customHeight="1">
      <c r="A140" s="72"/>
      <c r="B140" s="72"/>
      <c r="C140" s="72"/>
    </row>
    <row r="141" ht="15.75" customHeight="1">
      <c r="A141" s="72"/>
      <c r="B141" s="72"/>
      <c r="C141" s="72"/>
    </row>
    <row r="142" ht="15.75" customHeight="1">
      <c r="A142" s="72"/>
      <c r="B142" s="72"/>
      <c r="C142" s="72"/>
    </row>
    <row r="143" ht="15.75" customHeight="1">
      <c r="A143" s="72"/>
      <c r="B143" s="72"/>
      <c r="C143" s="72"/>
    </row>
    <row r="144" ht="15.75" customHeight="1">
      <c r="A144" s="72"/>
      <c r="B144" s="72"/>
      <c r="C144" s="72"/>
    </row>
    <row r="145" ht="15.75" customHeight="1">
      <c r="A145" s="72"/>
      <c r="B145" s="72"/>
      <c r="C145" s="72"/>
    </row>
    <row r="146" ht="15.75" customHeight="1">
      <c r="A146" s="72"/>
      <c r="B146" s="72"/>
      <c r="C146" s="72"/>
    </row>
    <row r="147" ht="15.75" customHeight="1">
      <c r="A147" s="72"/>
      <c r="B147" s="72"/>
      <c r="C147" s="72"/>
    </row>
    <row r="148" ht="15.75" customHeight="1">
      <c r="A148" s="72"/>
      <c r="B148" s="72"/>
      <c r="C148" s="72"/>
    </row>
    <row r="149" ht="15.75" customHeight="1">
      <c r="A149" s="72"/>
      <c r="B149" s="72"/>
      <c r="C149" s="72"/>
    </row>
    <row r="150" ht="15.75" customHeight="1">
      <c r="A150" s="72"/>
      <c r="B150" s="72"/>
      <c r="C150" s="72"/>
    </row>
    <row r="151" ht="15.75" customHeight="1">
      <c r="A151" s="72"/>
      <c r="B151" s="72"/>
      <c r="C151" s="72"/>
    </row>
    <row r="152" ht="15.75" customHeight="1">
      <c r="A152" s="72"/>
      <c r="B152" s="72"/>
      <c r="C152" s="72"/>
    </row>
    <row r="153" ht="15.75" customHeight="1">
      <c r="A153" s="72"/>
      <c r="B153" s="72"/>
      <c r="C153" s="72"/>
    </row>
    <row r="154" ht="15.75" customHeight="1">
      <c r="A154" s="72"/>
      <c r="B154" s="72"/>
      <c r="C154" s="72"/>
    </row>
    <row r="155" ht="15.75" customHeight="1">
      <c r="A155" s="72"/>
      <c r="B155" s="72"/>
      <c r="C155" s="72"/>
    </row>
    <row r="156" ht="15.75" customHeight="1">
      <c r="A156" s="72"/>
      <c r="B156" s="72"/>
      <c r="C156" s="72"/>
    </row>
    <row r="157" ht="15.75" customHeight="1">
      <c r="A157" s="72"/>
      <c r="B157" s="72"/>
      <c r="C157" s="72"/>
    </row>
    <row r="158" ht="15.75" customHeight="1">
      <c r="A158" s="72"/>
      <c r="B158" s="72"/>
      <c r="C158" s="72"/>
    </row>
    <row r="159" ht="15.75" customHeight="1">
      <c r="A159" s="72"/>
      <c r="B159" s="72"/>
      <c r="C159" s="72"/>
    </row>
    <row r="160" ht="15.75" customHeight="1">
      <c r="A160" s="72"/>
      <c r="B160" s="72"/>
      <c r="C160" s="72"/>
    </row>
    <row r="161" ht="15.75" customHeight="1">
      <c r="A161" s="72"/>
      <c r="B161" s="72"/>
      <c r="C161" s="72"/>
    </row>
    <row r="162" ht="15.75" customHeight="1">
      <c r="A162" s="72"/>
      <c r="B162" s="72"/>
      <c r="C162" s="72"/>
    </row>
    <row r="163" ht="15.75" customHeight="1">
      <c r="A163" s="72"/>
      <c r="B163" s="72"/>
      <c r="C163" s="72"/>
    </row>
    <row r="164" ht="15.75" customHeight="1">
      <c r="A164" s="72"/>
      <c r="B164" s="72"/>
      <c r="C164" s="72"/>
    </row>
    <row r="165" ht="15.75" customHeight="1">
      <c r="A165" s="72"/>
      <c r="B165" s="72"/>
      <c r="C165" s="72"/>
    </row>
    <row r="166" ht="15.75" customHeight="1">
      <c r="A166" s="72"/>
      <c r="B166" s="72"/>
      <c r="C166" s="72"/>
    </row>
    <row r="167" ht="15.75" customHeight="1">
      <c r="A167" s="72"/>
      <c r="B167" s="72"/>
      <c r="C167" s="72"/>
    </row>
    <row r="168" ht="15.75" customHeight="1">
      <c r="A168" s="72"/>
      <c r="B168" s="72"/>
      <c r="C168" s="72"/>
    </row>
    <row r="169" ht="15.75" customHeight="1">
      <c r="A169" s="72"/>
      <c r="B169" s="72"/>
      <c r="C169" s="72"/>
    </row>
    <row r="170" ht="15.75" customHeight="1">
      <c r="A170" s="72"/>
      <c r="B170" s="72"/>
      <c r="C170" s="72"/>
    </row>
    <row r="171" ht="15.75" customHeight="1">
      <c r="A171" s="72"/>
      <c r="B171" s="72"/>
      <c r="C171" s="72"/>
    </row>
    <row r="172" ht="15.75" customHeight="1">
      <c r="A172" s="72"/>
      <c r="B172" s="72"/>
      <c r="C172" s="72"/>
    </row>
    <row r="173" ht="15.75" customHeight="1">
      <c r="A173" s="72"/>
      <c r="B173" s="72"/>
      <c r="C173" s="72"/>
    </row>
    <row r="174" ht="15.75" customHeight="1">
      <c r="A174" s="72"/>
      <c r="B174" s="72"/>
      <c r="C174" s="72"/>
    </row>
    <row r="175" ht="15.75" customHeight="1">
      <c r="A175" s="72"/>
      <c r="B175" s="72"/>
      <c r="C175" s="72"/>
    </row>
    <row r="176" ht="15.75" customHeight="1">
      <c r="A176" s="72"/>
      <c r="B176" s="72"/>
      <c r="C176" s="72"/>
    </row>
    <row r="177" ht="15.75" customHeight="1">
      <c r="A177" s="72"/>
      <c r="B177" s="72"/>
      <c r="C177" s="72"/>
    </row>
    <row r="178" ht="15.75" customHeight="1">
      <c r="A178" s="72"/>
      <c r="B178" s="72"/>
      <c r="C178" s="72"/>
    </row>
    <row r="179" ht="15.75" customHeight="1">
      <c r="A179" s="72"/>
      <c r="B179" s="72"/>
      <c r="C179" s="72"/>
    </row>
    <row r="180" ht="15.75" customHeight="1">
      <c r="A180" s="72"/>
      <c r="B180" s="72"/>
      <c r="C180" s="72"/>
    </row>
    <row r="181" ht="15.75" customHeight="1">
      <c r="A181" s="72"/>
      <c r="B181" s="72"/>
      <c r="C181" s="72"/>
    </row>
    <row r="182" ht="15.75" customHeight="1">
      <c r="A182" s="72"/>
      <c r="B182" s="72"/>
      <c r="C182" s="72"/>
    </row>
    <row r="183" ht="15.75" customHeight="1">
      <c r="A183" s="72"/>
      <c r="B183" s="72"/>
      <c r="C183" s="72"/>
    </row>
    <row r="184" ht="15.75" customHeight="1">
      <c r="A184" s="72"/>
      <c r="B184" s="72"/>
      <c r="C184" s="72"/>
    </row>
    <row r="185" ht="15.75" customHeight="1">
      <c r="A185" s="72"/>
      <c r="B185" s="72"/>
      <c r="C185" s="72"/>
    </row>
    <row r="186" ht="15.75" customHeight="1">
      <c r="A186" s="72"/>
      <c r="B186" s="72"/>
      <c r="C186" s="72"/>
    </row>
    <row r="187" ht="15.75" customHeight="1">
      <c r="A187" s="72"/>
      <c r="B187" s="72"/>
      <c r="C187" s="72"/>
    </row>
    <row r="188" ht="15.75" customHeight="1">
      <c r="A188" s="72"/>
      <c r="B188" s="72"/>
      <c r="C188" s="72"/>
    </row>
    <row r="189" ht="15.75" customHeight="1">
      <c r="A189" s="72"/>
      <c r="B189" s="72"/>
      <c r="C189" s="72"/>
    </row>
    <row r="190" ht="15.75" customHeight="1">
      <c r="A190" s="72"/>
      <c r="B190" s="72"/>
      <c r="C190" s="72"/>
    </row>
    <row r="191" ht="15.75" customHeight="1">
      <c r="A191" s="72"/>
      <c r="B191" s="72"/>
      <c r="C191" s="72"/>
    </row>
    <row r="192" ht="15.75" customHeight="1">
      <c r="A192" s="72"/>
      <c r="B192" s="72"/>
      <c r="C192" s="72"/>
    </row>
    <row r="193" ht="15.75" customHeight="1">
      <c r="A193" s="72"/>
      <c r="B193" s="72"/>
      <c r="C193" s="72"/>
    </row>
    <row r="194" ht="15.75" customHeight="1">
      <c r="A194" s="72"/>
      <c r="B194" s="72"/>
      <c r="C194" s="72"/>
    </row>
    <row r="195" ht="15.75" customHeight="1">
      <c r="A195" s="72"/>
      <c r="B195" s="72"/>
      <c r="C195" s="72"/>
    </row>
    <row r="196" ht="15.75" customHeight="1">
      <c r="A196" s="72"/>
      <c r="B196" s="72"/>
      <c r="C196" s="72"/>
    </row>
    <row r="197" ht="15.75" customHeight="1">
      <c r="A197" s="72"/>
      <c r="B197" s="72"/>
      <c r="C197" s="72"/>
    </row>
    <row r="198" ht="15.75" customHeight="1">
      <c r="A198" s="72"/>
      <c r="B198" s="72"/>
      <c r="C198" s="72"/>
    </row>
    <row r="199" ht="15.75" customHeight="1">
      <c r="A199" s="72"/>
      <c r="B199" s="72"/>
      <c r="C199" s="72"/>
    </row>
    <row r="200" ht="15.75" customHeight="1">
      <c r="A200" s="72"/>
      <c r="B200" s="72"/>
      <c r="C200" s="72"/>
    </row>
    <row r="201" ht="15.75" customHeight="1">
      <c r="A201" s="72"/>
      <c r="B201" s="72"/>
      <c r="C201" s="72"/>
    </row>
    <row r="202" ht="15.75" customHeight="1">
      <c r="A202" s="72"/>
      <c r="B202" s="72"/>
      <c r="C202" s="72"/>
    </row>
    <row r="203" ht="15.75" customHeight="1">
      <c r="A203" s="72"/>
      <c r="B203" s="72"/>
      <c r="C203" s="72"/>
    </row>
    <row r="204" ht="15.75" customHeight="1">
      <c r="A204" s="72"/>
      <c r="B204" s="72"/>
      <c r="C204" s="72"/>
    </row>
    <row r="205" ht="15.75" customHeight="1">
      <c r="A205" s="72"/>
      <c r="B205" s="72"/>
      <c r="C205" s="72"/>
    </row>
    <row r="206" ht="15.75" customHeight="1">
      <c r="A206" s="72"/>
      <c r="B206" s="72"/>
      <c r="C206" s="72"/>
    </row>
    <row r="207" ht="15.75" customHeight="1">
      <c r="A207" s="72"/>
      <c r="B207" s="72"/>
      <c r="C207" s="72"/>
    </row>
    <row r="208" ht="15.75" customHeight="1">
      <c r="A208" s="72"/>
      <c r="B208" s="72"/>
      <c r="C208" s="72"/>
    </row>
    <row r="209" ht="15.75" customHeight="1">
      <c r="A209" s="72"/>
      <c r="B209" s="72"/>
      <c r="C209" s="72"/>
    </row>
    <row r="210" ht="15.75" customHeight="1">
      <c r="A210" s="72"/>
      <c r="B210" s="72"/>
      <c r="C210" s="72"/>
    </row>
    <row r="211" ht="15.75" customHeight="1">
      <c r="A211" s="72"/>
      <c r="B211" s="72"/>
      <c r="C211" s="72"/>
    </row>
    <row r="212" ht="15.75" customHeight="1">
      <c r="A212" s="72"/>
      <c r="B212" s="72"/>
      <c r="C212" s="72"/>
    </row>
    <row r="213" ht="15.75" customHeight="1">
      <c r="A213" s="72"/>
      <c r="B213" s="72"/>
      <c r="C213" s="72"/>
    </row>
    <row r="214" ht="15.75" customHeight="1">
      <c r="A214" s="72"/>
      <c r="B214" s="72"/>
      <c r="C214" s="72"/>
    </row>
    <row r="215" ht="15.75" customHeight="1">
      <c r="A215" s="72"/>
      <c r="B215" s="72"/>
      <c r="C215" s="72"/>
    </row>
    <row r="216" ht="15.75" customHeight="1">
      <c r="A216" s="72"/>
      <c r="B216" s="72"/>
      <c r="C216" s="72"/>
    </row>
    <row r="217" ht="15.75" customHeight="1">
      <c r="A217" s="72"/>
      <c r="B217" s="72"/>
      <c r="C217" s="72"/>
    </row>
    <row r="218" ht="15.75" customHeight="1">
      <c r="A218" s="72"/>
      <c r="B218" s="72"/>
      <c r="C218" s="72"/>
    </row>
    <row r="219" ht="15.75" customHeight="1">
      <c r="A219" s="72"/>
      <c r="B219" s="72"/>
      <c r="C219" s="72"/>
    </row>
    <row r="220" ht="15.75" customHeight="1">
      <c r="A220" s="72"/>
      <c r="B220" s="72"/>
      <c r="C220" s="72"/>
    </row>
    <row r="221" ht="15.75" customHeight="1">
      <c r="A221" s="72"/>
      <c r="B221" s="72"/>
      <c r="C221" s="72"/>
    </row>
    <row r="222" ht="15.75" customHeight="1">
      <c r="A222" s="72"/>
      <c r="B222" s="72"/>
      <c r="C222" s="72"/>
    </row>
    <row r="223" ht="15.75" customHeight="1">
      <c r="A223" s="72"/>
      <c r="B223" s="72"/>
      <c r="C223" s="72"/>
    </row>
    <row r="224" ht="15.75" customHeight="1">
      <c r="A224" s="72"/>
      <c r="B224" s="72"/>
      <c r="C224" s="72"/>
    </row>
    <row r="225" ht="15.75" customHeight="1">
      <c r="A225" s="72"/>
      <c r="B225" s="72"/>
      <c r="C225" s="72"/>
    </row>
    <row r="226" ht="15.75" customHeight="1">
      <c r="A226" s="72"/>
      <c r="B226" s="72"/>
      <c r="C226" s="72"/>
    </row>
    <row r="227" ht="15.75" customHeight="1">
      <c r="A227" s="72"/>
      <c r="B227" s="72"/>
      <c r="C227" s="72"/>
    </row>
    <row r="228" ht="15.75" customHeight="1">
      <c r="A228" s="72"/>
      <c r="B228" s="72"/>
      <c r="C228" s="72"/>
    </row>
    <row r="229" ht="15.75" customHeight="1">
      <c r="A229" s="72"/>
      <c r="B229" s="72"/>
      <c r="C229" s="72"/>
    </row>
    <row r="230" ht="15.75" customHeight="1">
      <c r="A230" s="72"/>
      <c r="B230" s="72"/>
      <c r="C230" s="72"/>
    </row>
    <row r="231" ht="15.75" customHeight="1">
      <c r="A231" s="72"/>
      <c r="B231" s="72"/>
      <c r="C231" s="72"/>
    </row>
    <row r="232" ht="15.75" customHeight="1">
      <c r="A232" s="72"/>
      <c r="B232" s="72"/>
      <c r="C232" s="72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20:C20"/>
    <mergeCell ref="B21:C21"/>
    <mergeCell ref="B22:C22"/>
    <mergeCell ref="B23:C23"/>
    <mergeCell ref="B24:C24"/>
    <mergeCell ref="A26:C26"/>
    <mergeCell ref="A1:C1"/>
    <mergeCell ref="A3:C3"/>
    <mergeCell ref="A10:C10"/>
    <mergeCell ref="A16:C16"/>
    <mergeCell ref="B17:C17"/>
    <mergeCell ref="B18:C18"/>
    <mergeCell ref="B19:C19"/>
  </mergeCells>
  <printOptions/>
  <pageMargins bottom="1.0" footer="0.0" header="0.0" left="0.75" right="0.75" top="1.0"/>
  <pageSetup paperSize="9" orientation="portrait"/>
  <drawing r:id="rId1"/>
</worksheet>
</file>